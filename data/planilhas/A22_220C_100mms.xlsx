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ifspedubr-my.sharepoint.com/personal/felipe_davi_aluno_ifsp_edu_br/Documents/ic - resistecia dos materiais/DAVI FELIPE/Planilhas - IC (Davi)/"/>
    </mc:Choice>
  </mc:AlternateContent>
  <xr:revisionPtr revIDLastSave="220" documentId="11_AD4D361C20488DEA4E38A0D6F4DB6FB25ADEDD82" xr6:coauthVersionLast="47" xr6:coauthVersionMax="47" xr10:uidLastSave="{B58BE693-57FC-498E-A0A9-56E76D68C27D}"/>
  <bookViews>
    <workbookView xWindow="-108" yWindow="-108" windowWidth="23256" windowHeight="12456" activeTab="5" xr2:uid="{00000000-000D-0000-FFFF-FFFF00000000}"/>
  </bookViews>
  <sheets>
    <sheet name="A22-1" sheetId="1" r:id="rId1"/>
    <sheet name="A22-2" sheetId="2" r:id="rId2"/>
    <sheet name="A22-3" sheetId="3" r:id="rId3"/>
    <sheet name="A22-4" sheetId="4" r:id="rId4"/>
    <sheet name="A22-5" sheetId="5" r:id="rId5"/>
    <sheet name="grafic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6" l="1"/>
  <c r="G25" i="6" l="1"/>
  <c r="F25" i="6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J3" i="4"/>
  <c r="K3" i="4"/>
  <c r="I3" i="4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J3" i="3"/>
  <c r="I5" i="3" s="1"/>
  <c r="K3" i="3"/>
  <c r="I3" i="3"/>
  <c r="E179" i="2"/>
  <c r="F179" i="2" s="1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J3" i="2"/>
  <c r="I5" i="2" s="1"/>
  <c r="E347" i="2" s="1"/>
  <c r="F347" i="2" s="1"/>
  <c r="K3" i="2"/>
  <c r="I3" i="2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J3" i="1"/>
  <c r="I5" i="1" s="1"/>
  <c r="E541" i="1" s="1"/>
  <c r="F541" i="1" s="1"/>
  <c r="K3" i="1"/>
  <c r="I3" i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J3" i="5"/>
  <c r="K3" i="5"/>
  <c r="I3" i="5"/>
  <c r="I5" i="5" l="1"/>
  <c r="I5" i="4"/>
  <c r="E70" i="4"/>
  <c r="F70" i="4" s="1"/>
  <c r="E182" i="4"/>
  <c r="F182" i="4" s="1"/>
  <c r="E270" i="4"/>
  <c r="F270" i="4" s="1"/>
  <c r="E6" i="4"/>
  <c r="F6" i="4" s="1"/>
  <c r="E110" i="4"/>
  <c r="F110" i="4" s="1"/>
  <c r="E198" i="4"/>
  <c r="F198" i="4" s="1"/>
  <c r="E310" i="4"/>
  <c r="F310" i="4" s="1"/>
  <c r="E14" i="4"/>
  <c r="F14" i="4" s="1"/>
  <c r="E118" i="4"/>
  <c r="F118" i="4" s="1"/>
  <c r="E206" i="4"/>
  <c r="F206" i="4" s="1"/>
  <c r="E318" i="4"/>
  <c r="F318" i="4" s="1"/>
  <c r="E22" i="4"/>
  <c r="F22" i="4" s="1"/>
  <c r="E126" i="4"/>
  <c r="F126" i="4" s="1"/>
  <c r="E238" i="4"/>
  <c r="F238" i="4" s="1"/>
  <c r="E326" i="4"/>
  <c r="F326" i="4" s="1"/>
  <c r="E46" i="4"/>
  <c r="F46" i="4" s="1"/>
  <c r="E134" i="4"/>
  <c r="F134" i="4" s="1"/>
  <c r="E246" i="4"/>
  <c r="F246" i="4" s="1"/>
  <c r="E334" i="4"/>
  <c r="F334" i="4" s="1"/>
  <c r="E86" i="4"/>
  <c r="F86" i="4" s="1"/>
  <c r="E150" i="4"/>
  <c r="F150" i="4" s="1"/>
  <c r="E214" i="4"/>
  <c r="F214" i="4" s="1"/>
  <c r="E278" i="4"/>
  <c r="F278" i="4" s="1"/>
  <c r="E589" i="4"/>
  <c r="F589" i="4" s="1"/>
  <c r="E581" i="4"/>
  <c r="F581" i="4" s="1"/>
  <c r="E573" i="4"/>
  <c r="F573" i="4" s="1"/>
  <c r="E565" i="4"/>
  <c r="F565" i="4" s="1"/>
  <c r="E557" i="4"/>
  <c r="F557" i="4" s="1"/>
  <c r="E549" i="4"/>
  <c r="F549" i="4" s="1"/>
  <c r="E541" i="4"/>
  <c r="F541" i="4" s="1"/>
  <c r="E533" i="4"/>
  <c r="F533" i="4" s="1"/>
  <c r="E525" i="4"/>
  <c r="F525" i="4" s="1"/>
  <c r="E517" i="4"/>
  <c r="F517" i="4" s="1"/>
  <c r="E509" i="4"/>
  <c r="F509" i="4" s="1"/>
  <c r="E501" i="4"/>
  <c r="F501" i="4" s="1"/>
  <c r="E493" i="4"/>
  <c r="F493" i="4" s="1"/>
  <c r="E485" i="4"/>
  <c r="F485" i="4" s="1"/>
  <c r="E477" i="4"/>
  <c r="F477" i="4" s="1"/>
  <c r="E469" i="4"/>
  <c r="F469" i="4" s="1"/>
  <c r="E461" i="4"/>
  <c r="F461" i="4" s="1"/>
  <c r="E453" i="4"/>
  <c r="F453" i="4" s="1"/>
  <c r="E445" i="4"/>
  <c r="F445" i="4" s="1"/>
  <c r="E437" i="4"/>
  <c r="F437" i="4" s="1"/>
  <c r="E429" i="4"/>
  <c r="F429" i="4" s="1"/>
  <c r="E421" i="4"/>
  <c r="F421" i="4" s="1"/>
  <c r="E413" i="4"/>
  <c r="F413" i="4" s="1"/>
  <c r="E405" i="4"/>
  <c r="F405" i="4" s="1"/>
  <c r="E397" i="4"/>
  <c r="F397" i="4" s="1"/>
  <c r="E389" i="4"/>
  <c r="F389" i="4" s="1"/>
  <c r="E381" i="4"/>
  <c r="F381" i="4" s="1"/>
  <c r="E373" i="4"/>
  <c r="F373" i="4" s="1"/>
  <c r="E365" i="4"/>
  <c r="F365" i="4" s="1"/>
  <c r="E357" i="4"/>
  <c r="F357" i="4" s="1"/>
  <c r="E349" i="4"/>
  <c r="F349" i="4" s="1"/>
  <c r="E341" i="4"/>
  <c r="F341" i="4" s="1"/>
  <c r="E333" i="4"/>
  <c r="F333" i="4" s="1"/>
  <c r="E325" i="4"/>
  <c r="F325" i="4" s="1"/>
  <c r="E317" i="4"/>
  <c r="F317" i="4" s="1"/>
  <c r="E309" i="4"/>
  <c r="F309" i="4" s="1"/>
  <c r="E301" i="4"/>
  <c r="F301" i="4" s="1"/>
  <c r="E293" i="4"/>
  <c r="F293" i="4" s="1"/>
  <c r="E285" i="4"/>
  <c r="F285" i="4" s="1"/>
  <c r="E277" i="4"/>
  <c r="F277" i="4" s="1"/>
  <c r="E269" i="4"/>
  <c r="F269" i="4" s="1"/>
  <c r="E261" i="4"/>
  <c r="F261" i="4" s="1"/>
  <c r="E253" i="4"/>
  <c r="F253" i="4" s="1"/>
  <c r="E245" i="4"/>
  <c r="F245" i="4" s="1"/>
  <c r="E237" i="4"/>
  <c r="F237" i="4" s="1"/>
  <c r="E229" i="4"/>
  <c r="F229" i="4" s="1"/>
  <c r="E221" i="4"/>
  <c r="F221" i="4" s="1"/>
  <c r="E213" i="4"/>
  <c r="F213" i="4" s="1"/>
  <c r="E205" i="4"/>
  <c r="F205" i="4" s="1"/>
  <c r="E197" i="4"/>
  <c r="F197" i="4" s="1"/>
  <c r="E189" i="4"/>
  <c r="F189" i="4" s="1"/>
  <c r="E181" i="4"/>
  <c r="F181" i="4" s="1"/>
  <c r="E173" i="4"/>
  <c r="F173" i="4" s="1"/>
  <c r="E165" i="4"/>
  <c r="F165" i="4" s="1"/>
  <c r="E157" i="4"/>
  <c r="F157" i="4" s="1"/>
  <c r="E149" i="4"/>
  <c r="F149" i="4" s="1"/>
  <c r="E141" i="4"/>
  <c r="F141" i="4" s="1"/>
  <c r="E133" i="4"/>
  <c r="F133" i="4" s="1"/>
  <c r="E125" i="4"/>
  <c r="F125" i="4" s="1"/>
  <c r="E117" i="4"/>
  <c r="F117" i="4" s="1"/>
  <c r="E109" i="4"/>
  <c r="F109" i="4" s="1"/>
  <c r="E101" i="4"/>
  <c r="F101" i="4" s="1"/>
  <c r="E93" i="4"/>
  <c r="F93" i="4" s="1"/>
  <c r="E85" i="4"/>
  <c r="F85" i="4" s="1"/>
  <c r="E77" i="4"/>
  <c r="F77" i="4" s="1"/>
  <c r="E69" i="4"/>
  <c r="F69" i="4" s="1"/>
  <c r="E61" i="4"/>
  <c r="F61" i="4" s="1"/>
  <c r="E53" i="4"/>
  <c r="F53" i="4" s="1"/>
  <c r="E45" i="4"/>
  <c r="F45" i="4" s="1"/>
  <c r="E37" i="4"/>
  <c r="F37" i="4" s="1"/>
  <c r="E29" i="4"/>
  <c r="F29" i="4" s="1"/>
  <c r="E21" i="4"/>
  <c r="F21" i="4" s="1"/>
  <c r="E13" i="4"/>
  <c r="F13" i="4" s="1"/>
  <c r="E5" i="4"/>
  <c r="F5" i="4" s="1"/>
  <c r="E558" i="4"/>
  <c r="F558" i="4" s="1"/>
  <c r="E518" i="4"/>
  <c r="F518" i="4" s="1"/>
  <c r="E510" i="4"/>
  <c r="F510" i="4" s="1"/>
  <c r="E494" i="4"/>
  <c r="F494" i="4" s="1"/>
  <c r="E478" i="4"/>
  <c r="F478" i="4" s="1"/>
  <c r="E462" i="4"/>
  <c r="F462" i="4" s="1"/>
  <c r="E446" i="4"/>
  <c r="F446" i="4" s="1"/>
  <c r="E430" i="4"/>
  <c r="F430" i="4" s="1"/>
  <c r="E390" i="4"/>
  <c r="F390" i="4" s="1"/>
  <c r="E366" i="4"/>
  <c r="F366" i="4" s="1"/>
  <c r="E588" i="4"/>
  <c r="F588" i="4" s="1"/>
  <c r="E580" i="4"/>
  <c r="F580" i="4" s="1"/>
  <c r="E572" i="4"/>
  <c r="F572" i="4" s="1"/>
  <c r="E564" i="4"/>
  <c r="F564" i="4" s="1"/>
  <c r="E556" i="4"/>
  <c r="F556" i="4" s="1"/>
  <c r="E548" i="4"/>
  <c r="F548" i="4" s="1"/>
  <c r="E540" i="4"/>
  <c r="F540" i="4" s="1"/>
  <c r="E532" i="4"/>
  <c r="F532" i="4" s="1"/>
  <c r="E524" i="4"/>
  <c r="F524" i="4" s="1"/>
  <c r="E516" i="4"/>
  <c r="F516" i="4" s="1"/>
  <c r="E508" i="4"/>
  <c r="F508" i="4" s="1"/>
  <c r="E500" i="4"/>
  <c r="F500" i="4" s="1"/>
  <c r="E492" i="4"/>
  <c r="F492" i="4" s="1"/>
  <c r="E484" i="4"/>
  <c r="F484" i="4" s="1"/>
  <c r="E476" i="4"/>
  <c r="F476" i="4" s="1"/>
  <c r="E468" i="4"/>
  <c r="F468" i="4" s="1"/>
  <c r="E460" i="4"/>
  <c r="F460" i="4" s="1"/>
  <c r="E452" i="4"/>
  <c r="F452" i="4" s="1"/>
  <c r="E444" i="4"/>
  <c r="F444" i="4" s="1"/>
  <c r="E436" i="4"/>
  <c r="F436" i="4" s="1"/>
  <c r="E428" i="4"/>
  <c r="F428" i="4" s="1"/>
  <c r="E420" i="4"/>
  <c r="F420" i="4" s="1"/>
  <c r="E412" i="4"/>
  <c r="F412" i="4" s="1"/>
  <c r="E404" i="4"/>
  <c r="F404" i="4" s="1"/>
  <c r="E396" i="4"/>
  <c r="F396" i="4" s="1"/>
  <c r="E388" i="4"/>
  <c r="F388" i="4" s="1"/>
  <c r="E380" i="4"/>
  <c r="F380" i="4" s="1"/>
  <c r="E372" i="4"/>
  <c r="F372" i="4" s="1"/>
  <c r="E364" i="4"/>
  <c r="F364" i="4" s="1"/>
  <c r="E356" i="4"/>
  <c r="F356" i="4" s="1"/>
  <c r="E348" i="4"/>
  <c r="F348" i="4" s="1"/>
  <c r="E340" i="4"/>
  <c r="F340" i="4" s="1"/>
  <c r="E332" i="4"/>
  <c r="F332" i="4" s="1"/>
  <c r="E324" i="4"/>
  <c r="F324" i="4" s="1"/>
  <c r="E316" i="4"/>
  <c r="F316" i="4" s="1"/>
  <c r="E308" i="4"/>
  <c r="F308" i="4" s="1"/>
  <c r="E300" i="4"/>
  <c r="F300" i="4" s="1"/>
  <c r="E292" i="4"/>
  <c r="F292" i="4" s="1"/>
  <c r="E284" i="4"/>
  <c r="F284" i="4" s="1"/>
  <c r="E276" i="4"/>
  <c r="F276" i="4" s="1"/>
  <c r="E268" i="4"/>
  <c r="F268" i="4" s="1"/>
  <c r="E260" i="4"/>
  <c r="F260" i="4" s="1"/>
  <c r="E252" i="4"/>
  <c r="F252" i="4" s="1"/>
  <c r="E244" i="4"/>
  <c r="F244" i="4" s="1"/>
  <c r="E236" i="4"/>
  <c r="F236" i="4" s="1"/>
  <c r="E228" i="4"/>
  <c r="F228" i="4" s="1"/>
  <c r="E220" i="4"/>
  <c r="F220" i="4" s="1"/>
  <c r="E212" i="4"/>
  <c r="F212" i="4" s="1"/>
  <c r="E204" i="4"/>
  <c r="F204" i="4" s="1"/>
  <c r="E196" i="4"/>
  <c r="F196" i="4" s="1"/>
  <c r="E188" i="4"/>
  <c r="F188" i="4" s="1"/>
  <c r="E180" i="4"/>
  <c r="F180" i="4" s="1"/>
  <c r="E172" i="4"/>
  <c r="F172" i="4" s="1"/>
  <c r="E164" i="4"/>
  <c r="F164" i="4" s="1"/>
  <c r="E156" i="4"/>
  <c r="F156" i="4" s="1"/>
  <c r="E148" i="4"/>
  <c r="F148" i="4" s="1"/>
  <c r="E140" i="4"/>
  <c r="F140" i="4" s="1"/>
  <c r="E132" i="4"/>
  <c r="F132" i="4" s="1"/>
  <c r="E124" i="4"/>
  <c r="F124" i="4" s="1"/>
  <c r="E116" i="4"/>
  <c r="F116" i="4" s="1"/>
  <c r="E108" i="4"/>
  <c r="F108" i="4" s="1"/>
  <c r="E100" i="4"/>
  <c r="F100" i="4" s="1"/>
  <c r="E92" i="4"/>
  <c r="F92" i="4" s="1"/>
  <c r="E84" i="4"/>
  <c r="F84" i="4" s="1"/>
  <c r="E76" i="4"/>
  <c r="F76" i="4" s="1"/>
  <c r="E68" i="4"/>
  <c r="F68" i="4" s="1"/>
  <c r="E60" i="4"/>
  <c r="F60" i="4" s="1"/>
  <c r="E52" i="4"/>
  <c r="F52" i="4" s="1"/>
  <c r="E44" i="4"/>
  <c r="F44" i="4" s="1"/>
  <c r="E36" i="4"/>
  <c r="F36" i="4" s="1"/>
  <c r="E28" i="4"/>
  <c r="F28" i="4" s="1"/>
  <c r="E20" i="4"/>
  <c r="F20" i="4" s="1"/>
  <c r="E12" i="4"/>
  <c r="F12" i="4" s="1"/>
  <c r="E4" i="4"/>
  <c r="F4" i="4" s="1"/>
  <c r="E550" i="4"/>
  <c r="F550" i="4" s="1"/>
  <c r="E398" i="4"/>
  <c r="F398" i="4" s="1"/>
  <c r="E587" i="4"/>
  <c r="F587" i="4" s="1"/>
  <c r="E579" i="4"/>
  <c r="F579" i="4" s="1"/>
  <c r="E571" i="4"/>
  <c r="F571" i="4" s="1"/>
  <c r="E563" i="4"/>
  <c r="F563" i="4" s="1"/>
  <c r="E555" i="4"/>
  <c r="F555" i="4" s="1"/>
  <c r="E547" i="4"/>
  <c r="F547" i="4" s="1"/>
  <c r="E539" i="4"/>
  <c r="F539" i="4" s="1"/>
  <c r="E531" i="4"/>
  <c r="F531" i="4" s="1"/>
  <c r="E523" i="4"/>
  <c r="F523" i="4" s="1"/>
  <c r="E515" i="4"/>
  <c r="F515" i="4" s="1"/>
  <c r="E507" i="4"/>
  <c r="F507" i="4" s="1"/>
  <c r="E499" i="4"/>
  <c r="F499" i="4" s="1"/>
  <c r="E491" i="4"/>
  <c r="F491" i="4" s="1"/>
  <c r="E483" i="4"/>
  <c r="F483" i="4" s="1"/>
  <c r="E475" i="4"/>
  <c r="F475" i="4" s="1"/>
  <c r="E467" i="4"/>
  <c r="F467" i="4" s="1"/>
  <c r="E459" i="4"/>
  <c r="F459" i="4" s="1"/>
  <c r="E451" i="4"/>
  <c r="F451" i="4" s="1"/>
  <c r="E443" i="4"/>
  <c r="F443" i="4" s="1"/>
  <c r="E435" i="4"/>
  <c r="F435" i="4" s="1"/>
  <c r="E427" i="4"/>
  <c r="F427" i="4" s="1"/>
  <c r="E419" i="4"/>
  <c r="F419" i="4" s="1"/>
  <c r="E411" i="4"/>
  <c r="F411" i="4" s="1"/>
  <c r="E403" i="4"/>
  <c r="F403" i="4" s="1"/>
  <c r="E395" i="4"/>
  <c r="F395" i="4" s="1"/>
  <c r="E387" i="4"/>
  <c r="F387" i="4" s="1"/>
  <c r="E379" i="4"/>
  <c r="F379" i="4" s="1"/>
  <c r="E371" i="4"/>
  <c r="F371" i="4" s="1"/>
  <c r="E363" i="4"/>
  <c r="F363" i="4" s="1"/>
  <c r="E355" i="4"/>
  <c r="F355" i="4" s="1"/>
  <c r="E347" i="4"/>
  <c r="F347" i="4" s="1"/>
  <c r="E339" i="4"/>
  <c r="F339" i="4" s="1"/>
  <c r="E331" i="4"/>
  <c r="F331" i="4" s="1"/>
  <c r="E323" i="4"/>
  <c r="F323" i="4" s="1"/>
  <c r="E315" i="4"/>
  <c r="F315" i="4" s="1"/>
  <c r="E307" i="4"/>
  <c r="F307" i="4" s="1"/>
  <c r="E299" i="4"/>
  <c r="F299" i="4" s="1"/>
  <c r="E291" i="4"/>
  <c r="F291" i="4" s="1"/>
  <c r="E283" i="4"/>
  <c r="F283" i="4" s="1"/>
  <c r="E275" i="4"/>
  <c r="F275" i="4" s="1"/>
  <c r="E267" i="4"/>
  <c r="F267" i="4" s="1"/>
  <c r="E259" i="4"/>
  <c r="F259" i="4" s="1"/>
  <c r="E251" i="4"/>
  <c r="F251" i="4" s="1"/>
  <c r="E243" i="4"/>
  <c r="F243" i="4" s="1"/>
  <c r="E235" i="4"/>
  <c r="F235" i="4" s="1"/>
  <c r="E227" i="4"/>
  <c r="F227" i="4" s="1"/>
  <c r="E219" i="4"/>
  <c r="F219" i="4" s="1"/>
  <c r="E211" i="4"/>
  <c r="F211" i="4" s="1"/>
  <c r="E203" i="4"/>
  <c r="F203" i="4" s="1"/>
  <c r="E195" i="4"/>
  <c r="F195" i="4" s="1"/>
  <c r="E187" i="4"/>
  <c r="F187" i="4" s="1"/>
  <c r="E179" i="4"/>
  <c r="F179" i="4" s="1"/>
  <c r="E171" i="4"/>
  <c r="F171" i="4" s="1"/>
  <c r="E163" i="4"/>
  <c r="F163" i="4" s="1"/>
  <c r="E155" i="4"/>
  <c r="F155" i="4" s="1"/>
  <c r="E147" i="4"/>
  <c r="F147" i="4" s="1"/>
  <c r="E139" i="4"/>
  <c r="F139" i="4" s="1"/>
  <c r="E131" i="4"/>
  <c r="F131" i="4" s="1"/>
  <c r="E123" i="4"/>
  <c r="F123" i="4" s="1"/>
  <c r="E115" i="4"/>
  <c r="F115" i="4" s="1"/>
  <c r="E107" i="4"/>
  <c r="F107" i="4" s="1"/>
  <c r="E99" i="4"/>
  <c r="F99" i="4" s="1"/>
  <c r="E91" i="4"/>
  <c r="F91" i="4" s="1"/>
  <c r="E83" i="4"/>
  <c r="F83" i="4" s="1"/>
  <c r="E75" i="4"/>
  <c r="F75" i="4" s="1"/>
  <c r="E67" i="4"/>
  <c r="F67" i="4" s="1"/>
  <c r="E59" i="4"/>
  <c r="F59" i="4" s="1"/>
  <c r="E51" i="4"/>
  <c r="F51" i="4" s="1"/>
  <c r="E43" i="4"/>
  <c r="F43" i="4" s="1"/>
  <c r="E35" i="4"/>
  <c r="F35" i="4" s="1"/>
  <c r="E27" i="4"/>
  <c r="F27" i="4" s="1"/>
  <c r="E19" i="4"/>
  <c r="F19" i="4" s="1"/>
  <c r="E11" i="4"/>
  <c r="F11" i="4" s="1"/>
  <c r="E3" i="4"/>
  <c r="F3" i="4" s="1"/>
  <c r="E542" i="4"/>
  <c r="F542" i="4" s="1"/>
  <c r="E422" i="4"/>
  <c r="F422" i="4" s="1"/>
  <c r="E586" i="4"/>
  <c r="F586" i="4" s="1"/>
  <c r="E578" i="4"/>
  <c r="F578" i="4" s="1"/>
  <c r="E570" i="4"/>
  <c r="F570" i="4" s="1"/>
  <c r="E562" i="4"/>
  <c r="F562" i="4" s="1"/>
  <c r="E554" i="4"/>
  <c r="F554" i="4" s="1"/>
  <c r="E546" i="4"/>
  <c r="F546" i="4" s="1"/>
  <c r="E538" i="4"/>
  <c r="F538" i="4" s="1"/>
  <c r="E530" i="4"/>
  <c r="F530" i="4" s="1"/>
  <c r="E522" i="4"/>
  <c r="F522" i="4" s="1"/>
  <c r="E514" i="4"/>
  <c r="F514" i="4" s="1"/>
  <c r="E506" i="4"/>
  <c r="F506" i="4" s="1"/>
  <c r="E498" i="4"/>
  <c r="F498" i="4" s="1"/>
  <c r="E490" i="4"/>
  <c r="F490" i="4" s="1"/>
  <c r="E482" i="4"/>
  <c r="F482" i="4" s="1"/>
  <c r="E474" i="4"/>
  <c r="F474" i="4" s="1"/>
  <c r="E466" i="4"/>
  <c r="F466" i="4" s="1"/>
  <c r="E458" i="4"/>
  <c r="F458" i="4" s="1"/>
  <c r="E450" i="4"/>
  <c r="F450" i="4" s="1"/>
  <c r="E442" i="4"/>
  <c r="F442" i="4" s="1"/>
  <c r="E434" i="4"/>
  <c r="F434" i="4" s="1"/>
  <c r="E426" i="4"/>
  <c r="F426" i="4" s="1"/>
  <c r="E418" i="4"/>
  <c r="F418" i="4" s="1"/>
  <c r="E410" i="4"/>
  <c r="F410" i="4" s="1"/>
  <c r="E402" i="4"/>
  <c r="F402" i="4" s="1"/>
  <c r="E394" i="4"/>
  <c r="F394" i="4" s="1"/>
  <c r="E386" i="4"/>
  <c r="F386" i="4" s="1"/>
  <c r="E378" i="4"/>
  <c r="F378" i="4" s="1"/>
  <c r="E370" i="4"/>
  <c r="F370" i="4" s="1"/>
  <c r="E362" i="4"/>
  <c r="F362" i="4" s="1"/>
  <c r="E354" i="4"/>
  <c r="F354" i="4" s="1"/>
  <c r="E346" i="4"/>
  <c r="F346" i="4" s="1"/>
  <c r="E338" i="4"/>
  <c r="F338" i="4" s="1"/>
  <c r="E330" i="4"/>
  <c r="F330" i="4" s="1"/>
  <c r="E322" i="4"/>
  <c r="F322" i="4" s="1"/>
  <c r="E314" i="4"/>
  <c r="F314" i="4" s="1"/>
  <c r="E306" i="4"/>
  <c r="F306" i="4" s="1"/>
  <c r="E298" i="4"/>
  <c r="F298" i="4" s="1"/>
  <c r="E290" i="4"/>
  <c r="F290" i="4" s="1"/>
  <c r="E282" i="4"/>
  <c r="F282" i="4" s="1"/>
  <c r="E274" i="4"/>
  <c r="F274" i="4" s="1"/>
  <c r="E266" i="4"/>
  <c r="F266" i="4" s="1"/>
  <c r="E258" i="4"/>
  <c r="F258" i="4" s="1"/>
  <c r="E250" i="4"/>
  <c r="F250" i="4" s="1"/>
  <c r="E242" i="4"/>
  <c r="F242" i="4" s="1"/>
  <c r="E234" i="4"/>
  <c r="F234" i="4" s="1"/>
  <c r="E226" i="4"/>
  <c r="F226" i="4" s="1"/>
  <c r="E218" i="4"/>
  <c r="F218" i="4" s="1"/>
  <c r="E210" i="4"/>
  <c r="F210" i="4" s="1"/>
  <c r="E202" i="4"/>
  <c r="F202" i="4" s="1"/>
  <c r="E194" i="4"/>
  <c r="F194" i="4" s="1"/>
  <c r="E186" i="4"/>
  <c r="F186" i="4" s="1"/>
  <c r="E178" i="4"/>
  <c r="F178" i="4" s="1"/>
  <c r="E170" i="4"/>
  <c r="F170" i="4" s="1"/>
  <c r="E162" i="4"/>
  <c r="F162" i="4" s="1"/>
  <c r="E154" i="4"/>
  <c r="F154" i="4" s="1"/>
  <c r="E146" i="4"/>
  <c r="F146" i="4" s="1"/>
  <c r="E138" i="4"/>
  <c r="F138" i="4" s="1"/>
  <c r="E130" i="4"/>
  <c r="F130" i="4" s="1"/>
  <c r="E122" i="4"/>
  <c r="F122" i="4" s="1"/>
  <c r="E114" i="4"/>
  <c r="F114" i="4" s="1"/>
  <c r="E106" i="4"/>
  <c r="F106" i="4" s="1"/>
  <c r="E98" i="4"/>
  <c r="F98" i="4" s="1"/>
  <c r="E90" i="4"/>
  <c r="F90" i="4" s="1"/>
  <c r="E82" i="4"/>
  <c r="F82" i="4" s="1"/>
  <c r="E74" i="4"/>
  <c r="F74" i="4" s="1"/>
  <c r="E66" i="4"/>
  <c r="F66" i="4" s="1"/>
  <c r="E58" i="4"/>
  <c r="F58" i="4" s="1"/>
  <c r="E50" i="4"/>
  <c r="F50" i="4" s="1"/>
  <c r="E42" i="4"/>
  <c r="F42" i="4" s="1"/>
  <c r="E34" i="4"/>
  <c r="F34" i="4" s="1"/>
  <c r="E26" i="4"/>
  <c r="F26" i="4" s="1"/>
  <c r="E18" i="4"/>
  <c r="F18" i="4" s="1"/>
  <c r="E10" i="4"/>
  <c r="F10" i="4" s="1"/>
  <c r="E2" i="4"/>
  <c r="F2" i="4" s="1"/>
  <c r="E585" i="4"/>
  <c r="F585" i="4" s="1"/>
  <c r="E577" i="4"/>
  <c r="F577" i="4" s="1"/>
  <c r="E569" i="4"/>
  <c r="F569" i="4" s="1"/>
  <c r="E561" i="4"/>
  <c r="F561" i="4" s="1"/>
  <c r="E553" i="4"/>
  <c r="F553" i="4" s="1"/>
  <c r="E545" i="4"/>
  <c r="F545" i="4" s="1"/>
  <c r="E537" i="4"/>
  <c r="F537" i="4" s="1"/>
  <c r="E529" i="4"/>
  <c r="F529" i="4" s="1"/>
  <c r="E521" i="4"/>
  <c r="F521" i="4" s="1"/>
  <c r="E513" i="4"/>
  <c r="F513" i="4" s="1"/>
  <c r="E505" i="4"/>
  <c r="F505" i="4" s="1"/>
  <c r="E497" i="4"/>
  <c r="F497" i="4" s="1"/>
  <c r="E489" i="4"/>
  <c r="F489" i="4" s="1"/>
  <c r="E481" i="4"/>
  <c r="F481" i="4" s="1"/>
  <c r="E473" i="4"/>
  <c r="F473" i="4" s="1"/>
  <c r="E465" i="4"/>
  <c r="F465" i="4" s="1"/>
  <c r="E457" i="4"/>
  <c r="F457" i="4" s="1"/>
  <c r="E449" i="4"/>
  <c r="F449" i="4" s="1"/>
  <c r="E441" i="4"/>
  <c r="F441" i="4" s="1"/>
  <c r="E433" i="4"/>
  <c r="F433" i="4" s="1"/>
  <c r="E425" i="4"/>
  <c r="F425" i="4" s="1"/>
  <c r="E417" i="4"/>
  <c r="F417" i="4" s="1"/>
  <c r="E409" i="4"/>
  <c r="F409" i="4" s="1"/>
  <c r="E401" i="4"/>
  <c r="F401" i="4" s="1"/>
  <c r="E393" i="4"/>
  <c r="F393" i="4" s="1"/>
  <c r="E385" i="4"/>
  <c r="F385" i="4" s="1"/>
  <c r="E377" i="4"/>
  <c r="F377" i="4" s="1"/>
  <c r="E369" i="4"/>
  <c r="F369" i="4" s="1"/>
  <c r="E361" i="4"/>
  <c r="F361" i="4" s="1"/>
  <c r="E353" i="4"/>
  <c r="F353" i="4" s="1"/>
  <c r="E345" i="4"/>
  <c r="F345" i="4" s="1"/>
  <c r="E337" i="4"/>
  <c r="F337" i="4" s="1"/>
  <c r="E329" i="4"/>
  <c r="F329" i="4" s="1"/>
  <c r="E321" i="4"/>
  <c r="F321" i="4" s="1"/>
  <c r="E313" i="4"/>
  <c r="F313" i="4" s="1"/>
  <c r="E305" i="4"/>
  <c r="F305" i="4" s="1"/>
  <c r="E297" i="4"/>
  <c r="F297" i="4" s="1"/>
  <c r="E289" i="4"/>
  <c r="F289" i="4" s="1"/>
  <c r="E281" i="4"/>
  <c r="F281" i="4" s="1"/>
  <c r="E273" i="4"/>
  <c r="F273" i="4" s="1"/>
  <c r="E265" i="4"/>
  <c r="F265" i="4" s="1"/>
  <c r="E257" i="4"/>
  <c r="F257" i="4" s="1"/>
  <c r="E249" i="4"/>
  <c r="F249" i="4" s="1"/>
  <c r="E241" i="4"/>
  <c r="F241" i="4" s="1"/>
  <c r="E233" i="4"/>
  <c r="F233" i="4" s="1"/>
  <c r="E225" i="4"/>
  <c r="F225" i="4" s="1"/>
  <c r="E217" i="4"/>
  <c r="F217" i="4" s="1"/>
  <c r="E209" i="4"/>
  <c r="F209" i="4" s="1"/>
  <c r="E201" i="4"/>
  <c r="F201" i="4" s="1"/>
  <c r="E193" i="4"/>
  <c r="F193" i="4" s="1"/>
  <c r="E185" i="4"/>
  <c r="F185" i="4" s="1"/>
  <c r="E177" i="4"/>
  <c r="F177" i="4" s="1"/>
  <c r="E169" i="4"/>
  <c r="F169" i="4" s="1"/>
  <c r="E161" i="4"/>
  <c r="F161" i="4" s="1"/>
  <c r="E153" i="4"/>
  <c r="F153" i="4" s="1"/>
  <c r="E145" i="4"/>
  <c r="F145" i="4" s="1"/>
  <c r="E137" i="4"/>
  <c r="F137" i="4" s="1"/>
  <c r="E129" i="4"/>
  <c r="F129" i="4" s="1"/>
  <c r="E121" i="4"/>
  <c r="F121" i="4" s="1"/>
  <c r="E113" i="4"/>
  <c r="F113" i="4" s="1"/>
  <c r="E105" i="4"/>
  <c r="F105" i="4" s="1"/>
  <c r="E97" i="4"/>
  <c r="F97" i="4" s="1"/>
  <c r="E89" i="4"/>
  <c r="F89" i="4" s="1"/>
  <c r="E81" i="4"/>
  <c r="F81" i="4" s="1"/>
  <c r="E73" i="4"/>
  <c r="F73" i="4" s="1"/>
  <c r="E65" i="4"/>
  <c r="F65" i="4" s="1"/>
  <c r="E57" i="4"/>
  <c r="F57" i="4" s="1"/>
  <c r="E49" i="4"/>
  <c r="F49" i="4" s="1"/>
  <c r="E41" i="4"/>
  <c r="F41" i="4" s="1"/>
  <c r="E33" i="4"/>
  <c r="F33" i="4" s="1"/>
  <c r="E25" i="4"/>
  <c r="F25" i="4" s="1"/>
  <c r="E17" i="4"/>
  <c r="F17" i="4" s="1"/>
  <c r="E9" i="4"/>
  <c r="F9" i="4" s="1"/>
  <c r="E566" i="4"/>
  <c r="F566" i="4" s="1"/>
  <c r="E526" i="4"/>
  <c r="F526" i="4" s="1"/>
  <c r="E502" i="4"/>
  <c r="F502" i="4" s="1"/>
  <c r="E486" i="4"/>
  <c r="F486" i="4" s="1"/>
  <c r="E470" i="4"/>
  <c r="F470" i="4" s="1"/>
  <c r="E454" i="4"/>
  <c r="F454" i="4" s="1"/>
  <c r="E438" i="4"/>
  <c r="F438" i="4" s="1"/>
  <c r="E414" i="4"/>
  <c r="F414" i="4" s="1"/>
  <c r="E374" i="4"/>
  <c r="F374" i="4" s="1"/>
  <c r="E358" i="4"/>
  <c r="F358" i="4" s="1"/>
  <c r="E584" i="4"/>
  <c r="F584" i="4" s="1"/>
  <c r="E576" i="4"/>
  <c r="F576" i="4" s="1"/>
  <c r="E568" i="4"/>
  <c r="F568" i="4" s="1"/>
  <c r="E560" i="4"/>
  <c r="F560" i="4" s="1"/>
  <c r="E552" i="4"/>
  <c r="F552" i="4" s="1"/>
  <c r="E544" i="4"/>
  <c r="F544" i="4" s="1"/>
  <c r="E536" i="4"/>
  <c r="F536" i="4" s="1"/>
  <c r="E528" i="4"/>
  <c r="F528" i="4" s="1"/>
  <c r="E520" i="4"/>
  <c r="F520" i="4" s="1"/>
  <c r="E512" i="4"/>
  <c r="F512" i="4" s="1"/>
  <c r="E504" i="4"/>
  <c r="F504" i="4" s="1"/>
  <c r="E496" i="4"/>
  <c r="F496" i="4" s="1"/>
  <c r="E488" i="4"/>
  <c r="F488" i="4" s="1"/>
  <c r="E480" i="4"/>
  <c r="F480" i="4" s="1"/>
  <c r="E472" i="4"/>
  <c r="F472" i="4" s="1"/>
  <c r="E464" i="4"/>
  <c r="F464" i="4" s="1"/>
  <c r="E456" i="4"/>
  <c r="F456" i="4" s="1"/>
  <c r="E448" i="4"/>
  <c r="F448" i="4" s="1"/>
  <c r="E440" i="4"/>
  <c r="F440" i="4" s="1"/>
  <c r="E432" i="4"/>
  <c r="F432" i="4" s="1"/>
  <c r="E424" i="4"/>
  <c r="F424" i="4" s="1"/>
  <c r="E416" i="4"/>
  <c r="F416" i="4" s="1"/>
  <c r="E408" i="4"/>
  <c r="F408" i="4" s="1"/>
  <c r="E400" i="4"/>
  <c r="F400" i="4" s="1"/>
  <c r="E392" i="4"/>
  <c r="F392" i="4" s="1"/>
  <c r="E384" i="4"/>
  <c r="F384" i="4" s="1"/>
  <c r="E376" i="4"/>
  <c r="F376" i="4" s="1"/>
  <c r="E368" i="4"/>
  <c r="F368" i="4" s="1"/>
  <c r="E360" i="4"/>
  <c r="F360" i="4" s="1"/>
  <c r="E352" i="4"/>
  <c r="F352" i="4" s="1"/>
  <c r="E344" i="4"/>
  <c r="F344" i="4" s="1"/>
  <c r="E336" i="4"/>
  <c r="F336" i="4" s="1"/>
  <c r="E328" i="4"/>
  <c r="F328" i="4" s="1"/>
  <c r="E320" i="4"/>
  <c r="F320" i="4" s="1"/>
  <c r="E312" i="4"/>
  <c r="F312" i="4" s="1"/>
  <c r="E304" i="4"/>
  <c r="F304" i="4" s="1"/>
  <c r="E296" i="4"/>
  <c r="F296" i="4" s="1"/>
  <c r="E288" i="4"/>
  <c r="F288" i="4" s="1"/>
  <c r="E280" i="4"/>
  <c r="F280" i="4" s="1"/>
  <c r="E272" i="4"/>
  <c r="F272" i="4" s="1"/>
  <c r="E264" i="4"/>
  <c r="F264" i="4" s="1"/>
  <c r="E256" i="4"/>
  <c r="F256" i="4" s="1"/>
  <c r="E248" i="4"/>
  <c r="F248" i="4" s="1"/>
  <c r="E240" i="4"/>
  <c r="F240" i="4" s="1"/>
  <c r="E232" i="4"/>
  <c r="F232" i="4" s="1"/>
  <c r="E224" i="4"/>
  <c r="F224" i="4" s="1"/>
  <c r="E216" i="4"/>
  <c r="F216" i="4" s="1"/>
  <c r="E208" i="4"/>
  <c r="F208" i="4" s="1"/>
  <c r="E200" i="4"/>
  <c r="F200" i="4" s="1"/>
  <c r="E192" i="4"/>
  <c r="F192" i="4" s="1"/>
  <c r="E184" i="4"/>
  <c r="F184" i="4" s="1"/>
  <c r="E176" i="4"/>
  <c r="F176" i="4" s="1"/>
  <c r="E168" i="4"/>
  <c r="F168" i="4" s="1"/>
  <c r="E160" i="4"/>
  <c r="F160" i="4" s="1"/>
  <c r="E152" i="4"/>
  <c r="F152" i="4" s="1"/>
  <c r="E144" i="4"/>
  <c r="F144" i="4" s="1"/>
  <c r="E136" i="4"/>
  <c r="F136" i="4" s="1"/>
  <c r="E128" i="4"/>
  <c r="F128" i="4" s="1"/>
  <c r="E120" i="4"/>
  <c r="F120" i="4" s="1"/>
  <c r="E112" i="4"/>
  <c r="F112" i="4" s="1"/>
  <c r="E104" i="4"/>
  <c r="F104" i="4" s="1"/>
  <c r="E96" i="4"/>
  <c r="F96" i="4" s="1"/>
  <c r="E88" i="4"/>
  <c r="F88" i="4" s="1"/>
  <c r="E80" i="4"/>
  <c r="F80" i="4" s="1"/>
  <c r="E72" i="4"/>
  <c r="F72" i="4" s="1"/>
  <c r="E64" i="4"/>
  <c r="F64" i="4" s="1"/>
  <c r="E56" i="4"/>
  <c r="F56" i="4" s="1"/>
  <c r="E48" i="4"/>
  <c r="F48" i="4" s="1"/>
  <c r="E40" i="4"/>
  <c r="F40" i="4" s="1"/>
  <c r="E32" i="4"/>
  <c r="F32" i="4" s="1"/>
  <c r="E24" i="4"/>
  <c r="F24" i="4" s="1"/>
  <c r="E16" i="4"/>
  <c r="F16" i="4" s="1"/>
  <c r="E8" i="4"/>
  <c r="F8" i="4" s="1"/>
  <c r="E574" i="4"/>
  <c r="F574" i="4" s="1"/>
  <c r="E382" i="4"/>
  <c r="F382" i="4" s="1"/>
  <c r="E583" i="4"/>
  <c r="F583" i="4" s="1"/>
  <c r="E575" i="4"/>
  <c r="F575" i="4" s="1"/>
  <c r="E567" i="4"/>
  <c r="F567" i="4" s="1"/>
  <c r="E559" i="4"/>
  <c r="F559" i="4" s="1"/>
  <c r="E551" i="4"/>
  <c r="F551" i="4" s="1"/>
  <c r="E543" i="4"/>
  <c r="F543" i="4" s="1"/>
  <c r="E535" i="4"/>
  <c r="F535" i="4" s="1"/>
  <c r="E527" i="4"/>
  <c r="F527" i="4" s="1"/>
  <c r="E519" i="4"/>
  <c r="F519" i="4" s="1"/>
  <c r="E511" i="4"/>
  <c r="F511" i="4" s="1"/>
  <c r="E503" i="4"/>
  <c r="F503" i="4" s="1"/>
  <c r="E495" i="4"/>
  <c r="F495" i="4" s="1"/>
  <c r="E487" i="4"/>
  <c r="F487" i="4" s="1"/>
  <c r="E479" i="4"/>
  <c r="F479" i="4" s="1"/>
  <c r="E471" i="4"/>
  <c r="F471" i="4" s="1"/>
  <c r="E463" i="4"/>
  <c r="F463" i="4" s="1"/>
  <c r="E455" i="4"/>
  <c r="F455" i="4" s="1"/>
  <c r="E447" i="4"/>
  <c r="F447" i="4" s="1"/>
  <c r="E439" i="4"/>
  <c r="F439" i="4" s="1"/>
  <c r="E431" i="4"/>
  <c r="F431" i="4" s="1"/>
  <c r="E423" i="4"/>
  <c r="F423" i="4" s="1"/>
  <c r="E415" i="4"/>
  <c r="F415" i="4" s="1"/>
  <c r="E407" i="4"/>
  <c r="F407" i="4" s="1"/>
  <c r="E399" i="4"/>
  <c r="F399" i="4" s="1"/>
  <c r="E391" i="4"/>
  <c r="F391" i="4" s="1"/>
  <c r="E383" i="4"/>
  <c r="F383" i="4" s="1"/>
  <c r="E375" i="4"/>
  <c r="F375" i="4" s="1"/>
  <c r="E367" i="4"/>
  <c r="F367" i="4" s="1"/>
  <c r="E359" i="4"/>
  <c r="F359" i="4" s="1"/>
  <c r="E351" i="4"/>
  <c r="F351" i="4" s="1"/>
  <c r="E343" i="4"/>
  <c r="F343" i="4" s="1"/>
  <c r="E335" i="4"/>
  <c r="F335" i="4" s="1"/>
  <c r="E327" i="4"/>
  <c r="F327" i="4" s="1"/>
  <c r="E319" i="4"/>
  <c r="F319" i="4" s="1"/>
  <c r="E311" i="4"/>
  <c r="F311" i="4" s="1"/>
  <c r="E303" i="4"/>
  <c r="F303" i="4" s="1"/>
  <c r="E295" i="4"/>
  <c r="F295" i="4" s="1"/>
  <c r="E287" i="4"/>
  <c r="F287" i="4" s="1"/>
  <c r="E279" i="4"/>
  <c r="F279" i="4" s="1"/>
  <c r="E271" i="4"/>
  <c r="F271" i="4" s="1"/>
  <c r="E263" i="4"/>
  <c r="F263" i="4" s="1"/>
  <c r="E255" i="4"/>
  <c r="F255" i="4" s="1"/>
  <c r="E247" i="4"/>
  <c r="F247" i="4" s="1"/>
  <c r="E239" i="4"/>
  <c r="F239" i="4" s="1"/>
  <c r="E231" i="4"/>
  <c r="F231" i="4" s="1"/>
  <c r="E223" i="4"/>
  <c r="F223" i="4" s="1"/>
  <c r="E215" i="4"/>
  <c r="F215" i="4" s="1"/>
  <c r="E207" i="4"/>
  <c r="F207" i="4" s="1"/>
  <c r="E199" i="4"/>
  <c r="F199" i="4" s="1"/>
  <c r="E191" i="4"/>
  <c r="F191" i="4" s="1"/>
  <c r="E183" i="4"/>
  <c r="F183" i="4" s="1"/>
  <c r="E175" i="4"/>
  <c r="F175" i="4" s="1"/>
  <c r="E167" i="4"/>
  <c r="F167" i="4" s="1"/>
  <c r="E159" i="4"/>
  <c r="F159" i="4" s="1"/>
  <c r="E151" i="4"/>
  <c r="F151" i="4" s="1"/>
  <c r="E143" i="4"/>
  <c r="F143" i="4" s="1"/>
  <c r="E135" i="4"/>
  <c r="F135" i="4" s="1"/>
  <c r="E127" i="4"/>
  <c r="F127" i="4" s="1"/>
  <c r="E119" i="4"/>
  <c r="F119" i="4" s="1"/>
  <c r="E111" i="4"/>
  <c r="F111" i="4" s="1"/>
  <c r="E103" i="4"/>
  <c r="F103" i="4" s="1"/>
  <c r="E95" i="4"/>
  <c r="F95" i="4" s="1"/>
  <c r="E87" i="4"/>
  <c r="F87" i="4" s="1"/>
  <c r="E79" i="4"/>
  <c r="F79" i="4" s="1"/>
  <c r="E71" i="4"/>
  <c r="F71" i="4" s="1"/>
  <c r="E63" i="4"/>
  <c r="F63" i="4" s="1"/>
  <c r="E55" i="4"/>
  <c r="F55" i="4" s="1"/>
  <c r="E47" i="4"/>
  <c r="F47" i="4" s="1"/>
  <c r="E39" i="4"/>
  <c r="F39" i="4" s="1"/>
  <c r="E31" i="4"/>
  <c r="F31" i="4" s="1"/>
  <c r="E23" i="4"/>
  <c r="F23" i="4" s="1"/>
  <c r="E15" i="4"/>
  <c r="F15" i="4" s="1"/>
  <c r="E7" i="4"/>
  <c r="F7" i="4" s="1"/>
  <c r="E582" i="4"/>
  <c r="F582" i="4" s="1"/>
  <c r="E406" i="4"/>
  <c r="F406" i="4" s="1"/>
  <c r="E30" i="4"/>
  <c r="F30" i="4" s="1"/>
  <c r="E94" i="4"/>
  <c r="F94" i="4" s="1"/>
  <c r="E158" i="4"/>
  <c r="F158" i="4" s="1"/>
  <c r="E222" i="4"/>
  <c r="F222" i="4" s="1"/>
  <c r="E286" i="4"/>
  <c r="F286" i="4" s="1"/>
  <c r="E350" i="4"/>
  <c r="F350" i="4" s="1"/>
  <c r="E38" i="4"/>
  <c r="F38" i="4" s="1"/>
  <c r="E102" i="4"/>
  <c r="F102" i="4" s="1"/>
  <c r="E166" i="4"/>
  <c r="F166" i="4" s="1"/>
  <c r="E230" i="4"/>
  <c r="F230" i="4" s="1"/>
  <c r="E294" i="4"/>
  <c r="F294" i="4" s="1"/>
  <c r="E534" i="4"/>
  <c r="F534" i="4" s="1"/>
  <c r="E600" i="3"/>
  <c r="F600" i="3" s="1"/>
  <c r="E592" i="3"/>
  <c r="F592" i="3" s="1"/>
  <c r="E584" i="3"/>
  <c r="F584" i="3" s="1"/>
  <c r="E576" i="3"/>
  <c r="F576" i="3" s="1"/>
  <c r="E568" i="3"/>
  <c r="F568" i="3" s="1"/>
  <c r="E560" i="3"/>
  <c r="F560" i="3" s="1"/>
  <c r="E552" i="3"/>
  <c r="F552" i="3" s="1"/>
  <c r="E544" i="3"/>
  <c r="F544" i="3" s="1"/>
  <c r="E536" i="3"/>
  <c r="F536" i="3" s="1"/>
  <c r="E528" i="3"/>
  <c r="F528" i="3" s="1"/>
  <c r="E520" i="3"/>
  <c r="F520" i="3" s="1"/>
  <c r="E512" i="3"/>
  <c r="F512" i="3" s="1"/>
  <c r="E504" i="3"/>
  <c r="F504" i="3" s="1"/>
  <c r="E496" i="3"/>
  <c r="F496" i="3" s="1"/>
  <c r="E488" i="3"/>
  <c r="F488" i="3" s="1"/>
  <c r="E480" i="3"/>
  <c r="F480" i="3" s="1"/>
  <c r="E472" i="3"/>
  <c r="F472" i="3" s="1"/>
  <c r="E464" i="3"/>
  <c r="F464" i="3" s="1"/>
  <c r="E456" i="3"/>
  <c r="F456" i="3" s="1"/>
  <c r="E448" i="3"/>
  <c r="F448" i="3" s="1"/>
  <c r="E440" i="3"/>
  <c r="F440" i="3" s="1"/>
  <c r="E432" i="3"/>
  <c r="F432" i="3" s="1"/>
  <c r="E424" i="3"/>
  <c r="F424" i="3" s="1"/>
  <c r="E416" i="3"/>
  <c r="F416" i="3" s="1"/>
  <c r="E408" i="3"/>
  <c r="F408" i="3" s="1"/>
  <c r="E400" i="3"/>
  <c r="F400" i="3" s="1"/>
  <c r="E392" i="3"/>
  <c r="F392" i="3" s="1"/>
  <c r="E384" i="3"/>
  <c r="F384" i="3" s="1"/>
  <c r="E376" i="3"/>
  <c r="F376" i="3" s="1"/>
  <c r="E368" i="3"/>
  <c r="F368" i="3" s="1"/>
  <c r="E360" i="3"/>
  <c r="F360" i="3" s="1"/>
  <c r="E352" i="3"/>
  <c r="F352" i="3" s="1"/>
  <c r="E344" i="3"/>
  <c r="F344" i="3" s="1"/>
  <c r="E336" i="3"/>
  <c r="F336" i="3" s="1"/>
  <c r="E328" i="3"/>
  <c r="F328" i="3" s="1"/>
  <c r="E320" i="3"/>
  <c r="F320" i="3" s="1"/>
  <c r="E312" i="3"/>
  <c r="F312" i="3" s="1"/>
  <c r="E304" i="3"/>
  <c r="F304" i="3" s="1"/>
  <c r="E296" i="3"/>
  <c r="F296" i="3" s="1"/>
  <c r="E288" i="3"/>
  <c r="F288" i="3" s="1"/>
  <c r="E280" i="3"/>
  <c r="F280" i="3" s="1"/>
  <c r="E272" i="3"/>
  <c r="F272" i="3" s="1"/>
  <c r="E264" i="3"/>
  <c r="F264" i="3" s="1"/>
  <c r="E256" i="3"/>
  <c r="F256" i="3" s="1"/>
  <c r="E248" i="3"/>
  <c r="F248" i="3" s="1"/>
  <c r="E240" i="3"/>
  <c r="F240" i="3" s="1"/>
  <c r="E232" i="3"/>
  <c r="F232" i="3" s="1"/>
  <c r="E224" i="3"/>
  <c r="F224" i="3" s="1"/>
  <c r="E216" i="3"/>
  <c r="F216" i="3" s="1"/>
  <c r="E208" i="3"/>
  <c r="F208" i="3" s="1"/>
  <c r="E200" i="3"/>
  <c r="F200" i="3" s="1"/>
  <c r="E192" i="3"/>
  <c r="F192" i="3" s="1"/>
  <c r="E184" i="3"/>
  <c r="F184" i="3" s="1"/>
  <c r="E176" i="3"/>
  <c r="F176" i="3" s="1"/>
  <c r="E168" i="3"/>
  <c r="F168" i="3" s="1"/>
  <c r="E160" i="3"/>
  <c r="F160" i="3" s="1"/>
  <c r="E152" i="3"/>
  <c r="F152" i="3" s="1"/>
  <c r="E144" i="3"/>
  <c r="F144" i="3" s="1"/>
  <c r="E136" i="3"/>
  <c r="F136" i="3" s="1"/>
  <c r="E128" i="3"/>
  <c r="F128" i="3" s="1"/>
  <c r="E120" i="3"/>
  <c r="F120" i="3" s="1"/>
  <c r="E112" i="3"/>
  <c r="F112" i="3" s="1"/>
  <c r="E104" i="3"/>
  <c r="F104" i="3" s="1"/>
  <c r="E96" i="3"/>
  <c r="F96" i="3" s="1"/>
  <c r="E88" i="3"/>
  <c r="F88" i="3" s="1"/>
  <c r="E80" i="3"/>
  <c r="F80" i="3" s="1"/>
  <c r="E72" i="3"/>
  <c r="F72" i="3" s="1"/>
  <c r="E64" i="3"/>
  <c r="F64" i="3" s="1"/>
  <c r="E56" i="3"/>
  <c r="F56" i="3" s="1"/>
  <c r="E48" i="3"/>
  <c r="F48" i="3" s="1"/>
  <c r="E40" i="3"/>
  <c r="F40" i="3" s="1"/>
  <c r="E32" i="3"/>
  <c r="F32" i="3" s="1"/>
  <c r="E24" i="3"/>
  <c r="F24" i="3" s="1"/>
  <c r="E16" i="3"/>
  <c r="F16" i="3" s="1"/>
  <c r="E8" i="3"/>
  <c r="F8" i="3" s="1"/>
  <c r="E585" i="3"/>
  <c r="F585" i="3" s="1"/>
  <c r="E521" i="3"/>
  <c r="F521" i="3" s="1"/>
  <c r="E473" i="3"/>
  <c r="F473" i="3" s="1"/>
  <c r="E409" i="3"/>
  <c r="F409" i="3" s="1"/>
  <c r="E361" i="3"/>
  <c r="F361" i="3" s="1"/>
  <c r="E305" i="3"/>
  <c r="F305" i="3" s="1"/>
  <c r="E257" i="3"/>
  <c r="F257" i="3" s="1"/>
  <c r="E209" i="3"/>
  <c r="F209" i="3" s="1"/>
  <c r="E599" i="3"/>
  <c r="F599" i="3" s="1"/>
  <c r="E591" i="3"/>
  <c r="F591" i="3" s="1"/>
  <c r="E583" i="3"/>
  <c r="F583" i="3" s="1"/>
  <c r="E575" i="3"/>
  <c r="F575" i="3" s="1"/>
  <c r="E567" i="3"/>
  <c r="F567" i="3" s="1"/>
  <c r="E559" i="3"/>
  <c r="F559" i="3" s="1"/>
  <c r="E551" i="3"/>
  <c r="F551" i="3" s="1"/>
  <c r="E543" i="3"/>
  <c r="F543" i="3" s="1"/>
  <c r="E535" i="3"/>
  <c r="F535" i="3" s="1"/>
  <c r="E527" i="3"/>
  <c r="F527" i="3" s="1"/>
  <c r="E519" i="3"/>
  <c r="F519" i="3" s="1"/>
  <c r="E511" i="3"/>
  <c r="F511" i="3" s="1"/>
  <c r="E503" i="3"/>
  <c r="F503" i="3" s="1"/>
  <c r="E495" i="3"/>
  <c r="F495" i="3" s="1"/>
  <c r="E487" i="3"/>
  <c r="F487" i="3" s="1"/>
  <c r="E479" i="3"/>
  <c r="F479" i="3" s="1"/>
  <c r="E471" i="3"/>
  <c r="F471" i="3" s="1"/>
  <c r="E463" i="3"/>
  <c r="F463" i="3" s="1"/>
  <c r="E455" i="3"/>
  <c r="F455" i="3" s="1"/>
  <c r="E447" i="3"/>
  <c r="F447" i="3" s="1"/>
  <c r="E439" i="3"/>
  <c r="F439" i="3" s="1"/>
  <c r="E431" i="3"/>
  <c r="F431" i="3" s="1"/>
  <c r="E423" i="3"/>
  <c r="F423" i="3" s="1"/>
  <c r="E415" i="3"/>
  <c r="F415" i="3" s="1"/>
  <c r="E407" i="3"/>
  <c r="F407" i="3" s="1"/>
  <c r="E399" i="3"/>
  <c r="F399" i="3" s="1"/>
  <c r="E391" i="3"/>
  <c r="F391" i="3" s="1"/>
  <c r="E383" i="3"/>
  <c r="F383" i="3" s="1"/>
  <c r="E375" i="3"/>
  <c r="F375" i="3" s="1"/>
  <c r="E367" i="3"/>
  <c r="F367" i="3" s="1"/>
  <c r="E359" i="3"/>
  <c r="F359" i="3" s="1"/>
  <c r="E351" i="3"/>
  <c r="F351" i="3" s="1"/>
  <c r="E343" i="3"/>
  <c r="F343" i="3" s="1"/>
  <c r="E335" i="3"/>
  <c r="F335" i="3" s="1"/>
  <c r="E327" i="3"/>
  <c r="F327" i="3" s="1"/>
  <c r="E319" i="3"/>
  <c r="F319" i="3" s="1"/>
  <c r="E311" i="3"/>
  <c r="F311" i="3" s="1"/>
  <c r="E303" i="3"/>
  <c r="F303" i="3" s="1"/>
  <c r="E295" i="3"/>
  <c r="F295" i="3" s="1"/>
  <c r="E287" i="3"/>
  <c r="F287" i="3" s="1"/>
  <c r="E279" i="3"/>
  <c r="F279" i="3" s="1"/>
  <c r="E271" i="3"/>
  <c r="F271" i="3" s="1"/>
  <c r="E263" i="3"/>
  <c r="F263" i="3" s="1"/>
  <c r="E255" i="3"/>
  <c r="F255" i="3" s="1"/>
  <c r="E247" i="3"/>
  <c r="F247" i="3" s="1"/>
  <c r="E239" i="3"/>
  <c r="F239" i="3" s="1"/>
  <c r="E231" i="3"/>
  <c r="F231" i="3" s="1"/>
  <c r="E223" i="3"/>
  <c r="F223" i="3" s="1"/>
  <c r="E215" i="3"/>
  <c r="F215" i="3" s="1"/>
  <c r="E207" i="3"/>
  <c r="F207" i="3" s="1"/>
  <c r="E199" i="3"/>
  <c r="F199" i="3" s="1"/>
  <c r="E191" i="3"/>
  <c r="F191" i="3" s="1"/>
  <c r="E183" i="3"/>
  <c r="F183" i="3" s="1"/>
  <c r="E175" i="3"/>
  <c r="F175" i="3" s="1"/>
  <c r="E167" i="3"/>
  <c r="F167" i="3" s="1"/>
  <c r="E159" i="3"/>
  <c r="F159" i="3" s="1"/>
  <c r="E151" i="3"/>
  <c r="F151" i="3" s="1"/>
  <c r="E143" i="3"/>
  <c r="F143" i="3" s="1"/>
  <c r="E135" i="3"/>
  <c r="F135" i="3" s="1"/>
  <c r="E127" i="3"/>
  <c r="F127" i="3" s="1"/>
  <c r="E119" i="3"/>
  <c r="F119" i="3" s="1"/>
  <c r="E111" i="3"/>
  <c r="F111" i="3" s="1"/>
  <c r="E103" i="3"/>
  <c r="F103" i="3" s="1"/>
  <c r="E95" i="3"/>
  <c r="F95" i="3" s="1"/>
  <c r="E87" i="3"/>
  <c r="F87" i="3" s="1"/>
  <c r="E79" i="3"/>
  <c r="F79" i="3" s="1"/>
  <c r="E71" i="3"/>
  <c r="F71" i="3" s="1"/>
  <c r="E63" i="3"/>
  <c r="F63" i="3" s="1"/>
  <c r="E55" i="3"/>
  <c r="F55" i="3" s="1"/>
  <c r="E47" i="3"/>
  <c r="F47" i="3" s="1"/>
  <c r="E39" i="3"/>
  <c r="F39" i="3" s="1"/>
  <c r="E31" i="3"/>
  <c r="F31" i="3" s="1"/>
  <c r="E23" i="3"/>
  <c r="F23" i="3" s="1"/>
  <c r="E15" i="3"/>
  <c r="F15" i="3" s="1"/>
  <c r="E7" i="3"/>
  <c r="F7" i="3" s="1"/>
  <c r="E553" i="3"/>
  <c r="F553" i="3" s="1"/>
  <c r="E513" i="3"/>
  <c r="F513" i="3" s="1"/>
  <c r="E457" i="3"/>
  <c r="F457" i="3" s="1"/>
  <c r="E417" i="3"/>
  <c r="F417" i="3" s="1"/>
  <c r="E377" i="3"/>
  <c r="F377" i="3" s="1"/>
  <c r="E337" i="3"/>
  <c r="F337" i="3" s="1"/>
  <c r="E289" i="3"/>
  <c r="F289" i="3" s="1"/>
  <c r="E241" i="3"/>
  <c r="F241" i="3" s="1"/>
  <c r="E193" i="3"/>
  <c r="F193" i="3" s="1"/>
  <c r="E598" i="3"/>
  <c r="F598" i="3" s="1"/>
  <c r="E590" i="3"/>
  <c r="F590" i="3" s="1"/>
  <c r="E582" i="3"/>
  <c r="F582" i="3" s="1"/>
  <c r="E574" i="3"/>
  <c r="F574" i="3" s="1"/>
  <c r="E566" i="3"/>
  <c r="F566" i="3" s="1"/>
  <c r="E558" i="3"/>
  <c r="F558" i="3" s="1"/>
  <c r="E550" i="3"/>
  <c r="F550" i="3" s="1"/>
  <c r="E542" i="3"/>
  <c r="F542" i="3" s="1"/>
  <c r="E534" i="3"/>
  <c r="F534" i="3" s="1"/>
  <c r="E526" i="3"/>
  <c r="F526" i="3" s="1"/>
  <c r="E518" i="3"/>
  <c r="F518" i="3" s="1"/>
  <c r="E510" i="3"/>
  <c r="F510" i="3" s="1"/>
  <c r="E502" i="3"/>
  <c r="F502" i="3" s="1"/>
  <c r="E494" i="3"/>
  <c r="F494" i="3" s="1"/>
  <c r="E486" i="3"/>
  <c r="F486" i="3" s="1"/>
  <c r="E478" i="3"/>
  <c r="F478" i="3" s="1"/>
  <c r="E470" i="3"/>
  <c r="F470" i="3" s="1"/>
  <c r="E462" i="3"/>
  <c r="F462" i="3" s="1"/>
  <c r="E454" i="3"/>
  <c r="F454" i="3" s="1"/>
  <c r="E446" i="3"/>
  <c r="F446" i="3" s="1"/>
  <c r="E438" i="3"/>
  <c r="F438" i="3" s="1"/>
  <c r="E430" i="3"/>
  <c r="F430" i="3" s="1"/>
  <c r="E422" i="3"/>
  <c r="F422" i="3" s="1"/>
  <c r="E414" i="3"/>
  <c r="F414" i="3" s="1"/>
  <c r="E406" i="3"/>
  <c r="F406" i="3" s="1"/>
  <c r="E398" i="3"/>
  <c r="F398" i="3" s="1"/>
  <c r="E390" i="3"/>
  <c r="F390" i="3" s="1"/>
  <c r="E382" i="3"/>
  <c r="F382" i="3" s="1"/>
  <c r="E374" i="3"/>
  <c r="F374" i="3" s="1"/>
  <c r="E366" i="3"/>
  <c r="F366" i="3" s="1"/>
  <c r="E358" i="3"/>
  <c r="F358" i="3" s="1"/>
  <c r="E350" i="3"/>
  <c r="F350" i="3" s="1"/>
  <c r="E342" i="3"/>
  <c r="F342" i="3" s="1"/>
  <c r="E334" i="3"/>
  <c r="F334" i="3" s="1"/>
  <c r="E326" i="3"/>
  <c r="F326" i="3" s="1"/>
  <c r="E318" i="3"/>
  <c r="F318" i="3" s="1"/>
  <c r="E310" i="3"/>
  <c r="F310" i="3" s="1"/>
  <c r="E302" i="3"/>
  <c r="F302" i="3" s="1"/>
  <c r="E294" i="3"/>
  <c r="F294" i="3" s="1"/>
  <c r="E286" i="3"/>
  <c r="F286" i="3" s="1"/>
  <c r="E278" i="3"/>
  <c r="F278" i="3" s="1"/>
  <c r="E270" i="3"/>
  <c r="F270" i="3" s="1"/>
  <c r="E262" i="3"/>
  <c r="F262" i="3" s="1"/>
  <c r="E254" i="3"/>
  <c r="F254" i="3" s="1"/>
  <c r="E246" i="3"/>
  <c r="F246" i="3" s="1"/>
  <c r="E238" i="3"/>
  <c r="F238" i="3" s="1"/>
  <c r="E230" i="3"/>
  <c r="F230" i="3" s="1"/>
  <c r="E222" i="3"/>
  <c r="F222" i="3" s="1"/>
  <c r="E214" i="3"/>
  <c r="F214" i="3" s="1"/>
  <c r="E206" i="3"/>
  <c r="F206" i="3" s="1"/>
  <c r="E198" i="3"/>
  <c r="F198" i="3" s="1"/>
  <c r="E190" i="3"/>
  <c r="F190" i="3" s="1"/>
  <c r="E182" i="3"/>
  <c r="F182" i="3" s="1"/>
  <c r="E174" i="3"/>
  <c r="F174" i="3" s="1"/>
  <c r="E166" i="3"/>
  <c r="F166" i="3" s="1"/>
  <c r="E158" i="3"/>
  <c r="F158" i="3" s="1"/>
  <c r="E150" i="3"/>
  <c r="F150" i="3" s="1"/>
  <c r="E142" i="3"/>
  <c r="F142" i="3" s="1"/>
  <c r="E134" i="3"/>
  <c r="F134" i="3" s="1"/>
  <c r="E126" i="3"/>
  <c r="F126" i="3" s="1"/>
  <c r="E118" i="3"/>
  <c r="F118" i="3" s="1"/>
  <c r="E110" i="3"/>
  <c r="F110" i="3" s="1"/>
  <c r="E102" i="3"/>
  <c r="F102" i="3" s="1"/>
  <c r="E94" i="3"/>
  <c r="F94" i="3" s="1"/>
  <c r="E86" i="3"/>
  <c r="F86" i="3" s="1"/>
  <c r="E78" i="3"/>
  <c r="F78" i="3" s="1"/>
  <c r="E70" i="3"/>
  <c r="F70" i="3" s="1"/>
  <c r="E62" i="3"/>
  <c r="F62" i="3" s="1"/>
  <c r="E54" i="3"/>
  <c r="F54" i="3" s="1"/>
  <c r="E46" i="3"/>
  <c r="F46" i="3" s="1"/>
  <c r="E38" i="3"/>
  <c r="F38" i="3" s="1"/>
  <c r="E30" i="3"/>
  <c r="F30" i="3" s="1"/>
  <c r="E22" i="3"/>
  <c r="F22" i="3" s="1"/>
  <c r="E14" i="3"/>
  <c r="F14" i="3" s="1"/>
  <c r="E6" i="3"/>
  <c r="F6" i="3" s="1"/>
  <c r="E593" i="3"/>
  <c r="F593" i="3" s="1"/>
  <c r="E537" i="3"/>
  <c r="F537" i="3" s="1"/>
  <c r="E489" i="3"/>
  <c r="F489" i="3" s="1"/>
  <c r="E441" i="3"/>
  <c r="F441" i="3" s="1"/>
  <c r="E393" i="3"/>
  <c r="F393" i="3" s="1"/>
  <c r="E345" i="3"/>
  <c r="F345" i="3" s="1"/>
  <c r="E297" i="3"/>
  <c r="F297" i="3" s="1"/>
  <c r="E249" i="3"/>
  <c r="F249" i="3" s="1"/>
  <c r="E597" i="3"/>
  <c r="F597" i="3" s="1"/>
  <c r="E589" i="3"/>
  <c r="F589" i="3" s="1"/>
  <c r="E581" i="3"/>
  <c r="F581" i="3" s="1"/>
  <c r="E573" i="3"/>
  <c r="F573" i="3" s="1"/>
  <c r="E565" i="3"/>
  <c r="F565" i="3" s="1"/>
  <c r="E557" i="3"/>
  <c r="F557" i="3" s="1"/>
  <c r="E549" i="3"/>
  <c r="F549" i="3" s="1"/>
  <c r="E541" i="3"/>
  <c r="F541" i="3" s="1"/>
  <c r="E533" i="3"/>
  <c r="F533" i="3" s="1"/>
  <c r="E525" i="3"/>
  <c r="F525" i="3" s="1"/>
  <c r="E517" i="3"/>
  <c r="F517" i="3" s="1"/>
  <c r="E509" i="3"/>
  <c r="F509" i="3" s="1"/>
  <c r="E501" i="3"/>
  <c r="F501" i="3" s="1"/>
  <c r="E493" i="3"/>
  <c r="F493" i="3" s="1"/>
  <c r="E485" i="3"/>
  <c r="F485" i="3" s="1"/>
  <c r="E477" i="3"/>
  <c r="F477" i="3" s="1"/>
  <c r="E469" i="3"/>
  <c r="F469" i="3" s="1"/>
  <c r="E461" i="3"/>
  <c r="F461" i="3" s="1"/>
  <c r="E453" i="3"/>
  <c r="F453" i="3" s="1"/>
  <c r="E445" i="3"/>
  <c r="F445" i="3" s="1"/>
  <c r="E437" i="3"/>
  <c r="F437" i="3" s="1"/>
  <c r="E429" i="3"/>
  <c r="F429" i="3" s="1"/>
  <c r="E421" i="3"/>
  <c r="F421" i="3" s="1"/>
  <c r="E413" i="3"/>
  <c r="F413" i="3" s="1"/>
  <c r="E405" i="3"/>
  <c r="F405" i="3" s="1"/>
  <c r="E397" i="3"/>
  <c r="F397" i="3" s="1"/>
  <c r="E389" i="3"/>
  <c r="F389" i="3" s="1"/>
  <c r="E381" i="3"/>
  <c r="F381" i="3" s="1"/>
  <c r="E373" i="3"/>
  <c r="F373" i="3" s="1"/>
  <c r="E365" i="3"/>
  <c r="F365" i="3" s="1"/>
  <c r="E357" i="3"/>
  <c r="F357" i="3" s="1"/>
  <c r="E349" i="3"/>
  <c r="F349" i="3" s="1"/>
  <c r="E341" i="3"/>
  <c r="F341" i="3" s="1"/>
  <c r="E333" i="3"/>
  <c r="F333" i="3" s="1"/>
  <c r="E325" i="3"/>
  <c r="F325" i="3" s="1"/>
  <c r="E317" i="3"/>
  <c r="F317" i="3" s="1"/>
  <c r="E309" i="3"/>
  <c r="F309" i="3" s="1"/>
  <c r="E301" i="3"/>
  <c r="F301" i="3" s="1"/>
  <c r="E293" i="3"/>
  <c r="F293" i="3" s="1"/>
  <c r="E285" i="3"/>
  <c r="F285" i="3" s="1"/>
  <c r="E277" i="3"/>
  <c r="F277" i="3" s="1"/>
  <c r="E269" i="3"/>
  <c r="F269" i="3" s="1"/>
  <c r="E261" i="3"/>
  <c r="F261" i="3" s="1"/>
  <c r="E253" i="3"/>
  <c r="F253" i="3" s="1"/>
  <c r="E245" i="3"/>
  <c r="F245" i="3" s="1"/>
  <c r="E237" i="3"/>
  <c r="F237" i="3" s="1"/>
  <c r="E229" i="3"/>
  <c r="F229" i="3" s="1"/>
  <c r="E221" i="3"/>
  <c r="F221" i="3" s="1"/>
  <c r="E213" i="3"/>
  <c r="F213" i="3" s="1"/>
  <c r="E205" i="3"/>
  <c r="F205" i="3" s="1"/>
  <c r="E197" i="3"/>
  <c r="F197" i="3" s="1"/>
  <c r="E189" i="3"/>
  <c r="F189" i="3" s="1"/>
  <c r="E181" i="3"/>
  <c r="F181" i="3" s="1"/>
  <c r="E173" i="3"/>
  <c r="F173" i="3" s="1"/>
  <c r="E165" i="3"/>
  <c r="F165" i="3" s="1"/>
  <c r="E157" i="3"/>
  <c r="F157" i="3" s="1"/>
  <c r="E149" i="3"/>
  <c r="F149" i="3" s="1"/>
  <c r="E141" i="3"/>
  <c r="F141" i="3" s="1"/>
  <c r="E133" i="3"/>
  <c r="F133" i="3" s="1"/>
  <c r="E125" i="3"/>
  <c r="F125" i="3" s="1"/>
  <c r="E117" i="3"/>
  <c r="F117" i="3" s="1"/>
  <c r="E109" i="3"/>
  <c r="F109" i="3" s="1"/>
  <c r="E101" i="3"/>
  <c r="F101" i="3" s="1"/>
  <c r="E93" i="3"/>
  <c r="F93" i="3" s="1"/>
  <c r="E85" i="3"/>
  <c r="F85" i="3" s="1"/>
  <c r="E77" i="3"/>
  <c r="F77" i="3" s="1"/>
  <c r="E69" i="3"/>
  <c r="F69" i="3" s="1"/>
  <c r="E61" i="3"/>
  <c r="F61" i="3" s="1"/>
  <c r="E53" i="3"/>
  <c r="F53" i="3" s="1"/>
  <c r="E45" i="3"/>
  <c r="F45" i="3" s="1"/>
  <c r="E37" i="3"/>
  <c r="F37" i="3" s="1"/>
  <c r="E29" i="3"/>
  <c r="F29" i="3" s="1"/>
  <c r="E21" i="3"/>
  <c r="F21" i="3" s="1"/>
  <c r="E13" i="3"/>
  <c r="F13" i="3" s="1"/>
  <c r="E5" i="3"/>
  <c r="F5" i="3" s="1"/>
  <c r="E596" i="3"/>
  <c r="F596" i="3" s="1"/>
  <c r="E588" i="3"/>
  <c r="F588" i="3" s="1"/>
  <c r="E580" i="3"/>
  <c r="F580" i="3" s="1"/>
  <c r="E572" i="3"/>
  <c r="F572" i="3" s="1"/>
  <c r="E564" i="3"/>
  <c r="F564" i="3" s="1"/>
  <c r="E556" i="3"/>
  <c r="F556" i="3" s="1"/>
  <c r="E548" i="3"/>
  <c r="F548" i="3" s="1"/>
  <c r="E540" i="3"/>
  <c r="F540" i="3" s="1"/>
  <c r="E532" i="3"/>
  <c r="F532" i="3" s="1"/>
  <c r="E524" i="3"/>
  <c r="F524" i="3" s="1"/>
  <c r="E516" i="3"/>
  <c r="F516" i="3" s="1"/>
  <c r="E508" i="3"/>
  <c r="F508" i="3" s="1"/>
  <c r="E500" i="3"/>
  <c r="F500" i="3" s="1"/>
  <c r="E492" i="3"/>
  <c r="F492" i="3" s="1"/>
  <c r="E484" i="3"/>
  <c r="F484" i="3" s="1"/>
  <c r="E476" i="3"/>
  <c r="F476" i="3" s="1"/>
  <c r="E468" i="3"/>
  <c r="F468" i="3" s="1"/>
  <c r="E460" i="3"/>
  <c r="F460" i="3" s="1"/>
  <c r="E452" i="3"/>
  <c r="F452" i="3" s="1"/>
  <c r="E444" i="3"/>
  <c r="F444" i="3" s="1"/>
  <c r="E436" i="3"/>
  <c r="F436" i="3" s="1"/>
  <c r="E428" i="3"/>
  <c r="F428" i="3" s="1"/>
  <c r="E420" i="3"/>
  <c r="F420" i="3" s="1"/>
  <c r="E412" i="3"/>
  <c r="F412" i="3" s="1"/>
  <c r="E404" i="3"/>
  <c r="F404" i="3" s="1"/>
  <c r="E396" i="3"/>
  <c r="F396" i="3" s="1"/>
  <c r="E388" i="3"/>
  <c r="F388" i="3" s="1"/>
  <c r="E380" i="3"/>
  <c r="F380" i="3" s="1"/>
  <c r="E372" i="3"/>
  <c r="F372" i="3" s="1"/>
  <c r="E364" i="3"/>
  <c r="F364" i="3" s="1"/>
  <c r="E356" i="3"/>
  <c r="F356" i="3" s="1"/>
  <c r="E348" i="3"/>
  <c r="F348" i="3" s="1"/>
  <c r="E340" i="3"/>
  <c r="F340" i="3" s="1"/>
  <c r="E332" i="3"/>
  <c r="F332" i="3" s="1"/>
  <c r="E324" i="3"/>
  <c r="F324" i="3" s="1"/>
  <c r="E316" i="3"/>
  <c r="F316" i="3" s="1"/>
  <c r="E308" i="3"/>
  <c r="F308" i="3" s="1"/>
  <c r="E300" i="3"/>
  <c r="F300" i="3" s="1"/>
  <c r="E292" i="3"/>
  <c r="F292" i="3" s="1"/>
  <c r="E284" i="3"/>
  <c r="F284" i="3" s="1"/>
  <c r="E276" i="3"/>
  <c r="F276" i="3" s="1"/>
  <c r="E268" i="3"/>
  <c r="F268" i="3" s="1"/>
  <c r="E260" i="3"/>
  <c r="F260" i="3" s="1"/>
  <c r="E252" i="3"/>
  <c r="F252" i="3" s="1"/>
  <c r="E244" i="3"/>
  <c r="F244" i="3" s="1"/>
  <c r="E236" i="3"/>
  <c r="F236" i="3" s="1"/>
  <c r="E228" i="3"/>
  <c r="F228" i="3" s="1"/>
  <c r="E220" i="3"/>
  <c r="F220" i="3" s="1"/>
  <c r="E212" i="3"/>
  <c r="F212" i="3" s="1"/>
  <c r="E204" i="3"/>
  <c r="F204" i="3" s="1"/>
  <c r="E196" i="3"/>
  <c r="F196" i="3" s="1"/>
  <c r="E188" i="3"/>
  <c r="F188" i="3" s="1"/>
  <c r="E180" i="3"/>
  <c r="F180" i="3" s="1"/>
  <c r="E172" i="3"/>
  <c r="F172" i="3" s="1"/>
  <c r="E164" i="3"/>
  <c r="F164" i="3" s="1"/>
  <c r="E156" i="3"/>
  <c r="F156" i="3" s="1"/>
  <c r="E148" i="3"/>
  <c r="F148" i="3" s="1"/>
  <c r="E140" i="3"/>
  <c r="F140" i="3" s="1"/>
  <c r="E132" i="3"/>
  <c r="F132" i="3" s="1"/>
  <c r="E124" i="3"/>
  <c r="F124" i="3" s="1"/>
  <c r="E116" i="3"/>
  <c r="F116" i="3" s="1"/>
  <c r="E108" i="3"/>
  <c r="F108" i="3" s="1"/>
  <c r="E100" i="3"/>
  <c r="F100" i="3" s="1"/>
  <c r="E92" i="3"/>
  <c r="F92" i="3" s="1"/>
  <c r="E84" i="3"/>
  <c r="F84" i="3" s="1"/>
  <c r="E76" i="3"/>
  <c r="F76" i="3" s="1"/>
  <c r="E68" i="3"/>
  <c r="F68" i="3" s="1"/>
  <c r="E60" i="3"/>
  <c r="F60" i="3" s="1"/>
  <c r="E52" i="3"/>
  <c r="F52" i="3" s="1"/>
  <c r="E44" i="3"/>
  <c r="F44" i="3" s="1"/>
  <c r="E36" i="3"/>
  <c r="F36" i="3" s="1"/>
  <c r="E28" i="3"/>
  <c r="F28" i="3" s="1"/>
  <c r="E20" i="3"/>
  <c r="F20" i="3" s="1"/>
  <c r="E12" i="3"/>
  <c r="F12" i="3" s="1"/>
  <c r="E4" i="3"/>
  <c r="F4" i="3" s="1"/>
  <c r="E561" i="3"/>
  <c r="F561" i="3" s="1"/>
  <c r="E529" i="3"/>
  <c r="F529" i="3" s="1"/>
  <c r="E481" i="3"/>
  <c r="F481" i="3" s="1"/>
  <c r="E433" i="3"/>
  <c r="F433" i="3" s="1"/>
  <c r="E385" i="3"/>
  <c r="F385" i="3" s="1"/>
  <c r="E329" i="3"/>
  <c r="F329" i="3" s="1"/>
  <c r="E281" i="3"/>
  <c r="F281" i="3" s="1"/>
  <c r="E233" i="3"/>
  <c r="F233" i="3" s="1"/>
  <c r="E595" i="3"/>
  <c r="F595" i="3" s="1"/>
  <c r="E587" i="3"/>
  <c r="F587" i="3" s="1"/>
  <c r="E579" i="3"/>
  <c r="F579" i="3" s="1"/>
  <c r="E571" i="3"/>
  <c r="F571" i="3" s="1"/>
  <c r="E563" i="3"/>
  <c r="F563" i="3" s="1"/>
  <c r="E555" i="3"/>
  <c r="F555" i="3" s="1"/>
  <c r="E547" i="3"/>
  <c r="F547" i="3" s="1"/>
  <c r="E539" i="3"/>
  <c r="F539" i="3" s="1"/>
  <c r="E531" i="3"/>
  <c r="F531" i="3" s="1"/>
  <c r="E523" i="3"/>
  <c r="F523" i="3" s="1"/>
  <c r="E515" i="3"/>
  <c r="F515" i="3" s="1"/>
  <c r="E507" i="3"/>
  <c r="F507" i="3" s="1"/>
  <c r="E499" i="3"/>
  <c r="F499" i="3" s="1"/>
  <c r="E491" i="3"/>
  <c r="F491" i="3" s="1"/>
  <c r="E483" i="3"/>
  <c r="F483" i="3" s="1"/>
  <c r="E475" i="3"/>
  <c r="F475" i="3" s="1"/>
  <c r="E467" i="3"/>
  <c r="F467" i="3" s="1"/>
  <c r="E459" i="3"/>
  <c r="F459" i="3" s="1"/>
  <c r="E451" i="3"/>
  <c r="F451" i="3" s="1"/>
  <c r="E443" i="3"/>
  <c r="F443" i="3" s="1"/>
  <c r="E435" i="3"/>
  <c r="F435" i="3" s="1"/>
  <c r="E427" i="3"/>
  <c r="F427" i="3" s="1"/>
  <c r="E419" i="3"/>
  <c r="F419" i="3" s="1"/>
  <c r="E411" i="3"/>
  <c r="F411" i="3" s="1"/>
  <c r="E403" i="3"/>
  <c r="F403" i="3" s="1"/>
  <c r="E395" i="3"/>
  <c r="F395" i="3" s="1"/>
  <c r="E387" i="3"/>
  <c r="F387" i="3" s="1"/>
  <c r="E379" i="3"/>
  <c r="F379" i="3" s="1"/>
  <c r="E371" i="3"/>
  <c r="F371" i="3" s="1"/>
  <c r="E363" i="3"/>
  <c r="F363" i="3" s="1"/>
  <c r="E355" i="3"/>
  <c r="F355" i="3" s="1"/>
  <c r="E347" i="3"/>
  <c r="F347" i="3" s="1"/>
  <c r="E339" i="3"/>
  <c r="F339" i="3" s="1"/>
  <c r="E331" i="3"/>
  <c r="F331" i="3" s="1"/>
  <c r="E323" i="3"/>
  <c r="F323" i="3" s="1"/>
  <c r="E315" i="3"/>
  <c r="F315" i="3" s="1"/>
  <c r="E307" i="3"/>
  <c r="F307" i="3" s="1"/>
  <c r="E299" i="3"/>
  <c r="F299" i="3" s="1"/>
  <c r="E291" i="3"/>
  <c r="F291" i="3" s="1"/>
  <c r="E283" i="3"/>
  <c r="F283" i="3" s="1"/>
  <c r="E275" i="3"/>
  <c r="F275" i="3" s="1"/>
  <c r="E267" i="3"/>
  <c r="F267" i="3" s="1"/>
  <c r="E259" i="3"/>
  <c r="F259" i="3" s="1"/>
  <c r="E251" i="3"/>
  <c r="F251" i="3" s="1"/>
  <c r="E243" i="3"/>
  <c r="F243" i="3" s="1"/>
  <c r="E235" i="3"/>
  <c r="F235" i="3" s="1"/>
  <c r="E227" i="3"/>
  <c r="F227" i="3" s="1"/>
  <c r="E219" i="3"/>
  <c r="F219" i="3" s="1"/>
  <c r="E211" i="3"/>
  <c r="F211" i="3" s="1"/>
  <c r="E203" i="3"/>
  <c r="F203" i="3" s="1"/>
  <c r="E195" i="3"/>
  <c r="F195" i="3" s="1"/>
  <c r="E187" i="3"/>
  <c r="F187" i="3" s="1"/>
  <c r="E179" i="3"/>
  <c r="F179" i="3" s="1"/>
  <c r="E171" i="3"/>
  <c r="F171" i="3" s="1"/>
  <c r="E163" i="3"/>
  <c r="F163" i="3" s="1"/>
  <c r="E155" i="3"/>
  <c r="F155" i="3" s="1"/>
  <c r="E147" i="3"/>
  <c r="F147" i="3" s="1"/>
  <c r="E139" i="3"/>
  <c r="F139" i="3" s="1"/>
  <c r="E131" i="3"/>
  <c r="F131" i="3" s="1"/>
  <c r="E123" i="3"/>
  <c r="F123" i="3" s="1"/>
  <c r="E115" i="3"/>
  <c r="F115" i="3" s="1"/>
  <c r="E107" i="3"/>
  <c r="F107" i="3" s="1"/>
  <c r="E99" i="3"/>
  <c r="F99" i="3" s="1"/>
  <c r="E91" i="3"/>
  <c r="F91" i="3" s="1"/>
  <c r="E83" i="3"/>
  <c r="F83" i="3" s="1"/>
  <c r="E75" i="3"/>
  <c r="F75" i="3" s="1"/>
  <c r="E67" i="3"/>
  <c r="F67" i="3" s="1"/>
  <c r="E59" i="3"/>
  <c r="F59" i="3" s="1"/>
  <c r="E51" i="3"/>
  <c r="F51" i="3" s="1"/>
  <c r="E43" i="3"/>
  <c r="F43" i="3" s="1"/>
  <c r="E35" i="3"/>
  <c r="F35" i="3" s="1"/>
  <c r="E27" i="3"/>
  <c r="F27" i="3" s="1"/>
  <c r="E19" i="3"/>
  <c r="F19" i="3" s="1"/>
  <c r="E11" i="3"/>
  <c r="F11" i="3" s="1"/>
  <c r="E3" i="3"/>
  <c r="F3" i="3" s="1"/>
  <c r="E569" i="3"/>
  <c r="F569" i="3" s="1"/>
  <c r="E545" i="3"/>
  <c r="F545" i="3" s="1"/>
  <c r="E497" i="3"/>
  <c r="F497" i="3" s="1"/>
  <c r="E425" i="3"/>
  <c r="F425" i="3" s="1"/>
  <c r="E369" i="3"/>
  <c r="F369" i="3" s="1"/>
  <c r="E321" i="3"/>
  <c r="F321" i="3" s="1"/>
  <c r="E273" i="3"/>
  <c r="F273" i="3" s="1"/>
  <c r="E225" i="3"/>
  <c r="F225" i="3" s="1"/>
  <c r="E594" i="3"/>
  <c r="F594" i="3" s="1"/>
  <c r="E586" i="3"/>
  <c r="F586" i="3" s="1"/>
  <c r="E578" i="3"/>
  <c r="F578" i="3" s="1"/>
  <c r="E570" i="3"/>
  <c r="F570" i="3" s="1"/>
  <c r="E562" i="3"/>
  <c r="F562" i="3" s="1"/>
  <c r="E554" i="3"/>
  <c r="F554" i="3" s="1"/>
  <c r="E546" i="3"/>
  <c r="F546" i="3" s="1"/>
  <c r="E538" i="3"/>
  <c r="F538" i="3" s="1"/>
  <c r="E530" i="3"/>
  <c r="F530" i="3" s="1"/>
  <c r="E522" i="3"/>
  <c r="F522" i="3" s="1"/>
  <c r="E514" i="3"/>
  <c r="F514" i="3" s="1"/>
  <c r="E506" i="3"/>
  <c r="F506" i="3" s="1"/>
  <c r="E498" i="3"/>
  <c r="F498" i="3" s="1"/>
  <c r="E490" i="3"/>
  <c r="F490" i="3" s="1"/>
  <c r="E482" i="3"/>
  <c r="F482" i="3" s="1"/>
  <c r="E474" i="3"/>
  <c r="F474" i="3" s="1"/>
  <c r="E466" i="3"/>
  <c r="F466" i="3" s="1"/>
  <c r="E458" i="3"/>
  <c r="F458" i="3" s="1"/>
  <c r="E450" i="3"/>
  <c r="F450" i="3" s="1"/>
  <c r="E442" i="3"/>
  <c r="F442" i="3" s="1"/>
  <c r="E434" i="3"/>
  <c r="F434" i="3" s="1"/>
  <c r="E426" i="3"/>
  <c r="F426" i="3" s="1"/>
  <c r="E418" i="3"/>
  <c r="F418" i="3" s="1"/>
  <c r="E410" i="3"/>
  <c r="F410" i="3" s="1"/>
  <c r="E402" i="3"/>
  <c r="F402" i="3" s="1"/>
  <c r="E394" i="3"/>
  <c r="F394" i="3" s="1"/>
  <c r="E386" i="3"/>
  <c r="F386" i="3" s="1"/>
  <c r="E378" i="3"/>
  <c r="F378" i="3" s="1"/>
  <c r="E370" i="3"/>
  <c r="F370" i="3" s="1"/>
  <c r="E362" i="3"/>
  <c r="F362" i="3" s="1"/>
  <c r="E354" i="3"/>
  <c r="F354" i="3" s="1"/>
  <c r="E346" i="3"/>
  <c r="F346" i="3" s="1"/>
  <c r="E338" i="3"/>
  <c r="F338" i="3" s="1"/>
  <c r="E330" i="3"/>
  <c r="F330" i="3" s="1"/>
  <c r="E322" i="3"/>
  <c r="F322" i="3" s="1"/>
  <c r="E314" i="3"/>
  <c r="F314" i="3" s="1"/>
  <c r="E306" i="3"/>
  <c r="F306" i="3" s="1"/>
  <c r="E298" i="3"/>
  <c r="F298" i="3" s="1"/>
  <c r="E290" i="3"/>
  <c r="F290" i="3" s="1"/>
  <c r="E282" i="3"/>
  <c r="F282" i="3" s="1"/>
  <c r="E274" i="3"/>
  <c r="F274" i="3" s="1"/>
  <c r="E266" i="3"/>
  <c r="F266" i="3" s="1"/>
  <c r="E258" i="3"/>
  <c r="F258" i="3" s="1"/>
  <c r="E250" i="3"/>
  <c r="F250" i="3" s="1"/>
  <c r="E242" i="3"/>
  <c r="F242" i="3" s="1"/>
  <c r="E234" i="3"/>
  <c r="F234" i="3" s="1"/>
  <c r="E226" i="3"/>
  <c r="F226" i="3" s="1"/>
  <c r="E218" i="3"/>
  <c r="F218" i="3" s="1"/>
  <c r="E210" i="3"/>
  <c r="F210" i="3" s="1"/>
  <c r="E202" i="3"/>
  <c r="F202" i="3" s="1"/>
  <c r="E194" i="3"/>
  <c r="F194" i="3" s="1"/>
  <c r="E186" i="3"/>
  <c r="F186" i="3" s="1"/>
  <c r="E178" i="3"/>
  <c r="F178" i="3" s="1"/>
  <c r="E170" i="3"/>
  <c r="F170" i="3" s="1"/>
  <c r="E162" i="3"/>
  <c r="F162" i="3" s="1"/>
  <c r="E154" i="3"/>
  <c r="F154" i="3" s="1"/>
  <c r="E146" i="3"/>
  <c r="F146" i="3" s="1"/>
  <c r="E138" i="3"/>
  <c r="F138" i="3" s="1"/>
  <c r="E130" i="3"/>
  <c r="F130" i="3" s="1"/>
  <c r="E122" i="3"/>
  <c r="F122" i="3" s="1"/>
  <c r="E114" i="3"/>
  <c r="F114" i="3" s="1"/>
  <c r="E106" i="3"/>
  <c r="F106" i="3" s="1"/>
  <c r="E98" i="3"/>
  <c r="F98" i="3" s="1"/>
  <c r="E90" i="3"/>
  <c r="F90" i="3" s="1"/>
  <c r="E82" i="3"/>
  <c r="F82" i="3" s="1"/>
  <c r="E74" i="3"/>
  <c r="F74" i="3" s="1"/>
  <c r="E66" i="3"/>
  <c r="F66" i="3" s="1"/>
  <c r="E58" i="3"/>
  <c r="F58" i="3" s="1"/>
  <c r="E50" i="3"/>
  <c r="F50" i="3" s="1"/>
  <c r="E42" i="3"/>
  <c r="F42" i="3" s="1"/>
  <c r="E34" i="3"/>
  <c r="F34" i="3" s="1"/>
  <c r="E26" i="3"/>
  <c r="F26" i="3" s="1"/>
  <c r="E18" i="3"/>
  <c r="F18" i="3" s="1"/>
  <c r="E10" i="3"/>
  <c r="F10" i="3" s="1"/>
  <c r="E2" i="3"/>
  <c r="F2" i="3" s="1"/>
  <c r="E577" i="3"/>
  <c r="F577" i="3" s="1"/>
  <c r="E505" i="3"/>
  <c r="F505" i="3" s="1"/>
  <c r="E449" i="3"/>
  <c r="F449" i="3" s="1"/>
  <c r="E401" i="3"/>
  <c r="F401" i="3" s="1"/>
  <c r="E353" i="3"/>
  <c r="F353" i="3" s="1"/>
  <c r="E313" i="3"/>
  <c r="F313" i="3" s="1"/>
  <c r="E265" i="3"/>
  <c r="F265" i="3" s="1"/>
  <c r="E217" i="3"/>
  <c r="F217" i="3" s="1"/>
  <c r="E81" i="3"/>
  <c r="F81" i="3" s="1"/>
  <c r="E25" i="3"/>
  <c r="F25" i="3" s="1"/>
  <c r="E89" i="3"/>
  <c r="F89" i="3" s="1"/>
  <c r="E153" i="3"/>
  <c r="F153" i="3" s="1"/>
  <c r="E17" i="3"/>
  <c r="F17" i="3" s="1"/>
  <c r="E145" i="3"/>
  <c r="F145" i="3" s="1"/>
  <c r="E33" i="3"/>
  <c r="F33" i="3" s="1"/>
  <c r="E97" i="3"/>
  <c r="F97" i="3" s="1"/>
  <c r="E161" i="3"/>
  <c r="F161" i="3" s="1"/>
  <c r="E41" i="3"/>
  <c r="F41" i="3" s="1"/>
  <c r="E105" i="3"/>
  <c r="F105" i="3" s="1"/>
  <c r="E169" i="3"/>
  <c r="F169" i="3" s="1"/>
  <c r="E49" i="3"/>
  <c r="F49" i="3" s="1"/>
  <c r="E113" i="3"/>
  <c r="F113" i="3" s="1"/>
  <c r="E177" i="3"/>
  <c r="F177" i="3" s="1"/>
  <c r="E57" i="3"/>
  <c r="F57" i="3" s="1"/>
  <c r="E121" i="3"/>
  <c r="F121" i="3" s="1"/>
  <c r="E185" i="3"/>
  <c r="F185" i="3" s="1"/>
  <c r="E65" i="3"/>
  <c r="F65" i="3" s="1"/>
  <c r="E129" i="3"/>
  <c r="F129" i="3" s="1"/>
  <c r="E201" i="3"/>
  <c r="F201" i="3" s="1"/>
  <c r="E9" i="3"/>
  <c r="F9" i="3" s="1"/>
  <c r="E73" i="3"/>
  <c r="F73" i="3" s="1"/>
  <c r="E137" i="3"/>
  <c r="F137" i="3" s="1"/>
  <c r="E465" i="3"/>
  <c r="F465" i="3" s="1"/>
  <c r="E243" i="2"/>
  <c r="F243" i="2" s="1"/>
  <c r="E307" i="2"/>
  <c r="F307" i="2" s="1"/>
  <c r="E371" i="2"/>
  <c r="F371" i="2" s="1"/>
  <c r="E51" i="2"/>
  <c r="F51" i="2" s="1"/>
  <c r="E115" i="2"/>
  <c r="F115" i="2" s="1"/>
  <c r="E59" i="2"/>
  <c r="F59" i="2" s="1"/>
  <c r="E123" i="2"/>
  <c r="F123" i="2" s="1"/>
  <c r="E187" i="2"/>
  <c r="F187" i="2" s="1"/>
  <c r="E251" i="2"/>
  <c r="F251" i="2" s="1"/>
  <c r="E315" i="2"/>
  <c r="F315" i="2" s="1"/>
  <c r="E539" i="2"/>
  <c r="F539" i="2" s="1"/>
  <c r="E3" i="2"/>
  <c r="F3" i="2" s="1"/>
  <c r="E67" i="2"/>
  <c r="F67" i="2" s="1"/>
  <c r="E131" i="2"/>
  <c r="F131" i="2" s="1"/>
  <c r="E195" i="2"/>
  <c r="F195" i="2" s="1"/>
  <c r="E259" i="2"/>
  <c r="F259" i="2" s="1"/>
  <c r="E323" i="2"/>
  <c r="F323" i="2" s="1"/>
  <c r="E547" i="2"/>
  <c r="F547" i="2" s="1"/>
  <c r="E11" i="2"/>
  <c r="F11" i="2" s="1"/>
  <c r="E75" i="2"/>
  <c r="F75" i="2" s="1"/>
  <c r="E139" i="2"/>
  <c r="F139" i="2" s="1"/>
  <c r="E203" i="2"/>
  <c r="F203" i="2" s="1"/>
  <c r="E267" i="2"/>
  <c r="F267" i="2" s="1"/>
  <c r="E331" i="2"/>
  <c r="F331" i="2" s="1"/>
  <c r="E587" i="2"/>
  <c r="F587" i="2" s="1"/>
  <c r="E19" i="2"/>
  <c r="F19" i="2" s="1"/>
  <c r="E83" i="2"/>
  <c r="F83" i="2" s="1"/>
  <c r="E147" i="2"/>
  <c r="F147" i="2" s="1"/>
  <c r="E211" i="2"/>
  <c r="F211" i="2" s="1"/>
  <c r="E275" i="2"/>
  <c r="F275" i="2" s="1"/>
  <c r="E339" i="2"/>
  <c r="F339" i="2" s="1"/>
  <c r="E27" i="2"/>
  <c r="F27" i="2" s="1"/>
  <c r="E91" i="2"/>
  <c r="F91" i="2" s="1"/>
  <c r="E155" i="2"/>
  <c r="F155" i="2" s="1"/>
  <c r="E219" i="2"/>
  <c r="F219" i="2" s="1"/>
  <c r="E283" i="2"/>
  <c r="F283" i="2" s="1"/>
  <c r="E592" i="2"/>
  <c r="F592" i="2" s="1"/>
  <c r="E584" i="2"/>
  <c r="F584" i="2" s="1"/>
  <c r="E576" i="2"/>
  <c r="F576" i="2" s="1"/>
  <c r="E568" i="2"/>
  <c r="F568" i="2" s="1"/>
  <c r="E560" i="2"/>
  <c r="F560" i="2" s="1"/>
  <c r="E552" i="2"/>
  <c r="F552" i="2" s="1"/>
  <c r="E544" i="2"/>
  <c r="F544" i="2" s="1"/>
  <c r="E536" i="2"/>
  <c r="F536" i="2" s="1"/>
  <c r="E528" i="2"/>
  <c r="F528" i="2" s="1"/>
  <c r="E520" i="2"/>
  <c r="F520" i="2" s="1"/>
  <c r="E512" i="2"/>
  <c r="F512" i="2" s="1"/>
  <c r="E504" i="2"/>
  <c r="F504" i="2" s="1"/>
  <c r="E496" i="2"/>
  <c r="F496" i="2" s="1"/>
  <c r="E488" i="2"/>
  <c r="F488" i="2" s="1"/>
  <c r="E480" i="2"/>
  <c r="F480" i="2" s="1"/>
  <c r="E472" i="2"/>
  <c r="F472" i="2" s="1"/>
  <c r="E464" i="2"/>
  <c r="F464" i="2" s="1"/>
  <c r="E456" i="2"/>
  <c r="F456" i="2" s="1"/>
  <c r="E448" i="2"/>
  <c r="F448" i="2" s="1"/>
  <c r="E440" i="2"/>
  <c r="F440" i="2" s="1"/>
  <c r="E432" i="2"/>
  <c r="F432" i="2" s="1"/>
  <c r="E424" i="2"/>
  <c r="F424" i="2" s="1"/>
  <c r="E416" i="2"/>
  <c r="F416" i="2" s="1"/>
  <c r="E408" i="2"/>
  <c r="F408" i="2" s="1"/>
  <c r="E400" i="2"/>
  <c r="F400" i="2" s="1"/>
  <c r="E392" i="2"/>
  <c r="F392" i="2" s="1"/>
  <c r="E384" i="2"/>
  <c r="F384" i="2" s="1"/>
  <c r="E376" i="2"/>
  <c r="F376" i="2" s="1"/>
  <c r="E368" i="2"/>
  <c r="F368" i="2" s="1"/>
  <c r="E360" i="2"/>
  <c r="F360" i="2" s="1"/>
  <c r="E352" i="2"/>
  <c r="F352" i="2" s="1"/>
  <c r="E344" i="2"/>
  <c r="F344" i="2" s="1"/>
  <c r="E336" i="2"/>
  <c r="F336" i="2" s="1"/>
  <c r="E328" i="2"/>
  <c r="F328" i="2" s="1"/>
  <c r="E320" i="2"/>
  <c r="F320" i="2" s="1"/>
  <c r="E312" i="2"/>
  <c r="F312" i="2" s="1"/>
  <c r="E304" i="2"/>
  <c r="F304" i="2" s="1"/>
  <c r="E296" i="2"/>
  <c r="F296" i="2" s="1"/>
  <c r="E288" i="2"/>
  <c r="F288" i="2" s="1"/>
  <c r="E280" i="2"/>
  <c r="F280" i="2" s="1"/>
  <c r="E272" i="2"/>
  <c r="F272" i="2" s="1"/>
  <c r="E264" i="2"/>
  <c r="F264" i="2" s="1"/>
  <c r="E256" i="2"/>
  <c r="F256" i="2" s="1"/>
  <c r="E248" i="2"/>
  <c r="F248" i="2" s="1"/>
  <c r="E240" i="2"/>
  <c r="F240" i="2" s="1"/>
  <c r="E232" i="2"/>
  <c r="F232" i="2" s="1"/>
  <c r="E224" i="2"/>
  <c r="F224" i="2" s="1"/>
  <c r="E216" i="2"/>
  <c r="F216" i="2" s="1"/>
  <c r="E208" i="2"/>
  <c r="F208" i="2" s="1"/>
  <c r="E200" i="2"/>
  <c r="F200" i="2" s="1"/>
  <c r="E192" i="2"/>
  <c r="F192" i="2" s="1"/>
  <c r="E184" i="2"/>
  <c r="F184" i="2" s="1"/>
  <c r="E176" i="2"/>
  <c r="F176" i="2" s="1"/>
  <c r="E168" i="2"/>
  <c r="F168" i="2" s="1"/>
  <c r="E160" i="2"/>
  <c r="F160" i="2" s="1"/>
  <c r="E152" i="2"/>
  <c r="F152" i="2" s="1"/>
  <c r="E144" i="2"/>
  <c r="F144" i="2" s="1"/>
  <c r="E136" i="2"/>
  <c r="F136" i="2" s="1"/>
  <c r="E128" i="2"/>
  <c r="F128" i="2" s="1"/>
  <c r="E120" i="2"/>
  <c r="F120" i="2" s="1"/>
  <c r="E112" i="2"/>
  <c r="F112" i="2" s="1"/>
  <c r="E104" i="2"/>
  <c r="F104" i="2" s="1"/>
  <c r="E96" i="2"/>
  <c r="F96" i="2" s="1"/>
  <c r="E88" i="2"/>
  <c r="F88" i="2" s="1"/>
  <c r="E80" i="2"/>
  <c r="F80" i="2" s="1"/>
  <c r="E72" i="2"/>
  <c r="F72" i="2" s="1"/>
  <c r="E64" i="2"/>
  <c r="F64" i="2" s="1"/>
  <c r="E56" i="2"/>
  <c r="F56" i="2" s="1"/>
  <c r="E48" i="2"/>
  <c r="F48" i="2" s="1"/>
  <c r="E40" i="2"/>
  <c r="F40" i="2" s="1"/>
  <c r="E32" i="2"/>
  <c r="F32" i="2" s="1"/>
  <c r="E24" i="2"/>
  <c r="F24" i="2" s="1"/>
  <c r="E16" i="2"/>
  <c r="F16" i="2" s="1"/>
  <c r="E8" i="2"/>
  <c r="F8" i="2" s="1"/>
  <c r="E591" i="2"/>
  <c r="F591" i="2" s="1"/>
  <c r="E583" i="2"/>
  <c r="F583" i="2" s="1"/>
  <c r="E575" i="2"/>
  <c r="F575" i="2" s="1"/>
  <c r="E567" i="2"/>
  <c r="F567" i="2" s="1"/>
  <c r="E559" i="2"/>
  <c r="F559" i="2" s="1"/>
  <c r="E551" i="2"/>
  <c r="F551" i="2" s="1"/>
  <c r="E543" i="2"/>
  <c r="F543" i="2" s="1"/>
  <c r="E535" i="2"/>
  <c r="F535" i="2" s="1"/>
  <c r="E527" i="2"/>
  <c r="F527" i="2" s="1"/>
  <c r="E519" i="2"/>
  <c r="F519" i="2" s="1"/>
  <c r="E511" i="2"/>
  <c r="F511" i="2" s="1"/>
  <c r="E503" i="2"/>
  <c r="F503" i="2" s="1"/>
  <c r="E495" i="2"/>
  <c r="F495" i="2" s="1"/>
  <c r="E487" i="2"/>
  <c r="F487" i="2" s="1"/>
  <c r="E479" i="2"/>
  <c r="F479" i="2" s="1"/>
  <c r="E471" i="2"/>
  <c r="F471" i="2" s="1"/>
  <c r="E463" i="2"/>
  <c r="F463" i="2" s="1"/>
  <c r="E455" i="2"/>
  <c r="F455" i="2" s="1"/>
  <c r="E447" i="2"/>
  <c r="F447" i="2" s="1"/>
  <c r="E439" i="2"/>
  <c r="F439" i="2" s="1"/>
  <c r="E431" i="2"/>
  <c r="F431" i="2" s="1"/>
  <c r="E423" i="2"/>
  <c r="F423" i="2" s="1"/>
  <c r="E415" i="2"/>
  <c r="F415" i="2" s="1"/>
  <c r="E407" i="2"/>
  <c r="F407" i="2" s="1"/>
  <c r="E399" i="2"/>
  <c r="F399" i="2" s="1"/>
  <c r="E391" i="2"/>
  <c r="F391" i="2" s="1"/>
  <c r="E383" i="2"/>
  <c r="F383" i="2" s="1"/>
  <c r="E375" i="2"/>
  <c r="F375" i="2" s="1"/>
  <c r="E367" i="2"/>
  <c r="F367" i="2" s="1"/>
  <c r="E359" i="2"/>
  <c r="F359" i="2" s="1"/>
  <c r="E351" i="2"/>
  <c r="F351" i="2" s="1"/>
  <c r="E343" i="2"/>
  <c r="F343" i="2" s="1"/>
  <c r="E335" i="2"/>
  <c r="F335" i="2" s="1"/>
  <c r="E327" i="2"/>
  <c r="F327" i="2" s="1"/>
  <c r="E319" i="2"/>
  <c r="F319" i="2" s="1"/>
  <c r="E311" i="2"/>
  <c r="F311" i="2" s="1"/>
  <c r="E303" i="2"/>
  <c r="F303" i="2" s="1"/>
  <c r="E295" i="2"/>
  <c r="F295" i="2" s="1"/>
  <c r="E287" i="2"/>
  <c r="F287" i="2" s="1"/>
  <c r="E279" i="2"/>
  <c r="F279" i="2" s="1"/>
  <c r="E271" i="2"/>
  <c r="F271" i="2" s="1"/>
  <c r="E263" i="2"/>
  <c r="F263" i="2" s="1"/>
  <c r="E255" i="2"/>
  <c r="F255" i="2" s="1"/>
  <c r="E247" i="2"/>
  <c r="F247" i="2" s="1"/>
  <c r="E239" i="2"/>
  <c r="F239" i="2" s="1"/>
  <c r="E231" i="2"/>
  <c r="F231" i="2" s="1"/>
  <c r="E223" i="2"/>
  <c r="F223" i="2" s="1"/>
  <c r="E215" i="2"/>
  <c r="F215" i="2" s="1"/>
  <c r="E207" i="2"/>
  <c r="F207" i="2" s="1"/>
  <c r="E199" i="2"/>
  <c r="F199" i="2" s="1"/>
  <c r="E191" i="2"/>
  <c r="F191" i="2" s="1"/>
  <c r="E183" i="2"/>
  <c r="F183" i="2" s="1"/>
  <c r="E175" i="2"/>
  <c r="F175" i="2" s="1"/>
  <c r="E167" i="2"/>
  <c r="F167" i="2" s="1"/>
  <c r="E159" i="2"/>
  <c r="F159" i="2" s="1"/>
  <c r="E151" i="2"/>
  <c r="F151" i="2" s="1"/>
  <c r="E143" i="2"/>
  <c r="F143" i="2" s="1"/>
  <c r="E135" i="2"/>
  <c r="F135" i="2" s="1"/>
  <c r="E127" i="2"/>
  <c r="F127" i="2" s="1"/>
  <c r="E119" i="2"/>
  <c r="F119" i="2" s="1"/>
  <c r="E111" i="2"/>
  <c r="F111" i="2" s="1"/>
  <c r="E103" i="2"/>
  <c r="F103" i="2" s="1"/>
  <c r="E95" i="2"/>
  <c r="F95" i="2" s="1"/>
  <c r="E87" i="2"/>
  <c r="F87" i="2" s="1"/>
  <c r="E79" i="2"/>
  <c r="F79" i="2" s="1"/>
  <c r="E71" i="2"/>
  <c r="F71" i="2" s="1"/>
  <c r="E63" i="2"/>
  <c r="F63" i="2" s="1"/>
  <c r="E55" i="2"/>
  <c r="F55" i="2" s="1"/>
  <c r="E47" i="2"/>
  <c r="F47" i="2" s="1"/>
  <c r="E39" i="2"/>
  <c r="F39" i="2" s="1"/>
  <c r="E31" i="2"/>
  <c r="F31" i="2" s="1"/>
  <c r="E23" i="2"/>
  <c r="F23" i="2" s="1"/>
  <c r="E15" i="2"/>
  <c r="F15" i="2" s="1"/>
  <c r="E7" i="2"/>
  <c r="F7" i="2" s="1"/>
  <c r="E555" i="2"/>
  <c r="F555" i="2" s="1"/>
  <c r="E419" i="2"/>
  <c r="F419" i="2" s="1"/>
  <c r="E590" i="2"/>
  <c r="F590" i="2" s="1"/>
  <c r="E582" i="2"/>
  <c r="F582" i="2" s="1"/>
  <c r="E574" i="2"/>
  <c r="F574" i="2" s="1"/>
  <c r="E566" i="2"/>
  <c r="F566" i="2" s="1"/>
  <c r="E558" i="2"/>
  <c r="F558" i="2" s="1"/>
  <c r="E550" i="2"/>
  <c r="F550" i="2" s="1"/>
  <c r="E542" i="2"/>
  <c r="F542" i="2" s="1"/>
  <c r="E534" i="2"/>
  <c r="F534" i="2" s="1"/>
  <c r="E526" i="2"/>
  <c r="F526" i="2" s="1"/>
  <c r="E518" i="2"/>
  <c r="F518" i="2" s="1"/>
  <c r="E510" i="2"/>
  <c r="F510" i="2" s="1"/>
  <c r="E502" i="2"/>
  <c r="F502" i="2" s="1"/>
  <c r="E494" i="2"/>
  <c r="F494" i="2" s="1"/>
  <c r="E486" i="2"/>
  <c r="F486" i="2" s="1"/>
  <c r="E478" i="2"/>
  <c r="F478" i="2" s="1"/>
  <c r="E470" i="2"/>
  <c r="F470" i="2" s="1"/>
  <c r="E462" i="2"/>
  <c r="F462" i="2" s="1"/>
  <c r="E454" i="2"/>
  <c r="F454" i="2" s="1"/>
  <c r="E446" i="2"/>
  <c r="F446" i="2" s="1"/>
  <c r="E438" i="2"/>
  <c r="F438" i="2" s="1"/>
  <c r="E430" i="2"/>
  <c r="F430" i="2" s="1"/>
  <c r="E422" i="2"/>
  <c r="F422" i="2" s="1"/>
  <c r="E414" i="2"/>
  <c r="F414" i="2" s="1"/>
  <c r="E406" i="2"/>
  <c r="F406" i="2" s="1"/>
  <c r="E398" i="2"/>
  <c r="F398" i="2" s="1"/>
  <c r="E390" i="2"/>
  <c r="F390" i="2" s="1"/>
  <c r="E382" i="2"/>
  <c r="F382" i="2" s="1"/>
  <c r="E374" i="2"/>
  <c r="F374" i="2" s="1"/>
  <c r="E366" i="2"/>
  <c r="F366" i="2" s="1"/>
  <c r="E358" i="2"/>
  <c r="F358" i="2" s="1"/>
  <c r="E350" i="2"/>
  <c r="F350" i="2" s="1"/>
  <c r="E342" i="2"/>
  <c r="F342" i="2" s="1"/>
  <c r="E334" i="2"/>
  <c r="F334" i="2" s="1"/>
  <c r="E326" i="2"/>
  <c r="F326" i="2" s="1"/>
  <c r="E318" i="2"/>
  <c r="F318" i="2" s="1"/>
  <c r="E310" i="2"/>
  <c r="F310" i="2" s="1"/>
  <c r="E302" i="2"/>
  <c r="F302" i="2" s="1"/>
  <c r="E294" i="2"/>
  <c r="F294" i="2" s="1"/>
  <c r="E286" i="2"/>
  <c r="F286" i="2" s="1"/>
  <c r="E278" i="2"/>
  <c r="F278" i="2" s="1"/>
  <c r="E270" i="2"/>
  <c r="F270" i="2" s="1"/>
  <c r="E262" i="2"/>
  <c r="F262" i="2" s="1"/>
  <c r="E254" i="2"/>
  <c r="F254" i="2" s="1"/>
  <c r="E246" i="2"/>
  <c r="F246" i="2" s="1"/>
  <c r="E238" i="2"/>
  <c r="F238" i="2" s="1"/>
  <c r="E230" i="2"/>
  <c r="F230" i="2" s="1"/>
  <c r="E222" i="2"/>
  <c r="F222" i="2" s="1"/>
  <c r="E214" i="2"/>
  <c r="F214" i="2" s="1"/>
  <c r="E206" i="2"/>
  <c r="F206" i="2" s="1"/>
  <c r="E198" i="2"/>
  <c r="F198" i="2" s="1"/>
  <c r="E190" i="2"/>
  <c r="F190" i="2" s="1"/>
  <c r="E182" i="2"/>
  <c r="F182" i="2" s="1"/>
  <c r="E174" i="2"/>
  <c r="F174" i="2" s="1"/>
  <c r="E166" i="2"/>
  <c r="F166" i="2" s="1"/>
  <c r="E158" i="2"/>
  <c r="F158" i="2" s="1"/>
  <c r="E150" i="2"/>
  <c r="F150" i="2" s="1"/>
  <c r="E142" i="2"/>
  <c r="F142" i="2" s="1"/>
  <c r="E134" i="2"/>
  <c r="F134" i="2" s="1"/>
  <c r="E126" i="2"/>
  <c r="F126" i="2" s="1"/>
  <c r="E118" i="2"/>
  <c r="F118" i="2" s="1"/>
  <c r="E110" i="2"/>
  <c r="F110" i="2" s="1"/>
  <c r="E102" i="2"/>
  <c r="F102" i="2" s="1"/>
  <c r="E94" i="2"/>
  <c r="F94" i="2" s="1"/>
  <c r="E86" i="2"/>
  <c r="F86" i="2" s="1"/>
  <c r="E78" i="2"/>
  <c r="F78" i="2" s="1"/>
  <c r="E70" i="2"/>
  <c r="F70" i="2" s="1"/>
  <c r="E62" i="2"/>
  <c r="F62" i="2" s="1"/>
  <c r="E54" i="2"/>
  <c r="F54" i="2" s="1"/>
  <c r="E46" i="2"/>
  <c r="F46" i="2" s="1"/>
  <c r="E38" i="2"/>
  <c r="F38" i="2" s="1"/>
  <c r="E30" i="2"/>
  <c r="F30" i="2" s="1"/>
  <c r="E22" i="2"/>
  <c r="F22" i="2" s="1"/>
  <c r="E14" i="2"/>
  <c r="F14" i="2" s="1"/>
  <c r="E6" i="2"/>
  <c r="F6" i="2" s="1"/>
  <c r="E563" i="2"/>
  <c r="F563" i="2" s="1"/>
  <c r="E531" i="2"/>
  <c r="F531" i="2" s="1"/>
  <c r="E515" i="2"/>
  <c r="F515" i="2" s="1"/>
  <c r="E499" i="2"/>
  <c r="F499" i="2" s="1"/>
  <c r="E475" i="2"/>
  <c r="F475" i="2" s="1"/>
  <c r="E459" i="2"/>
  <c r="F459" i="2" s="1"/>
  <c r="E443" i="2"/>
  <c r="F443" i="2" s="1"/>
  <c r="E411" i="2"/>
  <c r="F411" i="2" s="1"/>
  <c r="E395" i="2"/>
  <c r="F395" i="2" s="1"/>
  <c r="E379" i="2"/>
  <c r="F379" i="2" s="1"/>
  <c r="E589" i="2"/>
  <c r="F589" i="2" s="1"/>
  <c r="E581" i="2"/>
  <c r="F581" i="2" s="1"/>
  <c r="E573" i="2"/>
  <c r="F573" i="2" s="1"/>
  <c r="E565" i="2"/>
  <c r="F565" i="2" s="1"/>
  <c r="E557" i="2"/>
  <c r="F557" i="2" s="1"/>
  <c r="E549" i="2"/>
  <c r="F549" i="2" s="1"/>
  <c r="E541" i="2"/>
  <c r="F541" i="2" s="1"/>
  <c r="E533" i="2"/>
  <c r="F533" i="2" s="1"/>
  <c r="E525" i="2"/>
  <c r="F525" i="2" s="1"/>
  <c r="E517" i="2"/>
  <c r="F517" i="2" s="1"/>
  <c r="E509" i="2"/>
  <c r="F509" i="2" s="1"/>
  <c r="E501" i="2"/>
  <c r="F501" i="2" s="1"/>
  <c r="E493" i="2"/>
  <c r="F493" i="2" s="1"/>
  <c r="E485" i="2"/>
  <c r="F485" i="2" s="1"/>
  <c r="E477" i="2"/>
  <c r="F477" i="2" s="1"/>
  <c r="E469" i="2"/>
  <c r="F469" i="2" s="1"/>
  <c r="E461" i="2"/>
  <c r="F461" i="2" s="1"/>
  <c r="E453" i="2"/>
  <c r="F453" i="2" s="1"/>
  <c r="E445" i="2"/>
  <c r="F445" i="2" s="1"/>
  <c r="E437" i="2"/>
  <c r="F437" i="2" s="1"/>
  <c r="E429" i="2"/>
  <c r="F429" i="2" s="1"/>
  <c r="E421" i="2"/>
  <c r="F421" i="2" s="1"/>
  <c r="E413" i="2"/>
  <c r="F413" i="2" s="1"/>
  <c r="E405" i="2"/>
  <c r="F405" i="2" s="1"/>
  <c r="E397" i="2"/>
  <c r="F397" i="2" s="1"/>
  <c r="E389" i="2"/>
  <c r="F389" i="2" s="1"/>
  <c r="E381" i="2"/>
  <c r="F381" i="2" s="1"/>
  <c r="E373" i="2"/>
  <c r="F373" i="2" s="1"/>
  <c r="E365" i="2"/>
  <c r="F365" i="2" s="1"/>
  <c r="E357" i="2"/>
  <c r="F357" i="2" s="1"/>
  <c r="E349" i="2"/>
  <c r="F349" i="2" s="1"/>
  <c r="E341" i="2"/>
  <c r="F341" i="2" s="1"/>
  <c r="E333" i="2"/>
  <c r="F333" i="2" s="1"/>
  <c r="E325" i="2"/>
  <c r="F325" i="2" s="1"/>
  <c r="E317" i="2"/>
  <c r="F317" i="2" s="1"/>
  <c r="E309" i="2"/>
  <c r="F309" i="2" s="1"/>
  <c r="E301" i="2"/>
  <c r="F301" i="2" s="1"/>
  <c r="E293" i="2"/>
  <c r="F293" i="2" s="1"/>
  <c r="E285" i="2"/>
  <c r="F285" i="2" s="1"/>
  <c r="E277" i="2"/>
  <c r="F277" i="2" s="1"/>
  <c r="E269" i="2"/>
  <c r="F269" i="2" s="1"/>
  <c r="E261" i="2"/>
  <c r="F261" i="2" s="1"/>
  <c r="E253" i="2"/>
  <c r="F253" i="2" s="1"/>
  <c r="E245" i="2"/>
  <c r="F245" i="2" s="1"/>
  <c r="E237" i="2"/>
  <c r="F237" i="2" s="1"/>
  <c r="E229" i="2"/>
  <c r="F229" i="2" s="1"/>
  <c r="E221" i="2"/>
  <c r="F221" i="2" s="1"/>
  <c r="E213" i="2"/>
  <c r="F213" i="2" s="1"/>
  <c r="E205" i="2"/>
  <c r="F205" i="2" s="1"/>
  <c r="E197" i="2"/>
  <c r="F197" i="2" s="1"/>
  <c r="E189" i="2"/>
  <c r="F189" i="2" s="1"/>
  <c r="E181" i="2"/>
  <c r="F181" i="2" s="1"/>
  <c r="E173" i="2"/>
  <c r="F173" i="2" s="1"/>
  <c r="E165" i="2"/>
  <c r="F165" i="2" s="1"/>
  <c r="E157" i="2"/>
  <c r="F157" i="2" s="1"/>
  <c r="E149" i="2"/>
  <c r="F149" i="2" s="1"/>
  <c r="E141" i="2"/>
  <c r="F141" i="2" s="1"/>
  <c r="E133" i="2"/>
  <c r="F133" i="2" s="1"/>
  <c r="E125" i="2"/>
  <c r="F125" i="2" s="1"/>
  <c r="E117" i="2"/>
  <c r="F117" i="2" s="1"/>
  <c r="E109" i="2"/>
  <c r="F109" i="2" s="1"/>
  <c r="E101" i="2"/>
  <c r="F101" i="2" s="1"/>
  <c r="E93" i="2"/>
  <c r="F93" i="2" s="1"/>
  <c r="E85" i="2"/>
  <c r="F85" i="2" s="1"/>
  <c r="E77" i="2"/>
  <c r="F77" i="2" s="1"/>
  <c r="E69" i="2"/>
  <c r="F69" i="2" s="1"/>
  <c r="E61" i="2"/>
  <c r="F61" i="2" s="1"/>
  <c r="E53" i="2"/>
  <c r="F53" i="2" s="1"/>
  <c r="E45" i="2"/>
  <c r="F45" i="2" s="1"/>
  <c r="E37" i="2"/>
  <c r="F37" i="2" s="1"/>
  <c r="E29" i="2"/>
  <c r="F29" i="2" s="1"/>
  <c r="E21" i="2"/>
  <c r="F21" i="2" s="1"/>
  <c r="E13" i="2"/>
  <c r="F13" i="2" s="1"/>
  <c r="E5" i="2"/>
  <c r="F5" i="2" s="1"/>
  <c r="E596" i="2"/>
  <c r="F596" i="2" s="1"/>
  <c r="E588" i="2"/>
  <c r="F588" i="2" s="1"/>
  <c r="E580" i="2"/>
  <c r="F580" i="2" s="1"/>
  <c r="E572" i="2"/>
  <c r="F572" i="2" s="1"/>
  <c r="E564" i="2"/>
  <c r="F564" i="2" s="1"/>
  <c r="E556" i="2"/>
  <c r="F556" i="2" s="1"/>
  <c r="E548" i="2"/>
  <c r="F548" i="2" s="1"/>
  <c r="E540" i="2"/>
  <c r="F540" i="2" s="1"/>
  <c r="E532" i="2"/>
  <c r="F532" i="2" s="1"/>
  <c r="E524" i="2"/>
  <c r="F524" i="2" s="1"/>
  <c r="E516" i="2"/>
  <c r="F516" i="2" s="1"/>
  <c r="E508" i="2"/>
  <c r="F508" i="2" s="1"/>
  <c r="E500" i="2"/>
  <c r="F500" i="2" s="1"/>
  <c r="E492" i="2"/>
  <c r="F492" i="2" s="1"/>
  <c r="E484" i="2"/>
  <c r="F484" i="2" s="1"/>
  <c r="E476" i="2"/>
  <c r="F476" i="2" s="1"/>
  <c r="E468" i="2"/>
  <c r="F468" i="2" s="1"/>
  <c r="E460" i="2"/>
  <c r="F460" i="2" s="1"/>
  <c r="E452" i="2"/>
  <c r="F452" i="2" s="1"/>
  <c r="E444" i="2"/>
  <c r="F444" i="2" s="1"/>
  <c r="E436" i="2"/>
  <c r="F436" i="2" s="1"/>
  <c r="E428" i="2"/>
  <c r="F428" i="2" s="1"/>
  <c r="E420" i="2"/>
  <c r="F420" i="2" s="1"/>
  <c r="E412" i="2"/>
  <c r="F412" i="2" s="1"/>
  <c r="E404" i="2"/>
  <c r="F404" i="2" s="1"/>
  <c r="E396" i="2"/>
  <c r="F396" i="2" s="1"/>
  <c r="E388" i="2"/>
  <c r="F388" i="2" s="1"/>
  <c r="E380" i="2"/>
  <c r="F380" i="2" s="1"/>
  <c r="E372" i="2"/>
  <c r="F372" i="2" s="1"/>
  <c r="E364" i="2"/>
  <c r="F364" i="2" s="1"/>
  <c r="E356" i="2"/>
  <c r="F356" i="2" s="1"/>
  <c r="E348" i="2"/>
  <c r="F348" i="2" s="1"/>
  <c r="E340" i="2"/>
  <c r="F340" i="2" s="1"/>
  <c r="E332" i="2"/>
  <c r="F332" i="2" s="1"/>
  <c r="E324" i="2"/>
  <c r="F324" i="2" s="1"/>
  <c r="E316" i="2"/>
  <c r="F316" i="2" s="1"/>
  <c r="E308" i="2"/>
  <c r="F308" i="2" s="1"/>
  <c r="E300" i="2"/>
  <c r="F300" i="2" s="1"/>
  <c r="E292" i="2"/>
  <c r="F292" i="2" s="1"/>
  <c r="E284" i="2"/>
  <c r="F284" i="2" s="1"/>
  <c r="E276" i="2"/>
  <c r="F276" i="2" s="1"/>
  <c r="E268" i="2"/>
  <c r="F268" i="2" s="1"/>
  <c r="E260" i="2"/>
  <c r="F260" i="2" s="1"/>
  <c r="E252" i="2"/>
  <c r="F252" i="2" s="1"/>
  <c r="E244" i="2"/>
  <c r="F244" i="2" s="1"/>
  <c r="E236" i="2"/>
  <c r="F236" i="2" s="1"/>
  <c r="E228" i="2"/>
  <c r="F228" i="2" s="1"/>
  <c r="E220" i="2"/>
  <c r="F220" i="2" s="1"/>
  <c r="E212" i="2"/>
  <c r="F212" i="2" s="1"/>
  <c r="E204" i="2"/>
  <c r="F204" i="2" s="1"/>
  <c r="E196" i="2"/>
  <c r="F196" i="2" s="1"/>
  <c r="E188" i="2"/>
  <c r="F188" i="2" s="1"/>
  <c r="E180" i="2"/>
  <c r="F180" i="2" s="1"/>
  <c r="E172" i="2"/>
  <c r="F172" i="2" s="1"/>
  <c r="E164" i="2"/>
  <c r="F164" i="2" s="1"/>
  <c r="E156" i="2"/>
  <c r="F156" i="2" s="1"/>
  <c r="E148" i="2"/>
  <c r="F148" i="2" s="1"/>
  <c r="E140" i="2"/>
  <c r="F140" i="2" s="1"/>
  <c r="E132" i="2"/>
  <c r="F132" i="2" s="1"/>
  <c r="E124" i="2"/>
  <c r="F124" i="2" s="1"/>
  <c r="E116" i="2"/>
  <c r="F116" i="2" s="1"/>
  <c r="E108" i="2"/>
  <c r="F108" i="2" s="1"/>
  <c r="E100" i="2"/>
  <c r="F100" i="2" s="1"/>
  <c r="E92" i="2"/>
  <c r="F92" i="2" s="1"/>
  <c r="E84" i="2"/>
  <c r="F84" i="2" s="1"/>
  <c r="E76" i="2"/>
  <c r="F76" i="2" s="1"/>
  <c r="E68" i="2"/>
  <c r="F68" i="2" s="1"/>
  <c r="E60" i="2"/>
  <c r="F60" i="2" s="1"/>
  <c r="E52" i="2"/>
  <c r="F52" i="2" s="1"/>
  <c r="E44" i="2"/>
  <c r="F44" i="2" s="1"/>
  <c r="E36" i="2"/>
  <c r="F36" i="2" s="1"/>
  <c r="E28" i="2"/>
  <c r="F28" i="2" s="1"/>
  <c r="E20" i="2"/>
  <c r="F20" i="2" s="1"/>
  <c r="E12" i="2"/>
  <c r="F12" i="2" s="1"/>
  <c r="E4" i="2"/>
  <c r="F4" i="2" s="1"/>
  <c r="E595" i="2"/>
  <c r="F595" i="2" s="1"/>
  <c r="E594" i="2"/>
  <c r="F594" i="2" s="1"/>
  <c r="E586" i="2"/>
  <c r="F586" i="2" s="1"/>
  <c r="E578" i="2"/>
  <c r="F578" i="2" s="1"/>
  <c r="E570" i="2"/>
  <c r="F570" i="2" s="1"/>
  <c r="E562" i="2"/>
  <c r="F562" i="2" s="1"/>
  <c r="E554" i="2"/>
  <c r="F554" i="2" s="1"/>
  <c r="E546" i="2"/>
  <c r="F546" i="2" s="1"/>
  <c r="E538" i="2"/>
  <c r="F538" i="2" s="1"/>
  <c r="E530" i="2"/>
  <c r="F530" i="2" s="1"/>
  <c r="E522" i="2"/>
  <c r="F522" i="2" s="1"/>
  <c r="E514" i="2"/>
  <c r="F514" i="2" s="1"/>
  <c r="E506" i="2"/>
  <c r="F506" i="2" s="1"/>
  <c r="E498" i="2"/>
  <c r="F498" i="2" s="1"/>
  <c r="E490" i="2"/>
  <c r="F490" i="2" s="1"/>
  <c r="E482" i="2"/>
  <c r="F482" i="2" s="1"/>
  <c r="E474" i="2"/>
  <c r="F474" i="2" s="1"/>
  <c r="E466" i="2"/>
  <c r="F466" i="2" s="1"/>
  <c r="E458" i="2"/>
  <c r="F458" i="2" s="1"/>
  <c r="E450" i="2"/>
  <c r="F450" i="2" s="1"/>
  <c r="E442" i="2"/>
  <c r="F442" i="2" s="1"/>
  <c r="E434" i="2"/>
  <c r="F434" i="2" s="1"/>
  <c r="E426" i="2"/>
  <c r="F426" i="2" s="1"/>
  <c r="E418" i="2"/>
  <c r="F418" i="2" s="1"/>
  <c r="E410" i="2"/>
  <c r="F410" i="2" s="1"/>
  <c r="E402" i="2"/>
  <c r="F402" i="2" s="1"/>
  <c r="E394" i="2"/>
  <c r="F394" i="2" s="1"/>
  <c r="E386" i="2"/>
  <c r="F386" i="2" s="1"/>
  <c r="E378" i="2"/>
  <c r="F378" i="2" s="1"/>
  <c r="E370" i="2"/>
  <c r="F370" i="2" s="1"/>
  <c r="E362" i="2"/>
  <c r="F362" i="2" s="1"/>
  <c r="E354" i="2"/>
  <c r="F354" i="2" s="1"/>
  <c r="E346" i="2"/>
  <c r="F346" i="2" s="1"/>
  <c r="E338" i="2"/>
  <c r="F338" i="2" s="1"/>
  <c r="E330" i="2"/>
  <c r="F330" i="2" s="1"/>
  <c r="E322" i="2"/>
  <c r="F322" i="2" s="1"/>
  <c r="E314" i="2"/>
  <c r="F314" i="2" s="1"/>
  <c r="E306" i="2"/>
  <c r="F306" i="2" s="1"/>
  <c r="E298" i="2"/>
  <c r="F298" i="2" s="1"/>
  <c r="E290" i="2"/>
  <c r="F290" i="2" s="1"/>
  <c r="E282" i="2"/>
  <c r="F282" i="2" s="1"/>
  <c r="E274" i="2"/>
  <c r="F274" i="2" s="1"/>
  <c r="E266" i="2"/>
  <c r="F266" i="2" s="1"/>
  <c r="E258" i="2"/>
  <c r="F258" i="2" s="1"/>
  <c r="E250" i="2"/>
  <c r="F250" i="2" s="1"/>
  <c r="E242" i="2"/>
  <c r="F242" i="2" s="1"/>
  <c r="E234" i="2"/>
  <c r="F234" i="2" s="1"/>
  <c r="E226" i="2"/>
  <c r="F226" i="2" s="1"/>
  <c r="E218" i="2"/>
  <c r="F218" i="2" s="1"/>
  <c r="E210" i="2"/>
  <c r="F210" i="2" s="1"/>
  <c r="E202" i="2"/>
  <c r="F202" i="2" s="1"/>
  <c r="E194" i="2"/>
  <c r="F194" i="2" s="1"/>
  <c r="E186" i="2"/>
  <c r="F186" i="2" s="1"/>
  <c r="E178" i="2"/>
  <c r="F178" i="2" s="1"/>
  <c r="E170" i="2"/>
  <c r="F170" i="2" s="1"/>
  <c r="E162" i="2"/>
  <c r="F162" i="2" s="1"/>
  <c r="E154" i="2"/>
  <c r="F154" i="2" s="1"/>
  <c r="E146" i="2"/>
  <c r="F146" i="2" s="1"/>
  <c r="E138" i="2"/>
  <c r="F138" i="2" s="1"/>
  <c r="E130" i="2"/>
  <c r="F130" i="2" s="1"/>
  <c r="E122" i="2"/>
  <c r="F122" i="2" s="1"/>
  <c r="E114" i="2"/>
  <c r="F114" i="2" s="1"/>
  <c r="E106" i="2"/>
  <c r="F106" i="2" s="1"/>
  <c r="E98" i="2"/>
  <c r="F98" i="2" s="1"/>
  <c r="E90" i="2"/>
  <c r="F90" i="2" s="1"/>
  <c r="E82" i="2"/>
  <c r="F82" i="2" s="1"/>
  <c r="E74" i="2"/>
  <c r="F74" i="2" s="1"/>
  <c r="E66" i="2"/>
  <c r="F66" i="2" s="1"/>
  <c r="E58" i="2"/>
  <c r="F58" i="2" s="1"/>
  <c r="E50" i="2"/>
  <c r="F50" i="2" s="1"/>
  <c r="E42" i="2"/>
  <c r="F42" i="2" s="1"/>
  <c r="E34" i="2"/>
  <c r="F34" i="2" s="1"/>
  <c r="E26" i="2"/>
  <c r="F26" i="2" s="1"/>
  <c r="E18" i="2"/>
  <c r="F18" i="2" s="1"/>
  <c r="E10" i="2"/>
  <c r="F10" i="2" s="1"/>
  <c r="E2" i="2"/>
  <c r="F2" i="2" s="1"/>
  <c r="E571" i="2"/>
  <c r="F571" i="2" s="1"/>
  <c r="E523" i="2"/>
  <c r="F523" i="2" s="1"/>
  <c r="E507" i="2"/>
  <c r="F507" i="2" s="1"/>
  <c r="E491" i="2"/>
  <c r="F491" i="2" s="1"/>
  <c r="E483" i="2"/>
  <c r="F483" i="2" s="1"/>
  <c r="E467" i="2"/>
  <c r="F467" i="2" s="1"/>
  <c r="E451" i="2"/>
  <c r="F451" i="2" s="1"/>
  <c r="E435" i="2"/>
  <c r="F435" i="2" s="1"/>
  <c r="E403" i="2"/>
  <c r="F403" i="2" s="1"/>
  <c r="E387" i="2"/>
  <c r="F387" i="2" s="1"/>
  <c r="E593" i="2"/>
  <c r="F593" i="2" s="1"/>
  <c r="E585" i="2"/>
  <c r="F585" i="2" s="1"/>
  <c r="E577" i="2"/>
  <c r="F577" i="2" s="1"/>
  <c r="E569" i="2"/>
  <c r="F569" i="2" s="1"/>
  <c r="E561" i="2"/>
  <c r="F561" i="2" s="1"/>
  <c r="E553" i="2"/>
  <c r="F553" i="2" s="1"/>
  <c r="E545" i="2"/>
  <c r="F545" i="2" s="1"/>
  <c r="E537" i="2"/>
  <c r="F537" i="2" s="1"/>
  <c r="E529" i="2"/>
  <c r="F529" i="2" s="1"/>
  <c r="E521" i="2"/>
  <c r="F521" i="2" s="1"/>
  <c r="E513" i="2"/>
  <c r="F513" i="2" s="1"/>
  <c r="E505" i="2"/>
  <c r="F505" i="2" s="1"/>
  <c r="E497" i="2"/>
  <c r="F497" i="2" s="1"/>
  <c r="E489" i="2"/>
  <c r="F489" i="2" s="1"/>
  <c r="E481" i="2"/>
  <c r="F481" i="2" s="1"/>
  <c r="E473" i="2"/>
  <c r="F473" i="2" s="1"/>
  <c r="E465" i="2"/>
  <c r="F465" i="2" s="1"/>
  <c r="E457" i="2"/>
  <c r="F457" i="2" s="1"/>
  <c r="E449" i="2"/>
  <c r="F449" i="2" s="1"/>
  <c r="E441" i="2"/>
  <c r="F441" i="2" s="1"/>
  <c r="E433" i="2"/>
  <c r="F433" i="2" s="1"/>
  <c r="E425" i="2"/>
  <c r="F425" i="2" s="1"/>
  <c r="E417" i="2"/>
  <c r="F417" i="2" s="1"/>
  <c r="E409" i="2"/>
  <c r="F409" i="2" s="1"/>
  <c r="E401" i="2"/>
  <c r="F401" i="2" s="1"/>
  <c r="E393" i="2"/>
  <c r="F393" i="2" s="1"/>
  <c r="E385" i="2"/>
  <c r="F385" i="2" s="1"/>
  <c r="E377" i="2"/>
  <c r="F377" i="2" s="1"/>
  <c r="E369" i="2"/>
  <c r="F369" i="2" s="1"/>
  <c r="E361" i="2"/>
  <c r="F361" i="2" s="1"/>
  <c r="E353" i="2"/>
  <c r="F353" i="2" s="1"/>
  <c r="E345" i="2"/>
  <c r="F345" i="2" s="1"/>
  <c r="E337" i="2"/>
  <c r="F337" i="2" s="1"/>
  <c r="E329" i="2"/>
  <c r="F329" i="2" s="1"/>
  <c r="E321" i="2"/>
  <c r="F321" i="2" s="1"/>
  <c r="E313" i="2"/>
  <c r="F313" i="2" s="1"/>
  <c r="E305" i="2"/>
  <c r="F305" i="2" s="1"/>
  <c r="E297" i="2"/>
  <c r="F297" i="2" s="1"/>
  <c r="E289" i="2"/>
  <c r="F289" i="2" s="1"/>
  <c r="E281" i="2"/>
  <c r="F281" i="2" s="1"/>
  <c r="E273" i="2"/>
  <c r="F273" i="2" s="1"/>
  <c r="E265" i="2"/>
  <c r="F265" i="2" s="1"/>
  <c r="E257" i="2"/>
  <c r="F257" i="2" s="1"/>
  <c r="E249" i="2"/>
  <c r="F249" i="2" s="1"/>
  <c r="E241" i="2"/>
  <c r="F241" i="2" s="1"/>
  <c r="E233" i="2"/>
  <c r="F233" i="2" s="1"/>
  <c r="E225" i="2"/>
  <c r="F225" i="2" s="1"/>
  <c r="E217" i="2"/>
  <c r="F217" i="2" s="1"/>
  <c r="E209" i="2"/>
  <c r="F209" i="2" s="1"/>
  <c r="E201" i="2"/>
  <c r="F201" i="2" s="1"/>
  <c r="E193" i="2"/>
  <c r="F193" i="2" s="1"/>
  <c r="E185" i="2"/>
  <c r="F185" i="2" s="1"/>
  <c r="E177" i="2"/>
  <c r="F177" i="2" s="1"/>
  <c r="E169" i="2"/>
  <c r="F169" i="2" s="1"/>
  <c r="E161" i="2"/>
  <c r="F161" i="2" s="1"/>
  <c r="E153" i="2"/>
  <c r="F153" i="2" s="1"/>
  <c r="E145" i="2"/>
  <c r="F145" i="2" s="1"/>
  <c r="E137" i="2"/>
  <c r="F137" i="2" s="1"/>
  <c r="E129" i="2"/>
  <c r="F129" i="2" s="1"/>
  <c r="E121" i="2"/>
  <c r="F121" i="2" s="1"/>
  <c r="E113" i="2"/>
  <c r="F113" i="2" s="1"/>
  <c r="E105" i="2"/>
  <c r="F105" i="2" s="1"/>
  <c r="E97" i="2"/>
  <c r="F97" i="2" s="1"/>
  <c r="E89" i="2"/>
  <c r="F89" i="2" s="1"/>
  <c r="E81" i="2"/>
  <c r="F81" i="2" s="1"/>
  <c r="E73" i="2"/>
  <c r="F73" i="2" s="1"/>
  <c r="E65" i="2"/>
  <c r="F65" i="2" s="1"/>
  <c r="E57" i="2"/>
  <c r="F57" i="2" s="1"/>
  <c r="E49" i="2"/>
  <c r="F49" i="2" s="1"/>
  <c r="E41" i="2"/>
  <c r="F41" i="2" s="1"/>
  <c r="E33" i="2"/>
  <c r="F33" i="2" s="1"/>
  <c r="E25" i="2"/>
  <c r="F25" i="2" s="1"/>
  <c r="E17" i="2"/>
  <c r="F17" i="2" s="1"/>
  <c r="E9" i="2"/>
  <c r="F9" i="2" s="1"/>
  <c r="E579" i="2"/>
  <c r="F579" i="2" s="1"/>
  <c r="E427" i="2"/>
  <c r="F427" i="2" s="1"/>
  <c r="E35" i="2"/>
  <c r="F35" i="2" s="1"/>
  <c r="E99" i="2"/>
  <c r="F99" i="2" s="1"/>
  <c r="E163" i="2"/>
  <c r="F163" i="2" s="1"/>
  <c r="E227" i="2"/>
  <c r="F227" i="2" s="1"/>
  <c r="E291" i="2"/>
  <c r="F291" i="2" s="1"/>
  <c r="E355" i="2"/>
  <c r="F355" i="2" s="1"/>
  <c r="E43" i="2"/>
  <c r="F43" i="2" s="1"/>
  <c r="E107" i="2"/>
  <c r="F107" i="2" s="1"/>
  <c r="E171" i="2"/>
  <c r="F171" i="2" s="1"/>
  <c r="E235" i="2"/>
  <c r="F235" i="2" s="1"/>
  <c r="E299" i="2"/>
  <c r="F299" i="2" s="1"/>
  <c r="E363" i="2"/>
  <c r="F363" i="2" s="1"/>
  <c r="E13" i="1"/>
  <c r="F13" i="1" s="1"/>
  <c r="E45" i="1"/>
  <c r="F45" i="1" s="1"/>
  <c r="E77" i="1"/>
  <c r="F77" i="1" s="1"/>
  <c r="E109" i="1"/>
  <c r="F109" i="1" s="1"/>
  <c r="E141" i="1"/>
  <c r="F141" i="1" s="1"/>
  <c r="E173" i="1"/>
  <c r="F173" i="1" s="1"/>
  <c r="E205" i="1"/>
  <c r="F205" i="1" s="1"/>
  <c r="E237" i="1"/>
  <c r="F237" i="1" s="1"/>
  <c r="E269" i="1"/>
  <c r="F269" i="1" s="1"/>
  <c r="E301" i="1"/>
  <c r="F301" i="1" s="1"/>
  <c r="E333" i="1"/>
  <c r="F333" i="1" s="1"/>
  <c r="E365" i="1"/>
  <c r="F365" i="1" s="1"/>
  <c r="E397" i="1"/>
  <c r="F397" i="1" s="1"/>
  <c r="E429" i="1"/>
  <c r="F429" i="1" s="1"/>
  <c r="E461" i="1"/>
  <c r="F461" i="1" s="1"/>
  <c r="E501" i="1"/>
  <c r="F501" i="1" s="1"/>
  <c r="E557" i="1"/>
  <c r="F557" i="1" s="1"/>
  <c r="E14" i="1"/>
  <c r="F14" i="1" s="1"/>
  <c r="E46" i="1"/>
  <c r="F46" i="1" s="1"/>
  <c r="E78" i="1"/>
  <c r="F78" i="1" s="1"/>
  <c r="E110" i="1"/>
  <c r="F110" i="1" s="1"/>
  <c r="E142" i="1"/>
  <c r="F142" i="1" s="1"/>
  <c r="E174" i="1"/>
  <c r="F174" i="1" s="1"/>
  <c r="E206" i="1"/>
  <c r="F206" i="1" s="1"/>
  <c r="E238" i="1"/>
  <c r="F238" i="1" s="1"/>
  <c r="E270" i="1"/>
  <c r="F270" i="1" s="1"/>
  <c r="E302" i="1"/>
  <c r="F302" i="1" s="1"/>
  <c r="E334" i="1"/>
  <c r="F334" i="1" s="1"/>
  <c r="E366" i="1"/>
  <c r="F366" i="1" s="1"/>
  <c r="E398" i="1"/>
  <c r="F398" i="1" s="1"/>
  <c r="E430" i="1"/>
  <c r="F430" i="1" s="1"/>
  <c r="E462" i="1"/>
  <c r="F462" i="1" s="1"/>
  <c r="E509" i="1"/>
  <c r="F509" i="1" s="1"/>
  <c r="E565" i="1"/>
  <c r="F565" i="1" s="1"/>
  <c r="E21" i="1"/>
  <c r="F21" i="1" s="1"/>
  <c r="E53" i="1"/>
  <c r="F53" i="1" s="1"/>
  <c r="E85" i="1"/>
  <c r="F85" i="1" s="1"/>
  <c r="E117" i="1"/>
  <c r="F117" i="1" s="1"/>
  <c r="E149" i="1"/>
  <c r="F149" i="1" s="1"/>
  <c r="E181" i="1"/>
  <c r="F181" i="1" s="1"/>
  <c r="E213" i="1"/>
  <c r="F213" i="1" s="1"/>
  <c r="E245" i="1"/>
  <c r="F245" i="1" s="1"/>
  <c r="E277" i="1"/>
  <c r="F277" i="1" s="1"/>
  <c r="E309" i="1"/>
  <c r="F309" i="1" s="1"/>
  <c r="E341" i="1"/>
  <c r="F341" i="1" s="1"/>
  <c r="E373" i="1"/>
  <c r="F373" i="1" s="1"/>
  <c r="E405" i="1"/>
  <c r="F405" i="1" s="1"/>
  <c r="E437" i="1"/>
  <c r="F437" i="1" s="1"/>
  <c r="E469" i="1"/>
  <c r="F469" i="1" s="1"/>
  <c r="E517" i="1"/>
  <c r="F517" i="1" s="1"/>
  <c r="E573" i="1"/>
  <c r="F573" i="1" s="1"/>
  <c r="E22" i="1"/>
  <c r="F22" i="1" s="1"/>
  <c r="E54" i="1"/>
  <c r="F54" i="1" s="1"/>
  <c r="E86" i="1"/>
  <c r="F86" i="1" s="1"/>
  <c r="E118" i="1"/>
  <c r="F118" i="1" s="1"/>
  <c r="E150" i="1"/>
  <c r="F150" i="1" s="1"/>
  <c r="E182" i="1"/>
  <c r="F182" i="1" s="1"/>
  <c r="E214" i="1"/>
  <c r="F214" i="1" s="1"/>
  <c r="E246" i="1"/>
  <c r="F246" i="1" s="1"/>
  <c r="E278" i="1"/>
  <c r="F278" i="1" s="1"/>
  <c r="E310" i="1"/>
  <c r="F310" i="1" s="1"/>
  <c r="E342" i="1"/>
  <c r="F342" i="1" s="1"/>
  <c r="E374" i="1"/>
  <c r="F374" i="1" s="1"/>
  <c r="E406" i="1"/>
  <c r="F406" i="1" s="1"/>
  <c r="E438" i="1"/>
  <c r="F438" i="1" s="1"/>
  <c r="E470" i="1"/>
  <c r="F470" i="1" s="1"/>
  <c r="E525" i="1"/>
  <c r="F525" i="1" s="1"/>
  <c r="E581" i="1"/>
  <c r="F581" i="1" s="1"/>
  <c r="E29" i="1"/>
  <c r="F29" i="1" s="1"/>
  <c r="E61" i="1"/>
  <c r="F61" i="1" s="1"/>
  <c r="E93" i="1"/>
  <c r="F93" i="1" s="1"/>
  <c r="E125" i="1"/>
  <c r="F125" i="1" s="1"/>
  <c r="E157" i="1"/>
  <c r="F157" i="1" s="1"/>
  <c r="E189" i="1"/>
  <c r="F189" i="1" s="1"/>
  <c r="E221" i="1"/>
  <c r="F221" i="1" s="1"/>
  <c r="E253" i="1"/>
  <c r="F253" i="1" s="1"/>
  <c r="E285" i="1"/>
  <c r="F285" i="1" s="1"/>
  <c r="E317" i="1"/>
  <c r="F317" i="1" s="1"/>
  <c r="E349" i="1"/>
  <c r="F349" i="1" s="1"/>
  <c r="E381" i="1"/>
  <c r="F381" i="1" s="1"/>
  <c r="E413" i="1"/>
  <c r="F413" i="1" s="1"/>
  <c r="E445" i="1"/>
  <c r="F445" i="1" s="1"/>
  <c r="E477" i="1"/>
  <c r="F477" i="1" s="1"/>
  <c r="E533" i="1"/>
  <c r="F533" i="1" s="1"/>
  <c r="E30" i="1"/>
  <c r="F30" i="1" s="1"/>
  <c r="E62" i="1"/>
  <c r="F62" i="1" s="1"/>
  <c r="E94" i="1"/>
  <c r="F94" i="1" s="1"/>
  <c r="E126" i="1"/>
  <c r="F126" i="1" s="1"/>
  <c r="E158" i="1"/>
  <c r="F158" i="1" s="1"/>
  <c r="E190" i="1"/>
  <c r="F190" i="1" s="1"/>
  <c r="E222" i="1"/>
  <c r="F222" i="1" s="1"/>
  <c r="E254" i="1"/>
  <c r="F254" i="1" s="1"/>
  <c r="E286" i="1"/>
  <c r="F286" i="1" s="1"/>
  <c r="E318" i="1"/>
  <c r="F318" i="1" s="1"/>
  <c r="E350" i="1"/>
  <c r="F350" i="1" s="1"/>
  <c r="E382" i="1"/>
  <c r="F382" i="1" s="1"/>
  <c r="E414" i="1"/>
  <c r="F414" i="1" s="1"/>
  <c r="E446" i="1"/>
  <c r="F446" i="1" s="1"/>
  <c r="E478" i="1"/>
  <c r="F478" i="1" s="1"/>
  <c r="E580" i="1"/>
  <c r="F580" i="1" s="1"/>
  <c r="E572" i="1"/>
  <c r="F572" i="1" s="1"/>
  <c r="E564" i="1"/>
  <c r="F564" i="1" s="1"/>
  <c r="E556" i="1"/>
  <c r="F556" i="1" s="1"/>
  <c r="E548" i="1"/>
  <c r="F548" i="1" s="1"/>
  <c r="E540" i="1"/>
  <c r="F540" i="1" s="1"/>
  <c r="E532" i="1"/>
  <c r="F532" i="1" s="1"/>
  <c r="E524" i="1"/>
  <c r="F524" i="1" s="1"/>
  <c r="E516" i="1"/>
  <c r="F516" i="1" s="1"/>
  <c r="E508" i="1"/>
  <c r="F508" i="1" s="1"/>
  <c r="E500" i="1"/>
  <c r="F500" i="1" s="1"/>
  <c r="E492" i="1"/>
  <c r="F492" i="1" s="1"/>
  <c r="E484" i="1"/>
  <c r="F484" i="1" s="1"/>
  <c r="E476" i="1"/>
  <c r="F476" i="1" s="1"/>
  <c r="E468" i="1"/>
  <c r="F468" i="1" s="1"/>
  <c r="E460" i="1"/>
  <c r="F460" i="1" s="1"/>
  <c r="E452" i="1"/>
  <c r="F452" i="1" s="1"/>
  <c r="E444" i="1"/>
  <c r="F444" i="1" s="1"/>
  <c r="E436" i="1"/>
  <c r="F436" i="1" s="1"/>
  <c r="E428" i="1"/>
  <c r="F428" i="1" s="1"/>
  <c r="E420" i="1"/>
  <c r="F420" i="1" s="1"/>
  <c r="E412" i="1"/>
  <c r="F412" i="1" s="1"/>
  <c r="E404" i="1"/>
  <c r="F404" i="1" s="1"/>
  <c r="E396" i="1"/>
  <c r="F396" i="1" s="1"/>
  <c r="E388" i="1"/>
  <c r="F388" i="1" s="1"/>
  <c r="E380" i="1"/>
  <c r="F380" i="1" s="1"/>
  <c r="E372" i="1"/>
  <c r="F372" i="1" s="1"/>
  <c r="E364" i="1"/>
  <c r="F364" i="1" s="1"/>
  <c r="E356" i="1"/>
  <c r="F356" i="1" s="1"/>
  <c r="E348" i="1"/>
  <c r="F348" i="1" s="1"/>
  <c r="E340" i="1"/>
  <c r="F340" i="1" s="1"/>
  <c r="E332" i="1"/>
  <c r="F332" i="1" s="1"/>
  <c r="E324" i="1"/>
  <c r="F324" i="1" s="1"/>
  <c r="E316" i="1"/>
  <c r="F316" i="1" s="1"/>
  <c r="E308" i="1"/>
  <c r="F308" i="1" s="1"/>
  <c r="E300" i="1"/>
  <c r="F300" i="1" s="1"/>
  <c r="E292" i="1"/>
  <c r="F292" i="1" s="1"/>
  <c r="E284" i="1"/>
  <c r="F284" i="1" s="1"/>
  <c r="E276" i="1"/>
  <c r="F276" i="1" s="1"/>
  <c r="E268" i="1"/>
  <c r="F268" i="1" s="1"/>
  <c r="E260" i="1"/>
  <c r="F260" i="1" s="1"/>
  <c r="E252" i="1"/>
  <c r="F252" i="1" s="1"/>
  <c r="E244" i="1"/>
  <c r="F244" i="1" s="1"/>
  <c r="E236" i="1"/>
  <c r="F236" i="1" s="1"/>
  <c r="E228" i="1"/>
  <c r="F228" i="1" s="1"/>
  <c r="E220" i="1"/>
  <c r="F220" i="1" s="1"/>
  <c r="E212" i="1"/>
  <c r="F212" i="1" s="1"/>
  <c r="E204" i="1"/>
  <c r="F204" i="1" s="1"/>
  <c r="E196" i="1"/>
  <c r="F196" i="1" s="1"/>
  <c r="E188" i="1"/>
  <c r="F188" i="1" s="1"/>
  <c r="E180" i="1"/>
  <c r="F180" i="1" s="1"/>
  <c r="E172" i="1"/>
  <c r="F172" i="1" s="1"/>
  <c r="E164" i="1"/>
  <c r="F164" i="1" s="1"/>
  <c r="E156" i="1"/>
  <c r="F156" i="1" s="1"/>
  <c r="E148" i="1"/>
  <c r="F148" i="1" s="1"/>
  <c r="E140" i="1"/>
  <c r="F140" i="1" s="1"/>
  <c r="E132" i="1"/>
  <c r="F132" i="1" s="1"/>
  <c r="E124" i="1"/>
  <c r="F124" i="1" s="1"/>
  <c r="E116" i="1"/>
  <c r="F116" i="1" s="1"/>
  <c r="E108" i="1"/>
  <c r="F108" i="1" s="1"/>
  <c r="E100" i="1"/>
  <c r="F100" i="1" s="1"/>
  <c r="E92" i="1"/>
  <c r="F92" i="1" s="1"/>
  <c r="E84" i="1"/>
  <c r="F84" i="1" s="1"/>
  <c r="E76" i="1"/>
  <c r="F76" i="1" s="1"/>
  <c r="E68" i="1"/>
  <c r="F68" i="1" s="1"/>
  <c r="E60" i="1"/>
  <c r="F60" i="1" s="1"/>
  <c r="E52" i="1"/>
  <c r="F52" i="1" s="1"/>
  <c r="E44" i="1"/>
  <c r="F44" i="1" s="1"/>
  <c r="E36" i="1"/>
  <c r="F36" i="1" s="1"/>
  <c r="E28" i="1"/>
  <c r="F28" i="1" s="1"/>
  <c r="E20" i="1"/>
  <c r="F20" i="1" s="1"/>
  <c r="E12" i="1"/>
  <c r="F12" i="1" s="1"/>
  <c r="E4" i="1"/>
  <c r="F4" i="1" s="1"/>
  <c r="E552" i="1"/>
  <c r="F552" i="1" s="1"/>
  <c r="E72" i="1"/>
  <c r="F72" i="1" s="1"/>
  <c r="E579" i="1"/>
  <c r="F579" i="1" s="1"/>
  <c r="E571" i="1"/>
  <c r="F571" i="1" s="1"/>
  <c r="E563" i="1"/>
  <c r="F563" i="1" s="1"/>
  <c r="E555" i="1"/>
  <c r="F555" i="1" s="1"/>
  <c r="E547" i="1"/>
  <c r="F547" i="1" s="1"/>
  <c r="E539" i="1"/>
  <c r="F539" i="1" s="1"/>
  <c r="E531" i="1"/>
  <c r="F531" i="1" s="1"/>
  <c r="E523" i="1"/>
  <c r="F523" i="1" s="1"/>
  <c r="E515" i="1"/>
  <c r="F515" i="1" s="1"/>
  <c r="E507" i="1"/>
  <c r="F507" i="1" s="1"/>
  <c r="E499" i="1"/>
  <c r="F499" i="1" s="1"/>
  <c r="E491" i="1"/>
  <c r="F491" i="1" s="1"/>
  <c r="E483" i="1"/>
  <c r="F483" i="1" s="1"/>
  <c r="E475" i="1"/>
  <c r="F475" i="1" s="1"/>
  <c r="E467" i="1"/>
  <c r="F467" i="1" s="1"/>
  <c r="E459" i="1"/>
  <c r="F459" i="1" s="1"/>
  <c r="E451" i="1"/>
  <c r="F451" i="1" s="1"/>
  <c r="E443" i="1"/>
  <c r="F443" i="1" s="1"/>
  <c r="E435" i="1"/>
  <c r="F435" i="1" s="1"/>
  <c r="E427" i="1"/>
  <c r="F427" i="1" s="1"/>
  <c r="E419" i="1"/>
  <c r="F419" i="1" s="1"/>
  <c r="E411" i="1"/>
  <c r="F411" i="1" s="1"/>
  <c r="E403" i="1"/>
  <c r="F403" i="1" s="1"/>
  <c r="E395" i="1"/>
  <c r="F395" i="1" s="1"/>
  <c r="E387" i="1"/>
  <c r="F387" i="1" s="1"/>
  <c r="E379" i="1"/>
  <c r="F379" i="1" s="1"/>
  <c r="E371" i="1"/>
  <c r="F371" i="1" s="1"/>
  <c r="E363" i="1"/>
  <c r="F363" i="1" s="1"/>
  <c r="E355" i="1"/>
  <c r="F355" i="1" s="1"/>
  <c r="E347" i="1"/>
  <c r="F347" i="1" s="1"/>
  <c r="E339" i="1"/>
  <c r="F339" i="1" s="1"/>
  <c r="E331" i="1"/>
  <c r="F331" i="1" s="1"/>
  <c r="E323" i="1"/>
  <c r="F323" i="1" s="1"/>
  <c r="E315" i="1"/>
  <c r="F315" i="1" s="1"/>
  <c r="E307" i="1"/>
  <c r="F307" i="1" s="1"/>
  <c r="E299" i="1"/>
  <c r="F299" i="1" s="1"/>
  <c r="E291" i="1"/>
  <c r="F291" i="1" s="1"/>
  <c r="E283" i="1"/>
  <c r="F283" i="1" s="1"/>
  <c r="E275" i="1"/>
  <c r="F275" i="1" s="1"/>
  <c r="E267" i="1"/>
  <c r="F267" i="1" s="1"/>
  <c r="E259" i="1"/>
  <c r="F259" i="1" s="1"/>
  <c r="E251" i="1"/>
  <c r="F251" i="1" s="1"/>
  <c r="E243" i="1"/>
  <c r="F243" i="1" s="1"/>
  <c r="E235" i="1"/>
  <c r="F235" i="1" s="1"/>
  <c r="E227" i="1"/>
  <c r="F227" i="1" s="1"/>
  <c r="E219" i="1"/>
  <c r="F219" i="1" s="1"/>
  <c r="E211" i="1"/>
  <c r="F211" i="1" s="1"/>
  <c r="E203" i="1"/>
  <c r="F203" i="1" s="1"/>
  <c r="E195" i="1"/>
  <c r="F195" i="1" s="1"/>
  <c r="E187" i="1"/>
  <c r="F187" i="1" s="1"/>
  <c r="E179" i="1"/>
  <c r="F179" i="1" s="1"/>
  <c r="E171" i="1"/>
  <c r="F171" i="1" s="1"/>
  <c r="E163" i="1"/>
  <c r="F163" i="1" s="1"/>
  <c r="E155" i="1"/>
  <c r="F155" i="1" s="1"/>
  <c r="E147" i="1"/>
  <c r="F147" i="1" s="1"/>
  <c r="E139" i="1"/>
  <c r="F139" i="1" s="1"/>
  <c r="E131" i="1"/>
  <c r="F131" i="1" s="1"/>
  <c r="E123" i="1"/>
  <c r="F123" i="1" s="1"/>
  <c r="E115" i="1"/>
  <c r="F115" i="1" s="1"/>
  <c r="E107" i="1"/>
  <c r="F107" i="1" s="1"/>
  <c r="E99" i="1"/>
  <c r="F99" i="1" s="1"/>
  <c r="E91" i="1"/>
  <c r="F91" i="1" s="1"/>
  <c r="E83" i="1"/>
  <c r="F83" i="1" s="1"/>
  <c r="E75" i="1"/>
  <c r="F75" i="1" s="1"/>
  <c r="E67" i="1"/>
  <c r="F67" i="1" s="1"/>
  <c r="E59" i="1"/>
  <c r="F59" i="1" s="1"/>
  <c r="E51" i="1"/>
  <c r="F51" i="1" s="1"/>
  <c r="E43" i="1"/>
  <c r="F43" i="1" s="1"/>
  <c r="E35" i="1"/>
  <c r="F35" i="1" s="1"/>
  <c r="E27" i="1"/>
  <c r="F27" i="1" s="1"/>
  <c r="E19" i="1"/>
  <c r="F19" i="1" s="1"/>
  <c r="E11" i="1"/>
  <c r="F11" i="1" s="1"/>
  <c r="E3" i="1"/>
  <c r="F3" i="1" s="1"/>
  <c r="E208" i="1"/>
  <c r="F208" i="1" s="1"/>
  <c r="E578" i="1"/>
  <c r="F578" i="1" s="1"/>
  <c r="E570" i="1"/>
  <c r="F570" i="1" s="1"/>
  <c r="E562" i="1"/>
  <c r="F562" i="1" s="1"/>
  <c r="E554" i="1"/>
  <c r="F554" i="1" s="1"/>
  <c r="E546" i="1"/>
  <c r="F546" i="1" s="1"/>
  <c r="E538" i="1"/>
  <c r="F538" i="1" s="1"/>
  <c r="E530" i="1"/>
  <c r="F530" i="1" s="1"/>
  <c r="E522" i="1"/>
  <c r="F522" i="1" s="1"/>
  <c r="E514" i="1"/>
  <c r="F514" i="1" s="1"/>
  <c r="E506" i="1"/>
  <c r="F506" i="1" s="1"/>
  <c r="E498" i="1"/>
  <c r="F498" i="1" s="1"/>
  <c r="E490" i="1"/>
  <c r="F490" i="1" s="1"/>
  <c r="E482" i="1"/>
  <c r="F482" i="1" s="1"/>
  <c r="E474" i="1"/>
  <c r="F474" i="1" s="1"/>
  <c r="E466" i="1"/>
  <c r="F466" i="1" s="1"/>
  <c r="E458" i="1"/>
  <c r="F458" i="1" s="1"/>
  <c r="E450" i="1"/>
  <c r="F450" i="1" s="1"/>
  <c r="E442" i="1"/>
  <c r="F442" i="1" s="1"/>
  <c r="E434" i="1"/>
  <c r="F434" i="1" s="1"/>
  <c r="E426" i="1"/>
  <c r="F426" i="1" s="1"/>
  <c r="E418" i="1"/>
  <c r="F418" i="1" s="1"/>
  <c r="E410" i="1"/>
  <c r="F410" i="1" s="1"/>
  <c r="E402" i="1"/>
  <c r="F402" i="1" s="1"/>
  <c r="E394" i="1"/>
  <c r="F394" i="1" s="1"/>
  <c r="E386" i="1"/>
  <c r="F386" i="1" s="1"/>
  <c r="E378" i="1"/>
  <c r="F378" i="1" s="1"/>
  <c r="E370" i="1"/>
  <c r="F370" i="1" s="1"/>
  <c r="E362" i="1"/>
  <c r="F362" i="1" s="1"/>
  <c r="E354" i="1"/>
  <c r="F354" i="1" s="1"/>
  <c r="E346" i="1"/>
  <c r="F346" i="1" s="1"/>
  <c r="E338" i="1"/>
  <c r="F338" i="1" s="1"/>
  <c r="E330" i="1"/>
  <c r="F330" i="1" s="1"/>
  <c r="E322" i="1"/>
  <c r="F322" i="1" s="1"/>
  <c r="E314" i="1"/>
  <c r="F314" i="1" s="1"/>
  <c r="E306" i="1"/>
  <c r="F306" i="1" s="1"/>
  <c r="E298" i="1"/>
  <c r="F298" i="1" s="1"/>
  <c r="E290" i="1"/>
  <c r="F290" i="1" s="1"/>
  <c r="E282" i="1"/>
  <c r="F282" i="1" s="1"/>
  <c r="E274" i="1"/>
  <c r="F274" i="1" s="1"/>
  <c r="E266" i="1"/>
  <c r="F266" i="1" s="1"/>
  <c r="E258" i="1"/>
  <c r="F258" i="1" s="1"/>
  <c r="E250" i="1"/>
  <c r="F250" i="1" s="1"/>
  <c r="E242" i="1"/>
  <c r="F242" i="1" s="1"/>
  <c r="E234" i="1"/>
  <c r="F234" i="1" s="1"/>
  <c r="E226" i="1"/>
  <c r="F226" i="1" s="1"/>
  <c r="E218" i="1"/>
  <c r="F218" i="1" s="1"/>
  <c r="E210" i="1"/>
  <c r="F210" i="1" s="1"/>
  <c r="E202" i="1"/>
  <c r="F202" i="1" s="1"/>
  <c r="E194" i="1"/>
  <c r="F194" i="1" s="1"/>
  <c r="E186" i="1"/>
  <c r="F186" i="1" s="1"/>
  <c r="E178" i="1"/>
  <c r="F178" i="1" s="1"/>
  <c r="E170" i="1"/>
  <c r="F170" i="1" s="1"/>
  <c r="E162" i="1"/>
  <c r="F162" i="1" s="1"/>
  <c r="E154" i="1"/>
  <c r="F154" i="1" s="1"/>
  <c r="E146" i="1"/>
  <c r="F146" i="1" s="1"/>
  <c r="E138" i="1"/>
  <c r="F138" i="1" s="1"/>
  <c r="E130" i="1"/>
  <c r="F130" i="1" s="1"/>
  <c r="E122" i="1"/>
  <c r="F122" i="1" s="1"/>
  <c r="E114" i="1"/>
  <c r="F114" i="1" s="1"/>
  <c r="E106" i="1"/>
  <c r="F106" i="1" s="1"/>
  <c r="E98" i="1"/>
  <c r="F98" i="1" s="1"/>
  <c r="E90" i="1"/>
  <c r="F90" i="1" s="1"/>
  <c r="E82" i="1"/>
  <c r="F82" i="1" s="1"/>
  <c r="E74" i="1"/>
  <c r="F74" i="1" s="1"/>
  <c r="E66" i="1"/>
  <c r="F66" i="1" s="1"/>
  <c r="E58" i="1"/>
  <c r="F58" i="1" s="1"/>
  <c r="E50" i="1"/>
  <c r="F50" i="1" s="1"/>
  <c r="E42" i="1"/>
  <c r="F42" i="1" s="1"/>
  <c r="E34" i="1"/>
  <c r="F34" i="1" s="1"/>
  <c r="E26" i="1"/>
  <c r="F26" i="1" s="1"/>
  <c r="E18" i="1"/>
  <c r="F18" i="1" s="1"/>
  <c r="E10" i="1"/>
  <c r="F10" i="1" s="1"/>
  <c r="E2" i="1"/>
  <c r="F2" i="1" s="1"/>
  <c r="E528" i="1"/>
  <c r="F528" i="1" s="1"/>
  <c r="E577" i="1"/>
  <c r="F577" i="1" s="1"/>
  <c r="E569" i="1"/>
  <c r="F569" i="1" s="1"/>
  <c r="E561" i="1"/>
  <c r="F561" i="1" s="1"/>
  <c r="E553" i="1"/>
  <c r="F553" i="1" s="1"/>
  <c r="E545" i="1"/>
  <c r="F545" i="1" s="1"/>
  <c r="E537" i="1"/>
  <c r="F537" i="1" s="1"/>
  <c r="E529" i="1"/>
  <c r="F529" i="1" s="1"/>
  <c r="E521" i="1"/>
  <c r="F521" i="1" s="1"/>
  <c r="E513" i="1"/>
  <c r="F513" i="1" s="1"/>
  <c r="E505" i="1"/>
  <c r="F505" i="1" s="1"/>
  <c r="E497" i="1"/>
  <c r="F497" i="1" s="1"/>
  <c r="E489" i="1"/>
  <c r="F489" i="1" s="1"/>
  <c r="E481" i="1"/>
  <c r="F481" i="1" s="1"/>
  <c r="E473" i="1"/>
  <c r="F473" i="1" s="1"/>
  <c r="E465" i="1"/>
  <c r="F465" i="1" s="1"/>
  <c r="E457" i="1"/>
  <c r="F457" i="1" s="1"/>
  <c r="E449" i="1"/>
  <c r="F449" i="1" s="1"/>
  <c r="E441" i="1"/>
  <c r="F441" i="1" s="1"/>
  <c r="E433" i="1"/>
  <c r="F433" i="1" s="1"/>
  <c r="E425" i="1"/>
  <c r="F425" i="1" s="1"/>
  <c r="E417" i="1"/>
  <c r="F417" i="1" s="1"/>
  <c r="E409" i="1"/>
  <c r="F409" i="1" s="1"/>
  <c r="E401" i="1"/>
  <c r="F401" i="1" s="1"/>
  <c r="E393" i="1"/>
  <c r="F393" i="1" s="1"/>
  <c r="E385" i="1"/>
  <c r="F385" i="1" s="1"/>
  <c r="E377" i="1"/>
  <c r="F377" i="1" s="1"/>
  <c r="E369" i="1"/>
  <c r="F369" i="1" s="1"/>
  <c r="E361" i="1"/>
  <c r="F361" i="1" s="1"/>
  <c r="E353" i="1"/>
  <c r="F353" i="1" s="1"/>
  <c r="E345" i="1"/>
  <c r="F345" i="1" s="1"/>
  <c r="E337" i="1"/>
  <c r="F337" i="1" s="1"/>
  <c r="E329" i="1"/>
  <c r="F329" i="1" s="1"/>
  <c r="E321" i="1"/>
  <c r="F321" i="1" s="1"/>
  <c r="E313" i="1"/>
  <c r="F313" i="1" s="1"/>
  <c r="E305" i="1"/>
  <c r="F305" i="1" s="1"/>
  <c r="E297" i="1"/>
  <c r="F297" i="1" s="1"/>
  <c r="E289" i="1"/>
  <c r="F289" i="1" s="1"/>
  <c r="E281" i="1"/>
  <c r="F281" i="1" s="1"/>
  <c r="E273" i="1"/>
  <c r="F273" i="1" s="1"/>
  <c r="E265" i="1"/>
  <c r="F265" i="1" s="1"/>
  <c r="E257" i="1"/>
  <c r="F257" i="1" s="1"/>
  <c r="E249" i="1"/>
  <c r="F249" i="1" s="1"/>
  <c r="E241" i="1"/>
  <c r="F241" i="1" s="1"/>
  <c r="E233" i="1"/>
  <c r="F233" i="1" s="1"/>
  <c r="E225" i="1"/>
  <c r="F225" i="1" s="1"/>
  <c r="E217" i="1"/>
  <c r="F217" i="1" s="1"/>
  <c r="E209" i="1"/>
  <c r="F209" i="1" s="1"/>
  <c r="E201" i="1"/>
  <c r="F201" i="1" s="1"/>
  <c r="E193" i="1"/>
  <c r="F193" i="1" s="1"/>
  <c r="E185" i="1"/>
  <c r="F185" i="1" s="1"/>
  <c r="E177" i="1"/>
  <c r="F177" i="1" s="1"/>
  <c r="E169" i="1"/>
  <c r="F169" i="1" s="1"/>
  <c r="E161" i="1"/>
  <c r="F161" i="1" s="1"/>
  <c r="E153" i="1"/>
  <c r="F153" i="1" s="1"/>
  <c r="E145" i="1"/>
  <c r="F145" i="1" s="1"/>
  <c r="E137" i="1"/>
  <c r="F137" i="1" s="1"/>
  <c r="E129" i="1"/>
  <c r="F129" i="1" s="1"/>
  <c r="E121" i="1"/>
  <c r="F121" i="1" s="1"/>
  <c r="E113" i="1"/>
  <c r="F113" i="1" s="1"/>
  <c r="E105" i="1"/>
  <c r="F105" i="1" s="1"/>
  <c r="E97" i="1"/>
  <c r="F97" i="1" s="1"/>
  <c r="E89" i="1"/>
  <c r="F89" i="1" s="1"/>
  <c r="E81" i="1"/>
  <c r="F81" i="1" s="1"/>
  <c r="E73" i="1"/>
  <c r="F73" i="1" s="1"/>
  <c r="E65" i="1"/>
  <c r="F65" i="1" s="1"/>
  <c r="E57" i="1"/>
  <c r="F57" i="1" s="1"/>
  <c r="E49" i="1"/>
  <c r="F49" i="1" s="1"/>
  <c r="E41" i="1"/>
  <c r="F41" i="1" s="1"/>
  <c r="E33" i="1"/>
  <c r="F33" i="1" s="1"/>
  <c r="E25" i="1"/>
  <c r="F25" i="1" s="1"/>
  <c r="E17" i="1"/>
  <c r="F17" i="1" s="1"/>
  <c r="E9" i="1"/>
  <c r="F9" i="1" s="1"/>
  <c r="E512" i="1"/>
  <c r="F512" i="1" s="1"/>
  <c r="E24" i="1"/>
  <c r="F24" i="1" s="1"/>
  <c r="E584" i="1"/>
  <c r="F584" i="1" s="1"/>
  <c r="E576" i="1"/>
  <c r="F576" i="1" s="1"/>
  <c r="E568" i="1"/>
  <c r="F568" i="1" s="1"/>
  <c r="E560" i="1"/>
  <c r="F560" i="1" s="1"/>
  <c r="E544" i="1"/>
  <c r="F544" i="1" s="1"/>
  <c r="E536" i="1"/>
  <c r="F536" i="1" s="1"/>
  <c r="E520" i="1"/>
  <c r="F520" i="1" s="1"/>
  <c r="E504" i="1"/>
  <c r="F504" i="1" s="1"/>
  <c r="E496" i="1"/>
  <c r="F496" i="1" s="1"/>
  <c r="E488" i="1"/>
  <c r="F488" i="1" s="1"/>
  <c r="E480" i="1"/>
  <c r="F480" i="1" s="1"/>
  <c r="E472" i="1"/>
  <c r="F472" i="1" s="1"/>
  <c r="E464" i="1"/>
  <c r="F464" i="1" s="1"/>
  <c r="E456" i="1"/>
  <c r="F456" i="1" s="1"/>
  <c r="E448" i="1"/>
  <c r="F448" i="1" s="1"/>
  <c r="E440" i="1"/>
  <c r="F440" i="1" s="1"/>
  <c r="E432" i="1"/>
  <c r="F432" i="1" s="1"/>
  <c r="E424" i="1"/>
  <c r="F424" i="1" s="1"/>
  <c r="E416" i="1"/>
  <c r="F416" i="1" s="1"/>
  <c r="E408" i="1"/>
  <c r="F408" i="1" s="1"/>
  <c r="E400" i="1"/>
  <c r="F400" i="1" s="1"/>
  <c r="E392" i="1"/>
  <c r="F392" i="1" s="1"/>
  <c r="E384" i="1"/>
  <c r="F384" i="1" s="1"/>
  <c r="E376" i="1"/>
  <c r="F376" i="1" s="1"/>
  <c r="E368" i="1"/>
  <c r="F368" i="1" s="1"/>
  <c r="E360" i="1"/>
  <c r="F360" i="1" s="1"/>
  <c r="E352" i="1"/>
  <c r="F352" i="1" s="1"/>
  <c r="E344" i="1"/>
  <c r="F344" i="1" s="1"/>
  <c r="E336" i="1"/>
  <c r="F336" i="1" s="1"/>
  <c r="E328" i="1"/>
  <c r="F328" i="1" s="1"/>
  <c r="E320" i="1"/>
  <c r="F320" i="1" s="1"/>
  <c r="E312" i="1"/>
  <c r="F312" i="1" s="1"/>
  <c r="E304" i="1"/>
  <c r="F304" i="1" s="1"/>
  <c r="E296" i="1"/>
  <c r="F296" i="1" s="1"/>
  <c r="E288" i="1"/>
  <c r="F288" i="1" s="1"/>
  <c r="E280" i="1"/>
  <c r="F280" i="1" s="1"/>
  <c r="E272" i="1"/>
  <c r="F272" i="1" s="1"/>
  <c r="E264" i="1"/>
  <c r="F264" i="1" s="1"/>
  <c r="E256" i="1"/>
  <c r="F256" i="1" s="1"/>
  <c r="E248" i="1"/>
  <c r="F248" i="1" s="1"/>
  <c r="E240" i="1"/>
  <c r="F240" i="1" s="1"/>
  <c r="E232" i="1"/>
  <c r="F232" i="1" s="1"/>
  <c r="E224" i="1"/>
  <c r="F224" i="1" s="1"/>
  <c r="E216" i="1"/>
  <c r="F216" i="1" s="1"/>
  <c r="E200" i="1"/>
  <c r="F200" i="1" s="1"/>
  <c r="E192" i="1"/>
  <c r="F192" i="1" s="1"/>
  <c r="E184" i="1"/>
  <c r="F184" i="1" s="1"/>
  <c r="E176" i="1"/>
  <c r="F176" i="1" s="1"/>
  <c r="E168" i="1"/>
  <c r="F168" i="1" s="1"/>
  <c r="E160" i="1"/>
  <c r="F160" i="1" s="1"/>
  <c r="E152" i="1"/>
  <c r="F152" i="1" s="1"/>
  <c r="E144" i="1"/>
  <c r="F144" i="1" s="1"/>
  <c r="E136" i="1"/>
  <c r="F136" i="1" s="1"/>
  <c r="E128" i="1"/>
  <c r="F128" i="1" s="1"/>
  <c r="E120" i="1"/>
  <c r="F120" i="1" s="1"/>
  <c r="E112" i="1"/>
  <c r="F112" i="1" s="1"/>
  <c r="E104" i="1"/>
  <c r="F104" i="1" s="1"/>
  <c r="E96" i="1"/>
  <c r="F96" i="1" s="1"/>
  <c r="E88" i="1"/>
  <c r="F88" i="1" s="1"/>
  <c r="E80" i="1"/>
  <c r="F80" i="1" s="1"/>
  <c r="E64" i="1"/>
  <c r="F64" i="1" s="1"/>
  <c r="E56" i="1"/>
  <c r="F56" i="1" s="1"/>
  <c r="E48" i="1"/>
  <c r="F48" i="1" s="1"/>
  <c r="E40" i="1"/>
  <c r="F40" i="1" s="1"/>
  <c r="E32" i="1"/>
  <c r="F32" i="1" s="1"/>
  <c r="E16" i="1"/>
  <c r="F16" i="1" s="1"/>
  <c r="E8" i="1"/>
  <c r="F8" i="1" s="1"/>
  <c r="E583" i="1"/>
  <c r="F583" i="1" s="1"/>
  <c r="E575" i="1"/>
  <c r="F575" i="1" s="1"/>
  <c r="E567" i="1"/>
  <c r="F567" i="1" s="1"/>
  <c r="E559" i="1"/>
  <c r="F559" i="1" s="1"/>
  <c r="E551" i="1"/>
  <c r="F551" i="1" s="1"/>
  <c r="E543" i="1"/>
  <c r="F543" i="1" s="1"/>
  <c r="E535" i="1"/>
  <c r="F535" i="1" s="1"/>
  <c r="E527" i="1"/>
  <c r="F527" i="1" s="1"/>
  <c r="E519" i="1"/>
  <c r="F519" i="1" s="1"/>
  <c r="E511" i="1"/>
  <c r="F511" i="1" s="1"/>
  <c r="E503" i="1"/>
  <c r="F503" i="1" s="1"/>
  <c r="E495" i="1"/>
  <c r="F495" i="1" s="1"/>
  <c r="E487" i="1"/>
  <c r="F487" i="1" s="1"/>
  <c r="E479" i="1"/>
  <c r="F479" i="1" s="1"/>
  <c r="E471" i="1"/>
  <c r="F471" i="1" s="1"/>
  <c r="E463" i="1"/>
  <c r="F463" i="1" s="1"/>
  <c r="E455" i="1"/>
  <c r="F455" i="1" s="1"/>
  <c r="E447" i="1"/>
  <c r="F447" i="1" s="1"/>
  <c r="E439" i="1"/>
  <c r="F439" i="1" s="1"/>
  <c r="E431" i="1"/>
  <c r="F431" i="1" s="1"/>
  <c r="E423" i="1"/>
  <c r="F423" i="1" s="1"/>
  <c r="E415" i="1"/>
  <c r="F415" i="1" s="1"/>
  <c r="E407" i="1"/>
  <c r="F407" i="1" s="1"/>
  <c r="E399" i="1"/>
  <c r="F399" i="1" s="1"/>
  <c r="E391" i="1"/>
  <c r="F391" i="1" s="1"/>
  <c r="E383" i="1"/>
  <c r="F383" i="1" s="1"/>
  <c r="E375" i="1"/>
  <c r="F375" i="1" s="1"/>
  <c r="E367" i="1"/>
  <c r="F367" i="1" s="1"/>
  <c r="E359" i="1"/>
  <c r="F359" i="1" s="1"/>
  <c r="E351" i="1"/>
  <c r="F351" i="1" s="1"/>
  <c r="E343" i="1"/>
  <c r="F343" i="1" s="1"/>
  <c r="E335" i="1"/>
  <c r="F335" i="1" s="1"/>
  <c r="E327" i="1"/>
  <c r="F327" i="1" s="1"/>
  <c r="E319" i="1"/>
  <c r="F319" i="1" s="1"/>
  <c r="E311" i="1"/>
  <c r="F311" i="1" s="1"/>
  <c r="E303" i="1"/>
  <c r="F303" i="1" s="1"/>
  <c r="E295" i="1"/>
  <c r="F295" i="1" s="1"/>
  <c r="E287" i="1"/>
  <c r="F287" i="1" s="1"/>
  <c r="E279" i="1"/>
  <c r="F279" i="1" s="1"/>
  <c r="E271" i="1"/>
  <c r="F271" i="1" s="1"/>
  <c r="E263" i="1"/>
  <c r="F263" i="1" s="1"/>
  <c r="E255" i="1"/>
  <c r="F255" i="1" s="1"/>
  <c r="E247" i="1"/>
  <c r="F247" i="1" s="1"/>
  <c r="E239" i="1"/>
  <c r="F239" i="1" s="1"/>
  <c r="E231" i="1"/>
  <c r="F231" i="1" s="1"/>
  <c r="E223" i="1"/>
  <c r="F223" i="1" s="1"/>
  <c r="E215" i="1"/>
  <c r="F215" i="1" s="1"/>
  <c r="E207" i="1"/>
  <c r="F207" i="1" s="1"/>
  <c r="E199" i="1"/>
  <c r="F199" i="1" s="1"/>
  <c r="E191" i="1"/>
  <c r="F191" i="1" s="1"/>
  <c r="E183" i="1"/>
  <c r="F183" i="1" s="1"/>
  <c r="E175" i="1"/>
  <c r="F175" i="1" s="1"/>
  <c r="E167" i="1"/>
  <c r="F167" i="1" s="1"/>
  <c r="E159" i="1"/>
  <c r="F159" i="1" s="1"/>
  <c r="E151" i="1"/>
  <c r="F151" i="1" s="1"/>
  <c r="E143" i="1"/>
  <c r="F143" i="1" s="1"/>
  <c r="E135" i="1"/>
  <c r="F135" i="1" s="1"/>
  <c r="E127" i="1"/>
  <c r="F127" i="1" s="1"/>
  <c r="E119" i="1"/>
  <c r="F119" i="1" s="1"/>
  <c r="E111" i="1"/>
  <c r="F111" i="1" s="1"/>
  <c r="E103" i="1"/>
  <c r="F103" i="1" s="1"/>
  <c r="E95" i="1"/>
  <c r="F95" i="1" s="1"/>
  <c r="E87" i="1"/>
  <c r="F87" i="1" s="1"/>
  <c r="E79" i="1"/>
  <c r="F79" i="1" s="1"/>
  <c r="E71" i="1"/>
  <c r="F71" i="1" s="1"/>
  <c r="E63" i="1"/>
  <c r="F63" i="1" s="1"/>
  <c r="E55" i="1"/>
  <c r="F55" i="1" s="1"/>
  <c r="E47" i="1"/>
  <c r="F47" i="1" s="1"/>
  <c r="E39" i="1"/>
  <c r="F39" i="1" s="1"/>
  <c r="E31" i="1"/>
  <c r="F31" i="1" s="1"/>
  <c r="E23" i="1"/>
  <c r="F23" i="1" s="1"/>
  <c r="E15" i="1"/>
  <c r="F15" i="1" s="1"/>
  <c r="E7" i="1"/>
  <c r="F7" i="1" s="1"/>
  <c r="E582" i="1"/>
  <c r="F582" i="1" s="1"/>
  <c r="E574" i="1"/>
  <c r="F574" i="1" s="1"/>
  <c r="E566" i="1"/>
  <c r="F566" i="1" s="1"/>
  <c r="E558" i="1"/>
  <c r="F558" i="1" s="1"/>
  <c r="E542" i="1"/>
  <c r="F542" i="1" s="1"/>
  <c r="E534" i="1"/>
  <c r="F534" i="1" s="1"/>
  <c r="E526" i="1"/>
  <c r="F526" i="1" s="1"/>
  <c r="E518" i="1"/>
  <c r="F518" i="1" s="1"/>
  <c r="E510" i="1"/>
  <c r="F510" i="1" s="1"/>
  <c r="E502" i="1"/>
  <c r="F502" i="1" s="1"/>
  <c r="E494" i="1"/>
  <c r="F494" i="1" s="1"/>
  <c r="E486" i="1"/>
  <c r="F486" i="1" s="1"/>
  <c r="E5" i="1"/>
  <c r="F5" i="1" s="1"/>
  <c r="E37" i="1"/>
  <c r="F37" i="1" s="1"/>
  <c r="E69" i="1"/>
  <c r="F69" i="1" s="1"/>
  <c r="E101" i="1"/>
  <c r="F101" i="1" s="1"/>
  <c r="E133" i="1"/>
  <c r="F133" i="1" s="1"/>
  <c r="E165" i="1"/>
  <c r="F165" i="1" s="1"/>
  <c r="E197" i="1"/>
  <c r="F197" i="1" s="1"/>
  <c r="E229" i="1"/>
  <c r="F229" i="1" s="1"/>
  <c r="E261" i="1"/>
  <c r="F261" i="1" s="1"/>
  <c r="E293" i="1"/>
  <c r="F293" i="1" s="1"/>
  <c r="E325" i="1"/>
  <c r="F325" i="1" s="1"/>
  <c r="E357" i="1"/>
  <c r="F357" i="1" s="1"/>
  <c r="E389" i="1"/>
  <c r="F389" i="1" s="1"/>
  <c r="E421" i="1"/>
  <c r="F421" i="1" s="1"/>
  <c r="E453" i="1"/>
  <c r="F453" i="1" s="1"/>
  <c r="E485" i="1"/>
  <c r="F485" i="1" s="1"/>
  <c r="E549" i="1"/>
  <c r="F549" i="1" s="1"/>
  <c r="E6" i="1"/>
  <c r="F6" i="1" s="1"/>
  <c r="E38" i="1"/>
  <c r="F38" i="1" s="1"/>
  <c r="E70" i="1"/>
  <c r="F70" i="1" s="1"/>
  <c r="E102" i="1"/>
  <c r="F102" i="1" s="1"/>
  <c r="E134" i="1"/>
  <c r="F134" i="1" s="1"/>
  <c r="E166" i="1"/>
  <c r="F166" i="1" s="1"/>
  <c r="E198" i="1"/>
  <c r="F198" i="1" s="1"/>
  <c r="E230" i="1"/>
  <c r="F230" i="1" s="1"/>
  <c r="E262" i="1"/>
  <c r="F262" i="1" s="1"/>
  <c r="E294" i="1"/>
  <c r="F294" i="1" s="1"/>
  <c r="E326" i="1"/>
  <c r="F326" i="1" s="1"/>
  <c r="E358" i="1"/>
  <c r="F358" i="1" s="1"/>
  <c r="E390" i="1"/>
  <c r="F390" i="1" s="1"/>
  <c r="E422" i="1"/>
  <c r="F422" i="1" s="1"/>
  <c r="E454" i="1"/>
  <c r="F454" i="1" s="1"/>
  <c r="E493" i="1"/>
  <c r="F493" i="1" s="1"/>
  <c r="E550" i="1"/>
  <c r="F550" i="1" s="1"/>
  <c r="E8" i="5" l="1"/>
  <c r="F8" i="5" s="1"/>
  <c r="E16" i="5"/>
  <c r="F16" i="5" s="1"/>
  <c r="E24" i="5"/>
  <c r="F24" i="5" s="1"/>
  <c r="E32" i="5"/>
  <c r="F32" i="5" s="1"/>
  <c r="E40" i="5"/>
  <c r="F40" i="5" s="1"/>
  <c r="E48" i="5"/>
  <c r="F48" i="5" s="1"/>
  <c r="E56" i="5"/>
  <c r="F56" i="5" s="1"/>
  <c r="E64" i="5"/>
  <c r="F64" i="5" s="1"/>
  <c r="E72" i="5"/>
  <c r="F72" i="5" s="1"/>
  <c r="E80" i="5"/>
  <c r="F80" i="5" s="1"/>
  <c r="E88" i="5"/>
  <c r="F88" i="5" s="1"/>
  <c r="E96" i="5"/>
  <c r="F96" i="5" s="1"/>
  <c r="E104" i="5"/>
  <c r="F104" i="5" s="1"/>
  <c r="E112" i="5"/>
  <c r="F112" i="5" s="1"/>
  <c r="E120" i="5"/>
  <c r="F120" i="5" s="1"/>
  <c r="E128" i="5"/>
  <c r="F128" i="5" s="1"/>
  <c r="E136" i="5"/>
  <c r="F136" i="5" s="1"/>
  <c r="E144" i="5"/>
  <c r="F144" i="5" s="1"/>
  <c r="E152" i="5"/>
  <c r="F152" i="5" s="1"/>
  <c r="E160" i="5"/>
  <c r="F160" i="5" s="1"/>
  <c r="E168" i="5"/>
  <c r="F168" i="5" s="1"/>
  <c r="E176" i="5"/>
  <c r="F176" i="5" s="1"/>
  <c r="E184" i="5"/>
  <c r="F184" i="5" s="1"/>
  <c r="E192" i="5"/>
  <c r="F192" i="5" s="1"/>
  <c r="E200" i="5"/>
  <c r="F200" i="5" s="1"/>
  <c r="E208" i="5"/>
  <c r="F208" i="5" s="1"/>
  <c r="E216" i="5"/>
  <c r="F216" i="5" s="1"/>
  <c r="E224" i="5"/>
  <c r="F224" i="5" s="1"/>
  <c r="E232" i="5"/>
  <c r="F232" i="5" s="1"/>
  <c r="E240" i="5"/>
  <c r="F240" i="5" s="1"/>
  <c r="E248" i="5"/>
  <c r="F248" i="5" s="1"/>
  <c r="E256" i="5"/>
  <c r="F256" i="5" s="1"/>
  <c r="E264" i="5"/>
  <c r="F264" i="5" s="1"/>
  <c r="E272" i="5"/>
  <c r="F272" i="5" s="1"/>
  <c r="E280" i="5"/>
  <c r="F280" i="5" s="1"/>
  <c r="E288" i="5"/>
  <c r="F288" i="5" s="1"/>
  <c r="E296" i="5"/>
  <c r="F296" i="5" s="1"/>
  <c r="E304" i="5"/>
  <c r="F304" i="5" s="1"/>
  <c r="E312" i="5"/>
  <c r="F312" i="5" s="1"/>
  <c r="E320" i="5"/>
  <c r="F320" i="5" s="1"/>
  <c r="E328" i="5"/>
  <c r="F328" i="5" s="1"/>
  <c r="E336" i="5"/>
  <c r="F336" i="5" s="1"/>
  <c r="E344" i="5"/>
  <c r="F344" i="5" s="1"/>
  <c r="E352" i="5"/>
  <c r="F352" i="5" s="1"/>
  <c r="E360" i="5"/>
  <c r="F360" i="5" s="1"/>
  <c r="E368" i="5"/>
  <c r="F368" i="5" s="1"/>
  <c r="E376" i="5"/>
  <c r="F376" i="5" s="1"/>
  <c r="E384" i="5"/>
  <c r="F384" i="5" s="1"/>
  <c r="E392" i="5"/>
  <c r="F392" i="5" s="1"/>
  <c r="E400" i="5"/>
  <c r="F400" i="5" s="1"/>
  <c r="E408" i="5"/>
  <c r="F408" i="5" s="1"/>
  <c r="E416" i="5"/>
  <c r="F416" i="5" s="1"/>
  <c r="E424" i="5"/>
  <c r="F424" i="5" s="1"/>
  <c r="E432" i="5"/>
  <c r="F432" i="5" s="1"/>
  <c r="E440" i="5"/>
  <c r="F440" i="5" s="1"/>
  <c r="E448" i="5"/>
  <c r="F448" i="5" s="1"/>
  <c r="E456" i="5"/>
  <c r="F456" i="5" s="1"/>
  <c r="E464" i="5"/>
  <c r="F464" i="5" s="1"/>
  <c r="E472" i="5"/>
  <c r="F472" i="5" s="1"/>
  <c r="E480" i="5"/>
  <c r="F480" i="5" s="1"/>
  <c r="E488" i="5"/>
  <c r="F488" i="5" s="1"/>
  <c r="E496" i="5"/>
  <c r="F496" i="5" s="1"/>
  <c r="E504" i="5"/>
  <c r="F504" i="5" s="1"/>
  <c r="E512" i="5"/>
  <c r="F512" i="5" s="1"/>
  <c r="E520" i="5"/>
  <c r="F520" i="5" s="1"/>
  <c r="E528" i="5"/>
  <c r="F528" i="5" s="1"/>
  <c r="E536" i="5"/>
  <c r="F536" i="5" s="1"/>
  <c r="E544" i="5"/>
  <c r="F544" i="5" s="1"/>
  <c r="E552" i="5"/>
  <c r="F552" i="5" s="1"/>
  <c r="E560" i="5"/>
  <c r="F560" i="5" s="1"/>
  <c r="E568" i="5"/>
  <c r="F568" i="5" s="1"/>
  <c r="E4" i="5"/>
  <c r="F4" i="5" s="1"/>
  <c r="E12" i="5"/>
  <c r="F12" i="5" s="1"/>
  <c r="E20" i="5"/>
  <c r="F20" i="5" s="1"/>
  <c r="E28" i="5"/>
  <c r="F28" i="5" s="1"/>
  <c r="E44" i="5"/>
  <c r="F44" i="5" s="1"/>
  <c r="E52" i="5"/>
  <c r="F52" i="5" s="1"/>
  <c r="E60" i="5"/>
  <c r="F60" i="5" s="1"/>
  <c r="E68" i="5"/>
  <c r="F68" i="5" s="1"/>
  <c r="E84" i="5"/>
  <c r="F84" i="5" s="1"/>
  <c r="E92" i="5"/>
  <c r="F92" i="5" s="1"/>
  <c r="E100" i="5"/>
  <c r="F100" i="5" s="1"/>
  <c r="E108" i="5"/>
  <c r="F108" i="5" s="1"/>
  <c r="E116" i="5"/>
  <c r="F116" i="5" s="1"/>
  <c r="E9" i="5"/>
  <c r="F9" i="5" s="1"/>
  <c r="E17" i="5"/>
  <c r="F17" i="5" s="1"/>
  <c r="E25" i="5"/>
  <c r="F25" i="5" s="1"/>
  <c r="E33" i="5"/>
  <c r="F33" i="5" s="1"/>
  <c r="E41" i="5"/>
  <c r="F41" i="5" s="1"/>
  <c r="E49" i="5"/>
  <c r="F49" i="5" s="1"/>
  <c r="E57" i="5"/>
  <c r="F57" i="5" s="1"/>
  <c r="E65" i="5"/>
  <c r="F65" i="5" s="1"/>
  <c r="E73" i="5"/>
  <c r="F73" i="5" s="1"/>
  <c r="E81" i="5"/>
  <c r="F81" i="5" s="1"/>
  <c r="E89" i="5"/>
  <c r="F89" i="5" s="1"/>
  <c r="E97" i="5"/>
  <c r="F97" i="5" s="1"/>
  <c r="E105" i="5"/>
  <c r="F105" i="5" s="1"/>
  <c r="E113" i="5"/>
  <c r="F113" i="5" s="1"/>
  <c r="E121" i="5"/>
  <c r="F121" i="5" s="1"/>
  <c r="E129" i="5"/>
  <c r="F129" i="5" s="1"/>
  <c r="E137" i="5"/>
  <c r="F137" i="5" s="1"/>
  <c r="E145" i="5"/>
  <c r="F145" i="5" s="1"/>
  <c r="E153" i="5"/>
  <c r="F153" i="5" s="1"/>
  <c r="E161" i="5"/>
  <c r="F161" i="5" s="1"/>
  <c r="E169" i="5"/>
  <c r="F169" i="5" s="1"/>
  <c r="E177" i="5"/>
  <c r="F177" i="5" s="1"/>
  <c r="E185" i="5"/>
  <c r="F185" i="5" s="1"/>
  <c r="E193" i="5"/>
  <c r="F193" i="5" s="1"/>
  <c r="E201" i="5"/>
  <c r="F201" i="5" s="1"/>
  <c r="E209" i="5"/>
  <c r="F209" i="5" s="1"/>
  <c r="E217" i="5"/>
  <c r="F217" i="5" s="1"/>
  <c r="E225" i="5"/>
  <c r="F225" i="5" s="1"/>
  <c r="E233" i="5"/>
  <c r="F233" i="5" s="1"/>
  <c r="E241" i="5"/>
  <c r="F241" i="5" s="1"/>
  <c r="E249" i="5"/>
  <c r="F249" i="5" s="1"/>
  <c r="E257" i="5"/>
  <c r="F257" i="5" s="1"/>
  <c r="E265" i="5"/>
  <c r="F265" i="5" s="1"/>
  <c r="E273" i="5"/>
  <c r="F273" i="5" s="1"/>
  <c r="E281" i="5"/>
  <c r="F281" i="5" s="1"/>
  <c r="E289" i="5"/>
  <c r="F289" i="5" s="1"/>
  <c r="E297" i="5"/>
  <c r="F297" i="5" s="1"/>
  <c r="E305" i="5"/>
  <c r="F305" i="5" s="1"/>
  <c r="E313" i="5"/>
  <c r="F313" i="5" s="1"/>
  <c r="E321" i="5"/>
  <c r="F321" i="5" s="1"/>
  <c r="E329" i="5"/>
  <c r="F329" i="5" s="1"/>
  <c r="E337" i="5"/>
  <c r="F337" i="5" s="1"/>
  <c r="E345" i="5"/>
  <c r="F345" i="5" s="1"/>
  <c r="E353" i="5"/>
  <c r="F353" i="5" s="1"/>
  <c r="E361" i="5"/>
  <c r="F361" i="5" s="1"/>
  <c r="E369" i="5"/>
  <c r="F369" i="5" s="1"/>
  <c r="E377" i="5"/>
  <c r="F377" i="5" s="1"/>
  <c r="E385" i="5"/>
  <c r="F385" i="5" s="1"/>
  <c r="E393" i="5"/>
  <c r="F393" i="5" s="1"/>
  <c r="E401" i="5"/>
  <c r="F401" i="5" s="1"/>
  <c r="E409" i="5"/>
  <c r="F409" i="5" s="1"/>
  <c r="E417" i="5"/>
  <c r="F417" i="5" s="1"/>
  <c r="E425" i="5"/>
  <c r="F425" i="5" s="1"/>
  <c r="E433" i="5"/>
  <c r="F433" i="5" s="1"/>
  <c r="E441" i="5"/>
  <c r="F441" i="5" s="1"/>
  <c r="E449" i="5"/>
  <c r="F449" i="5" s="1"/>
  <c r="E457" i="5"/>
  <c r="F457" i="5" s="1"/>
  <c r="E465" i="5"/>
  <c r="F465" i="5" s="1"/>
  <c r="E473" i="5"/>
  <c r="F473" i="5" s="1"/>
  <c r="E481" i="5"/>
  <c r="F481" i="5" s="1"/>
  <c r="E489" i="5"/>
  <c r="F489" i="5" s="1"/>
  <c r="E497" i="5"/>
  <c r="F497" i="5" s="1"/>
  <c r="E505" i="5"/>
  <c r="F505" i="5" s="1"/>
  <c r="E513" i="5"/>
  <c r="F513" i="5" s="1"/>
  <c r="E521" i="5"/>
  <c r="F521" i="5" s="1"/>
  <c r="E529" i="5"/>
  <c r="F529" i="5" s="1"/>
  <c r="E537" i="5"/>
  <c r="F537" i="5" s="1"/>
  <c r="E545" i="5"/>
  <c r="F545" i="5" s="1"/>
  <c r="E553" i="5"/>
  <c r="F553" i="5" s="1"/>
  <c r="E561" i="5"/>
  <c r="F561" i="5" s="1"/>
  <c r="E569" i="5"/>
  <c r="F569" i="5" s="1"/>
  <c r="E2" i="5"/>
  <c r="F2" i="5" s="1"/>
  <c r="E10" i="5"/>
  <c r="F10" i="5" s="1"/>
  <c r="E18" i="5"/>
  <c r="F18" i="5" s="1"/>
  <c r="E26" i="5"/>
  <c r="F26" i="5" s="1"/>
  <c r="E34" i="5"/>
  <c r="F34" i="5" s="1"/>
  <c r="E42" i="5"/>
  <c r="F42" i="5" s="1"/>
  <c r="E50" i="5"/>
  <c r="F50" i="5" s="1"/>
  <c r="E58" i="5"/>
  <c r="F58" i="5" s="1"/>
  <c r="E66" i="5"/>
  <c r="F66" i="5" s="1"/>
  <c r="E74" i="5"/>
  <c r="F74" i="5" s="1"/>
  <c r="E82" i="5"/>
  <c r="F82" i="5" s="1"/>
  <c r="E90" i="5"/>
  <c r="F90" i="5" s="1"/>
  <c r="E98" i="5"/>
  <c r="F98" i="5" s="1"/>
  <c r="E106" i="5"/>
  <c r="F106" i="5" s="1"/>
  <c r="E114" i="5"/>
  <c r="F114" i="5" s="1"/>
  <c r="E122" i="5"/>
  <c r="F122" i="5" s="1"/>
  <c r="E130" i="5"/>
  <c r="F130" i="5" s="1"/>
  <c r="E138" i="5"/>
  <c r="F138" i="5" s="1"/>
  <c r="E146" i="5"/>
  <c r="F146" i="5" s="1"/>
  <c r="E154" i="5"/>
  <c r="F154" i="5" s="1"/>
  <c r="E162" i="5"/>
  <c r="F162" i="5" s="1"/>
  <c r="E170" i="5"/>
  <c r="F170" i="5" s="1"/>
  <c r="E178" i="5"/>
  <c r="F178" i="5" s="1"/>
  <c r="E186" i="5"/>
  <c r="F186" i="5" s="1"/>
  <c r="E194" i="5"/>
  <c r="F194" i="5" s="1"/>
  <c r="E202" i="5"/>
  <c r="F202" i="5" s="1"/>
  <c r="E210" i="5"/>
  <c r="F210" i="5" s="1"/>
  <c r="E218" i="5"/>
  <c r="F218" i="5" s="1"/>
  <c r="E226" i="5"/>
  <c r="F226" i="5" s="1"/>
  <c r="E234" i="5"/>
  <c r="F234" i="5" s="1"/>
  <c r="E242" i="5"/>
  <c r="F242" i="5" s="1"/>
  <c r="E250" i="5"/>
  <c r="F250" i="5" s="1"/>
  <c r="E258" i="5"/>
  <c r="F258" i="5" s="1"/>
  <c r="E266" i="5"/>
  <c r="F266" i="5" s="1"/>
  <c r="E274" i="5"/>
  <c r="F274" i="5" s="1"/>
  <c r="E282" i="5"/>
  <c r="F282" i="5" s="1"/>
  <c r="E290" i="5"/>
  <c r="F290" i="5" s="1"/>
  <c r="E298" i="5"/>
  <c r="F298" i="5" s="1"/>
  <c r="E306" i="5"/>
  <c r="F306" i="5" s="1"/>
  <c r="E314" i="5"/>
  <c r="F314" i="5" s="1"/>
  <c r="E322" i="5"/>
  <c r="F322" i="5" s="1"/>
  <c r="E330" i="5"/>
  <c r="F330" i="5" s="1"/>
  <c r="E338" i="5"/>
  <c r="F338" i="5" s="1"/>
  <c r="E346" i="5"/>
  <c r="F346" i="5" s="1"/>
  <c r="E354" i="5"/>
  <c r="F354" i="5" s="1"/>
  <c r="E362" i="5"/>
  <c r="F362" i="5" s="1"/>
  <c r="E370" i="5"/>
  <c r="F370" i="5" s="1"/>
  <c r="E378" i="5"/>
  <c r="F378" i="5" s="1"/>
  <c r="E386" i="5"/>
  <c r="F386" i="5" s="1"/>
  <c r="E394" i="5"/>
  <c r="F394" i="5" s="1"/>
  <c r="E402" i="5"/>
  <c r="F402" i="5" s="1"/>
  <c r="E410" i="5"/>
  <c r="F410" i="5" s="1"/>
  <c r="E418" i="5"/>
  <c r="F418" i="5" s="1"/>
  <c r="E426" i="5"/>
  <c r="F426" i="5" s="1"/>
  <c r="E434" i="5"/>
  <c r="F434" i="5" s="1"/>
  <c r="E442" i="5"/>
  <c r="F442" i="5" s="1"/>
  <c r="E450" i="5"/>
  <c r="F450" i="5" s="1"/>
  <c r="E458" i="5"/>
  <c r="F458" i="5" s="1"/>
  <c r="E466" i="5"/>
  <c r="F466" i="5" s="1"/>
  <c r="E474" i="5"/>
  <c r="F474" i="5" s="1"/>
  <c r="E482" i="5"/>
  <c r="F482" i="5" s="1"/>
  <c r="E490" i="5"/>
  <c r="F490" i="5" s="1"/>
  <c r="E498" i="5"/>
  <c r="F498" i="5" s="1"/>
  <c r="E506" i="5"/>
  <c r="F506" i="5" s="1"/>
  <c r="E514" i="5"/>
  <c r="F514" i="5" s="1"/>
  <c r="E522" i="5"/>
  <c r="F522" i="5" s="1"/>
  <c r="E530" i="5"/>
  <c r="F530" i="5" s="1"/>
  <c r="E538" i="5"/>
  <c r="F538" i="5" s="1"/>
  <c r="E546" i="5"/>
  <c r="F546" i="5" s="1"/>
  <c r="E554" i="5"/>
  <c r="F554" i="5" s="1"/>
  <c r="E562" i="5"/>
  <c r="F562" i="5" s="1"/>
  <c r="E570" i="5"/>
  <c r="F570" i="5" s="1"/>
  <c r="E3" i="5"/>
  <c r="F3" i="5" s="1"/>
  <c r="E11" i="5"/>
  <c r="F11" i="5" s="1"/>
  <c r="E19" i="5"/>
  <c r="F19" i="5" s="1"/>
  <c r="E27" i="5"/>
  <c r="F27" i="5" s="1"/>
  <c r="E35" i="5"/>
  <c r="F35" i="5" s="1"/>
  <c r="E43" i="5"/>
  <c r="F43" i="5" s="1"/>
  <c r="E51" i="5"/>
  <c r="F51" i="5" s="1"/>
  <c r="E59" i="5"/>
  <c r="F59" i="5" s="1"/>
  <c r="E67" i="5"/>
  <c r="F67" i="5" s="1"/>
  <c r="E75" i="5"/>
  <c r="F75" i="5" s="1"/>
  <c r="E83" i="5"/>
  <c r="F83" i="5" s="1"/>
  <c r="E91" i="5"/>
  <c r="F91" i="5" s="1"/>
  <c r="E99" i="5"/>
  <c r="F99" i="5" s="1"/>
  <c r="E107" i="5"/>
  <c r="F107" i="5" s="1"/>
  <c r="E115" i="5"/>
  <c r="F115" i="5" s="1"/>
  <c r="E123" i="5"/>
  <c r="F123" i="5" s="1"/>
  <c r="E131" i="5"/>
  <c r="F131" i="5" s="1"/>
  <c r="E139" i="5"/>
  <c r="F139" i="5" s="1"/>
  <c r="E147" i="5"/>
  <c r="F147" i="5" s="1"/>
  <c r="E155" i="5"/>
  <c r="F155" i="5" s="1"/>
  <c r="E163" i="5"/>
  <c r="F163" i="5" s="1"/>
  <c r="E171" i="5"/>
  <c r="F171" i="5" s="1"/>
  <c r="E179" i="5"/>
  <c r="F179" i="5" s="1"/>
  <c r="E187" i="5"/>
  <c r="F187" i="5" s="1"/>
  <c r="E195" i="5"/>
  <c r="F195" i="5" s="1"/>
  <c r="E203" i="5"/>
  <c r="F203" i="5" s="1"/>
  <c r="E211" i="5"/>
  <c r="F211" i="5" s="1"/>
  <c r="E219" i="5"/>
  <c r="F219" i="5" s="1"/>
  <c r="E227" i="5"/>
  <c r="F227" i="5" s="1"/>
  <c r="E235" i="5"/>
  <c r="F235" i="5" s="1"/>
  <c r="E243" i="5"/>
  <c r="F243" i="5" s="1"/>
  <c r="E251" i="5"/>
  <c r="F251" i="5" s="1"/>
  <c r="E259" i="5"/>
  <c r="F259" i="5" s="1"/>
  <c r="E267" i="5"/>
  <c r="F267" i="5" s="1"/>
  <c r="E275" i="5"/>
  <c r="F275" i="5" s="1"/>
  <c r="E283" i="5"/>
  <c r="F283" i="5" s="1"/>
  <c r="E291" i="5"/>
  <c r="F291" i="5" s="1"/>
  <c r="E299" i="5"/>
  <c r="F299" i="5" s="1"/>
  <c r="E307" i="5"/>
  <c r="F307" i="5" s="1"/>
  <c r="E315" i="5"/>
  <c r="F315" i="5" s="1"/>
  <c r="E323" i="5"/>
  <c r="F323" i="5" s="1"/>
  <c r="E331" i="5"/>
  <c r="F331" i="5" s="1"/>
  <c r="E339" i="5"/>
  <c r="F339" i="5" s="1"/>
  <c r="E347" i="5"/>
  <c r="F347" i="5" s="1"/>
  <c r="E355" i="5"/>
  <c r="F355" i="5" s="1"/>
  <c r="E363" i="5"/>
  <c r="F363" i="5" s="1"/>
  <c r="E371" i="5"/>
  <c r="F371" i="5" s="1"/>
  <c r="E379" i="5"/>
  <c r="F379" i="5" s="1"/>
  <c r="E387" i="5"/>
  <c r="F387" i="5" s="1"/>
  <c r="E395" i="5"/>
  <c r="F395" i="5" s="1"/>
  <c r="E403" i="5"/>
  <c r="F403" i="5" s="1"/>
  <c r="E411" i="5"/>
  <c r="F411" i="5" s="1"/>
  <c r="E419" i="5"/>
  <c r="F419" i="5" s="1"/>
  <c r="E427" i="5"/>
  <c r="F427" i="5" s="1"/>
  <c r="E435" i="5"/>
  <c r="F435" i="5" s="1"/>
  <c r="E443" i="5"/>
  <c r="F443" i="5" s="1"/>
  <c r="E451" i="5"/>
  <c r="F451" i="5" s="1"/>
  <c r="E459" i="5"/>
  <c r="F459" i="5" s="1"/>
  <c r="E467" i="5"/>
  <c r="F467" i="5" s="1"/>
  <c r="E475" i="5"/>
  <c r="F475" i="5" s="1"/>
  <c r="E483" i="5"/>
  <c r="F483" i="5" s="1"/>
  <c r="E491" i="5"/>
  <c r="F491" i="5" s="1"/>
  <c r="E499" i="5"/>
  <c r="F499" i="5" s="1"/>
  <c r="E507" i="5"/>
  <c r="F507" i="5" s="1"/>
  <c r="E515" i="5"/>
  <c r="F515" i="5" s="1"/>
  <c r="E523" i="5"/>
  <c r="F523" i="5" s="1"/>
  <c r="E531" i="5"/>
  <c r="F531" i="5" s="1"/>
  <c r="E539" i="5"/>
  <c r="F539" i="5" s="1"/>
  <c r="E547" i="5"/>
  <c r="F547" i="5" s="1"/>
  <c r="E555" i="5"/>
  <c r="F555" i="5" s="1"/>
  <c r="E563" i="5"/>
  <c r="F563" i="5" s="1"/>
  <c r="E571" i="5"/>
  <c r="F571" i="5" s="1"/>
  <c r="E5" i="5"/>
  <c r="F5" i="5" s="1"/>
  <c r="E13" i="5"/>
  <c r="F13" i="5" s="1"/>
  <c r="E21" i="5"/>
  <c r="F21" i="5" s="1"/>
  <c r="E29" i="5"/>
  <c r="F29" i="5" s="1"/>
  <c r="E37" i="5"/>
  <c r="F37" i="5" s="1"/>
  <c r="E45" i="5"/>
  <c r="F45" i="5" s="1"/>
  <c r="E53" i="5"/>
  <c r="F53" i="5" s="1"/>
  <c r="E61" i="5"/>
  <c r="F61" i="5" s="1"/>
  <c r="E69" i="5"/>
  <c r="F69" i="5" s="1"/>
  <c r="E77" i="5"/>
  <c r="F77" i="5" s="1"/>
  <c r="E85" i="5"/>
  <c r="F85" i="5" s="1"/>
  <c r="E93" i="5"/>
  <c r="F93" i="5" s="1"/>
  <c r="E101" i="5"/>
  <c r="F101" i="5" s="1"/>
  <c r="E109" i="5"/>
  <c r="F109" i="5" s="1"/>
  <c r="E117" i="5"/>
  <c r="F117" i="5" s="1"/>
  <c r="E125" i="5"/>
  <c r="F125" i="5" s="1"/>
  <c r="E133" i="5"/>
  <c r="F133" i="5" s="1"/>
  <c r="E141" i="5"/>
  <c r="F141" i="5" s="1"/>
  <c r="E149" i="5"/>
  <c r="F149" i="5" s="1"/>
  <c r="E157" i="5"/>
  <c r="F157" i="5" s="1"/>
  <c r="E165" i="5"/>
  <c r="F165" i="5" s="1"/>
  <c r="E173" i="5"/>
  <c r="F173" i="5" s="1"/>
  <c r="E181" i="5"/>
  <c r="F181" i="5" s="1"/>
  <c r="E189" i="5"/>
  <c r="F189" i="5" s="1"/>
  <c r="E197" i="5"/>
  <c r="F197" i="5" s="1"/>
  <c r="E205" i="5"/>
  <c r="F205" i="5" s="1"/>
  <c r="E213" i="5"/>
  <c r="F213" i="5" s="1"/>
  <c r="E221" i="5"/>
  <c r="F221" i="5" s="1"/>
  <c r="E229" i="5"/>
  <c r="F229" i="5" s="1"/>
  <c r="E237" i="5"/>
  <c r="F237" i="5" s="1"/>
  <c r="E245" i="5"/>
  <c r="F245" i="5" s="1"/>
  <c r="E253" i="5"/>
  <c r="F253" i="5" s="1"/>
  <c r="E261" i="5"/>
  <c r="F261" i="5" s="1"/>
  <c r="E269" i="5"/>
  <c r="F269" i="5" s="1"/>
  <c r="E277" i="5"/>
  <c r="F277" i="5" s="1"/>
  <c r="E285" i="5"/>
  <c r="F285" i="5" s="1"/>
  <c r="E293" i="5"/>
  <c r="F293" i="5" s="1"/>
  <c r="E301" i="5"/>
  <c r="F301" i="5" s="1"/>
  <c r="E309" i="5"/>
  <c r="F309" i="5" s="1"/>
  <c r="E317" i="5"/>
  <c r="F317" i="5" s="1"/>
  <c r="E325" i="5"/>
  <c r="F325" i="5" s="1"/>
  <c r="E333" i="5"/>
  <c r="F333" i="5" s="1"/>
  <c r="E341" i="5"/>
  <c r="F341" i="5" s="1"/>
  <c r="E349" i="5"/>
  <c r="F349" i="5" s="1"/>
  <c r="E357" i="5"/>
  <c r="F357" i="5" s="1"/>
  <c r="E365" i="5"/>
  <c r="F365" i="5" s="1"/>
  <c r="E373" i="5"/>
  <c r="F373" i="5" s="1"/>
  <c r="E381" i="5"/>
  <c r="F381" i="5" s="1"/>
  <c r="E389" i="5"/>
  <c r="F389" i="5" s="1"/>
  <c r="E397" i="5"/>
  <c r="F397" i="5" s="1"/>
  <c r="E405" i="5"/>
  <c r="F405" i="5" s="1"/>
  <c r="E413" i="5"/>
  <c r="F413" i="5" s="1"/>
  <c r="E421" i="5"/>
  <c r="F421" i="5" s="1"/>
  <c r="E429" i="5"/>
  <c r="F429" i="5" s="1"/>
  <c r="E437" i="5"/>
  <c r="F437" i="5" s="1"/>
  <c r="E445" i="5"/>
  <c r="F445" i="5" s="1"/>
  <c r="E453" i="5"/>
  <c r="F453" i="5" s="1"/>
  <c r="E461" i="5"/>
  <c r="F461" i="5" s="1"/>
  <c r="E469" i="5"/>
  <c r="F469" i="5" s="1"/>
  <c r="E477" i="5"/>
  <c r="F477" i="5" s="1"/>
  <c r="E485" i="5"/>
  <c r="F485" i="5" s="1"/>
  <c r="E493" i="5"/>
  <c r="F493" i="5" s="1"/>
  <c r="E501" i="5"/>
  <c r="F501" i="5" s="1"/>
  <c r="E509" i="5"/>
  <c r="F509" i="5" s="1"/>
  <c r="E517" i="5"/>
  <c r="F517" i="5" s="1"/>
  <c r="E525" i="5"/>
  <c r="F525" i="5" s="1"/>
  <c r="E533" i="5"/>
  <c r="F533" i="5" s="1"/>
  <c r="E541" i="5"/>
  <c r="F541" i="5" s="1"/>
  <c r="E549" i="5"/>
  <c r="F549" i="5" s="1"/>
  <c r="E557" i="5"/>
  <c r="F557" i="5" s="1"/>
  <c r="E565" i="5"/>
  <c r="F565" i="5" s="1"/>
  <c r="E573" i="5"/>
  <c r="F573" i="5" s="1"/>
  <c r="E6" i="5"/>
  <c r="F6" i="5" s="1"/>
  <c r="E14" i="5"/>
  <c r="F14" i="5" s="1"/>
  <c r="E22" i="5"/>
  <c r="F22" i="5" s="1"/>
  <c r="E30" i="5"/>
  <c r="F30" i="5" s="1"/>
  <c r="E38" i="5"/>
  <c r="F38" i="5" s="1"/>
  <c r="E46" i="5"/>
  <c r="F46" i="5" s="1"/>
  <c r="E54" i="5"/>
  <c r="F54" i="5" s="1"/>
  <c r="E62" i="5"/>
  <c r="F62" i="5" s="1"/>
  <c r="E70" i="5"/>
  <c r="F70" i="5" s="1"/>
  <c r="E78" i="5"/>
  <c r="F78" i="5" s="1"/>
  <c r="E86" i="5"/>
  <c r="F86" i="5" s="1"/>
  <c r="E94" i="5"/>
  <c r="F94" i="5" s="1"/>
  <c r="E102" i="5"/>
  <c r="F102" i="5" s="1"/>
  <c r="E47" i="5"/>
  <c r="F47" i="5" s="1"/>
  <c r="E103" i="5"/>
  <c r="F103" i="5" s="1"/>
  <c r="E132" i="5"/>
  <c r="F132" i="5" s="1"/>
  <c r="E151" i="5"/>
  <c r="F151" i="5" s="1"/>
  <c r="E174" i="5"/>
  <c r="F174" i="5" s="1"/>
  <c r="E196" i="5"/>
  <c r="F196" i="5" s="1"/>
  <c r="E215" i="5"/>
  <c r="F215" i="5" s="1"/>
  <c r="E238" i="5"/>
  <c r="F238" i="5" s="1"/>
  <c r="E260" i="5"/>
  <c r="F260" i="5" s="1"/>
  <c r="E279" i="5"/>
  <c r="F279" i="5" s="1"/>
  <c r="E302" i="5"/>
  <c r="F302" i="5" s="1"/>
  <c r="E324" i="5"/>
  <c r="F324" i="5" s="1"/>
  <c r="E343" i="5"/>
  <c r="F343" i="5" s="1"/>
  <c r="E366" i="5"/>
  <c r="F366" i="5" s="1"/>
  <c r="E388" i="5"/>
  <c r="F388" i="5" s="1"/>
  <c r="E407" i="5"/>
  <c r="F407" i="5" s="1"/>
  <c r="E430" i="5"/>
  <c r="F430" i="5" s="1"/>
  <c r="E452" i="5"/>
  <c r="F452" i="5" s="1"/>
  <c r="E471" i="5"/>
  <c r="F471" i="5" s="1"/>
  <c r="E494" i="5"/>
  <c r="F494" i="5" s="1"/>
  <c r="E516" i="5"/>
  <c r="F516" i="5" s="1"/>
  <c r="E535" i="5"/>
  <c r="F535" i="5" s="1"/>
  <c r="E558" i="5"/>
  <c r="F558" i="5" s="1"/>
  <c r="E118" i="5"/>
  <c r="F118" i="5" s="1"/>
  <c r="E204" i="5"/>
  <c r="F204" i="5" s="1"/>
  <c r="E268" i="5"/>
  <c r="F268" i="5" s="1"/>
  <c r="E332" i="5"/>
  <c r="F332" i="5" s="1"/>
  <c r="E396" i="5"/>
  <c r="F396" i="5" s="1"/>
  <c r="E460" i="5"/>
  <c r="F460" i="5" s="1"/>
  <c r="E524" i="5"/>
  <c r="F524" i="5" s="1"/>
  <c r="E76" i="5"/>
  <c r="F76" i="5" s="1"/>
  <c r="E142" i="5"/>
  <c r="F142" i="5" s="1"/>
  <c r="E206" i="5"/>
  <c r="F206" i="5" s="1"/>
  <c r="E270" i="5"/>
  <c r="F270" i="5" s="1"/>
  <c r="E356" i="5"/>
  <c r="F356" i="5" s="1"/>
  <c r="E439" i="5"/>
  <c r="F439" i="5" s="1"/>
  <c r="E503" i="5"/>
  <c r="F503" i="5" s="1"/>
  <c r="E567" i="5"/>
  <c r="F567" i="5" s="1"/>
  <c r="E55" i="5"/>
  <c r="F55" i="5" s="1"/>
  <c r="E110" i="5"/>
  <c r="F110" i="5" s="1"/>
  <c r="E134" i="5"/>
  <c r="F134" i="5" s="1"/>
  <c r="E156" i="5"/>
  <c r="F156" i="5" s="1"/>
  <c r="E175" i="5"/>
  <c r="F175" i="5" s="1"/>
  <c r="E198" i="5"/>
  <c r="F198" i="5" s="1"/>
  <c r="E220" i="5"/>
  <c r="F220" i="5" s="1"/>
  <c r="E239" i="5"/>
  <c r="F239" i="5" s="1"/>
  <c r="E262" i="5"/>
  <c r="F262" i="5" s="1"/>
  <c r="E284" i="5"/>
  <c r="F284" i="5" s="1"/>
  <c r="E303" i="5"/>
  <c r="F303" i="5" s="1"/>
  <c r="E326" i="5"/>
  <c r="F326" i="5" s="1"/>
  <c r="E348" i="5"/>
  <c r="F348" i="5" s="1"/>
  <c r="E367" i="5"/>
  <c r="F367" i="5" s="1"/>
  <c r="E390" i="5"/>
  <c r="F390" i="5" s="1"/>
  <c r="E412" i="5"/>
  <c r="F412" i="5" s="1"/>
  <c r="E431" i="5"/>
  <c r="F431" i="5" s="1"/>
  <c r="E454" i="5"/>
  <c r="F454" i="5" s="1"/>
  <c r="E476" i="5"/>
  <c r="F476" i="5" s="1"/>
  <c r="E495" i="5"/>
  <c r="F495" i="5" s="1"/>
  <c r="E518" i="5"/>
  <c r="F518" i="5" s="1"/>
  <c r="E540" i="5"/>
  <c r="F540" i="5" s="1"/>
  <c r="E559" i="5"/>
  <c r="F559" i="5" s="1"/>
  <c r="E71" i="5"/>
  <c r="F71" i="5" s="1"/>
  <c r="E159" i="5"/>
  <c r="F159" i="5" s="1"/>
  <c r="E223" i="5"/>
  <c r="F223" i="5" s="1"/>
  <c r="E246" i="5"/>
  <c r="F246" i="5" s="1"/>
  <c r="E310" i="5"/>
  <c r="F310" i="5" s="1"/>
  <c r="E374" i="5"/>
  <c r="F374" i="5" s="1"/>
  <c r="E438" i="5"/>
  <c r="F438" i="5" s="1"/>
  <c r="E502" i="5"/>
  <c r="F502" i="5" s="1"/>
  <c r="E566" i="5"/>
  <c r="F566" i="5" s="1"/>
  <c r="E119" i="5"/>
  <c r="F119" i="5" s="1"/>
  <c r="E183" i="5"/>
  <c r="F183" i="5" s="1"/>
  <c r="E247" i="5"/>
  <c r="F247" i="5" s="1"/>
  <c r="E311" i="5"/>
  <c r="F311" i="5" s="1"/>
  <c r="E420" i="5"/>
  <c r="F420" i="5" s="1"/>
  <c r="E462" i="5"/>
  <c r="F462" i="5" s="1"/>
  <c r="E526" i="5"/>
  <c r="F526" i="5" s="1"/>
  <c r="E7" i="5"/>
  <c r="F7" i="5" s="1"/>
  <c r="E63" i="5"/>
  <c r="F63" i="5" s="1"/>
  <c r="E111" i="5"/>
  <c r="F111" i="5" s="1"/>
  <c r="E135" i="5"/>
  <c r="F135" i="5" s="1"/>
  <c r="E158" i="5"/>
  <c r="F158" i="5" s="1"/>
  <c r="E180" i="5"/>
  <c r="F180" i="5" s="1"/>
  <c r="E199" i="5"/>
  <c r="F199" i="5" s="1"/>
  <c r="E222" i="5"/>
  <c r="F222" i="5" s="1"/>
  <c r="E244" i="5"/>
  <c r="F244" i="5" s="1"/>
  <c r="E263" i="5"/>
  <c r="F263" i="5" s="1"/>
  <c r="E286" i="5"/>
  <c r="F286" i="5" s="1"/>
  <c r="E308" i="5"/>
  <c r="F308" i="5" s="1"/>
  <c r="E327" i="5"/>
  <c r="F327" i="5" s="1"/>
  <c r="E350" i="5"/>
  <c r="F350" i="5" s="1"/>
  <c r="E372" i="5"/>
  <c r="F372" i="5" s="1"/>
  <c r="E391" i="5"/>
  <c r="F391" i="5" s="1"/>
  <c r="E414" i="5"/>
  <c r="F414" i="5" s="1"/>
  <c r="E436" i="5"/>
  <c r="F436" i="5" s="1"/>
  <c r="E455" i="5"/>
  <c r="F455" i="5" s="1"/>
  <c r="E478" i="5"/>
  <c r="F478" i="5" s="1"/>
  <c r="E500" i="5"/>
  <c r="F500" i="5" s="1"/>
  <c r="E519" i="5"/>
  <c r="F519" i="5" s="1"/>
  <c r="E542" i="5"/>
  <c r="F542" i="5" s="1"/>
  <c r="E564" i="5"/>
  <c r="F564" i="5" s="1"/>
  <c r="E15" i="5"/>
  <c r="F15" i="5" s="1"/>
  <c r="E140" i="5"/>
  <c r="F140" i="5" s="1"/>
  <c r="E182" i="5"/>
  <c r="F182" i="5" s="1"/>
  <c r="E287" i="5"/>
  <c r="F287" i="5" s="1"/>
  <c r="E351" i="5"/>
  <c r="F351" i="5" s="1"/>
  <c r="E415" i="5"/>
  <c r="F415" i="5" s="1"/>
  <c r="E479" i="5"/>
  <c r="F479" i="5" s="1"/>
  <c r="E543" i="5"/>
  <c r="F543" i="5" s="1"/>
  <c r="E23" i="5"/>
  <c r="F23" i="5" s="1"/>
  <c r="E164" i="5"/>
  <c r="F164" i="5" s="1"/>
  <c r="E228" i="5"/>
  <c r="F228" i="5" s="1"/>
  <c r="E292" i="5"/>
  <c r="F292" i="5" s="1"/>
  <c r="E398" i="5"/>
  <c r="F398" i="5" s="1"/>
  <c r="E484" i="5"/>
  <c r="F484" i="5" s="1"/>
  <c r="E548" i="5"/>
  <c r="F548" i="5" s="1"/>
  <c r="E31" i="5"/>
  <c r="F31" i="5" s="1"/>
  <c r="E79" i="5"/>
  <c r="F79" i="5" s="1"/>
  <c r="E124" i="5"/>
  <c r="F124" i="5" s="1"/>
  <c r="E143" i="5"/>
  <c r="F143" i="5" s="1"/>
  <c r="E166" i="5"/>
  <c r="F166" i="5" s="1"/>
  <c r="E188" i="5"/>
  <c r="F188" i="5" s="1"/>
  <c r="E207" i="5"/>
  <c r="F207" i="5" s="1"/>
  <c r="E230" i="5"/>
  <c r="F230" i="5" s="1"/>
  <c r="E252" i="5"/>
  <c r="F252" i="5" s="1"/>
  <c r="E271" i="5"/>
  <c r="F271" i="5" s="1"/>
  <c r="E294" i="5"/>
  <c r="F294" i="5" s="1"/>
  <c r="E316" i="5"/>
  <c r="F316" i="5" s="1"/>
  <c r="E335" i="5"/>
  <c r="F335" i="5" s="1"/>
  <c r="E358" i="5"/>
  <c r="F358" i="5" s="1"/>
  <c r="E380" i="5"/>
  <c r="F380" i="5" s="1"/>
  <c r="E399" i="5"/>
  <c r="F399" i="5" s="1"/>
  <c r="E422" i="5"/>
  <c r="F422" i="5" s="1"/>
  <c r="E444" i="5"/>
  <c r="F444" i="5" s="1"/>
  <c r="E463" i="5"/>
  <c r="F463" i="5" s="1"/>
  <c r="E486" i="5"/>
  <c r="F486" i="5" s="1"/>
  <c r="E508" i="5"/>
  <c r="F508" i="5" s="1"/>
  <c r="E527" i="5"/>
  <c r="F527" i="5" s="1"/>
  <c r="E550" i="5"/>
  <c r="F550" i="5" s="1"/>
  <c r="E572" i="5"/>
  <c r="F572" i="5" s="1"/>
  <c r="E39" i="5"/>
  <c r="F39" i="5" s="1"/>
  <c r="E127" i="5"/>
  <c r="F127" i="5" s="1"/>
  <c r="E172" i="5"/>
  <c r="F172" i="5" s="1"/>
  <c r="E214" i="5"/>
  <c r="F214" i="5" s="1"/>
  <c r="E255" i="5"/>
  <c r="F255" i="5" s="1"/>
  <c r="E300" i="5"/>
  <c r="F300" i="5" s="1"/>
  <c r="E342" i="5"/>
  <c r="F342" i="5" s="1"/>
  <c r="E383" i="5"/>
  <c r="F383" i="5" s="1"/>
  <c r="E428" i="5"/>
  <c r="F428" i="5" s="1"/>
  <c r="E470" i="5"/>
  <c r="F470" i="5" s="1"/>
  <c r="E511" i="5"/>
  <c r="F511" i="5" s="1"/>
  <c r="E556" i="5"/>
  <c r="F556" i="5" s="1"/>
  <c r="E334" i="5"/>
  <c r="F334" i="5" s="1"/>
  <c r="E36" i="5"/>
  <c r="F36" i="5" s="1"/>
  <c r="E87" i="5"/>
  <c r="F87" i="5" s="1"/>
  <c r="E126" i="5"/>
  <c r="F126" i="5" s="1"/>
  <c r="E148" i="5"/>
  <c r="F148" i="5" s="1"/>
  <c r="E167" i="5"/>
  <c r="F167" i="5" s="1"/>
  <c r="E190" i="5"/>
  <c r="F190" i="5" s="1"/>
  <c r="E212" i="5"/>
  <c r="F212" i="5" s="1"/>
  <c r="E231" i="5"/>
  <c r="F231" i="5" s="1"/>
  <c r="E254" i="5"/>
  <c r="F254" i="5" s="1"/>
  <c r="E276" i="5"/>
  <c r="F276" i="5" s="1"/>
  <c r="E295" i="5"/>
  <c r="F295" i="5" s="1"/>
  <c r="E318" i="5"/>
  <c r="F318" i="5" s="1"/>
  <c r="E340" i="5"/>
  <c r="F340" i="5" s="1"/>
  <c r="E359" i="5"/>
  <c r="F359" i="5" s="1"/>
  <c r="E382" i="5"/>
  <c r="F382" i="5" s="1"/>
  <c r="E404" i="5"/>
  <c r="F404" i="5" s="1"/>
  <c r="E423" i="5"/>
  <c r="F423" i="5" s="1"/>
  <c r="E446" i="5"/>
  <c r="F446" i="5" s="1"/>
  <c r="E468" i="5"/>
  <c r="F468" i="5" s="1"/>
  <c r="E487" i="5"/>
  <c r="F487" i="5" s="1"/>
  <c r="E510" i="5"/>
  <c r="F510" i="5" s="1"/>
  <c r="E532" i="5"/>
  <c r="F532" i="5" s="1"/>
  <c r="E551" i="5"/>
  <c r="F551" i="5" s="1"/>
  <c r="E95" i="5"/>
  <c r="F95" i="5" s="1"/>
  <c r="E150" i="5"/>
  <c r="F150" i="5" s="1"/>
  <c r="E191" i="5"/>
  <c r="F191" i="5" s="1"/>
  <c r="E236" i="5"/>
  <c r="F236" i="5" s="1"/>
  <c r="E278" i="5"/>
  <c r="F278" i="5" s="1"/>
  <c r="E319" i="5"/>
  <c r="F319" i="5" s="1"/>
  <c r="E364" i="5"/>
  <c r="F364" i="5" s="1"/>
  <c r="E406" i="5"/>
  <c r="F406" i="5" s="1"/>
  <c r="E447" i="5"/>
  <c r="F447" i="5" s="1"/>
  <c r="E492" i="5"/>
  <c r="F492" i="5" s="1"/>
  <c r="E534" i="5"/>
  <c r="F534" i="5" s="1"/>
  <c r="E375" i="5"/>
  <c r="F375" i="5" s="1"/>
  <c r="E342" i="4"/>
  <c r="F342" i="4" s="1"/>
  <c r="E302" i="4"/>
  <c r="F302" i="4" s="1"/>
  <c r="E54" i="4"/>
  <c r="F54" i="4" s="1"/>
  <c r="E62" i="4"/>
  <c r="F62" i="4" s="1"/>
  <c r="E262" i="4"/>
  <c r="F262" i="4" s="1"/>
  <c r="E254" i="4"/>
  <c r="F254" i="4" s="1"/>
  <c r="E190" i="4"/>
  <c r="F190" i="4" s="1"/>
  <c r="E174" i="4"/>
  <c r="F174" i="4" s="1"/>
  <c r="E142" i="4"/>
  <c r="F142" i="4" s="1"/>
  <c r="E78" i="4"/>
  <c r="F78" i="4" s="1"/>
</calcChain>
</file>

<file path=xl/sharedStrings.xml><?xml version="1.0" encoding="utf-8"?>
<sst xmlns="http://schemas.openxmlformats.org/spreadsheetml/2006/main" count="69" uniqueCount="17">
  <si>
    <t>Tempo(s)</t>
  </si>
  <si>
    <t>Alongamento (mm/mm)</t>
  </si>
  <si>
    <t>Deformação (mm/mm)</t>
  </si>
  <si>
    <t>Força (N)</t>
  </si>
  <si>
    <t>Tensão (Pa)</t>
  </si>
  <si>
    <t>Tensão (MPa)</t>
  </si>
  <si>
    <t>Unidade</t>
  </si>
  <si>
    <t>Comprimento</t>
  </si>
  <si>
    <t>Largura</t>
  </si>
  <si>
    <t>Espessura</t>
  </si>
  <si>
    <t>mm</t>
  </si>
  <si>
    <t xml:space="preserve">foi aplicado uma força de 1000N na hora de prender a garra </t>
  </si>
  <si>
    <t>m</t>
  </si>
  <si>
    <t>Área (m^2)</t>
  </si>
  <si>
    <t>Desvio Padrão</t>
  </si>
  <si>
    <t>Média</t>
  </si>
  <si>
    <t>media força maxima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</si>
</sst>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41">
    <dxf>
      <numFmt numFmtId="2" formatCode="0.00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'A22-1'!$C$2:$C$584</c:f>
              <c:numCache>
                <c:formatCode>0.00</c:formatCode>
                <c:ptCount val="583"/>
                <c:pt idx="0">
                  <c:v>0</c:v>
                </c:pt>
                <c:pt idx="1">
                  <c:v>1.3832199999999999E-2</c:v>
                </c:pt>
                <c:pt idx="2">
                  <c:v>1.3943799999999999E-2</c:v>
                </c:pt>
                <c:pt idx="3">
                  <c:v>1.4053599999999999E-2</c:v>
                </c:pt>
                <c:pt idx="4">
                  <c:v>1.4165199999999999E-2</c:v>
                </c:pt>
                <c:pt idx="5">
                  <c:v>1.4277E-2</c:v>
                </c:pt>
                <c:pt idx="6">
                  <c:v>1.43868E-2</c:v>
                </c:pt>
                <c:pt idx="7">
                  <c:v>1.44984E-2</c:v>
                </c:pt>
                <c:pt idx="8">
                  <c:v>1.4638E-2</c:v>
                </c:pt>
                <c:pt idx="9">
                  <c:v>1.47776E-2</c:v>
                </c:pt>
                <c:pt idx="10">
                  <c:v>1.4915400000000001E-2</c:v>
                </c:pt>
                <c:pt idx="11">
                  <c:v>1.5055000000000001E-2</c:v>
                </c:pt>
                <c:pt idx="12">
                  <c:v>1.5192600000000001E-2</c:v>
                </c:pt>
                <c:pt idx="13">
                  <c:v>1.5330399999999999E-2</c:v>
                </c:pt>
                <c:pt idx="14">
                  <c:v>1.5469999999999999E-2</c:v>
                </c:pt>
                <c:pt idx="15">
                  <c:v>1.56096E-2</c:v>
                </c:pt>
                <c:pt idx="16">
                  <c:v>1.5747199999999999E-2</c:v>
                </c:pt>
                <c:pt idx="17">
                  <c:v>1.5888800000000002E-2</c:v>
                </c:pt>
                <c:pt idx="18">
                  <c:v>1.60264E-2</c:v>
                </c:pt>
                <c:pt idx="19">
                  <c:v>1.61642E-2</c:v>
                </c:pt>
                <c:pt idx="20">
                  <c:v>1.63038E-2</c:v>
                </c:pt>
                <c:pt idx="21">
                  <c:v>1.64434E-2</c:v>
                </c:pt>
                <c:pt idx="22">
                  <c:v>1.6580999999999999E-2</c:v>
                </c:pt>
                <c:pt idx="23">
                  <c:v>1.6720600000000002E-2</c:v>
                </c:pt>
                <c:pt idx="24">
                  <c:v>1.6860200000000002E-2</c:v>
                </c:pt>
                <c:pt idx="25">
                  <c:v>1.6999799999999999E-2</c:v>
                </c:pt>
                <c:pt idx="26">
                  <c:v>1.7139399999999999E-2</c:v>
                </c:pt>
                <c:pt idx="27">
                  <c:v>1.72772E-2</c:v>
                </c:pt>
                <c:pt idx="28">
                  <c:v>1.7414799999999998E-2</c:v>
                </c:pt>
                <c:pt idx="29">
                  <c:v>1.7554399999999998E-2</c:v>
                </c:pt>
                <c:pt idx="30">
                  <c:v>1.7694000000000001E-2</c:v>
                </c:pt>
                <c:pt idx="31">
                  <c:v>1.7831799999999998E-2</c:v>
                </c:pt>
                <c:pt idx="32">
                  <c:v>1.7971399999999998E-2</c:v>
                </c:pt>
                <c:pt idx="33">
                  <c:v>1.8137E-2</c:v>
                </c:pt>
                <c:pt idx="34">
                  <c:v>1.8304600000000001E-2</c:v>
                </c:pt>
                <c:pt idx="35">
                  <c:v>1.8470200000000003E-2</c:v>
                </c:pt>
                <c:pt idx="36">
                  <c:v>1.8637600000000001E-2</c:v>
                </c:pt>
                <c:pt idx="37">
                  <c:v>1.8805200000000001E-2</c:v>
                </c:pt>
                <c:pt idx="38">
                  <c:v>1.8970799999999999E-2</c:v>
                </c:pt>
                <c:pt idx="39">
                  <c:v>1.91384E-2</c:v>
                </c:pt>
                <c:pt idx="40">
                  <c:v>1.9303999999999998E-2</c:v>
                </c:pt>
                <c:pt idx="41">
                  <c:v>1.94696E-2</c:v>
                </c:pt>
                <c:pt idx="42">
                  <c:v>1.9637000000000002E-2</c:v>
                </c:pt>
                <c:pt idx="43">
                  <c:v>1.9804600000000002E-2</c:v>
                </c:pt>
                <c:pt idx="44">
                  <c:v>1.99702E-2</c:v>
                </c:pt>
                <c:pt idx="45">
                  <c:v>2.0138E-2</c:v>
                </c:pt>
                <c:pt idx="46">
                  <c:v>2.0304000000000003E-2</c:v>
                </c:pt>
                <c:pt idx="47">
                  <c:v>2.0470000000000002E-2</c:v>
                </c:pt>
                <c:pt idx="48">
                  <c:v>2.0638E-2</c:v>
                </c:pt>
                <c:pt idx="49">
                  <c:v>2.0804E-2</c:v>
                </c:pt>
                <c:pt idx="50">
                  <c:v>2.0972000000000001E-2</c:v>
                </c:pt>
                <c:pt idx="51">
                  <c:v>2.1138000000000001E-2</c:v>
                </c:pt>
                <c:pt idx="52">
                  <c:v>2.1304E-2</c:v>
                </c:pt>
                <c:pt idx="53">
                  <c:v>2.147E-2</c:v>
                </c:pt>
                <c:pt idx="54">
                  <c:v>2.1665999999999998E-2</c:v>
                </c:pt>
                <c:pt idx="55">
                  <c:v>2.1860000000000001E-2</c:v>
                </c:pt>
                <c:pt idx="56">
                  <c:v>2.2052000000000002E-2</c:v>
                </c:pt>
                <c:pt idx="57">
                  <c:v>2.2248E-2</c:v>
                </c:pt>
                <c:pt idx="58">
                  <c:v>2.2444000000000002E-2</c:v>
                </c:pt>
                <c:pt idx="59">
                  <c:v>2.2637999999999998E-2</c:v>
                </c:pt>
                <c:pt idx="60">
                  <c:v>2.2831999999999998E-2</c:v>
                </c:pt>
                <c:pt idx="61">
                  <c:v>2.3026000000000001E-2</c:v>
                </c:pt>
                <c:pt idx="62">
                  <c:v>2.3220000000000001E-2</c:v>
                </c:pt>
                <c:pt idx="63">
                  <c:v>2.3416000000000003E-2</c:v>
                </c:pt>
                <c:pt idx="64">
                  <c:v>2.3607999999999997E-2</c:v>
                </c:pt>
                <c:pt idx="65">
                  <c:v>2.3803999999999999E-2</c:v>
                </c:pt>
                <c:pt idx="66">
                  <c:v>2.3997999999999998E-2</c:v>
                </c:pt>
                <c:pt idx="67">
                  <c:v>2.4194E-2</c:v>
                </c:pt>
                <c:pt idx="68">
                  <c:v>2.4388E-2</c:v>
                </c:pt>
                <c:pt idx="69">
                  <c:v>2.4582000000000003E-2</c:v>
                </c:pt>
                <c:pt idx="70">
                  <c:v>2.4775999999999999E-2</c:v>
                </c:pt>
                <c:pt idx="71">
                  <c:v>2.4969999999999999E-2</c:v>
                </c:pt>
                <c:pt idx="72">
                  <c:v>2.5163999999999999E-2</c:v>
                </c:pt>
                <c:pt idx="73">
                  <c:v>2.5386000000000002E-2</c:v>
                </c:pt>
                <c:pt idx="74">
                  <c:v>2.5610000000000001E-2</c:v>
                </c:pt>
                <c:pt idx="75">
                  <c:v>2.5832000000000001E-2</c:v>
                </c:pt>
                <c:pt idx="76">
                  <c:v>2.6054000000000001E-2</c:v>
                </c:pt>
                <c:pt idx="77">
                  <c:v>2.6276000000000001E-2</c:v>
                </c:pt>
                <c:pt idx="78">
                  <c:v>2.6498000000000001E-2</c:v>
                </c:pt>
                <c:pt idx="79">
                  <c:v>2.6720000000000001E-2</c:v>
                </c:pt>
                <c:pt idx="80">
                  <c:v>2.6888000000000002E-2</c:v>
                </c:pt>
                <c:pt idx="81">
                  <c:v>2.7082000000000002E-2</c:v>
                </c:pt>
                <c:pt idx="82">
                  <c:v>2.7277999999999997E-2</c:v>
                </c:pt>
                <c:pt idx="83">
                  <c:v>2.7498000000000002E-2</c:v>
                </c:pt>
                <c:pt idx="84">
                  <c:v>2.7666E-2</c:v>
                </c:pt>
                <c:pt idx="85">
                  <c:v>2.7859999999999999E-2</c:v>
                </c:pt>
                <c:pt idx="86">
                  <c:v>2.7999999999999997E-2</c:v>
                </c:pt>
                <c:pt idx="87">
                  <c:v>2.8222000000000001E-2</c:v>
                </c:pt>
                <c:pt idx="88">
                  <c:v>2.8388E-2</c:v>
                </c:pt>
                <c:pt idx="89">
                  <c:v>2.8498000000000002E-2</c:v>
                </c:pt>
                <c:pt idx="90">
                  <c:v>2.8664000000000002E-2</c:v>
                </c:pt>
                <c:pt idx="91">
                  <c:v>2.8804E-2</c:v>
                </c:pt>
                <c:pt idx="92">
                  <c:v>2.8942000000000002E-2</c:v>
                </c:pt>
                <c:pt idx="93">
                  <c:v>2.9079999999999998E-2</c:v>
                </c:pt>
                <c:pt idx="94">
                  <c:v>2.9222000000000001E-2</c:v>
                </c:pt>
                <c:pt idx="95">
                  <c:v>2.9331999999999997E-2</c:v>
                </c:pt>
                <c:pt idx="96">
                  <c:v>2.9472000000000002E-2</c:v>
                </c:pt>
                <c:pt idx="97">
                  <c:v>2.9607999999999999E-2</c:v>
                </c:pt>
                <c:pt idx="98">
                  <c:v>2.972E-2</c:v>
                </c:pt>
                <c:pt idx="99">
                  <c:v>2.9860000000000001E-2</c:v>
                </c:pt>
                <c:pt idx="100">
                  <c:v>2.9998E-2</c:v>
                </c:pt>
                <c:pt idx="101">
                  <c:v>3.0110000000000001E-2</c:v>
                </c:pt>
                <c:pt idx="102">
                  <c:v>3.0219999999999997E-2</c:v>
                </c:pt>
                <c:pt idx="103">
                  <c:v>3.0360000000000002E-2</c:v>
                </c:pt>
                <c:pt idx="104">
                  <c:v>3.0470000000000001E-2</c:v>
                </c:pt>
                <c:pt idx="105">
                  <c:v>3.0609999999999998E-2</c:v>
                </c:pt>
                <c:pt idx="106">
                  <c:v>3.0748000000000001E-2</c:v>
                </c:pt>
                <c:pt idx="107">
                  <c:v>3.0858E-2</c:v>
                </c:pt>
                <c:pt idx="108">
                  <c:v>3.0972E-2</c:v>
                </c:pt>
                <c:pt idx="109">
                  <c:v>3.1084000000000001E-2</c:v>
                </c:pt>
                <c:pt idx="110">
                  <c:v>3.1219999999999998E-2</c:v>
                </c:pt>
                <c:pt idx="111">
                  <c:v>3.1329999999999997E-2</c:v>
                </c:pt>
                <c:pt idx="112">
                  <c:v>3.1441999999999998E-2</c:v>
                </c:pt>
                <c:pt idx="113">
                  <c:v>3.1553999999999999E-2</c:v>
                </c:pt>
                <c:pt idx="114">
                  <c:v>3.1663999999999998E-2</c:v>
                </c:pt>
                <c:pt idx="115">
                  <c:v>3.1775999999999999E-2</c:v>
                </c:pt>
                <c:pt idx="116">
                  <c:v>3.1888E-2</c:v>
                </c:pt>
                <c:pt idx="117">
                  <c:v>3.1997999999999999E-2</c:v>
                </c:pt>
                <c:pt idx="118">
                  <c:v>3.211E-2</c:v>
                </c:pt>
                <c:pt idx="119">
                  <c:v>3.2191999999999998E-2</c:v>
                </c:pt>
                <c:pt idx="120">
                  <c:v>3.2303999999999999E-2</c:v>
                </c:pt>
                <c:pt idx="121">
                  <c:v>3.2413999999999998E-2</c:v>
                </c:pt>
                <c:pt idx="122">
                  <c:v>3.2525999999999999E-2</c:v>
                </c:pt>
                <c:pt idx="123">
                  <c:v>3.2638E-2</c:v>
                </c:pt>
                <c:pt idx="124">
                  <c:v>3.2747999999999999E-2</c:v>
                </c:pt>
                <c:pt idx="125">
                  <c:v>3.286E-2</c:v>
                </c:pt>
                <c:pt idx="126">
                  <c:v>3.2944000000000001E-2</c:v>
                </c:pt>
                <c:pt idx="127">
                  <c:v>3.3054E-2</c:v>
                </c:pt>
                <c:pt idx="128">
                  <c:v>3.3135999999999999E-2</c:v>
                </c:pt>
                <c:pt idx="129">
                  <c:v>3.3248E-2</c:v>
                </c:pt>
                <c:pt idx="130">
                  <c:v>3.3360000000000001E-2</c:v>
                </c:pt>
                <c:pt idx="131">
                  <c:v>3.3472000000000002E-2</c:v>
                </c:pt>
                <c:pt idx="132">
                  <c:v>3.3554E-2</c:v>
                </c:pt>
                <c:pt idx="133">
                  <c:v>3.3663999999999999E-2</c:v>
                </c:pt>
                <c:pt idx="134">
                  <c:v>3.3748E-2</c:v>
                </c:pt>
                <c:pt idx="135">
                  <c:v>3.3832000000000001E-2</c:v>
                </c:pt>
                <c:pt idx="136">
                  <c:v>3.3916000000000002E-2</c:v>
                </c:pt>
                <c:pt idx="137">
                  <c:v>3.4000000000000002E-2</c:v>
                </c:pt>
                <c:pt idx="138">
                  <c:v>3.4082000000000001E-2</c:v>
                </c:pt>
                <c:pt idx="139">
                  <c:v>3.4166000000000002E-2</c:v>
                </c:pt>
                <c:pt idx="140">
                  <c:v>3.4248000000000001E-2</c:v>
                </c:pt>
                <c:pt idx="141">
                  <c:v>3.4332000000000001E-2</c:v>
                </c:pt>
                <c:pt idx="142">
                  <c:v>3.4414E-2</c:v>
                </c:pt>
                <c:pt idx="143">
                  <c:v>3.4498000000000001E-2</c:v>
                </c:pt>
                <c:pt idx="144">
                  <c:v>3.458E-2</c:v>
                </c:pt>
                <c:pt idx="145">
                  <c:v>3.4664E-2</c:v>
                </c:pt>
                <c:pt idx="146">
                  <c:v>3.4750000000000003E-2</c:v>
                </c:pt>
                <c:pt idx="147">
                  <c:v>3.4834000000000004E-2</c:v>
                </c:pt>
                <c:pt idx="148">
                  <c:v>3.4916000000000003E-2</c:v>
                </c:pt>
                <c:pt idx="149">
                  <c:v>3.5000000000000003E-2</c:v>
                </c:pt>
                <c:pt idx="150">
                  <c:v>3.5082000000000002E-2</c:v>
                </c:pt>
                <c:pt idx="151">
                  <c:v>3.5164000000000001E-2</c:v>
                </c:pt>
                <c:pt idx="152">
                  <c:v>3.5249999999999997E-2</c:v>
                </c:pt>
                <c:pt idx="153">
                  <c:v>3.5332000000000002E-2</c:v>
                </c:pt>
                <c:pt idx="154">
                  <c:v>3.5386000000000001E-2</c:v>
                </c:pt>
                <c:pt idx="155">
                  <c:v>3.5470000000000002E-2</c:v>
                </c:pt>
                <c:pt idx="156">
                  <c:v>3.5556000000000004E-2</c:v>
                </c:pt>
                <c:pt idx="157">
                  <c:v>3.5639999999999998E-2</c:v>
                </c:pt>
                <c:pt idx="158">
                  <c:v>3.5693999999999997E-2</c:v>
                </c:pt>
                <c:pt idx="159">
                  <c:v>3.5777999999999997E-2</c:v>
                </c:pt>
                <c:pt idx="160">
                  <c:v>3.5859999999999996E-2</c:v>
                </c:pt>
                <c:pt idx="161">
                  <c:v>3.5914000000000001E-2</c:v>
                </c:pt>
                <c:pt idx="162">
                  <c:v>3.5998000000000002E-2</c:v>
                </c:pt>
                <c:pt idx="163">
                  <c:v>3.6082000000000003E-2</c:v>
                </c:pt>
                <c:pt idx="164">
                  <c:v>3.6166000000000004E-2</c:v>
                </c:pt>
                <c:pt idx="165">
                  <c:v>3.6248000000000002E-2</c:v>
                </c:pt>
                <c:pt idx="166">
                  <c:v>3.6332000000000003E-2</c:v>
                </c:pt>
                <c:pt idx="167">
                  <c:v>3.6387999999999997E-2</c:v>
                </c:pt>
                <c:pt idx="168">
                  <c:v>3.6472000000000004E-2</c:v>
                </c:pt>
                <c:pt idx="169">
                  <c:v>3.6554000000000003E-2</c:v>
                </c:pt>
                <c:pt idx="170">
                  <c:v>3.6610000000000004E-2</c:v>
                </c:pt>
                <c:pt idx="171">
                  <c:v>3.6665999999999997E-2</c:v>
                </c:pt>
                <c:pt idx="172">
                  <c:v>3.6747999999999996E-2</c:v>
                </c:pt>
                <c:pt idx="173">
                  <c:v>3.6830000000000002E-2</c:v>
                </c:pt>
                <c:pt idx="174">
                  <c:v>3.6888000000000004E-2</c:v>
                </c:pt>
                <c:pt idx="175">
                  <c:v>3.6942000000000003E-2</c:v>
                </c:pt>
                <c:pt idx="176">
                  <c:v>3.7025999999999996E-2</c:v>
                </c:pt>
                <c:pt idx="177">
                  <c:v>3.7082000000000004E-2</c:v>
                </c:pt>
                <c:pt idx="178">
                  <c:v>3.7166000000000005E-2</c:v>
                </c:pt>
                <c:pt idx="179">
                  <c:v>3.7221999999999998E-2</c:v>
                </c:pt>
                <c:pt idx="180">
                  <c:v>3.7277999999999999E-2</c:v>
                </c:pt>
                <c:pt idx="181">
                  <c:v>3.7332000000000004E-2</c:v>
                </c:pt>
                <c:pt idx="182">
                  <c:v>3.7386000000000003E-2</c:v>
                </c:pt>
                <c:pt idx="183">
                  <c:v>3.7469999999999996E-2</c:v>
                </c:pt>
                <c:pt idx="184">
                  <c:v>3.7526000000000004E-2</c:v>
                </c:pt>
                <c:pt idx="185">
                  <c:v>3.7581999999999997E-2</c:v>
                </c:pt>
                <c:pt idx="186">
                  <c:v>3.7637999999999998E-2</c:v>
                </c:pt>
                <c:pt idx="187">
                  <c:v>3.7693999999999998E-2</c:v>
                </c:pt>
                <c:pt idx="188">
                  <c:v>3.7747999999999997E-2</c:v>
                </c:pt>
                <c:pt idx="189">
                  <c:v>3.7804000000000004E-2</c:v>
                </c:pt>
                <c:pt idx="190">
                  <c:v>3.7859999999999998E-2</c:v>
                </c:pt>
                <c:pt idx="191">
                  <c:v>3.7915999999999998E-2</c:v>
                </c:pt>
                <c:pt idx="192">
                  <c:v>3.7970000000000004E-2</c:v>
                </c:pt>
                <c:pt idx="193">
                  <c:v>3.8056E-2</c:v>
                </c:pt>
                <c:pt idx="194">
                  <c:v>3.8109999999999998E-2</c:v>
                </c:pt>
                <c:pt idx="195">
                  <c:v>3.8163999999999997E-2</c:v>
                </c:pt>
                <c:pt idx="196">
                  <c:v>3.8220000000000004E-2</c:v>
                </c:pt>
                <c:pt idx="197">
                  <c:v>3.8274000000000002E-2</c:v>
                </c:pt>
                <c:pt idx="198">
                  <c:v>3.8332000000000005E-2</c:v>
                </c:pt>
                <c:pt idx="199">
                  <c:v>3.8386000000000003E-2</c:v>
                </c:pt>
                <c:pt idx="200">
                  <c:v>3.8443999999999999E-2</c:v>
                </c:pt>
                <c:pt idx="201">
                  <c:v>3.8498000000000004E-2</c:v>
                </c:pt>
                <c:pt idx="202">
                  <c:v>3.8556E-2</c:v>
                </c:pt>
                <c:pt idx="203">
                  <c:v>3.8610000000000005E-2</c:v>
                </c:pt>
                <c:pt idx="204">
                  <c:v>3.8665999999999999E-2</c:v>
                </c:pt>
                <c:pt idx="205">
                  <c:v>3.8719999999999997E-2</c:v>
                </c:pt>
                <c:pt idx="206">
                  <c:v>3.8776000000000005E-2</c:v>
                </c:pt>
                <c:pt idx="207">
                  <c:v>3.8834E-2</c:v>
                </c:pt>
                <c:pt idx="208">
                  <c:v>3.8887999999999999E-2</c:v>
                </c:pt>
                <c:pt idx="209">
                  <c:v>3.8942000000000004E-2</c:v>
                </c:pt>
                <c:pt idx="210">
                  <c:v>3.8997999999999998E-2</c:v>
                </c:pt>
                <c:pt idx="211">
                  <c:v>3.9054000000000005E-2</c:v>
                </c:pt>
                <c:pt idx="212">
                  <c:v>3.9108000000000004E-2</c:v>
                </c:pt>
                <c:pt idx="213">
                  <c:v>3.9165999999999999E-2</c:v>
                </c:pt>
                <c:pt idx="214">
                  <c:v>3.9220000000000005E-2</c:v>
                </c:pt>
                <c:pt idx="215">
                  <c:v>3.9278E-2</c:v>
                </c:pt>
                <c:pt idx="216">
                  <c:v>3.9331999999999999E-2</c:v>
                </c:pt>
                <c:pt idx="217">
                  <c:v>3.9390000000000001E-2</c:v>
                </c:pt>
                <c:pt idx="218">
                  <c:v>3.9444E-2</c:v>
                </c:pt>
                <c:pt idx="219">
                  <c:v>3.95E-2</c:v>
                </c:pt>
                <c:pt idx="220">
                  <c:v>3.9556000000000001E-2</c:v>
                </c:pt>
                <c:pt idx="221">
                  <c:v>3.9609999999999999E-2</c:v>
                </c:pt>
                <c:pt idx="222">
                  <c:v>3.9666E-2</c:v>
                </c:pt>
                <c:pt idx="223">
                  <c:v>3.9719999999999998E-2</c:v>
                </c:pt>
                <c:pt idx="224">
                  <c:v>3.9775999999999999E-2</c:v>
                </c:pt>
                <c:pt idx="225">
                  <c:v>3.9830000000000004E-2</c:v>
                </c:pt>
                <c:pt idx="226">
                  <c:v>3.9888E-2</c:v>
                </c:pt>
                <c:pt idx="227">
                  <c:v>3.9942000000000005E-2</c:v>
                </c:pt>
                <c:pt idx="228">
                  <c:v>3.9997999999999999E-2</c:v>
                </c:pt>
                <c:pt idx="229">
                  <c:v>4.0053999999999999E-2</c:v>
                </c:pt>
                <c:pt idx="230">
                  <c:v>4.011E-2</c:v>
                </c:pt>
                <c:pt idx="231">
                  <c:v>4.0163999999999998E-2</c:v>
                </c:pt>
                <c:pt idx="232">
                  <c:v>4.0222000000000001E-2</c:v>
                </c:pt>
                <c:pt idx="233">
                  <c:v>4.0275999999999999E-2</c:v>
                </c:pt>
                <c:pt idx="234">
                  <c:v>4.0334000000000002E-2</c:v>
                </c:pt>
                <c:pt idx="235">
                  <c:v>4.0389999999999995E-2</c:v>
                </c:pt>
                <c:pt idx="236">
                  <c:v>4.0469999999999999E-2</c:v>
                </c:pt>
                <c:pt idx="237">
                  <c:v>4.0552000000000005E-2</c:v>
                </c:pt>
                <c:pt idx="238">
                  <c:v>4.0637999999999994E-2</c:v>
                </c:pt>
                <c:pt idx="239">
                  <c:v>4.0721999999999994E-2</c:v>
                </c:pt>
                <c:pt idx="240">
                  <c:v>4.0804E-2</c:v>
                </c:pt>
                <c:pt idx="241">
                  <c:v>4.0888000000000001E-2</c:v>
                </c:pt>
                <c:pt idx="242">
                  <c:v>4.0970000000000006E-2</c:v>
                </c:pt>
                <c:pt idx="243">
                  <c:v>4.1054000000000007E-2</c:v>
                </c:pt>
                <c:pt idx="244">
                  <c:v>4.1138000000000001E-2</c:v>
                </c:pt>
                <c:pt idx="245">
                  <c:v>4.122E-2</c:v>
                </c:pt>
                <c:pt idx="246">
                  <c:v>4.1304E-2</c:v>
                </c:pt>
                <c:pt idx="247">
                  <c:v>4.1386000000000006E-2</c:v>
                </c:pt>
                <c:pt idx="248">
                  <c:v>4.1471999999999995E-2</c:v>
                </c:pt>
                <c:pt idx="249">
                  <c:v>4.1554000000000001E-2</c:v>
                </c:pt>
                <c:pt idx="250">
                  <c:v>4.1638000000000001E-2</c:v>
                </c:pt>
                <c:pt idx="251">
                  <c:v>4.172E-2</c:v>
                </c:pt>
                <c:pt idx="252">
                  <c:v>4.1803999999999994E-2</c:v>
                </c:pt>
                <c:pt idx="253">
                  <c:v>4.1887999999999995E-2</c:v>
                </c:pt>
                <c:pt idx="254">
                  <c:v>4.1971999999999995E-2</c:v>
                </c:pt>
                <c:pt idx="255">
                  <c:v>4.2054000000000001E-2</c:v>
                </c:pt>
                <c:pt idx="256">
                  <c:v>4.2135999999999993E-2</c:v>
                </c:pt>
                <c:pt idx="257">
                  <c:v>4.2220000000000008E-2</c:v>
                </c:pt>
                <c:pt idx="258">
                  <c:v>4.2304000000000001E-2</c:v>
                </c:pt>
                <c:pt idx="259">
                  <c:v>4.2388000000000002E-2</c:v>
                </c:pt>
                <c:pt idx="260">
                  <c:v>4.2442000000000001E-2</c:v>
                </c:pt>
                <c:pt idx="261">
                  <c:v>4.2526000000000001E-2</c:v>
                </c:pt>
                <c:pt idx="262">
                  <c:v>4.2610000000000002E-2</c:v>
                </c:pt>
                <c:pt idx="263">
                  <c:v>4.2694000000000003E-2</c:v>
                </c:pt>
                <c:pt idx="264">
                  <c:v>4.2775999999999995E-2</c:v>
                </c:pt>
                <c:pt idx="265">
                  <c:v>4.2859999999999995E-2</c:v>
                </c:pt>
                <c:pt idx="266">
                  <c:v>4.2942000000000001E-2</c:v>
                </c:pt>
                <c:pt idx="267">
                  <c:v>4.3028000000000004E-2</c:v>
                </c:pt>
                <c:pt idx="268">
                  <c:v>4.3110000000000002E-2</c:v>
                </c:pt>
                <c:pt idx="269">
                  <c:v>4.3193999999999996E-2</c:v>
                </c:pt>
                <c:pt idx="270">
                  <c:v>4.3277999999999997E-2</c:v>
                </c:pt>
                <c:pt idx="271">
                  <c:v>4.3360000000000003E-2</c:v>
                </c:pt>
                <c:pt idx="272">
                  <c:v>4.3444000000000003E-2</c:v>
                </c:pt>
                <c:pt idx="273">
                  <c:v>4.3525999999999995E-2</c:v>
                </c:pt>
                <c:pt idx="274">
                  <c:v>4.3609999999999996E-2</c:v>
                </c:pt>
                <c:pt idx="275">
                  <c:v>4.3692000000000002E-2</c:v>
                </c:pt>
                <c:pt idx="276">
                  <c:v>4.3776000000000002E-2</c:v>
                </c:pt>
                <c:pt idx="277">
                  <c:v>4.3857999999999994E-2</c:v>
                </c:pt>
                <c:pt idx="278">
                  <c:v>4.3944000000000004E-2</c:v>
                </c:pt>
                <c:pt idx="279">
                  <c:v>4.4025999999999996E-2</c:v>
                </c:pt>
                <c:pt idx="280">
                  <c:v>4.4111999999999998E-2</c:v>
                </c:pt>
                <c:pt idx="281">
                  <c:v>4.4192000000000002E-2</c:v>
                </c:pt>
                <c:pt idx="282">
                  <c:v>4.4276000000000003E-2</c:v>
                </c:pt>
                <c:pt idx="283">
                  <c:v>4.4359999999999997E-2</c:v>
                </c:pt>
                <c:pt idx="284">
                  <c:v>4.4443999999999997E-2</c:v>
                </c:pt>
                <c:pt idx="285">
                  <c:v>4.4526000000000003E-2</c:v>
                </c:pt>
                <c:pt idx="286">
                  <c:v>4.4610000000000004E-2</c:v>
                </c:pt>
                <c:pt idx="287">
                  <c:v>4.4691999999999996E-2</c:v>
                </c:pt>
                <c:pt idx="288">
                  <c:v>4.4775999999999996E-2</c:v>
                </c:pt>
                <c:pt idx="289">
                  <c:v>4.4859999999999997E-2</c:v>
                </c:pt>
                <c:pt idx="290">
                  <c:v>4.4943999999999998E-2</c:v>
                </c:pt>
                <c:pt idx="291">
                  <c:v>4.5027999999999999E-2</c:v>
                </c:pt>
                <c:pt idx="292">
                  <c:v>4.5107999999999995E-2</c:v>
                </c:pt>
                <c:pt idx="293">
                  <c:v>4.5191999999999996E-2</c:v>
                </c:pt>
                <c:pt idx="294">
                  <c:v>4.5275999999999997E-2</c:v>
                </c:pt>
                <c:pt idx="295">
                  <c:v>4.5359999999999998E-2</c:v>
                </c:pt>
                <c:pt idx="296">
                  <c:v>4.5442000000000003E-2</c:v>
                </c:pt>
                <c:pt idx="297">
                  <c:v>4.5525999999999997E-2</c:v>
                </c:pt>
                <c:pt idx="298">
                  <c:v>4.5609999999999998E-2</c:v>
                </c:pt>
                <c:pt idx="299">
                  <c:v>4.5693999999999999E-2</c:v>
                </c:pt>
                <c:pt idx="300">
                  <c:v>4.5805999999999993E-2</c:v>
                </c:pt>
                <c:pt idx="301">
                  <c:v>4.5914000000000003E-2</c:v>
                </c:pt>
                <c:pt idx="302">
                  <c:v>4.6025999999999997E-2</c:v>
                </c:pt>
                <c:pt idx="303">
                  <c:v>4.6135999999999996E-2</c:v>
                </c:pt>
                <c:pt idx="304">
                  <c:v>4.6247999999999997E-2</c:v>
                </c:pt>
                <c:pt idx="305">
                  <c:v>4.6357999999999996E-2</c:v>
                </c:pt>
                <c:pt idx="306">
                  <c:v>4.6471999999999999E-2</c:v>
                </c:pt>
                <c:pt idx="307">
                  <c:v>4.6554000000000005E-2</c:v>
                </c:pt>
                <c:pt idx="308">
                  <c:v>4.6664000000000004E-2</c:v>
                </c:pt>
                <c:pt idx="309">
                  <c:v>4.6775999999999998E-2</c:v>
                </c:pt>
                <c:pt idx="310">
                  <c:v>4.6859999999999999E-2</c:v>
                </c:pt>
                <c:pt idx="311">
                  <c:v>4.6969999999999998E-2</c:v>
                </c:pt>
                <c:pt idx="312">
                  <c:v>4.7053999999999999E-2</c:v>
                </c:pt>
                <c:pt idx="313">
                  <c:v>4.7166E-2</c:v>
                </c:pt>
                <c:pt idx="314">
                  <c:v>4.7275999999999999E-2</c:v>
                </c:pt>
                <c:pt idx="315">
                  <c:v>4.7359999999999999E-2</c:v>
                </c:pt>
                <c:pt idx="316">
                  <c:v>4.7442000000000005E-2</c:v>
                </c:pt>
                <c:pt idx="317">
                  <c:v>4.7525999999999999E-2</c:v>
                </c:pt>
                <c:pt idx="318">
                  <c:v>4.7607999999999998E-2</c:v>
                </c:pt>
                <c:pt idx="319">
                  <c:v>4.7691999999999998E-2</c:v>
                </c:pt>
                <c:pt idx="320">
                  <c:v>4.7775999999999999E-2</c:v>
                </c:pt>
                <c:pt idx="321">
                  <c:v>4.7859999999999993E-2</c:v>
                </c:pt>
                <c:pt idx="322">
                  <c:v>4.7972000000000001E-2</c:v>
                </c:pt>
                <c:pt idx="323">
                  <c:v>4.8082E-2</c:v>
                </c:pt>
                <c:pt idx="324">
                  <c:v>4.8192000000000006E-2</c:v>
                </c:pt>
                <c:pt idx="325">
                  <c:v>4.8304E-2</c:v>
                </c:pt>
                <c:pt idx="326">
                  <c:v>4.8413999999999999E-2</c:v>
                </c:pt>
                <c:pt idx="327">
                  <c:v>4.8524000000000005E-2</c:v>
                </c:pt>
                <c:pt idx="328">
                  <c:v>4.8635999999999999E-2</c:v>
                </c:pt>
                <c:pt idx="329">
                  <c:v>4.8750000000000002E-2</c:v>
                </c:pt>
                <c:pt idx="330">
                  <c:v>4.8861999999999996E-2</c:v>
                </c:pt>
                <c:pt idx="331">
                  <c:v>4.897E-2</c:v>
                </c:pt>
                <c:pt idx="332">
                  <c:v>4.9082000000000001E-2</c:v>
                </c:pt>
                <c:pt idx="333">
                  <c:v>4.9194000000000002E-2</c:v>
                </c:pt>
                <c:pt idx="334">
                  <c:v>4.9303999999999994E-2</c:v>
                </c:pt>
                <c:pt idx="335">
                  <c:v>4.9416000000000002E-2</c:v>
                </c:pt>
                <c:pt idx="336">
                  <c:v>4.9527999999999996E-2</c:v>
                </c:pt>
                <c:pt idx="337">
                  <c:v>4.9638000000000002E-2</c:v>
                </c:pt>
                <c:pt idx="338">
                  <c:v>4.9748000000000001E-2</c:v>
                </c:pt>
                <c:pt idx="339">
                  <c:v>4.9858E-2</c:v>
                </c:pt>
                <c:pt idx="340">
                  <c:v>4.9970000000000001E-2</c:v>
                </c:pt>
                <c:pt idx="341">
                  <c:v>5.008E-2</c:v>
                </c:pt>
                <c:pt idx="342">
                  <c:v>5.0194000000000003E-2</c:v>
                </c:pt>
                <c:pt idx="343">
                  <c:v>5.0304000000000001E-2</c:v>
                </c:pt>
                <c:pt idx="344">
                  <c:v>5.0415999999999996E-2</c:v>
                </c:pt>
                <c:pt idx="345">
                  <c:v>5.0526000000000001E-2</c:v>
                </c:pt>
                <c:pt idx="346">
                  <c:v>5.0637999999999996E-2</c:v>
                </c:pt>
                <c:pt idx="347">
                  <c:v>5.0776000000000002E-2</c:v>
                </c:pt>
                <c:pt idx="348">
                  <c:v>5.0915999999999996E-2</c:v>
                </c:pt>
                <c:pt idx="349">
                  <c:v>5.1025999999999995E-2</c:v>
                </c:pt>
                <c:pt idx="350">
                  <c:v>5.1138000000000003E-2</c:v>
                </c:pt>
                <c:pt idx="351">
                  <c:v>5.1247999999999995E-2</c:v>
                </c:pt>
                <c:pt idx="352">
                  <c:v>5.1360000000000003E-2</c:v>
                </c:pt>
                <c:pt idx="353">
                  <c:v>5.1470000000000002E-2</c:v>
                </c:pt>
                <c:pt idx="354">
                  <c:v>5.1581999999999996E-2</c:v>
                </c:pt>
                <c:pt idx="355">
                  <c:v>5.1694000000000004E-2</c:v>
                </c:pt>
                <c:pt idx="356">
                  <c:v>5.1803999999999996E-2</c:v>
                </c:pt>
                <c:pt idx="357">
                  <c:v>5.1916000000000004E-2</c:v>
                </c:pt>
                <c:pt idx="358">
                  <c:v>5.2026000000000003E-2</c:v>
                </c:pt>
                <c:pt idx="359">
                  <c:v>5.2135999999999995E-2</c:v>
                </c:pt>
                <c:pt idx="360">
                  <c:v>5.2275999999999996E-2</c:v>
                </c:pt>
                <c:pt idx="361">
                  <c:v>5.2415999999999997E-2</c:v>
                </c:pt>
                <c:pt idx="362">
                  <c:v>5.2553999999999997E-2</c:v>
                </c:pt>
                <c:pt idx="363">
                  <c:v>5.2693999999999998E-2</c:v>
                </c:pt>
                <c:pt idx="364">
                  <c:v>5.2831999999999997E-2</c:v>
                </c:pt>
                <c:pt idx="365">
                  <c:v>5.2969999999999996E-2</c:v>
                </c:pt>
                <c:pt idx="366">
                  <c:v>5.3109999999999997E-2</c:v>
                </c:pt>
                <c:pt idx="367">
                  <c:v>5.3249999999999999E-2</c:v>
                </c:pt>
                <c:pt idx="368">
                  <c:v>5.3387999999999998E-2</c:v>
                </c:pt>
                <c:pt idx="369">
                  <c:v>5.3525999999999997E-2</c:v>
                </c:pt>
                <c:pt idx="370">
                  <c:v>5.3663999999999996E-2</c:v>
                </c:pt>
                <c:pt idx="371">
                  <c:v>5.3802000000000003E-2</c:v>
                </c:pt>
                <c:pt idx="372">
                  <c:v>5.3943999999999999E-2</c:v>
                </c:pt>
                <c:pt idx="373">
                  <c:v>5.4081999999999998E-2</c:v>
                </c:pt>
                <c:pt idx="374">
                  <c:v>5.4221999999999999E-2</c:v>
                </c:pt>
                <c:pt idx="375">
                  <c:v>5.4359999999999999E-2</c:v>
                </c:pt>
                <c:pt idx="376">
                  <c:v>5.4497999999999998E-2</c:v>
                </c:pt>
                <c:pt idx="377">
                  <c:v>5.4635999999999997E-2</c:v>
                </c:pt>
                <c:pt idx="378">
                  <c:v>5.4778E-2</c:v>
                </c:pt>
                <c:pt idx="379">
                  <c:v>5.4916E-2</c:v>
                </c:pt>
                <c:pt idx="380">
                  <c:v>5.5053999999999999E-2</c:v>
                </c:pt>
                <c:pt idx="381">
                  <c:v>5.5191999999999998E-2</c:v>
                </c:pt>
                <c:pt idx="382">
                  <c:v>5.5331999999999999E-2</c:v>
                </c:pt>
                <c:pt idx="383">
                  <c:v>5.5469999999999998E-2</c:v>
                </c:pt>
                <c:pt idx="384">
                  <c:v>5.561E-2</c:v>
                </c:pt>
                <c:pt idx="385">
                  <c:v>5.5750000000000001E-2</c:v>
                </c:pt>
                <c:pt idx="386">
                  <c:v>5.5885999999999998E-2</c:v>
                </c:pt>
                <c:pt idx="387">
                  <c:v>5.6025999999999999E-2</c:v>
                </c:pt>
                <c:pt idx="388">
                  <c:v>5.6193999999999994E-2</c:v>
                </c:pt>
                <c:pt idx="389">
                  <c:v>5.636E-2</c:v>
                </c:pt>
                <c:pt idx="390">
                  <c:v>5.6528000000000002E-2</c:v>
                </c:pt>
                <c:pt idx="391">
                  <c:v>5.6691999999999999E-2</c:v>
                </c:pt>
                <c:pt idx="392">
                  <c:v>5.6860000000000001E-2</c:v>
                </c:pt>
                <c:pt idx="393">
                  <c:v>5.6998E-2</c:v>
                </c:pt>
                <c:pt idx="394">
                  <c:v>5.7138000000000001E-2</c:v>
                </c:pt>
                <c:pt idx="395">
                  <c:v>5.7278000000000003E-2</c:v>
                </c:pt>
                <c:pt idx="396">
                  <c:v>5.7413999999999993E-2</c:v>
                </c:pt>
                <c:pt idx="397">
                  <c:v>5.7554000000000001E-2</c:v>
                </c:pt>
                <c:pt idx="398">
                  <c:v>5.7694000000000002E-2</c:v>
                </c:pt>
                <c:pt idx="399">
                  <c:v>5.7830000000000006E-2</c:v>
                </c:pt>
                <c:pt idx="400">
                  <c:v>5.7999999999999996E-2</c:v>
                </c:pt>
                <c:pt idx="401">
                  <c:v>5.8164E-2</c:v>
                </c:pt>
                <c:pt idx="402">
                  <c:v>5.833E-2</c:v>
                </c:pt>
                <c:pt idx="403">
                  <c:v>5.8499999999999996E-2</c:v>
                </c:pt>
                <c:pt idx="404">
                  <c:v>5.8663999999999994E-2</c:v>
                </c:pt>
                <c:pt idx="405">
                  <c:v>5.8833999999999997E-2</c:v>
                </c:pt>
                <c:pt idx="406">
                  <c:v>5.8998000000000002E-2</c:v>
                </c:pt>
                <c:pt idx="407">
                  <c:v>5.9164000000000001E-2</c:v>
                </c:pt>
                <c:pt idx="408">
                  <c:v>5.9332000000000003E-2</c:v>
                </c:pt>
                <c:pt idx="409">
                  <c:v>5.9497999999999995E-2</c:v>
                </c:pt>
                <c:pt idx="410">
                  <c:v>5.9665999999999997E-2</c:v>
                </c:pt>
                <c:pt idx="411">
                  <c:v>5.9832000000000003E-2</c:v>
                </c:pt>
                <c:pt idx="412">
                  <c:v>5.9997999999999996E-2</c:v>
                </c:pt>
                <c:pt idx="413">
                  <c:v>6.0166000000000004E-2</c:v>
                </c:pt>
                <c:pt idx="414">
                  <c:v>6.0331999999999997E-2</c:v>
                </c:pt>
                <c:pt idx="415">
                  <c:v>6.0498000000000003E-2</c:v>
                </c:pt>
                <c:pt idx="416">
                  <c:v>6.0663999999999996E-2</c:v>
                </c:pt>
                <c:pt idx="417">
                  <c:v>6.0831999999999997E-2</c:v>
                </c:pt>
                <c:pt idx="418">
                  <c:v>6.0999999999999999E-2</c:v>
                </c:pt>
                <c:pt idx="419">
                  <c:v>6.1165999999999998E-2</c:v>
                </c:pt>
                <c:pt idx="420">
                  <c:v>6.1332000000000005E-2</c:v>
                </c:pt>
                <c:pt idx="421">
                  <c:v>6.1525999999999997E-2</c:v>
                </c:pt>
                <c:pt idx="422">
                  <c:v>6.1721999999999999E-2</c:v>
                </c:pt>
                <c:pt idx="423">
                  <c:v>6.1918000000000001E-2</c:v>
                </c:pt>
                <c:pt idx="424">
                  <c:v>6.2110000000000005E-2</c:v>
                </c:pt>
                <c:pt idx="425">
                  <c:v>6.2304000000000005E-2</c:v>
                </c:pt>
                <c:pt idx="426">
                  <c:v>6.2497999999999998E-2</c:v>
                </c:pt>
                <c:pt idx="427">
                  <c:v>6.2694E-2</c:v>
                </c:pt>
                <c:pt idx="428">
                  <c:v>6.2885999999999997E-2</c:v>
                </c:pt>
                <c:pt idx="429">
                  <c:v>6.3081999999999999E-2</c:v>
                </c:pt>
                <c:pt idx="430">
                  <c:v>6.3278000000000001E-2</c:v>
                </c:pt>
                <c:pt idx="431">
                  <c:v>6.3472000000000001E-2</c:v>
                </c:pt>
                <c:pt idx="432">
                  <c:v>6.3666E-2</c:v>
                </c:pt>
                <c:pt idx="433">
                  <c:v>6.386E-2</c:v>
                </c:pt>
                <c:pt idx="434">
                  <c:v>6.4054E-2</c:v>
                </c:pt>
                <c:pt idx="435">
                  <c:v>6.4248E-2</c:v>
                </c:pt>
                <c:pt idx="436">
                  <c:v>6.4441999999999999E-2</c:v>
                </c:pt>
                <c:pt idx="437">
                  <c:v>6.4635999999999999E-2</c:v>
                </c:pt>
                <c:pt idx="438">
                  <c:v>6.4832000000000001E-2</c:v>
                </c:pt>
                <c:pt idx="439">
                  <c:v>6.5028000000000002E-2</c:v>
                </c:pt>
                <c:pt idx="440">
                  <c:v>6.5248E-2</c:v>
                </c:pt>
                <c:pt idx="441">
                  <c:v>6.5444000000000002E-2</c:v>
                </c:pt>
                <c:pt idx="442">
                  <c:v>6.5666000000000002E-2</c:v>
                </c:pt>
                <c:pt idx="443">
                  <c:v>6.5860000000000002E-2</c:v>
                </c:pt>
                <c:pt idx="444">
                  <c:v>6.6054000000000002E-2</c:v>
                </c:pt>
                <c:pt idx="445">
                  <c:v>6.6248000000000001E-2</c:v>
                </c:pt>
                <c:pt idx="446">
                  <c:v>6.6444000000000003E-2</c:v>
                </c:pt>
                <c:pt idx="447">
                  <c:v>6.6664000000000001E-2</c:v>
                </c:pt>
                <c:pt idx="448">
                  <c:v>6.6888000000000003E-2</c:v>
                </c:pt>
                <c:pt idx="449">
                  <c:v>6.7084000000000005E-2</c:v>
                </c:pt>
                <c:pt idx="450">
                  <c:v>6.7276000000000002E-2</c:v>
                </c:pt>
                <c:pt idx="451">
                  <c:v>6.7500000000000004E-2</c:v>
                </c:pt>
                <c:pt idx="452">
                  <c:v>6.7722000000000004E-2</c:v>
                </c:pt>
                <c:pt idx="453">
                  <c:v>6.7916000000000004E-2</c:v>
                </c:pt>
                <c:pt idx="454">
                  <c:v>6.813799999999999E-2</c:v>
                </c:pt>
                <c:pt idx="455">
                  <c:v>6.8358000000000002E-2</c:v>
                </c:pt>
                <c:pt idx="456">
                  <c:v>6.8582000000000004E-2</c:v>
                </c:pt>
                <c:pt idx="457">
                  <c:v>6.8804000000000004E-2</c:v>
                </c:pt>
                <c:pt idx="458">
                  <c:v>6.902599999999999E-2</c:v>
                </c:pt>
                <c:pt idx="459">
                  <c:v>6.9249999999999992E-2</c:v>
                </c:pt>
                <c:pt idx="460">
                  <c:v>6.9471999999999992E-2</c:v>
                </c:pt>
                <c:pt idx="461">
                  <c:v>6.9692000000000004E-2</c:v>
                </c:pt>
                <c:pt idx="462">
                  <c:v>6.991399999999999E-2</c:v>
                </c:pt>
                <c:pt idx="463">
                  <c:v>7.0137999999999992E-2</c:v>
                </c:pt>
                <c:pt idx="464">
                  <c:v>7.0359999999999992E-2</c:v>
                </c:pt>
                <c:pt idx="465">
                  <c:v>7.0610000000000006E-2</c:v>
                </c:pt>
                <c:pt idx="466">
                  <c:v>7.0831999999999992E-2</c:v>
                </c:pt>
                <c:pt idx="467">
                  <c:v>7.1054000000000006E-2</c:v>
                </c:pt>
                <c:pt idx="468">
                  <c:v>7.1274000000000004E-2</c:v>
                </c:pt>
                <c:pt idx="469">
                  <c:v>7.1525999999999992E-2</c:v>
                </c:pt>
                <c:pt idx="470">
                  <c:v>7.1776000000000006E-2</c:v>
                </c:pt>
                <c:pt idx="471">
                  <c:v>7.2026000000000007E-2</c:v>
                </c:pt>
                <c:pt idx="472">
                  <c:v>7.2275999999999993E-2</c:v>
                </c:pt>
                <c:pt idx="473">
                  <c:v>7.2526000000000007E-2</c:v>
                </c:pt>
                <c:pt idx="474">
                  <c:v>7.2775999999999993E-2</c:v>
                </c:pt>
                <c:pt idx="475">
                  <c:v>7.3025999999999994E-2</c:v>
                </c:pt>
                <c:pt idx="476">
                  <c:v>7.3277999999999996E-2</c:v>
                </c:pt>
                <c:pt idx="477">
                  <c:v>7.3525999999999994E-2</c:v>
                </c:pt>
                <c:pt idx="478">
                  <c:v>7.3776000000000008E-2</c:v>
                </c:pt>
                <c:pt idx="479">
                  <c:v>7.4027999999999997E-2</c:v>
                </c:pt>
                <c:pt idx="480">
                  <c:v>7.4275999999999995E-2</c:v>
                </c:pt>
                <c:pt idx="481">
                  <c:v>7.4553999999999995E-2</c:v>
                </c:pt>
                <c:pt idx="482">
                  <c:v>7.4833999999999998E-2</c:v>
                </c:pt>
                <c:pt idx="483">
                  <c:v>7.5107999999999994E-2</c:v>
                </c:pt>
                <c:pt idx="484">
                  <c:v>7.5387999999999997E-2</c:v>
                </c:pt>
                <c:pt idx="485">
                  <c:v>7.5665999999999997E-2</c:v>
                </c:pt>
                <c:pt idx="486">
                  <c:v>7.5913999999999995E-2</c:v>
                </c:pt>
                <c:pt idx="487">
                  <c:v>7.6193999999999998E-2</c:v>
                </c:pt>
                <c:pt idx="488">
                  <c:v>7.6471999999999998E-2</c:v>
                </c:pt>
                <c:pt idx="489">
                  <c:v>7.6745999999999995E-2</c:v>
                </c:pt>
                <c:pt idx="490">
                  <c:v>7.7025999999999997E-2</c:v>
                </c:pt>
                <c:pt idx="491">
                  <c:v>7.7306E-2</c:v>
                </c:pt>
                <c:pt idx="492">
                  <c:v>7.7581999999999998E-2</c:v>
                </c:pt>
                <c:pt idx="493">
                  <c:v>7.7859999999999999E-2</c:v>
                </c:pt>
                <c:pt idx="494">
                  <c:v>7.8137999999999999E-2</c:v>
                </c:pt>
                <c:pt idx="495">
                  <c:v>7.8413999999999998E-2</c:v>
                </c:pt>
                <c:pt idx="496">
                  <c:v>7.8694E-2</c:v>
                </c:pt>
                <c:pt idx="497">
                  <c:v>7.8969999999999999E-2</c:v>
                </c:pt>
                <c:pt idx="498">
                  <c:v>7.9247999999999999E-2</c:v>
                </c:pt>
                <c:pt idx="499">
                  <c:v>7.9525999999999999E-2</c:v>
                </c:pt>
                <c:pt idx="500">
                  <c:v>7.9804E-2</c:v>
                </c:pt>
                <c:pt idx="501">
                  <c:v>8.0082E-2</c:v>
                </c:pt>
                <c:pt idx="502">
                  <c:v>8.0361999999999989E-2</c:v>
                </c:pt>
                <c:pt idx="503">
                  <c:v>8.0664E-2</c:v>
                </c:pt>
                <c:pt idx="504">
                  <c:v>8.0972000000000002E-2</c:v>
                </c:pt>
                <c:pt idx="505">
                  <c:v>8.1275999999999987E-2</c:v>
                </c:pt>
                <c:pt idx="506">
                  <c:v>8.1582000000000002E-2</c:v>
                </c:pt>
                <c:pt idx="507">
                  <c:v>8.1888000000000002E-2</c:v>
                </c:pt>
                <c:pt idx="508">
                  <c:v>8.2194000000000003E-2</c:v>
                </c:pt>
                <c:pt idx="509">
                  <c:v>8.2498000000000002E-2</c:v>
                </c:pt>
                <c:pt idx="510">
                  <c:v>8.2804000000000003E-2</c:v>
                </c:pt>
                <c:pt idx="511">
                  <c:v>8.3110000000000003E-2</c:v>
                </c:pt>
                <c:pt idx="512">
                  <c:v>8.341599999999999E-2</c:v>
                </c:pt>
                <c:pt idx="513">
                  <c:v>8.3748000000000003E-2</c:v>
                </c:pt>
                <c:pt idx="514">
                  <c:v>8.4082000000000004E-2</c:v>
                </c:pt>
                <c:pt idx="515">
                  <c:v>8.4414000000000003E-2</c:v>
                </c:pt>
                <c:pt idx="516">
                  <c:v>8.4749999999999992E-2</c:v>
                </c:pt>
                <c:pt idx="517">
                  <c:v>8.5082000000000005E-2</c:v>
                </c:pt>
                <c:pt idx="518">
                  <c:v>8.5416000000000006E-2</c:v>
                </c:pt>
                <c:pt idx="519">
                  <c:v>8.5747999999999991E-2</c:v>
                </c:pt>
                <c:pt idx="520">
                  <c:v>8.6082000000000006E-2</c:v>
                </c:pt>
                <c:pt idx="521">
                  <c:v>8.6416000000000007E-2</c:v>
                </c:pt>
                <c:pt idx="522">
                  <c:v>8.6774000000000004E-2</c:v>
                </c:pt>
                <c:pt idx="523">
                  <c:v>8.7110000000000007E-2</c:v>
                </c:pt>
                <c:pt idx="524">
                  <c:v>8.7441999999999992E-2</c:v>
                </c:pt>
                <c:pt idx="525">
                  <c:v>8.7777999999999995E-2</c:v>
                </c:pt>
                <c:pt idx="526">
                  <c:v>8.8138000000000008E-2</c:v>
                </c:pt>
                <c:pt idx="527">
                  <c:v>8.8498000000000007E-2</c:v>
                </c:pt>
                <c:pt idx="528">
                  <c:v>8.8859999999999995E-2</c:v>
                </c:pt>
                <c:pt idx="529">
                  <c:v>8.9221999999999996E-2</c:v>
                </c:pt>
                <c:pt idx="530">
                  <c:v>8.9581999999999995E-2</c:v>
                </c:pt>
                <c:pt idx="531">
                  <c:v>8.9941999999999994E-2</c:v>
                </c:pt>
                <c:pt idx="532">
                  <c:v>9.0303999999999995E-2</c:v>
                </c:pt>
                <c:pt idx="533">
                  <c:v>9.0665999999999997E-2</c:v>
                </c:pt>
                <c:pt idx="534">
                  <c:v>9.102600000000001E-2</c:v>
                </c:pt>
                <c:pt idx="535">
                  <c:v>9.1415999999999997E-2</c:v>
                </c:pt>
                <c:pt idx="536">
                  <c:v>9.1804000000000011E-2</c:v>
                </c:pt>
                <c:pt idx="537">
                  <c:v>9.219200000000001E-2</c:v>
                </c:pt>
                <c:pt idx="538">
                  <c:v>9.2581999999999998E-2</c:v>
                </c:pt>
                <c:pt idx="539">
                  <c:v>9.2970000000000011E-2</c:v>
                </c:pt>
                <c:pt idx="540">
                  <c:v>9.3388000000000013E-2</c:v>
                </c:pt>
                <c:pt idx="541">
                  <c:v>9.3775999999999998E-2</c:v>
                </c:pt>
                <c:pt idx="542">
                  <c:v>9.4194E-2</c:v>
                </c:pt>
                <c:pt idx="543">
                  <c:v>9.461E-2</c:v>
                </c:pt>
                <c:pt idx="544">
                  <c:v>9.5028000000000001E-2</c:v>
                </c:pt>
                <c:pt idx="545">
                  <c:v>9.5444000000000001E-2</c:v>
                </c:pt>
                <c:pt idx="546">
                  <c:v>9.5885999999999999E-2</c:v>
                </c:pt>
                <c:pt idx="547">
                  <c:v>9.6332000000000001E-2</c:v>
                </c:pt>
                <c:pt idx="548">
                  <c:v>9.6748000000000001E-2</c:v>
                </c:pt>
                <c:pt idx="549">
                  <c:v>9.7166000000000002E-2</c:v>
                </c:pt>
                <c:pt idx="550">
                  <c:v>9.7609999999999988E-2</c:v>
                </c:pt>
                <c:pt idx="551">
                  <c:v>9.8054000000000002E-2</c:v>
                </c:pt>
                <c:pt idx="552">
                  <c:v>9.8498000000000002E-2</c:v>
                </c:pt>
                <c:pt idx="553">
                  <c:v>9.894399999999999E-2</c:v>
                </c:pt>
                <c:pt idx="554">
                  <c:v>9.9385999999999988E-2</c:v>
                </c:pt>
                <c:pt idx="555">
                  <c:v>9.9832000000000004E-2</c:v>
                </c:pt>
                <c:pt idx="556">
                  <c:v>0.10027799999999999</c:v>
                </c:pt>
                <c:pt idx="557">
                  <c:v>0.100748</c:v>
                </c:pt>
                <c:pt idx="558">
                  <c:v>0.10122199999999999</c:v>
                </c:pt>
                <c:pt idx="559">
                  <c:v>0.10169399999999999</c:v>
                </c:pt>
                <c:pt idx="560">
                  <c:v>0.10218999999999999</c:v>
                </c:pt>
                <c:pt idx="561">
                  <c:v>0.10269399999999999</c:v>
                </c:pt>
                <c:pt idx="562">
                  <c:v>0.10319399999999999</c:v>
                </c:pt>
                <c:pt idx="563">
                  <c:v>0.10371999999999999</c:v>
                </c:pt>
                <c:pt idx="564">
                  <c:v>0.10424799999999999</c:v>
                </c:pt>
                <c:pt idx="565">
                  <c:v>0.10477600000000001</c:v>
                </c:pt>
                <c:pt idx="566">
                  <c:v>0.10530200000000001</c:v>
                </c:pt>
                <c:pt idx="567">
                  <c:v>0.10586000000000001</c:v>
                </c:pt>
                <c:pt idx="568">
                  <c:v>0.10641600000000001</c:v>
                </c:pt>
                <c:pt idx="569">
                  <c:v>0.10697</c:v>
                </c:pt>
                <c:pt idx="570">
                  <c:v>0.107526</c:v>
                </c:pt>
                <c:pt idx="571">
                  <c:v>0.108082</c:v>
                </c:pt>
                <c:pt idx="572">
                  <c:v>0.108638</c:v>
                </c:pt>
                <c:pt idx="573">
                  <c:v>0.109194</c:v>
                </c:pt>
                <c:pt idx="574">
                  <c:v>0.10977600000000001</c:v>
                </c:pt>
                <c:pt idx="575">
                  <c:v>0.110388</c:v>
                </c:pt>
                <c:pt idx="576">
                  <c:v>0.111</c:v>
                </c:pt>
                <c:pt idx="577">
                  <c:v>0.11161</c:v>
                </c:pt>
                <c:pt idx="578">
                  <c:v>0.112248</c:v>
                </c:pt>
                <c:pt idx="579">
                  <c:v>0.112916</c:v>
                </c:pt>
                <c:pt idx="580">
                  <c:v>0.113582</c:v>
                </c:pt>
                <c:pt idx="581">
                  <c:v>0.114304</c:v>
                </c:pt>
                <c:pt idx="582">
                  <c:v>0.115082</c:v>
                </c:pt>
              </c:numCache>
            </c:numRef>
          </c:cat>
          <c:val>
            <c:numRef>
              <c:f>'A22-1'!$F$2:$F$584</c:f>
              <c:numCache>
                <c:formatCode>0.00</c:formatCode>
                <c:ptCount val="583"/>
                <c:pt idx="0">
                  <c:v>0</c:v>
                </c:pt>
                <c:pt idx="1">
                  <c:v>0.28611228906414726</c:v>
                </c:pt>
                <c:pt idx="2">
                  <c:v>0.28611228906414726</c:v>
                </c:pt>
                <c:pt idx="3">
                  <c:v>0.28611228906414726</c:v>
                </c:pt>
                <c:pt idx="4">
                  <c:v>0.28611228906414726</c:v>
                </c:pt>
                <c:pt idx="5">
                  <c:v>0.28611228906414726</c:v>
                </c:pt>
                <c:pt idx="6">
                  <c:v>0.28208487421435796</c:v>
                </c:pt>
                <c:pt idx="7">
                  <c:v>0.28208487421435796</c:v>
                </c:pt>
                <c:pt idx="8">
                  <c:v>0.28611228906414726</c:v>
                </c:pt>
                <c:pt idx="9">
                  <c:v>0.28208487421435796</c:v>
                </c:pt>
                <c:pt idx="10">
                  <c:v>0.28208487421435796</c:v>
                </c:pt>
                <c:pt idx="11">
                  <c:v>0.28208487421435796</c:v>
                </c:pt>
                <c:pt idx="12">
                  <c:v>0.28611228906414726</c:v>
                </c:pt>
                <c:pt idx="13">
                  <c:v>0.28611228906414726</c:v>
                </c:pt>
                <c:pt idx="14">
                  <c:v>0.28611228906414726</c:v>
                </c:pt>
                <c:pt idx="15">
                  <c:v>0.28611228906414726</c:v>
                </c:pt>
                <c:pt idx="16">
                  <c:v>0.28611228906414726</c:v>
                </c:pt>
                <c:pt idx="17">
                  <c:v>0.28611228906414726</c:v>
                </c:pt>
                <c:pt idx="18">
                  <c:v>0.28611228906414726</c:v>
                </c:pt>
                <c:pt idx="19">
                  <c:v>0.29013970391393651</c:v>
                </c:pt>
                <c:pt idx="20">
                  <c:v>0.29013970391393651</c:v>
                </c:pt>
                <c:pt idx="21">
                  <c:v>0.29013970391393651</c:v>
                </c:pt>
                <c:pt idx="22">
                  <c:v>0.29013970391393651</c:v>
                </c:pt>
                <c:pt idx="23">
                  <c:v>0.29013970391393651</c:v>
                </c:pt>
                <c:pt idx="24">
                  <c:v>0.29416711876372581</c:v>
                </c:pt>
                <c:pt idx="25">
                  <c:v>0.30627305398868065</c:v>
                </c:pt>
                <c:pt idx="26">
                  <c:v>0.31432788368825915</c:v>
                </c:pt>
                <c:pt idx="27">
                  <c:v>0.31835529853804845</c:v>
                </c:pt>
                <c:pt idx="28">
                  <c:v>0.32238271338783769</c:v>
                </c:pt>
                <c:pt idx="29">
                  <c:v>0.326410128237627</c:v>
                </c:pt>
                <c:pt idx="30">
                  <c:v>0.326410128237627</c:v>
                </c:pt>
                <c:pt idx="31">
                  <c:v>0.3304375430874163</c:v>
                </c:pt>
                <c:pt idx="32">
                  <c:v>0.33446495793720549</c:v>
                </c:pt>
                <c:pt idx="33">
                  <c:v>0.33446495793720549</c:v>
                </c:pt>
                <c:pt idx="34">
                  <c:v>0.33849237278699479</c:v>
                </c:pt>
                <c:pt idx="35">
                  <c:v>0.34251978763678409</c:v>
                </c:pt>
                <c:pt idx="36">
                  <c:v>0.34251978763678409</c:v>
                </c:pt>
                <c:pt idx="37">
                  <c:v>0.33849237278699479</c:v>
                </c:pt>
                <c:pt idx="38">
                  <c:v>0.34251978763678409</c:v>
                </c:pt>
                <c:pt idx="39">
                  <c:v>0.34251978763678409</c:v>
                </c:pt>
                <c:pt idx="40">
                  <c:v>0.34251978763678409</c:v>
                </c:pt>
                <c:pt idx="41">
                  <c:v>0.34251978763678409</c:v>
                </c:pt>
                <c:pt idx="42">
                  <c:v>0.34251978763678409</c:v>
                </c:pt>
                <c:pt idx="43">
                  <c:v>0.34251978763678409</c:v>
                </c:pt>
                <c:pt idx="44">
                  <c:v>0.34251978763678409</c:v>
                </c:pt>
                <c:pt idx="45">
                  <c:v>0.34251978763678409</c:v>
                </c:pt>
                <c:pt idx="46">
                  <c:v>0.34251978763678409</c:v>
                </c:pt>
                <c:pt idx="47">
                  <c:v>0.34654720248657334</c:v>
                </c:pt>
                <c:pt idx="48">
                  <c:v>0.34251978763678409</c:v>
                </c:pt>
                <c:pt idx="49">
                  <c:v>0.34654720248657334</c:v>
                </c:pt>
                <c:pt idx="50">
                  <c:v>0.34654720248657334</c:v>
                </c:pt>
                <c:pt idx="51">
                  <c:v>0.34654720248657334</c:v>
                </c:pt>
                <c:pt idx="52">
                  <c:v>0.34654720248657334</c:v>
                </c:pt>
                <c:pt idx="53">
                  <c:v>0.34654720248657334</c:v>
                </c:pt>
                <c:pt idx="54">
                  <c:v>0.34251978763678409</c:v>
                </c:pt>
                <c:pt idx="55">
                  <c:v>0.34654720248657334</c:v>
                </c:pt>
                <c:pt idx="56">
                  <c:v>0.34654720248657334</c:v>
                </c:pt>
                <c:pt idx="57">
                  <c:v>0.34654720248657334</c:v>
                </c:pt>
                <c:pt idx="58">
                  <c:v>0.34654720248657334</c:v>
                </c:pt>
                <c:pt idx="59">
                  <c:v>0.34654720248657334</c:v>
                </c:pt>
                <c:pt idx="60">
                  <c:v>0.34654720248657334</c:v>
                </c:pt>
                <c:pt idx="61">
                  <c:v>0.34654720248657334</c:v>
                </c:pt>
                <c:pt idx="62">
                  <c:v>0.35059830801194958</c:v>
                </c:pt>
                <c:pt idx="63">
                  <c:v>0.35059830801194958</c:v>
                </c:pt>
                <c:pt idx="64">
                  <c:v>0.35059830801194958</c:v>
                </c:pt>
                <c:pt idx="65">
                  <c:v>0.35059830801194958</c:v>
                </c:pt>
                <c:pt idx="66">
                  <c:v>0.35462572286173882</c:v>
                </c:pt>
                <c:pt idx="67">
                  <c:v>0.35462572286173882</c:v>
                </c:pt>
                <c:pt idx="68">
                  <c:v>0.35462572286173882</c:v>
                </c:pt>
                <c:pt idx="69">
                  <c:v>0.35462572286173882</c:v>
                </c:pt>
                <c:pt idx="70">
                  <c:v>0.35865313771152812</c:v>
                </c:pt>
                <c:pt idx="71">
                  <c:v>0.36268055256131737</c:v>
                </c:pt>
                <c:pt idx="72">
                  <c:v>0.36268055256131737</c:v>
                </c:pt>
                <c:pt idx="73">
                  <c:v>0.36268055256131737</c:v>
                </c:pt>
                <c:pt idx="74">
                  <c:v>0.36670796741110662</c:v>
                </c:pt>
                <c:pt idx="75">
                  <c:v>0.37476279711068528</c:v>
                </c:pt>
                <c:pt idx="76">
                  <c:v>0.38684504166005307</c:v>
                </c:pt>
                <c:pt idx="77">
                  <c:v>0.3989509768850078</c:v>
                </c:pt>
                <c:pt idx="78">
                  <c:v>0.41103322143437571</c:v>
                </c:pt>
                <c:pt idx="79">
                  <c:v>0.4271428808335328</c:v>
                </c:pt>
                <c:pt idx="80">
                  <c:v>0.44327623090827678</c:v>
                </c:pt>
                <c:pt idx="81">
                  <c:v>0.45938589030743382</c:v>
                </c:pt>
                <c:pt idx="82">
                  <c:v>0.47551924038217797</c:v>
                </c:pt>
                <c:pt idx="83">
                  <c:v>0.48760148493154581</c:v>
                </c:pt>
                <c:pt idx="84">
                  <c:v>0.50371114433070285</c:v>
                </c:pt>
                <c:pt idx="85">
                  <c:v>0.519844494405447</c:v>
                </c:pt>
                <c:pt idx="86">
                  <c:v>0.53595415380460409</c:v>
                </c:pt>
                <c:pt idx="87">
                  <c:v>0.55208750387934802</c:v>
                </c:pt>
                <c:pt idx="88">
                  <c:v>0.56819716327850533</c:v>
                </c:pt>
                <c:pt idx="89">
                  <c:v>0.58430682267766232</c:v>
                </c:pt>
                <c:pt idx="90">
                  <c:v>0.60446758760219566</c:v>
                </c:pt>
                <c:pt idx="91">
                  <c:v>0.62057724700135275</c:v>
                </c:pt>
                <c:pt idx="92">
                  <c:v>0.6367105970760969</c:v>
                </c:pt>
                <c:pt idx="93">
                  <c:v>0.65282025647525399</c:v>
                </c:pt>
                <c:pt idx="94">
                  <c:v>0.66892991587441097</c:v>
                </c:pt>
                <c:pt idx="95">
                  <c:v>0.68506326594915512</c:v>
                </c:pt>
                <c:pt idx="96">
                  <c:v>0.70117292534831221</c:v>
                </c:pt>
                <c:pt idx="97">
                  <c:v>0.71730627542305625</c:v>
                </c:pt>
                <c:pt idx="98">
                  <c:v>0.73341593482221323</c:v>
                </c:pt>
                <c:pt idx="99">
                  <c:v>0.74952559422137055</c:v>
                </c:pt>
                <c:pt idx="100">
                  <c:v>0.76565894429611459</c:v>
                </c:pt>
                <c:pt idx="101">
                  <c:v>0.78176860369527168</c:v>
                </c:pt>
                <c:pt idx="102">
                  <c:v>0.7979019537700156</c:v>
                </c:pt>
                <c:pt idx="103">
                  <c:v>0.81401161316917281</c:v>
                </c:pt>
                <c:pt idx="104">
                  <c:v>0.83012127256832979</c:v>
                </c:pt>
                <c:pt idx="105">
                  <c:v>0.85028203749286313</c:v>
                </c:pt>
                <c:pt idx="106">
                  <c:v>0.86639169689202034</c:v>
                </c:pt>
                <c:pt idx="107">
                  <c:v>0.88252504696676437</c:v>
                </c:pt>
                <c:pt idx="108">
                  <c:v>0.89863470636592158</c:v>
                </c:pt>
                <c:pt idx="109">
                  <c:v>0.91474436576507856</c:v>
                </c:pt>
                <c:pt idx="110">
                  <c:v>0.93087771583982271</c:v>
                </c:pt>
                <c:pt idx="111">
                  <c:v>0.94698737523897969</c:v>
                </c:pt>
                <c:pt idx="112">
                  <c:v>0.96312072531372395</c:v>
                </c:pt>
                <c:pt idx="113">
                  <c:v>0.97923038471288093</c:v>
                </c:pt>
                <c:pt idx="114">
                  <c:v>0.99534004411203802</c:v>
                </c:pt>
                <c:pt idx="115">
                  <c:v>1.0114733941867822</c:v>
                </c:pt>
                <c:pt idx="116">
                  <c:v>1.0275830535859392</c:v>
                </c:pt>
                <c:pt idx="117">
                  <c:v>1.0437164036606832</c:v>
                </c:pt>
                <c:pt idx="118">
                  <c:v>1.0598260630598404</c:v>
                </c:pt>
                <c:pt idx="119">
                  <c:v>1.0759357224589974</c:v>
                </c:pt>
                <c:pt idx="120">
                  <c:v>1.0920690725337416</c:v>
                </c:pt>
                <c:pt idx="121">
                  <c:v>1.1081787319328986</c:v>
                </c:pt>
                <c:pt idx="122">
                  <c:v>1.1283394968574318</c:v>
                </c:pt>
                <c:pt idx="123">
                  <c:v>1.1444491562565891</c:v>
                </c:pt>
                <c:pt idx="124">
                  <c:v>1.160558815655746</c:v>
                </c:pt>
                <c:pt idx="125">
                  <c:v>1.1766921657304901</c:v>
                </c:pt>
                <c:pt idx="126">
                  <c:v>1.1928018251296473</c:v>
                </c:pt>
                <c:pt idx="127">
                  <c:v>1.2089351752043913</c:v>
                </c:pt>
                <c:pt idx="128">
                  <c:v>1.2250448346035485</c:v>
                </c:pt>
                <c:pt idx="129">
                  <c:v>1.2411544940027055</c:v>
                </c:pt>
                <c:pt idx="130">
                  <c:v>1.2613152589272389</c:v>
                </c:pt>
                <c:pt idx="131">
                  <c:v>1.2774249183263959</c:v>
                </c:pt>
                <c:pt idx="132">
                  <c:v>1.29355826840114</c:v>
                </c:pt>
                <c:pt idx="133">
                  <c:v>1.3096679278002969</c:v>
                </c:pt>
                <c:pt idx="134">
                  <c:v>1.3258012778750412</c:v>
                </c:pt>
                <c:pt idx="135">
                  <c:v>1.3419109372741982</c:v>
                </c:pt>
                <c:pt idx="136">
                  <c:v>1.3580205966733554</c:v>
                </c:pt>
                <c:pt idx="137">
                  <c:v>1.3741539467480992</c:v>
                </c:pt>
                <c:pt idx="138">
                  <c:v>1.3902636061472564</c:v>
                </c:pt>
                <c:pt idx="139">
                  <c:v>1.4063732655464136</c:v>
                </c:pt>
                <c:pt idx="140">
                  <c:v>1.4225066156211577</c:v>
                </c:pt>
                <c:pt idx="141">
                  <c:v>1.4386162750203149</c:v>
                </c:pt>
                <c:pt idx="142">
                  <c:v>1.4547496250950589</c:v>
                </c:pt>
                <c:pt idx="143">
                  <c:v>1.4708592844942159</c:v>
                </c:pt>
                <c:pt idx="144">
                  <c:v>1.4869689438933731</c:v>
                </c:pt>
                <c:pt idx="145">
                  <c:v>1.5031022939681171</c:v>
                </c:pt>
                <c:pt idx="146">
                  <c:v>1.5192119533672741</c:v>
                </c:pt>
                <c:pt idx="147">
                  <c:v>1.5353453034420186</c:v>
                </c:pt>
                <c:pt idx="148">
                  <c:v>1.5554823776909645</c:v>
                </c:pt>
                <c:pt idx="149">
                  <c:v>1.5716157277657088</c:v>
                </c:pt>
                <c:pt idx="150">
                  <c:v>1.591752802014655</c:v>
                </c:pt>
                <c:pt idx="151">
                  <c:v>1.6078624614138122</c:v>
                </c:pt>
                <c:pt idx="152">
                  <c:v>1.6280232263383456</c:v>
                </c:pt>
                <c:pt idx="153">
                  <c:v>1.6441328857375028</c:v>
                </c:pt>
                <c:pt idx="154">
                  <c:v>1.6602662358122469</c:v>
                </c:pt>
                <c:pt idx="155">
                  <c:v>1.6763758952114036</c:v>
                </c:pt>
                <c:pt idx="156">
                  <c:v>1.6965366601359368</c:v>
                </c:pt>
                <c:pt idx="157">
                  <c:v>1.7126463195350943</c:v>
                </c:pt>
                <c:pt idx="158">
                  <c:v>1.7287559789342513</c:v>
                </c:pt>
                <c:pt idx="159">
                  <c:v>1.7489167438587845</c:v>
                </c:pt>
                <c:pt idx="160">
                  <c:v>1.7650264032579419</c:v>
                </c:pt>
                <c:pt idx="161">
                  <c:v>1.7811597533326857</c:v>
                </c:pt>
                <c:pt idx="162">
                  <c:v>1.8012968275816323</c:v>
                </c:pt>
                <c:pt idx="163">
                  <c:v>1.8214575925061656</c:v>
                </c:pt>
                <c:pt idx="164">
                  <c:v>1.841594666755112</c:v>
                </c:pt>
                <c:pt idx="165">
                  <c:v>1.8617554316796454</c:v>
                </c:pt>
                <c:pt idx="166">
                  <c:v>1.8818925059285918</c:v>
                </c:pt>
                <c:pt idx="167">
                  <c:v>1.8980258560033358</c:v>
                </c:pt>
                <c:pt idx="168">
                  <c:v>1.918162930252282</c:v>
                </c:pt>
                <c:pt idx="169">
                  <c:v>1.9383236951768155</c:v>
                </c:pt>
                <c:pt idx="170">
                  <c:v>1.9544333545759724</c:v>
                </c:pt>
                <c:pt idx="171">
                  <c:v>1.9705430139751294</c:v>
                </c:pt>
                <c:pt idx="172">
                  <c:v>1.9907037788996629</c:v>
                </c:pt>
                <c:pt idx="173">
                  <c:v>2.0108408531486095</c:v>
                </c:pt>
                <c:pt idx="174">
                  <c:v>2.0269742032233533</c:v>
                </c:pt>
                <c:pt idx="175">
                  <c:v>2.0430838626225105</c:v>
                </c:pt>
                <c:pt idx="176">
                  <c:v>2.0632446275470437</c:v>
                </c:pt>
                <c:pt idx="177">
                  <c:v>2.0793542869462009</c:v>
                </c:pt>
                <c:pt idx="178">
                  <c:v>2.0994913611951471</c:v>
                </c:pt>
                <c:pt idx="179">
                  <c:v>2.1156247112698914</c:v>
                </c:pt>
                <c:pt idx="180">
                  <c:v>2.1317343706690481</c:v>
                </c:pt>
                <c:pt idx="181">
                  <c:v>2.1478677207437924</c:v>
                </c:pt>
                <c:pt idx="182">
                  <c:v>2.1639773801429496</c:v>
                </c:pt>
                <c:pt idx="183">
                  <c:v>2.1841381450674833</c:v>
                </c:pt>
                <c:pt idx="184">
                  <c:v>2.20024780446664</c:v>
                </c:pt>
                <c:pt idx="185">
                  <c:v>2.2163574638657972</c:v>
                </c:pt>
                <c:pt idx="186">
                  <c:v>2.2324908139405415</c:v>
                </c:pt>
                <c:pt idx="187">
                  <c:v>2.2486004733396983</c:v>
                </c:pt>
                <c:pt idx="188">
                  <c:v>2.2647338234144425</c:v>
                </c:pt>
                <c:pt idx="189">
                  <c:v>2.2808434828135997</c:v>
                </c:pt>
                <c:pt idx="190">
                  <c:v>2.2969531422127565</c:v>
                </c:pt>
                <c:pt idx="191">
                  <c:v>2.3130864922875007</c:v>
                </c:pt>
                <c:pt idx="192">
                  <c:v>2.3291961516866575</c:v>
                </c:pt>
                <c:pt idx="193">
                  <c:v>2.3533843314609801</c:v>
                </c:pt>
                <c:pt idx="194">
                  <c:v>2.3695413722113114</c:v>
                </c:pt>
                <c:pt idx="195">
                  <c:v>2.3856510316104682</c:v>
                </c:pt>
                <c:pt idx="196">
                  <c:v>2.4017606910096254</c:v>
                </c:pt>
                <c:pt idx="197">
                  <c:v>2.4178703504087826</c:v>
                </c:pt>
                <c:pt idx="198">
                  <c:v>2.4339800098079398</c:v>
                </c:pt>
                <c:pt idx="199">
                  <c:v>2.450089669207097</c:v>
                </c:pt>
                <c:pt idx="200">
                  <c:v>2.4702267434560432</c:v>
                </c:pt>
                <c:pt idx="201">
                  <c:v>2.4863364028552004</c:v>
                </c:pt>
                <c:pt idx="202">
                  <c:v>2.5024460622543572</c:v>
                </c:pt>
                <c:pt idx="203">
                  <c:v>2.5185557216535144</c:v>
                </c:pt>
                <c:pt idx="204">
                  <c:v>2.5346653810526716</c:v>
                </c:pt>
                <c:pt idx="205">
                  <c:v>2.5548024553016182</c:v>
                </c:pt>
                <c:pt idx="206">
                  <c:v>2.5709121147007745</c:v>
                </c:pt>
                <c:pt idx="207">
                  <c:v>2.5870217740999322</c:v>
                </c:pt>
                <c:pt idx="208">
                  <c:v>2.6031314334990889</c:v>
                </c:pt>
                <c:pt idx="209">
                  <c:v>2.6232685077480355</c:v>
                </c:pt>
                <c:pt idx="210">
                  <c:v>2.6393781671471928</c:v>
                </c:pt>
                <c:pt idx="211">
                  <c:v>2.6597521481520086</c:v>
                </c:pt>
                <c:pt idx="212">
                  <c:v>2.6758618075511662</c:v>
                </c:pt>
                <c:pt idx="213">
                  <c:v>2.6959988818001124</c:v>
                </c:pt>
                <c:pt idx="214">
                  <c:v>2.7121085411992696</c:v>
                </c:pt>
                <c:pt idx="215">
                  <c:v>2.7282182005984268</c:v>
                </c:pt>
                <c:pt idx="216">
                  <c:v>2.748355274847373</c:v>
                </c:pt>
                <c:pt idx="217">
                  <c:v>2.7684923490963191</c:v>
                </c:pt>
                <c:pt idx="218">
                  <c:v>2.7846020084954763</c:v>
                </c:pt>
                <c:pt idx="219">
                  <c:v>2.8007116678946335</c:v>
                </c:pt>
                <c:pt idx="220">
                  <c:v>2.8208487421435797</c:v>
                </c:pt>
                <c:pt idx="221">
                  <c:v>2.8369584015427365</c:v>
                </c:pt>
                <c:pt idx="222">
                  <c:v>2.8570954757916831</c:v>
                </c:pt>
                <c:pt idx="223">
                  <c:v>2.8772325500406297</c:v>
                </c:pt>
                <c:pt idx="224">
                  <c:v>2.8933422094397865</c:v>
                </c:pt>
                <c:pt idx="225">
                  <c:v>2.9134792836887335</c:v>
                </c:pt>
                <c:pt idx="226">
                  <c:v>2.9295889430878899</c:v>
                </c:pt>
                <c:pt idx="227">
                  <c:v>2.9497260173368365</c:v>
                </c:pt>
                <c:pt idx="228">
                  <c:v>2.9698630915857827</c:v>
                </c:pt>
                <c:pt idx="229">
                  <c:v>2.9859727509849403</c:v>
                </c:pt>
                <c:pt idx="230">
                  <c:v>3.0061098252338865</c:v>
                </c:pt>
                <c:pt idx="231">
                  <c:v>3.0262468994828322</c:v>
                </c:pt>
                <c:pt idx="232">
                  <c:v>3.0463839737317788</c:v>
                </c:pt>
                <c:pt idx="233">
                  <c:v>3.0627305398868061</c:v>
                </c:pt>
                <c:pt idx="234">
                  <c:v>3.0828676141357523</c:v>
                </c:pt>
                <c:pt idx="235">
                  <c:v>3.1030046883846989</c:v>
                </c:pt>
                <c:pt idx="236">
                  <c:v>3.131196592333223</c:v>
                </c:pt>
                <c:pt idx="237">
                  <c:v>3.1593884962817489</c:v>
                </c:pt>
                <c:pt idx="238">
                  <c:v>3.1875804002302734</c:v>
                </c:pt>
                <c:pt idx="239">
                  <c:v>3.2197997190285874</c:v>
                </c:pt>
                <c:pt idx="240">
                  <c:v>3.2479916229771124</c:v>
                </c:pt>
                <c:pt idx="241">
                  <c:v>3.2761835269256374</c:v>
                </c:pt>
                <c:pt idx="242">
                  <c:v>3.304375430874162</c:v>
                </c:pt>
                <c:pt idx="243">
                  <c:v>3.3365947496724768</c:v>
                </c:pt>
                <c:pt idx="244">
                  <c:v>3.3647866536210018</c:v>
                </c:pt>
                <c:pt idx="245">
                  <c:v>3.3929785575695259</c:v>
                </c:pt>
                <c:pt idx="246">
                  <c:v>3.4211704615180509</c:v>
                </c:pt>
                <c:pt idx="247">
                  <c:v>3.4533897803163653</c:v>
                </c:pt>
                <c:pt idx="248">
                  <c:v>3.48181859102076</c:v>
                </c:pt>
                <c:pt idx="249">
                  <c:v>3.510010494969285</c:v>
                </c:pt>
                <c:pt idx="250">
                  <c:v>3.5422298137675994</c:v>
                </c:pt>
                <c:pt idx="251">
                  <c:v>3.5704217177161244</c:v>
                </c:pt>
                <c:pt idx="252">
                  <c:v>3.5986136216646494</c:v>
                </c:pt>
                <c:pt idx="253">
                  <c:v>3.6308329404629633</c:v>
                </c:pt>
                <c:pt idx="254">
                  <c:v>3.6630522592612773</c:v>
                </c:pt>
                <c:pt idx="255">
                  <c:v>3.6912441632098023</c:v>
                </c:pt>
                <c:pt idx="256">
                  <c:v>3.7234634820081163</c:v>
                </c:pt>
                <c:pt idx="257">
                  <c:v>3.7556828008064307</c:v>
                </c:pt>
                <c:pt idx="258">
                  <c:v>3.7879021196047447</c:v>
                </c:pt>
                <c:pt idx="259">
                  <c:v>3.8160940235532701</c:v>
                </c:pt>
                <c:pt idx="260">
                  <c:v>3.8402585126520052</c:v>
                </c:pt>
                <c:pt idx="261">
                  <c:v>3.8724778314503197</c:v>
                </c:pt>
                <c:pt idx="262">
                  <c:v>3.9049340570045037</c:v>
                </c:pt>
                <c:pt idx="263">
                  <c:v>3.9371533758028177</c:v>
                </c:pt>
                <c:pt idx="264">
                  <c:v>3.9693726946011325</c:v>
                </c:pt>
                <c:pt idx="265">
                  <c:v>4.0015920133994456</c:v>
                </c:pt>
                <c:pt idx="266">
                  <c:v>4.0338113321977609</c:v>
                </c:pt>
                <c:pt idx="267">
                  <c:v>4.0660306509960744</c:v>
                </c:pt>
                <c:pt idx="268">
                  <c:v>4.0982499697943888</c:v>
                </c:pt>
                <c:pt idx="269">
                  <c:v>4.1304692885927023</c:v>
                </c:pt>
                <c:pt idx="270">
                  <c:v>4.1626886073910176</c:v>
                </c:pt>
                <c:pt idx="271">
                  <c:v>4.1949079261893312</c:v>
                </c:pt>
                <c:pt idx="272">
                  <c:v>4.2271272449876456</c:v>
                </c:pt>
                <c:pt idx="273">
                  <c:v>4.2593465637859591</c:v>
                </c:pt>
                <c:pt idx="274">
                  <c:v>4.291802789340144</c:v>
                </c:pt>
                <c:pt idx="275">
                  <c:v>4.3240221081384576</c:v>
                </c:pt>
                <c:pt idx="276">
                  <c:v>4.356241426936772</c:v>
                </c:pt>
                <c:pt idx="277">
                  <c:v>4.3924881605848753</c:v>
                </c:pt>
                <c:pt idx="278">
                  <c:v>4.4247074793831898</c:v>
                </c:pt>
                <c:pt idx="279">
                  <c:v>4.4569267981815042</c:v>
                </c:pt>
                <c:pt idx="280">
                  <c:v>4.4931735318296075</c:v>
                </c:pt>
                <c:pt idx="281">
                  <c:v>4.525392850627922</c:v>
                </c:pt>
                <c:pt idx="282">
                  <c:v>4.5616395842760253</c:v>
                </c:pt>
                <c:pt idx="283">
                  <c:v>4.5938589030743389</c:v>
                </c:pt>
                <c:pt idx="284">
                  <c:v>4.6301056367224431</c:v>
                </c:pt>
                <c:pt idx="285">
                  <c:v>4.6663523703705465</c:v>
                </c:pt>
                <c:pt idx="286">
                  <c:v>4.6988085959247305</c:v>
                </c:pt>
                <c:pt idx="287">
                  <c:v>4.7350553295728339</c:v>
                </c:pt>
                <c:pt idx="288">
                  <c:v>4.7713020632209364</c:v>
                </c:pt>
                <c:pt idx="289">
                  <c:v>4.8075487968690407</c:v>
                </c:pt>
                <c:pt idx="290">
                  <c:v>4.8397681156673542</c:v>
                </c:pt>
                <c:pt idx="291">
                  <c:v>4.8760148493154576</c:v>
                </c:pt>
                <c:pt idx="292">
                  <c:v>4.9122615829635619</c:v>
                </c:pt>
                <c:pt idx="293">
                  <c:v>4.9485083166116652</c:v>
                </c:pt>
                <c:pt idx="294">
                  <c:v>4.9847550502597677</c:v>
                </c:pt>
                <c:pt idx="295">
                  <c:v>5.016974369058083</c:v>
                </c:pt>
                <c:pt idx="296">
                  <c:v>5.0532211027061864</c:v>
                </c:pt>
                <c:pt idx="297">
                  <c:v>5.0894678363542898</c:v>
                </c:pt>
                <c:pt idx="298">
                  <c:v>5.1259514767582628</c:v>
                </c:pt>
                <c:pt idx="299">
                  <c:v>5.1621982104063671</c:v>
                </c:pt>
                <c:pt idx="300">
                  <c:v>5.2105271886038373</c:v>
                </c:pt>
                <c:pt idx="301">
                  <c:v>5.2588561668013085</c:v>
                </c:pt>
                <c:pt idx="302">
                  <c:v>5.3071851449987806</c:v>
                </c:pt>
                <c:pt idx="303">
                  <c:v>5.3555141231962518</c:v>
                </c:pt>
                <c:pt idx="304">
                  <c:v>5.403843101393722</c:v>
                </c:pt>
                <c:pt idx="305">
                  <c:v>5.4521720795911932</c:v>
                </c:pt>
                <c:pt idx="306">
                  <c:v>5.5005010577886653</c:v>
                </c:pt>
                <c:pt idx="307">
                  <c:v>5.5410121130424272</c:v>
                </c:pt>
                <c:pt idx="308">
                  <c:v>5.5893410912398993</c:v>
                </c:pt>
                <c:pt idx="309">
                  <c:v>5.6376700694373705</c:v>
                </c:pt>
                <c:pt idx="310">
                  <c:v>5.6779442179352619</c:v>
                </c:pt>
                <c:pt idx="311">
                  <c:v>5.726273196132734</c:v>
                </c:pt>
                <c:pt idx="312">
                  <c:v>5.7665473446306272</c:v>
                </c:pt>
                <c:pt idx="313">
                  <c:v>5.8189037376778883</c:v>
                </c:pt>
                <c:pt idx="314">
                  <c:v>5.8672327158753586</c:v>
                </c:pt>
                <c:pt idx="315">
                  <c:v>5.9075068643732518</c:v>
                </c:pt>
                <c:pt idx="316">
                  <c:v>5.9480179196270138</c:v>
                </c:pt>
                <c:pt idx="317">
                  <c:v>5.988292068124907</c:v>
                </c:pt>
                <c:pt idx="318">
                  <c:v>6.0285662166227993</c:v>
                </c:pt>
                <c:pt idx="319">
                  <c:v>6.0688403651206935</c:v>
                </c:pt>
                <c:pt idx="320">
                  <c:v>6.1091145136185849</c:v>
                </c:pt>
                <c:pt idx="321">
                  <c:v>6.1493886621164773</c:v>
                </c:pt>
                <c:pt idx="322">
                  <c:v>6.2017450551637374</c:v>
                </c:pt>
                <c:pt idx="323">
                  <c:v>6.2541014482109993</c:v>
                </c:pt>
                <c:pt idx="324">
                  <c:v>6.3064578412582595</c:v>
                </c:pt>
                <c:pt idx="325">
                  <c:v>6.3590511410613901</c:v>
                </c:pt>
                <c:pt idx="326">
                  <c:v>6.4154349489584401</c:v>
                </c:pt>
                <c:pt idx="327">
                  <c:v>6.4677913420057003</c:v>
                </c:pt>
                <c:pt idx="328">
                  <c:v>6.5201477350529613</c:v>
                </c:pt>
                <c:pt idx="329">
                  <c:v>6.5765315429500113</c:v>
                </c:pt>
                <c:pt idx="330">
                  <c:v>6.6288879359972706</c:v>
                </c:pt>
                <c:pt idx="331">
                  <c:v>6.6852717438943206</c:v>
                </c:pt>
                <c:pt idx="332">
                  <c:v>6.7378650436974521</c:v>
                </c:pt>
                <c:pt idx="333">
                  <c:v>6.7942488515945012</c:v>
                </c:pt>
                <c:pt idx="334">
                  <c:v>6.8506326594915512</c:v>
                </c:pt>
                <c:pt idx="335">
                  <c:v>6.9070164673886012</c:v>
                </c:pt>
                <c:pt idx="336">
                  <c:v>6.9593728604358613</c:v>
                </c:pt>
                <c:pt idx="337">
                  <c:v>7.0157566683329113</c:v>
                </c:pt>
                <c:pt idx="338">
                  <c:v>7.0721404762299604</c:v>
                </c:pt>
                <c:pt idx="339">
                  <c:v>7.1285242841270104</c:v>
                </c:pt>
                <c:pt idx="340">
                  <c:v>7.1811175839301411</c:v>
                </c:pt>
                <c:pt idx="341">
                  <c:v>7.2375013918271911</c:v>
                </c:pt>
                <c:pt idx="342">
                  <c:v>7.2938851997242402</c:v>
                </c:pt>
                <c:pt idx="343">
                  <c:v>7.3502690076212902</c:v>
                </c:pt>
                <c:pt idx="344">
                  <c:v>7.4066528155183402</c:v>
                </c:pt>
                <c:pt idx="345">
                  <c:v>7.4630366234153902</c:v>
                </c:pt>
                <c:pt idx="346">
                  <c:v>7.5194204313124393</c:v>
                </c:pt>
                <c:pt idx="347">
                  <c:v>7.5881233905147276</c:v>
                </c:pt>
                <c:pt idx="348">
                  <c:v>7.6565894429611454</c:v>
                </c:pt>
                <c:pt idx="349">
                  <c:v>7.7129732508581954</c:v>
                </c:pt>
                <c:pt idx="350">
                  <c:v>7.7693570587552445</c:v>
                </c:pt>
                <c:pt idx="351">
                  <c:v>7.8257408666522936</c:v>
                </c:pt>
                <c:pt idx="352">
                  <c:v>7.8821246745493436</c:v>
                </c:pt>
                <c:pt idx="353">
                  <c:v>7.9385084824463936</c:v>
                </c:pt>
                <c:pt idx="354">
                  <c:v>7.9951291970993141</c:v>
                </c:pt>
                <c:pt idx="355">
                  <c:v>8.0555404198461513</c:v>
                </c:pt>
                <c:pt idx="356">
                  <c:v>8.111924227743204</c:v>
                </c:pt>
                <c:pt idx="357">
                  <c:v>8.1683080356402531</c:v>
                </c:pt>
                <c:pt idx="358">
                  <c:v>8.2246918435373022</c:v>
                </c:pt>
                <c:pt idx="359">
                  <c:v>8.2851030662841421</c:v>
                </c:pt>
                <c:pt idx="360">
                  <c:v>8.3535691187305599</c:v>
                </c:pt>
                <c:pt idx="361">
                  <c:v>8.4262994927826362</c:v>
                </c:pt>
                <c:pt idx="362">
                  <c:v>8.498792960078843</c:v>
                </c:pt>
                <c:pt idx="363">
                  <c:v>8.5672590125252608</c:v>
                </c:pt>
                <c:pt idx="364">
                  <c:v>8.6437798946712583</c:v>
                </c:pt>
                <c:pt idx="365">
                  <c:v>8.7162733619674633</c:v>
                </c:pt>
                <c:pt idx="366">
                  <c:v>8.7890037360195414</c:v>
                </c:pt>
                <c:pt idx="367">
                  <c:v>8.8614972033157482</c:v>
                </c:pt>
                <c:pt idx="368">
                  <c:v>8.933990670611955</c:v>
                </c:pt>
                <c:pt idx="369">
                  <c:v>9.0105115527579507</c:v>
                </c:pt>
                <c:pt idx="370">
                  <c:v>9.0830050200541557</c:v>
                </c:pt>
                <c:pt idx="371">
                  <c:v>9.1595259022001532</c:v>
                </c:pt>
                <c:pt idx="372">
                  <c:v>9.2322562762522313</c:v>
                </c:pt>
                <c:pt idx="373">
                  <c:v>9.3047497435484363</c:v>
                </c:pt>
                <c:pt idx="374">
                  <c:v>9.3772432108446431</c:v>
                </c:pt>
                <c:pt idx="375">
                  <c:v>9.4537640929906406</c:v>
                </c:pt>
                <c:pt idx="376">
                  <c:v>9.5262575602868473</c:v>
                </c:pt>
                <c:pt idx="377">
                  <c:v>9.6030153491887127</c:v>
                </c:pt>
                <c:pt idx="378">
                  <c:v>9.6755088164849212</c:v>
                </c:pt>
                <c:pt idx="379">
                  <c:v>9.7520296986309152</c:v>
                </c:pt>
                <c:pt idx="380">
                  <c:v>9.8245231659271237</c:v>
                </c:pt>
                <c:pt idx="381">
                  <c:v>9.9010440480731177</c:v>
                </c:pt>
                <c:pt idx="382">
                  <c:v>9.9775649302191152</c:v>
                </c:pt>
                <c:pt idx="383">
                  <c:v>10.054322719120981</c:v>
                </c:pt>
                <c:pt idx="384">
                  <c:v>10.130843601266978</c:v>
                </c:pt>
                <c:pt idx="385">
                  <c:v>10.207364483412974</c:v>
                </c:pt>
                <c:pt idx="386">
                  <c:v>10.283885365558969</c:v>
                </c:pt>
                <c:pt idx="387">
                  <c:v>10.360406247704965</c:v>
                </c:pt>
                <c:pt idx="388">
                  <c:v>10.453273696005988</c:v>
                </c:pt>
                <c:pt idx="389">
                  <c:v>10.545904237551142</c:v>
                </c:pt>
                <c:pt idx="390">
                  <c:v>10.638534779096297</c:v>
                </c:pt>
                <c:pt idx="391">
                  <c:v>10.735192735491239</c:v>
                </c:pt>
                <c:pt idx="392">
                  <c:v>10.828060183792262</c:v>
                </c:pt>
                <c:pt idx="393">
                  <c:v>10.908608480788047</c:v>
                </c:pt>
                <c:pt idx="394">
                  <c:v>10.989156777783833</c:v>
                </c:pt>
                <c:pt idx="395">
                  <c:v>11.069705074779616</c:v>
                </c:pt>
                <c:pt idx="396">
                  <c:v>11.150253371775404</c:v>
                </c:pt>
                <c:pt idx="397">
                  <c:v>11.231038575527059</c:v>
                </c:pt>
                <c:pt idx="398">
                  <c:v>11.311586872522843</c:v>
                </c:pt>
                <c:pt idx="399">
                  <c:v>11.396162584368419</c:v>
                </c:pt>
                <c:pt idx="400">
                  <c:v>11.492820540763361</c:v>
                </c:pt>
                <c:pt idx="401">
                  <c:v>11.589478497158304</c:v>
                </c:pt>
                <c:pt idx="402">
                  <c:v>11.690400775158905</c:v>
                </c:pt>
                <c:pt idx="403">
                  <c:v>11.787058731553849</c:v>
                </c:pt>
                <c:pt idx="404">
                  <c:v>11.887744102798582</c:v>
                </c:pt>
                <c:pt idx="405">
                  <c:v>11.988429474043311</c:v>
                </c:pt>
                <c:pt idx="406">
                  <c:v>12.089351752043914</c:v>
                </c:pt>
                <c:pt idx="407">
                  <c:v>12.190037123288645</c:v>
                </c:pt>
                <c:pt idx="408">
                  <c:v>12.290722494533377</c:v>
                </c:pt>
                <c:pt idx="409">
                  <c:v>12.387380450928319</c:v>
                </c:pt>
                <c:pt idx="410">
                  <c:v>12.488302728928922</c:v>
                </c:pt>
                <c:pt idx="411">
                  <c:v>12.588988100173653</c:v>
                </c:pt>
                <c:pt idx="412">
                  <c:v>12.689673471418384</c:v>
                </c:pt>
                <c:pt idx="413">
                  <c:v>12.790358842663117</c:v>
                </c:pt>
                <c:pt idx="414">
                  <c:v>12.887253705813929</c:v>
                </c:pt>
                <c:pt idx="415">
                  <c:v>12.987939077058662</c:v>
                </c:pt>
                <c:pt idx="416">
                  <c:v>13.088624448303392</c:v>
                </c:pt>
                <c:pt idx="417">
                  <c:v>13.185282404698334</c:v>
                </c:pt>
                <c:pt idx="418">
                  <c:v>13.286204682698937</c:v>
                </c:pt>
                <c:pt idx="419">
                  <c:v>13.38689005394367</c:v>
                </c:pt>
                <c:pt idx="420">
                  <c:v>13.487575425188401</c:v>
                </c:pt>
                <c:pt idx="421">
                  <c:v>13.600343040982501</c:v>
                </c:pt>
                <c:pt idx="422">
                  <c:v>13.713347563532469</c:v>
                </c:pt>
                <c:pt idx="423">
                  <c:v>13.81806034962699</c:v>
                </c:pt>
                <c:pt idx="424">
                  <c:v>13.926800550571302</c:v>
                </c:pt>
                <c:pt idx="425">
                  <c:v>14.039568166365401</c:v>
                </c:pt>
                <c:pt idx="426">
                  <c:v>14.15257268891537</c:v>
                </c:pt>
                <c:pt idx="427">
                  <c:v>14.269367719559259</c:v>
                </c:pt>
                <c:pt idx="428">
                  <c:v>14.386162750203148</c:v>
                </c:pt>
                <c:pt idx="429">
                  <c:v>14.503194687602907</c:v>
                </c:pt>
                <c:pt idx="430">
                  <c:v>14.619989718246796</c:v>
                </c:pt>
                <c:pt idx="431">
                  <c:v>14.736784748890683</c:v>
                </c:pt>
                <c:pt idx="432">
                  <c:v>14.853579779534575</c:v>
                </c:pt>
                <c:pt idx="433">
                  <c:v>14.97061171693433</c:v>
                </c:pt>
                <c:pt idx="434">
                  <c:v>15.087406747578223</c:v>
                </c:pt>
                <c:pt idx="435">
                  <c:v>15.208229193071899</c:v>
                </c:pt>
                <c:pt idx="436">
                  <c:v>15.325261130471658</c:v>
                </c:pt>
                <c:pt idx="437">
                  <c:v>15.442056161115548</c:v>
                </c:pt>
                <c:pt idx="438">
                  <c:v>15.562878606609223</c:v>
                </c:pt>
                <c:pt idx="439">
                  <c:v>15.683701052102903</c:v>
                </c:pt>
                <c:pt idx="440">
                  <c:v>15.820870063751606</c:v>
                </c:pt>
                <c:pt idx="441">
                  <c:v>15.941692509245286</c:v>
                </c:pt>
                <c:pt idx="442">
                  <c:v>16.078624614138121</c:v>
                </c:pt>
                <c:pt idx="443">
                  <c:v>16.199683966387667</c:v>
                </c:pt>
                <c:pt idx="444">
                  <c:v>16.320506411881347</c:v>
                </c:pt>
                <c:pt idx="445">
                  <c:v>16.441328857375026</c:v>
                </c:pt>
                <c:pt idx="446">
                  <c:v>16.562388209624576</c:v>
                </c:pt>
                <c:pt idx="447">
                  <c:v>16.699320314517408</c:v>
                </c:pt>
                <c:pt idx="448">
                  <c:v>16.836252419410243</c:v>
                </c:pt>
                <c:pt idx="449">
                  <c:v>16.965366601359371</c:v>
                </c:pt>
                <c:pt idx="450">
                  <c:v>17.094243876552625</c:v>
                </c:pt>
                <c:pt idx="451">
                  <c:v>17.239230811145042</c:v>
                </c:pt>
                <c:pt idx="452">
                  <c:v>17.380427237643538</c:v>
                </c:pt>
                <c:pt idx="453">
                  <c:v>17.509304512836795</c:v>
                </c:pt>
                <c:pt idx="454">
                  <c:v>17.650264032579418</c:v>
                </c:pt>
                <c:pt idx="455">
                  <c:v>17.799515288777492</c:v>
                </c:pt>
                <c:pt idx="456">
                  <c:v>17.944502223369906</c:v>
                </c:pt>
                <c:pt idx="457">
                  <c:v>18.089489157962319</c:v>
                </c:pt>
                <c:pt idx="458">
                  <c:v>18.234712999310602</c:v>
                </c:pt>
                <c:pt idx="459">
                  <c:v>18.379699933903016</c:v>
                </c:pt>
                <c:pt idx="460">
                  <c:v>18.524686868495429</c:v>
                </c:pt>
                <c:pt idx="461">
                  <c:v>18.669910709843712</c:v>
                </c:pt>
                <c:pt idx="462">
                  <c:v>18.818925059285917</c:v>
                </c:pt>
                <c:pt idx="463">
                  <c:v>18.96391199387833</c:v>
                </c:pt>
                <c:pt idx="464">
                  <c:v>19.113163250076401</c:v>
                </c:pt>
                <c:pt idx="465">
                  <c:v>19.274259844067977</c:v>
                </c:pt>
                <c:pt idx="466">
                  <c:v>19.41948368541626</c:v>
                </c:pt>
                <c:pt idx="467">
                  <c:v>19.564470620008674</c:v>
                </c:pt>
                <c:pt idx="468">
                  <c:v>19.709457554601084</c:v>
                </c:pt>
                <c:pt idx="469">
                  <c:v>19.874818470198313</c:v>
                </c:pt>
                <c:pt idx="470">
                  <c:v>20.039942479039677</c:v>
                </c:pt>
                <c:pt idx="471">
                  <c:v>20.20127597978712</c:v>
                </c:pt>
                <c:pt idx="472">
                  <c:v>20.370427403478264</c:v>
                </c:pt>
                <c:pt idx="473">
                  <c:v>20.535551412319627</c:v>
                </c:pt>
                <c:pt idx="474">
                  <c:v>20.700912327916853</c:v>
                </c:pt>
                <c:pt idx="475">
                  <c:v>20.862008921908426</c:v>
                </c:pt>
                <c:pt idx="476">
                  <c:v>21.027369837505656</c:v>
                </c:pt>
                <c:pt idx="477">
                  <c:v>21.192493846347016</c:v>
                </c:pt>
                <c:pt idx="478">
                  <c:v>21.357617855188376</c:v>
                </c:pt>
                <c:pt idx="479">
                  <c:v>21.527006185635397</c:v>
                </c:pt>
                <c:pt idx="480">
                  <c:v>21.68810277962697</c:v>
                </c:pt>
                <c:pt idx="481">
                  <c:v>21.869573354623355</c:v>
                </c:pt>
                <c:pt idx="482">
                  <c:v>22.054834437713659</c:v>
                </c:pt>
                <c:pt idx="483">
                  <c:v>22.236305012710051</c:v>
                </c:pt>
                <c:pt idx="484">
                  <c:v>22.417538680950564</c:v>
                </c:pt>
                <c:pt idx="485">
                  <c:v>22.602799764040874</c:v>
                </c:pt>
                <c:pt idx="486">
                  <c:v>22.772188094487891</c:v>
                </c:pt>
                <c:pt idx="487">
                  <c:v>22.957449177578194</c:v>
                </c:pt>
                <c:pt idx="488">
                  <c:v>23.142947167424374</c:v>
                </c:pt>
                <c:pt idx="489">
                  <c:v>23.332235665364472</c:v>
                </c:pt>
                <c:pt idx="490">
                  <c:v>23.521761070060435</c:v>
                </c:pt>
                <c:pt idx="491">
                  <c:v>23.711997195024011</c:v>
                </c:pt>
                <c:pt idx="492">
                  <c:v>23.901522599719975</c:v>
                </c:pt>
                <c:pt idx="493">
                  <c:v>24.093417071974642</c:v>
                </c:pt>
                <c:pt idx="494">
                  <c:v>24.287680611788009</c:v>
                </c:pt>
                <c:pt idx="495">
                  <c:v>24.481944151601375</c:v>
                </c:pt>
                <c:pt idx="496">
                  <c:v>24.673838623856039</c:v>
                </c:pt>
                <c:pt idx="497">
                  <c:v>24.868102163669402</c:v>
                </c:pt>
                <c:pt idx="498">
                  <c:v>25.059996635924069</c:v>
                </c:pt>
                <c:pt idx="499">
                  <c:v>25.254260175737432</c:v>
                </c:pt>
                <c:pt idx="500">
                  <c:v>25.448523715550799</c:v>
                </c:pt>
                <c:pt idx="501">
                  <c:v>25.640418187805462</c:v>
                </c:pt>
                <c:pt idx="502">
                  <c:v>25.834681727618829</c:v>
                </c:pt>
                <c:pt idx="503">
                  <c:v>26.040790605225691</c:v>
                </c:pt>
                <c:pt idx="504">
                  <c:v>26.249268550391253</c:v>
                </c:pt>
                <c:pt idx="505">
                  <c:v>26.460115563115515</c:v>
                </c:pt>
                <c:pt idx="506">
                  <c:v>26.67333164339848</c:v>
                </c:pt>
                <c:pt idx="507">
                  <c:v>26.879440521005336</c:v>
                </c:pt>
                <c:pt idx="508">
                  <c:v>27.087918466170905</c:v>
                </c:pt>
                <c:pt idx="509">
                  <c:v>27.296396411336463</c:v>
                </c:pt>
                <c:pt idx="510">
                  <c:v>27.507243424060722</c:v>
                </c:pt>
                <c:pt idx="511">
                  <c:v>27.715721369226287</c:v>
                </c:pt>
                <c:pt idx="512">
                  <c:v>27.926568381950545</c:v>
                </c:pt>
                <c:pt idx="513">
                  <c:v>28.156367935144406</c:v>
                </c:pt>
                <c:pt idx="514">
                  <c:v>28.381429353220867</c:v>
                </c:pt>
                <c:pt idx="515">
                  <c:v>28.606490771297324</c:v>
                </c:pt>
                <c:pt idx="516">
                  <c:v>28.833921256932481</c:v>
                </c:pt>
                <c:pt idx="517">
                  <c:v>29.058982675008941</c:v>
                </c:pt>
                <c:pt idx="518">
                  <c:v>29.288782228202802</c:v>
                </c:pt>
                <c:pt idx="519">
                  <c:v>29.513843646279259</c:v>
                </c:pt>
                <c:pt idx="520">
                  <c:v>29.73890506435572</c:v>
                </c:pt>
                <c:pt idx="521">
                  <c:v>29.985288090460479</c:v>
                </c:pt>
                <c:pt idx="522">
                  <c:v>30.23640925168263</c:v>
                </c:pt>
                <c:pt idx="523">
                  <c:v>30.468577872435187</c:v>
                </c:pt>
                <c:pt idx="524">
                  <c:v>30.703115560746447</c:v>
                </c:pt>
                <c:pt idx="525">
                  <c:v>30.935284181499004</c:v>
                </c:pt>
                <c:pt idx="526">
                  <c:v>31.186405342721162</c:v>
                </c:pt>
                <c:pt idx="527">
                  <c:v>31.43989557150201</c:v>
                </c:pt>
                <c:pt idx="528">
                  <c:v>31.691016732724169</c:v>
                </c:pt>
                <c:pt idx="529">
                  <c:v>31.939768826387624</c:v>
                </c:pt>
                <c:pt idx="530">
                  <c:v>32.188520920051076</c:v>
                </c:pt>
                <c:pt idx="531">
                  <c:v>32.444380216390634</c:v>
                </c:pt>
                <c:pt idx="532">
                  <c:v>32.693132310054089</c:v>
                </c:pt>
                <c:pt idx="533">
                  <c:v>32.946622538834937</c:v>
                </c:pt>
                <c:pt idx="534">
                  <c:v>33.200112767615799</c:v>
                </c:pt>
                <c:pt idx="535">
                  <c:v>33.467817401748846</c:v>
                </c:pt>
                <c:pt idx="536">
                  <c:v>33.728414833205797</c:v>
                </c:pt>
                <c:pt idx="537">
                  <c:v>33.99611946733885</c:v>
                </c:pt>
                <c:pt idx="538">
                  <c:v>34.261455033913201</c:v>
                </c:pt>
                <c:pt idx="539">
                  <c:v>34.526790600487558</c:v>
                </c:pt>
                <c:pt idx="540">
                  <c:v>34.808709639972804</c:v>
                </c:pt>
                <c:pt idx="541">
                  <c:v>35.074045206547154</c:v>
                </c:pt>
                <c:pt idx="542">
                  <c:v>35.353595178473704</c:v>
                </c:pt>
                <c:pt idx="543">
                  <c:v>35.635514217958956</c:v>
                </c:pt>
                <c:pt idx="544">
                  <c:v>35.912695122326809</c:v>
                </c:pt>
                <c:pt idx="545">
                  <c:v>36.194614161812055</c:v>
                </c:pt>
                <c:pt idx="546">
                  <c:v>36.488378539090803</c:v>
                </c:pt>
                <c:pt idx="547">
                  <c:v>36.786881051486944</c:v>
                </c:pt>
                <c:pt idx="548">
                  <c:v>37.068800090972189</c:v>
                </c:pt>
                <c:pt idx="549">
                  <c:v>37.350719130457442</c:v>
                </c:pt>
                <c:pt idx="550">
                  <c:v>37.653959777970989</c:v>
                </c:pt>
                <c:pt idx="551">
                  <c:v>37.959569493043233</c:v>
                </c:pt>
                <c:pt idx="552">
                  <c:v>38.26754827567418</c:v>
                </c:pt>
                <c:pt idx="553">
                  <c:v>38.568419855629024</c:v>
                </c:pt>
                <c:pt idx="554">
                  <c:v>38.871660503142564</c:v>
                </c:pt>
                <c:pt idx="555">
                  <c:v>39.177270218214815</c:v>
                </c:pt>
                <c:pt idx="556">
                  <c:v>39.480510865728355</c:v>
                </c:pt>
                <c:pt idx="557">
                  <c:v>39.793227783476702</c:v>
                </c:pt>
                <c:pt idx="558">
                  <c:v>40.103575633666345</c:v>
                </c:pt>
                <c:pt idx="559">
                  <c:v>40.411554416297285</c:v>
                </c:pt>
                <c:pt idx="560">
                  <c:v>40.733747604280431</c:v>
                </c:pt>
                <c:pt idx="561">
                  <c:v>41.05120265714617</c:v>
                </c:pt>
                <c:pt idx="562">
                  <c:v>41.373395845129316</c:v>
                </c:pt>
                <c:pt idx="563">
                  <c:v>41.707434370905958</c:v>
                </c:pt>
                <c:pt idx="564">
                  <c:v>42.041472896682592</c:v>
                </c:pt>
                <c:pt idx="565">
                  <c:v>42.37314235490053</c:v>
                </c:pt>
                <c:pt idx="566">
                  <c:v>42.702442745559772</c:v>
                </c:pt>
                <c:pt idx="567">
                  <c:v>43.045957541571212</c:v>
                </c:pt>
                <c:pt idx="568">
                  <c:v>43.391841405141349</c:v>
                </c:pt>
                <c:pt idx="569">
                  <c:v>43.747201538946285</c:v>
                </c:pt>
                <c:pt idx="570">
                  <c:v>44.090716334957726</c:v>
                </c:pt>
                <c:pt idx="571">
                  <c:v>44.443707401203959</c:v>
                </c:pt>
                <c:pt idx="572">
                  <c:v>44.794329399891495</c:v>
                </c:pt>
                <c:pt idx="573">
                  <c:v>45.140213263461632</c:v>
                </c:pt>
                <c:pt idx="574">
                  <c:v>45.500311532383968</c:v>
                </c:pt>
                <c:pt idx="575">
                  <c:v>45.862778868865007</c:v>
                </c:pt>
                <c:pt idx="576">
                  <c:v>46.229984340463439</c:v>
                </c:pt>
                <c:pt idx="577">
                  <c:v>46.592451676944471</c:v>
                </c:pt>
                <c:pt idx="578">
                  <c:v>46.95965714854291</c:v>
                </c:pt>
                <c:pt idx="579">
                  <c:v>47.329231687700037</c:v>
                </c:pt>
                <c:pt idx="580">
                  <c:v>47.701175294415869</c:v>
                </c:pt>
                <c:pt idx="581">
                  <c:v>48.077857036249107</c:v>
                </c:pt>
                <c:pt idx="582">
                  <c:v>48.456907845641041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4-4275-BF4D-EE4BD6568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107775"/>
        <c:axId val="1021109215"/>
      </c:lineChart>
      <c:catAx>
        <c:axId val="102110777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109215"/>
        <c:crosses val="autoZero"/>
        <c:auto val="1"/>
        <c:lblAlgn val="ctr"/>
        <c:lblOffset val="100"/>
        <c:noMultiLvlLbl val="0"/>
      </c:catAx>
      <c:valAx>
        <c:axId val="102110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10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'A22-2'!$C$2:$C$596</c:f>
              <c:numCache>
                <c:formatCode>0.00</c:formatCode>
                <c:ptCount val="595"/>
                <c:pt idx="0">
                  <c:v>1.4703199999999998E-4</c:v>
                </c:pt>
                <c:pt idx="1">
                  <c:v>1.62144E-2</c:v>
                </c:pt>
                <c:pt idx="2">
                  <c:v>1.6354E-2</c:v>
                </c:pt>
                <c:pt idx="3">
                  <c:v>1.6491800000000001E-2</c:v>
                </c:pt>
                <c:pt idx="4">
                  <c:v>1.6629400000000003E-2</c:v>
                </c:pt>
                <c:pt idx="5">
                  <c:v>1.6771000000000001E-2</c:v>
                </c:pt>
                <c:pt idx="6">
                  <c:v>1.6908599999999999E-2</c:v>
                </c:pt>
                <c:pt idx="7">
                  <c:v>1.70464E-2</c:v>
                </c:pt>
                <c:pt idx="8">
                  <c:v>1.7186E-2</c:v>
                </c:pt>
                <c:pt idx="9">
                  <c:v>1.7323599999999998E-2</c:v>
                </c:pt>
                <c:pt idx="10">
                  <c:v>1.7463200000000002E-2</c:v>
                </c:pt>
                <c:pt idx="11">
                  <c:v>1.7602800000000002E-2</c:v>
                </c:pt>
                <c:pt idx="12">
                  <c:v>1.7740599999999999E-2</c:v>
                </c:pt>
                <c:pt idx="13">
                  <c:v>1.7881999999999999E-2</c:v>
                </c:pt>
                <c:pt idx="14">
                  <c:v>1.8045800000000001E-2</c:v>
                </c:pt>
                <c:pt idx="15">
                  <c:v>1.8185400000000001E-2</c:v>
                </c:pt>
                <c:pt idx="16">
                  <c:v>1.8352799999999999E-2</c:v>
                </c:pt>
                <c:pt idx="17">
                  <c:v>1.8520399999999999E-2</c:v>
                </c:pt>
                <c:pt idx="18">
                  <c:v>1.8686000000000001E-2</c:v>
                </c:pt>
                <c:pt idx="19">
                  <c:v>1.8853599999999998E-2</c:v>
                </c:pt>
                <c:pt idx="20">
                  <c:v>1.90192E-2</c:v>
                </c:pt>
                <c:pt idx="21">
                  <c:v>1.9184799999999998E-2</c:v>
                </c:pt>
                <c:pt idx="22">
                  <c:v>1.9354199999999998E-2</c:v>
                </c:pt>
                <c:pt idx="23">
                  <c:v>1.95198E-2</c:v>
                </c:pt>
                <c:pt idx="24">
                  <c:v>1.9685399999999999E-2</c:v>
                </c:pt>
                <c:pt idx="25">
                  <c:v>1.9852999999999999E-2</c:v>
                </c:pt>
                <c:pt idx="26">
                  <c:v>2.0017999999999998E-2</c:v>
                </c:pt>
                <c:pt idx="27">
                  <c:v>2.0186000000000003E-2</c:v>
                </c:pt>
                <c:pt idx="28">
                  <c:v>2.0352000000000002E-2</c:v>
                </c:pt>
                <c:pt idx="29">
                  <c:v>2.052E-2</c:v>
                </c:pt>
                <c:pt idx="30">
                  <c:v>2.0686E-2</c:v>
                </c:pt>
                <c:pt idx="31">
                  <c:v>2.0851999999999999E-2</c:v>
                </c:pt>
                <c:pt idx="32">
                  <c:v>2.1019999999999997E-2</c:v>
                </c:pt>
                <c:pt idx="33">
                  <c:v>2.1185999999999997E-2</c:v>
                </c:pt>
                <c:pt idx="34">
                  <c:v>2.1354000000000001E-2</c:v>
                </c:pt>
                <c:pt idx="35">
                  <c:v>2.1520000000000001E-2</c:v>
                </c:pt>
                <c:pt idx="36">
                  <c:v>2.1714000000000001E-2</c:v>
                </c:pt>
                <c:pt idx="37">
                  <c:v>2.1907999999999997E-2</c:v>
                </c:pt>
                <c:pt idx="38">
                  <c:v>2.2103999999999999E-2</c:v>
                </c:pt>
                <c:pt idx="39">
                  <c:v>2.2296E-2</c:v>
                </c:pt>
                <c:pt idx="40">
                  <c:v>2.249E-2</c:v>
                </c:pt>
                <c:pt idx="41">
                  <c:v>2.2686000000000001E-2</c:v>
                </c:pt>
                <c:pt idx="42">
                  <c:v>2.2882E-2</c:v>
                </c:pt>
                <c:pt idx="43">
                  <c:v>2.3073999999999997E-2</c:v>
                </c:pt>
                <c:pt idx="44">
                  <c:v>2.3269999999999999E-2</c:v>
                </c:pt>
                <c:pt idx="45">
                  <c:v>2.3466000000000001E-2</c:v>
                </c:pt>
                <c:pt idx="46">
                  <c:v>2.366E-2</c:v>
                </c:pt>
                <c:pt idx="47">
                  <c:v>2.3852000000000002E-2</c:v>
                </c:pt>
                <c:pt idx="48">
                  <c:v>2.4045999999999998E-2</c:v>
                </c:pt>
                <c:pt idx="49">
                  <c:v>2.4242E-2</c:v>
                </c:pt>
                <c:pt idx="50">
                  <c:v>2.4438000000000001E-2</c:v>
                </c:pt>
                <c:pt idx="51">
                  <c:v>2.4629999999999999E-2</c:v>
                </c:pt>
                <c:pt idx="52">
                  <c:v>2.4824000000000002E-2</c:v>
                </c:pt>
                <c:pt idx="53">
                  <c:v>2.5019999999999997E-2</c:v>
                </c:pt>
                <c:pt idx="54">
                  <c:v>2.5214E-2</c:v>
                </c:pt>
                <c:pt idx="55">
                  <c:v>2.5436E-2</c:v>
                </c:pt>
                <c:pt idx="56">
                  <c:v>2.5659999999999999E-2</c:v>
                </c:pt>
                <c:pt idx="57">
                  <c:v>2.5882000000000002E-2</c:v>
                </c:pt>
                <c:pt idx="58">
                  <c:v>2.6102E-2</c:v>
                </c:pt>
                <c:pt idx="59">
                  <c:v>2.6324E-2</c:v>
                </c:pt>
                <c:pt idx="60">
                  <c:v>2.6546E-2</c:v>
                </c:pt>
                <c:pt idx="61">
                  <c:v>2.6770000000000002E-2</c:v>
                </c:pt>
                <c:pt idx="62">
                  <c:v>2.6991999999999999E-2</c:v>
                </c:pt>
                <c:pt idx="63">
                  <c:v>2.7214000000000002E-2</c:v>
                </c:pt>
                <c:pt idx="64">
                  <c:v>2.7435999999999999E-2</c:v>
                </c:pt>
                <c:pt idx="65">
                  <c:v>2.7656E-2</c:v>
                </c:pt>
                <c:pt idx="66">
                  <c:v>2.7881999999999997E-2</c:v>
                </c:pt>
                <c:pt idx="67">
                  <c:v>2.8104000000000001E-2</c:v>
                </c:pt>
                <c:pt idx="68">
                  <c:v>2.8323999999999998E-2</c:v>
                </c:pt>
                <c:pt idx="69">
                  <c:v>2.8546000000000002E-2</c:v>
                </c:pt>
                <c:pt idx="70">
                  <c:v>2.8769999999999997E-2</c:v>
                </c:pt>
                <c:pt idx="71">
                  <c:v>2.9020000000000001E-2</c:v>
                </c:pt>
                <c:pt idx="72">
                  <c:v>2.9270000000000001E-2</c:v>
                </c:pt>
                <c:pt idx="73">
                  <c:v>2.9520000000000001E-2</c:v>
                </c:pt>
                <c:pt idx="74">
                  <c:v>2.9769999999999998E-2</c:v>
                </c:pt>
                <c:pt idx="75">
                  <c:v>3.0019999999999998E-2</c:v>
                </c:pt>
                <c:pt idx="76">
                  <c:v>3.0268000000000003E-2</c:v>
                </c:pt>
                <c:pt idx="77">
                  <c:v>3.0520000000000002E-2</c:v>
                </c:pt>
                <c:pt idx="78">
                  <c:v>3.0768E-2</c:v>
                </c:pt>
                <c:pt idx="79">
                  <c:v>3.1019999999999999E-2</c:v>
                </c:pt>
                <c:pt idx="80">
                  <c:v>3.1269999999999999E-2</c:v>
                </c:pt>
                <c:pt idx="81">
                  <c:v>3.1518000000000004E-2</c:v>
                </c:pt>
                <c:pt idx="82">
                  <c:v>3.177E-2</c:v>
                </c:pt>
                <c:pt idx="83">
                  <c:v>3.202E-2</c:v>
                </c:pt>
                <c:pt idx="84">
                  <c:v>3.2267999999999998E-2</c:v>
                </c:pt>
                <c:pt idx="85">
                  <c:v>3.2545999999999999E-2</c:v>
                </c:pt>
                <c:pt idx="86">
                  <c:v>3.2798000000000001E-2</c:v>
                </c:pt>
                <c:pt idx="87">
                  <c:v>3.3017999999999999E-2</c:v>
                </c:pt>
                <c:pt idx="88">
                  <c:v>3.3239999999999999E-2</c:v>
                </c:pt>
                <c:pt idx="89">
                  <c:v>3.3436E-2</c:v>
                </c:pt>
                <c:pt idx="90">
                  <c:v>3.3686000000000001E-2</c:v>
                </c:pt>
                <c:pt idx="91">
                  <c:v>3.3908000000000001E-2</c:v>
                </c:pt>
                <c:pt idx="92">
                  <c:v>3.4130000000000001E-2</c:v>
                </c:pt>
                <c:pt idx="93">
                  <c:v>3.4354000000000003E-2</c:v>
                </c:pt>
                <c:pt idx="94">
                  <c:v>3.4518E-2</c:v>
                </c:pt>
                <c:pt idx="95">
                  <c:v>3.4742000000000002E-2</c:v>
                </c:pt>
                <c:pt idx="96">
                  <c:v>3.4880000000000001E-2</c:v>
                </c:pt>
                <c:pt idx="97">
                  <c:v>3.5102000000000001E-2</c:v>
                </c:pt>
                <c:pt idx="98">
                  <c:v>3.5297999999999996E-2</c:v>
                </c:pt>
                <c:pt idx="99">
                  <c:v>3.5464000000000002E-2</c:v>
                </c:pt>
                <c:pt idx="100">
                  <c:v>3.5630000000000002E-2</c:v>
                </c:pt>
                <c:pt idx="101">
                  <c:v>3.5823999999999995E-2</c:v>
                </c:pt>
                <c:pt idx="102">
                  <c:v>3.5992000000000003E-2</c:v>
                </c:pt>
                <c:pt idx="103">
                  <c:v>3.6185999999999996E-2</c:v>
                </c:pt>
                <c:pt idx="104">
                  <c:v>3.6352000000000002E-2</c:v>
                </c:pt>
                <c:pt idx="105">
                  <c:v>3.6520000000000004E-2</c:v>
                </c:pt>
                <c:pt idx="106">
                  <c:v>3.6715999999999999E-2</c:v>
                </c:pt>
                <c:pt idx="107">
                  <c:v>3.6880000000000003E-2</c:v>
                </c:pt>
                <c:pt idx="108">
                  <c:v>3.7019999999999997E-2</c:v>
                </c:pt>
                <c:pt idx="109">
                  <c:v>3.7184000000000002E-2</c:v>
                </c:pt>
                <c:pt idx="110">
                  <c:v>3.7353999999999998E-2</c:v>
                </c:pt>
                <c:pt idx="111">
                  <c:v>3.7491999999999998E-2</c:v>
                </c:pt>
                <c:pt idx="112">
                  <c:v>3.7657999999999997E-2</c:v>
                </c:pt>
                <c:pt idx="113">
                  <c:v>3.7795999999999996E-2</c:v>
                </c:pt>
                <c:pt idx="114">
                  <c:v>3.7935999999999998E-2</c:v>
                </c:pt>
                <c:pt idx="115">
                  <c:v>3.8075999999999999E-2</c:v>
                </c:pt>
                <c:pt idx="116">
                  <c:v>3.8213999999999998E-2</c:v>
                </c:pt>
                <c:pt idx="117">
                  <c:v>3.8351999999999997E-2</c:v>
                </c:pt>
                <c:pt idx="118">
                  <c:v>3.8463999999999998E-2</c:v>
                </c:pt>
                <c:pt idx="119">
                  <c:v>3.8601999999999997E-2</c:v>
                </c:pt>
                <c:pt idx="120">
                  <c:v>3.8741999999999999E-2</c:v>
                </c:pt>
                <c:pt idx="121">
                  <c:v>3.891E-2</c:v>
                </c:pt>
                <c:pt idx="122">
                  <c:v>3.9047999999999999E-2</c:v>
                </c:pt>
                <c:pt idx="123">
                  <c:v>3.9185999999999999E-2</c:v>
                </c:pt>
                <c:pt idx="124">
                  <c:v>3.9351999999999998E-2</c:v>
                </c:pt>
                <c:pt idx="125">
                  <c:v>3.9491999999999999E-2</c:v>
                </c:pt>
                <c:pt idx="126">
                  <c:v>3.9604E-2</c:v>
                </c:pt>
                <c:pt idx="127">
                  <c:v>3.9742E-2</c:v>
                </c:pt>
                <c:pt idx="128">
                  <c:v>3.9854000000000001E-2</c:v>
                </c:pt>
                <c:pt idx="129">
                  <c:v>3.9989999999999998E-2</c:v>
                </c:pt>
                <c:pt idx="130">
                  <c:v>4.0101999999999999E-2</c:v>
                </c:pt>
                <c:pt idx="131">
                  <c:v>4.0214E-2</c:v>
                </c:pt>
                <c:pt idx="132">
                  <c:v>4.0326000000000001E-2</c:v>
                </c:pt>
                <c:pt idx="133">
                  <c:v>4.0438000000000002E-2</c:v>
                </c:pt>
                <c:pt idx="134">
                  <c:v>4.0548000000000001E-2</c:v>
                </c:pt>
                <c:pt idx="135">
                  <c:v>4.0658E-2</c:v>
                </c:pt>
                <c:pt idx="136">
                  <c:v>4.0770000000000001E-2</c:v>
                </c:pt>
                <c:pt idx="137">
                  <c:v>4.088E-2</c:v>
                </c:pt>
                <c:pt idx="138">
                  <c:v>4.0992000000000001E-2</c:v>
                </c:pt>
                <c:pt idx="139">
                  <c:v>4.1102E-2</c:v>
                </c:pt>
                <c:pt idx="140">
                  <c:v>4.1214000000000001E-2</c:v>
                </c:pt>
                <c:pt idx="141">
                  <c:v>4.1326000000000002E-2</c:v>
                </c:pt>
                <c:pt idx="142">
                  <c:v>4.1436000000000001E-2</c:v>
                </c:pt>
                <c:pt idx="143">
                  <c:v>4.1517999999999999E-2</c:v>
                </c:pt>
                <c:pt idx="144">
                  <c:v>4.163E-2</c:v>
                </c:pt>
                <c:pt idx="145">
                  <c:v>4.1740000000000006E-2</c:v>
                </c:pt>
                <c:pt idx="146">
                  <c:v>4.1852E-2</c:v>
                </c:pt>
                <c:pt idx="147">
                  <c:v>4.1936000000000001E-2</c:v>
                </c:pt>
                <c:pt idx="148">
                  <c:v>4.2020000000000002E-2</c:v>
                </c:pt>
                <c:pt idx="149">
                  <c:v>4.2131999999999996E-2</c:v>
                </c:pt>
                <c:pt idx="150">
                  <c:v>4.2212E-2</c:v>
                </c:pt>
                <c:pt idx="151">
                  <c:v>4.2295999999999993E-2</c:v>
                </c:pt>
                <c:pt idx="152">
                  <c:v>4.2380000000000001E-2</c:v>
                </c:pt>
                <c:pt idx="153">
                  <c:v>4.2492000000000002E-2</c:v>
                </c:pt>
                <c:pt idx="154">
                  <c:v>4.2603999999999996E-2</c:v>
                </c:pt>
                <c:pt idx="155">
                  <c:v>4.2714000000000002E-2</c:v>
                </c:pt>
                <c:pt idx="156">
                  <c:v>4.2797999999999996E-2</c:v>
                </c:pt>
                <c:pt idx="157">
                  <c:v>4.2910000000000004E-2</c:v>
                </c:pt>
                <c:pt idx="158">
                  <c:v>4.299E-2</c:v>
                </c:pt>
                <c:pt idx="159">
                  <c:v>4.3074000000000001E-2</c:v>
                </c:pt>
                <c:pt idx="160">
                  <c:v>4.3186000000000002E-2</c:v>
                </c:pt>
                <c:pt idx="161">
                  <c:v>4.3268000000000001E-2</c:v>
                </c:pt>
                <c:pt idx="162">
                  <c:v>4.3353999999999997E-2</c:v>
                </c:pt>
                <c:pt idx="163">
                  <c:v>4.3436000000000002E-2</c:v>
                </c:pt>
                <c:pt idx="164">
                  <c:v>4.3520000000000003E-2</c:v>
                </c:pt>
                <c:pt idx="165">
                  <c:v>4.3602000000000002E-2</c:v>
                </c:pt>
                <c:pt idx="166">
                  <c:v>4.3685999999999996E-2</c:v>
                </c:pt>
                <c:pt idx="167">
                  <c:v>4.3768000000000001E-2</c:v>
                </c:pt>
                <c:pt idx="168">
                  <c:v>4.3853999999999997E-2</c:v>
                </c:pt>
                <c:pt idx="169">
                  <c:v>4.3936000000000003E-2</c:v>
                </c:pt>
                <c:pt idx="170">
                  <c:v>4.4017999999999995E-2</c:v>
                </c:pt>
                <c:pt idx="171">
                  <c:v>4.4101999999999995E-2</c:v>
                </c:pt>
                <c:pt idx="172">
                  <c:v>4.4185999999999996E-2</c:v>
                </c:pt>
                <c:pt idx="173">
                  <c:v>4.4271999999999999E-2</c:v>
                </c:pt>
                <c:pt idx="174">
                  <c:v>4.4353999999999998E-2</c:v>
                </c:pt>
                <c:pt idx="175">
                  <c:v>4.4436000000000003E-2</c:v>
                </c:pt>
                <c:pt idx="176">
                  <c:v>4.4518000000000002E-2</c:v>
                </c:pt>
                <c:pt idx="177">
                  <c:v>4.4602000000000003E-2</c:v>
                </c:pt>
                <c:pt idx="178">
                  <c:v>4.4686000000000003E-2</c:v>
                </c:pt>
                <c:pt idx="179">
                  <c:v>4.4770000000000004E-2</c:v>
                </c:pt>
                <c:pt idx="180">
                  <c:v>4.4854000000000005E-2</c:v>
                </c:pt>
                <c:pt idx="181">
                  <c:v>4.4935999999999997E-2</c:v>
                </c:pt>
                <c:pt idx="182">
                  <c:v>4.5019999999999998E-2</c:v>
                </c:pt>
                <c:pt idx="183">
                  <c:v>4.5103999999999998E-2</c:v>
                </c:pt>
                <c:pt idx="184">
                  <c:v>4.5187999999999999E-2</c:v>
                </c:pt>
                <c:pt idx="185">
                  <c:v>4.5267999999999996E-2</c:v>
                </c:pt>
                <c:pt idx="186">
                  <c:v>4.5351999999999996E-2</c:v>
                </c:pt>
                <c:pt idx="187">
                  <c:v>4.5435999999999997E-2</c:v>
                </c:pt>
                <c:pt idx="188">
                  <c:v>4.5519999999999998E-2</c:v>
                </c:pt>
                <c:pt idx="189">
                  <c:v>4.5602000000000004E-2</c:v>
                </c:pt>
                <c:pt idx="190">
                  <c:v>4.5685999999999997E-2</c:v>
                </c:pt>
                <c:pt idx="191">
                  <c:v>4.5768000000000003E-2</c:v>
                </c:pt>
                <c:pt idx="192">
                  <c:v>4.5853999999999999E-2</c:v>
                </c:pt>
                <c:pt idx="193">
                  <c:v>4.5938E-2</c:v>
                </c:pt>
                <c:pt idx="194">
                  <c:v>4.6020000000000005E-2</c:v>
                </c:pt>
                <c:pt idx="195">
                  <c:v>4.6074000000000004E-2</c:v>
                </c:pt>
                <c:pt idx="196">
                  <c:v>4.6158000000000005E-2</c:v>
                </c:pt>
                <c:pt idx="197">
                  <c:v>4.6214000000000005E-2</c:v>
                </c:pt>
                <c:pt idx="198">
                  <c:v>4.6295999999999997E-2</c:v>
                </c:pt>
                <c:pt idx="199">
                  <c:v>4.6353999999999999E-2</c:v>
                </c:pt>
                <c:pt idx="200">
                  <c:v>4.6438E-2</c:v>
                </c:pt>
                <c:pt idx="201">
                  <c:v>4.6492000000000006E-2</c:v>
                </c:pt>
                <c:pt idx="202">
                  <c:v>4.6576000000000006E-2</c:v>
                </c:pt>
                <c:pt idx="203">
                  <c:v>4.6660000000000007E-2</c:v>
                </c:pt>
                <c:pt idx="204">
                  <c:v>4.6714000000000006E-2</c:v>
                </c:pt>
                <c:pt idx="205">
                  <c:v>4.6797999999999999E-2</c:v>
                </c:pt>
                <c:pt idx="206">
                  <c:v>4.6879999999999998E-2</c:v>
                </c:pt>
                <c:pt idx="207">
                  <c:v>4.6935999999999999E-2</c:v>
                </c:pt>
                <c:pt idx="208">
                  <c:v>4.7018000000000004E-2</c:v>
                </c:pt>
                <c:pt idx="209">
                  <c:v>4.7102000000000005E-2</c:v>
                </c:pt>
                <c:pt idx="210">
                  <c:v>4.7157999999999999E-2</c:v>
                </c:pt>
                <c:pt idx="211">
                  <c:v>4.7241999999999999E-2</c:v>
                </c:pt>
                <c:pt idx="212">
                  <c:v>4.7324000000000005E-2</c:v>
                </c:pt>
                <c:pt idx="213">
                  <c:v>4.7407999999999999E-2</c:v>
                </c:pt>
                <c:pt idx="214">
                  <c:v>4.7493999999999995E-2</c:v>
                </c:pt>
                <c:pt idx="215">
                  <c:v>4.7573999999999998E-2</c:v>
                </c:pt>
                <c:pt idx="216">
                  <c:v>4.7657999999999999E-2</c:v>
                </c:pt>
                <c:pt idx="217">
                  <c:v>4.7739999999999998E-2</c:v>
                </c:pt>
                <c:pt idx="218">
                  <c:v>4.7823999999999998E-2</c:v>
                </c:pt>
                <c:pt idx="219">
                  <c:v>4.7907999999999999E-2</c:v>
                </c:pt>
                <c:pt idx="220">
                  <c:v>4.7992E-2</c:v>
                </c:pt>
                <c:pt idx="221">
                  <c:v>4.8045999999999998E-2</c:v>
                </c:pt>
                <c:pt idx="222">
                  <c:v>4.8129999999999999E-2</c:v>
                </c:pt>
                <c:pt idx="223">
                  <c:v>4.8188000000000002E-2</c:v>
                </c:pt>
                <c:pt idx="224">
                  <c:v>4.827E-2</c:v>
                </c:pt>
                <c:pt idx="225">
                  <c:v>4.8352000000000006E-2</c:v>
                </c:pt>
                <c:pt idx="226">
                  <c:v>4.8436000000000007E-2</c:v>
                </c:pt>
                <c:pt idx="227">
                  <c:v>4.8520000000000001E-2</c:v>
                </c:pt>
                <c:pt idx="228">
                  <c:v>4.8575999999999994E-2</c:v>
                </c:pt>
                <c:pt idx="229">
                  <c:v>4.8658E-2</c:v>
                </c:pt>
                <c:pt idx="230">
                  <c:v>4.8742000000000001E-2</c:v>
                </c:pt>
                <c:pt idx="231">
                  <c:v>4.8826000000000001E-2</c:v>
                </c:pt>
                <c:pt idx="232">
                  <c:v>4.8910000000000002E-2</c:v>
                </c:pt>
                <c:pt idx="233">
                  <c:v>4.8964000000000001E-2</c:v>
                </c:pt>
                <c:pt idx="234">
                  <c:v>4.9048000000000001E-2</c:v>
                </c:pt>
                <c:pt idx="235">
                  <c:v>4.913E-2</c:v>
                </c:pt>
                <c:pt idx="236">
                  <c:v>4.9183999999999999E-2</c:v>
                </c:pt>
                <c:pt idx="237">
                  <c:v>4.9267999999999999E-2</c:v>
                </c:pt>
                <c:pt idx="238">
                  <c:v>4.9326000000000002E-2</c:v>
                </c:pt>
                <c:pt idx="239">
                  <c:v>4.9408000000000001E-2</c:v>
                </c:pt>
                <c:pt idx="240">
                  <c:v>4.9489999999999999E-2</c:v>
                </c:pt>
                <c:pt idx="241">
                  <c:v>4.9547999999999995E-2</c:v>
                </c:pt>
                <c:pt idx="242">
                  <c:v>4.9630000000000001E-2</c:v>
                </c:pt>
                <c:pt idx="243">
                  <c:v>4.9686000000000001E-2</c:v>
                </c:pt>
                <c:pt idx="244">
                  <c:v>4.9770000000000002E-2</c:v>
                </c:pt>
                <c:pt idx="245">
                  <c:v>4.9825999999999995E-2</c:v>
                </c:pt>
                <c:pt idx="246">
                  <c:v>4.9908000000000001E-2</c:v>
                </c:pt>
                <c:pt idx="247">
                  <c:v>5.0018E-2</c:v>
                </c:pt>
                <c:pt idx="248">
                  <c:v>5.0102000000000001E-2</c:v>
                </c:pt>
                <c:pt idx="249">
                  <c:v>5.0214000000000002E-2</c:v>
                </c:pt>
                <c:pt idx="250">
                  <c:v>5.0297999999999995E-2</c:v>
                </c:pt>
                <c:pt idx="251">
                  <c:v>5.0408000000000001E-2</c:v>
                </c:pt>
                <c:pt idx="252">
                  <c:v>5.0494000000000004E-2</c:v>
                </c:pt>
                <c:pt idx="253">
                  <c:v>5.0603999999999996E-2</c:v>
                </c:pt>
                <c:pt idx="254">
                  <c:v>5.0686000000000002E-2</c:v>
                </c:pt>
                <c:pt idx="255">
                  <c:v>5.0797999999999996E-2</c:v>
                </c:pt>
                <c:pt idx="256">
                  <c:v>5.0880000000000002E-2</c:v>
                </c:pt>
                <c:pt idx="257">
                  <c:v>5.0964000000000002E-2</c:v>
                </c:pt>
                <c:pt idx="258">
                  <c:v>5.1045999999999994E-2</c:v>
                </c:pt>
                <c:pt idx="259">
                  <c:v>5.1158000000000002E-2</c:v>
                </c:pt>
                <c:pt idx="260">
                  <c:v>5.1242000000000003E-2</c:v>
                </c:pt>
                <c:pt idx="261">
                  <c:v>5.1326000000000004E-2</c:v>
                </c:pt>
                <c:pt idx="262">
                  <c:v>5.1407999999999995E-2</c:v>
                </c:pt>
                <c:pt idx="263">
                  <c:v>5.1490000000000001E-2</c:v>
                </c:pt>
                <c:pt idx="264">
                  <c:v>5.1601999999999995E-2</c:v>
                </c:pt>
                <c:pt idx="265">
                  <c:v>5.1685999999999996E-2</c:v>
                </c:pt>
                <c:pt idx="266">
                  <c:v>5.1768000000000002E-2</c:v>
                </c:pt>
                <c:pt idx="267">
                  <c:v>5.1852000000000002E-2</c:v>
                </c:pt>
                <c:pt idx="268">
                  <c:v>5.1962000000000001E-2</c:v>
                </c:pt>
                <c:pt idx="269">
                  <c:v>5.2047999999999997E-2</c:v>
                </c:pt>
                <c:pt idx="270">
                  <c:v>5.2131999999999998E-2</c:v>
                </c:pt>
                <c:pt idx="271">
                  <c:v>5.2241999999999997E-2</c:v>
                </c:pt>
                <c:pt idx="272">
                  <c:v>5.2325999999999998E-2</c:v>
                </c:pt>
                <c:pt idx="273">
                  <c:v>5.2408000000000003E-2</c:v>
                </c:pt>
                <c:pt idx="274">
                  <c:v>5.2489999999999995E-2</c:v>
                </c:pt>
                <c:pt idx="275">
                  <c:v>5.2573999999999996E-2</c:v>
                </c:pt>
                <c:pt idx="276">
                  <c:v>5.2659999999999998E-2</c:v>
                </c:pt>
                <c:pt idx="277">
                  <c:v>5.2742000000000004E-2</c:v>
                </c:pt>
                <c:pt idx="278">
                  <c:v>5.2826000000000005E-2</c:v>
                </c:pt>
                <c:pt idx="279">
                  <c:v>5.2907999999999997E-2</c:v>
                </c:pt>
                <c:pt idx="280">
                  <c:v>5.2990000000000002E-2</c:v>
                </c:pt>
                <c:pt idx="281">
                  <c:v>5.3074000000000003E-2</c:v>
                </c:pt>
                <c:pt idx="282">
                  <c:v>5.3158000000000004E-2</c:v>
                </c:pt>
                <c:pt idx="283">
                  <c:v>5.3242000000000005E-2</c:v>
                </c:pt>
                <c:pt idx="284">
                  <c:v>5.3323999999999996E-2</c:v>
                </c:pt>
                <c:pt idx="285">
                  <c:v>5.3407999999999997E-2</c:v>
                </c:pt>
                <c:pt idx="286">
                  <c:v>5.3491999999999998E-2</c:v>
                </c:pt>
                <c:pt idx="287">
                  <c:v>5.3575999999999999E-2</c:v>
                </c:pt>
                <c:pt idx="288">
                  <c:v>5.3688E-2</c:v>
                </c:pt>
                <c:pt idx="289">
                  <c:v>5.3795999999999997E-2</c:v>
                </c:pt>
                <c:pt idx="290">
                  <c:v>5.391E-2</c:v>
                </c:pt>
                <c:pt idx="291">
                  <c:v>5.4019999999999999E-2</c:v>
                </c:pt>
                <c:pt idx="292">
                  <c:v>5.4130000000000005E-2</c:v>
                </c:pt>
                <c:pt idx="293">
                  <c:v>5.4241999999999999E-2</c:v>
                </c:pt>
                <c:pt idx="294">
                  <c:v>5.4351999999999998E-2</c:v>
                </c:pt>
                <c:pt idx="295">
                  <c:v>5.4463999999999999E-2</c:v>
                </c:pt>
                <c:pt idx="296">
                  <c:v>5.4573999999999998E-2</c:v>
                </c:pt>
                <c:pt idx="297">
                  <c:v>5.4686000000000005E-2</c:v>
                </c:pt>
                <c:pt idx="298">
                  <c:v>5.4797999999999999E-2</c:v>
                </c:pt>
                <c:pt idx="299">
                  <c:v>5.4907999999999998E-2</c:v>
                </c:pt>
                <c:pt idx="300">
                  <c:v>5.5019999999999999E-2</c:v>
                </c:pt>
                <c:pt idx="301">
                  <c:v>5.5132E-2</c:v>
                </c:pt>
                <c:pt idx="302">
                  <c:v>5.5242000000000006E-2</c:v>
                </c:pt>
                <c:pt idx="303">
                  <c:v>5.5351999999999998E-2</c:v>
                </c:pt>
                <c:pt idx="304">
                  <c:v>5.5463999999999999E-2</c:v>
                </c:pt>
                <c:pt idx="305">
                  <c:v>5.5574000000000005E-2</c:v>
                </c:pt>
                <c:pt idx="306">
                  <c:v>5.5683999999999997E-2</c:v>
                </c:pt>
                <c:pt idx="307">
                  <c:v>5.5795999999999998E-2</c:v>
                </c:pt>
                <c:pt idx="308">
                  <c:v>5.5910000000000001E-2</c:v>
                </c:pt>
                <c:pt idx="309">
                  <c:v>5.602E-2</c:v>
                </c:pt>
                <c:pt idx="310">
                  <c:v>5.6130000000000006E-2</c:v>
                </c:pt>
                <c:pt idx="311">
                  <c:v>5.6242E-2</c:v>
                </c:pt>
                <c:pt idx="312">
                  <c:v>5.6353999999999994E-2</c:v>
                </c:pt>
                <c:pt idx="313">
                  <c:v>5.6436E-2</c:v>
                </c:pt>
                <c:pt idx="314">
                  <c:v>5.6548000000000001E-2</c:v>
                </c:pt>
                <c:pt idx="315">
                  <c:v>5.6658E-2</c:v>
                </c:pt>
                <c:pt idx="316">
                  <c:v>5.6742000000000001E-2</c:v>
                </c:pt>
                <c:pt idx="317">
                  <c:v>5.6852E-2</c:v>
                </c:pt>
                <c:pt idx="318">
                  <c:v>5.6992000000000001E-2</c:v>
                </c:pt>
                <c:pt idx="319">
                  <c:v>5.713E-2</c:v>
                </c:pt>
                <c:pt idx="320">
                  <c:v>5.7270000000000001E-2</c:v>
                </c:pt>
                <c:pt idx="321">
                  <c:v>5.7409999999999996E-2</c:v>
                </c:pt>
                <c:pt idx="322">
                  <c:v>5.7546E-2</c:v>
                </c:pt>
                <c:pt idx="323">
                  <c:v>5.7657999999999994E-2</c:v>
                </c:pt>
                <c:pt idx="324">
                  <c:v>5.7797999999999995E-2</c:v>
                </c:pt>
                <c:pt idx="325">
                  <c:v>5.7910000000000003E-2</c:v>
                </c:pt>
                <c:pt idx="326">
                  <c:v>5.8019999999999995E-2</c:v>
                </c:pt>
                <c:pt idx="327">
                  <c:v>5.8132000000000003E-2</c:v>
                </c:pt>
                <c:pt idx="328">
                  <c:v>5.8242000000000002E-2</c:v>
                </c:pt>
                <c:pt idx="329">
                  <c:v>5.8352000000000001E-2</c:v>
                </c:pt>
                <c:pt idx="330">
                  <c:v>5.8461999999999993E-2</c:v>
                </c:pt>
                <c:pt idx="331">
                  <c:v>5.8574000000000001E-2</c:v>
                </c:pt>
                <c:pt idx="332">
                  <c:v>5.8685999999999995E-2</c:v>
                </c:pt>
                <c:pt idx="333">
                  <c:v>5.8796000000000001E-2</c:v>
                </c:pt>
                <c:pt idx="334">
                  <c:v>5.8907999999999995E-2</c:v>
                </c:pt>
                <c:pt idx="335">
                  <c:v>5.9020000000000003E-2</c:v>
                </c:pt>
                <c:pt idx="336">
                  <c:v>5.9130000000000002E-2</c:v>
                </c:pt>
                <c:pt idx="337">
                  <c:v>5.9240000000000001E-2</c:v>
                </c:pt>
                <c:pt idx="338">
                  <c:v>5.9353999999999997E-2</c:v>
                </c:pt>
                <c:pt idx="339">
                  <c:v>5.9463999999999996E-2</c:v>
                </c:pt>
                <c:pt idx="340">
                  <c:v>5.9576000000000004E-2</c:v>
                </c:pt>
                <c:pt idx="341">
                  <c:v>5.9714000000000003E-2</c:v>
                </c:pt>
                <c:pt idx="342">
                  <c:v>5.9854000000000004E-2</c:v>
                </c:pt>
                <c:pt idx="343">
                  <c:v>5.9992000000000004E-2</c:v>
                </c:pt>
                <c:pt idx="344">
                  <c:v>6.0129999999999996E-2</c:v>
                </c:pt>
                <c:pt idx="345">
                  <c:v>6.0270000000000004E-2</c:v>
                </c:pt>
                <c:pt idx="346">
                  <c:v>6.0410000000000005E-2</c:v>
                </c:pt>
                <c:pt idx="347">
                  <c:v>6.0548000000000005E-2</c:v>
                </c:pt>
                <c:pt idx="348">
                  <c:v>6.0685999999999997E-2</c:v>
                </c:pt>
                <c:pt idx="349">
                  <c:v>6.0823999999999996E-2</c:v>
                </c:pt>
                <c:pt idx="350">
                  <c:v>6.0961999999999995E-2</c:v>
                </c:pt>
                <c:pt idx="351">
                  <c:v>6.1101999999999997E-2</c:v>
                </c:pt>
                <c:pt idx="352">
                  <c:v>6.1241999999999998E-2</c:v>
                </c:pt>
                <c:pt idx="353">
                  <c:v>6.1382000000000006E-2</c:v>
                </c:pt>
                <c:pt idx="354">
                  <c:v>6.1519999999999998E-2</c:v>
                </c:pt>
                <c:pt idx="355">
                  <c:v>6.1657999999999998E-2</c:v>
                </c:pt>
                <c:pt idx="356">
                  <c:v>6.1795999999999997E-2</c:v>
                </c:pt>
                <c:pt idx="357">
                  <c:v>6.1935999999999998E-2</c:v>
                </c:pt>
                <c:pt idx="358">
                  <c:v>6.2075999999999999E-2</c:v>
                </c:pt>
                <c:pt idx="359">
                  <c:v>6.2211999999999996E-2</c:v>
                </c:pt>
                <c:pt idx="360">
                  <c:v>6.2351999999999998E-2</c:v>
                </c:pt>
                <c:pt idx="361">
                  <c:v>6.2491999999999999E-2</c:v>
                </c:pt>
                <c:pt idx="362">
                  <c:v>6.2630000000000005E-2</c:v>
                </c:pt>
                <c:pt idx="363">
                  <c:v>6.2770000000000006E-2</c:v>
                </c:pt>
                <c:pt idx="364">
                  <c:v>6.2910000000000008E-2</c:v>
                </c:pt>
                <c:pt idx="365">
                  <c:v>6.3045999999999991E-2</c:v>
                </c:pt>
                <c:pt idx="366">
                  <c:v>6.3186000000000006E-2</c:v>
                </c:pt>
                <c:pt idx="367">
                  <c:v>6.3326000000000007E-2</c:v>
                </c:pt>
                <c:pt idx="368">
                  <c:v>6.3464000000000007E-2</c:v>
                </c:pt>
                <c:pt idx="369">
                  <c:v>6.3604000000000008E-2</c:v>
                </c:pt>
                <c:pt idx="370">
                  <c:v>6.3742000000000007E-2</c:v>
                </c:pt>
                <c:pt idx="371">
                  <c:v>6.3879999999999992E-2</c:v>
                </c:pt>
                <c:pt idx="372">
                  <c:v>6.4020000000000007E-2</c:v>
                </c:pt>
                <c:pt idx="373">
                  <c:v>6.4157999999999993E-2</c:v>
                </c:pt>
                <c:pt idx="374">
                  <c:v>6.4298000000000008E-2</c:v>
                </c:pt>
                <c:pt idx="375">
                  <c:v>6.4438000000000009E-2</c:v>
                </c:pt>
                <c:pt idx="376">
                  <c:v>6.4573999999999993E-2</c:v>
                </c:pt>
                <c:pt idx="377">
                  <c:v>6.4713999999999994E-2</c:v>
                </c:pt>
                <c:pt idx="378">
                  <c:v>6.4880000000000007E-2</c:v>
                </c:pt>
                <c:pt idx="379">
                  <c:v>6.5048000000000009E-2</c:v>
                </c:pt>
                <c:pt idx="380">
                  <c:v>6.5215999999999996E-2</c:v>
                </c:pt>
                <c:pt idx="381">
                  <c:v>6.5381999999999996E-2</c:v>
                </c:pt>
                <c:pt idx="382">
                  <c:v>6.5547999999999995E-2</c:v>
                </c:pt>
                <c:pt idx="383">
                  <c:v>6.5713999999999995E-2</c:v>
                </c:pt>
                <c:pt idx="384">
                  <c:v>6.5881999999999996E-2</c:v>
                </c:pt>
                <c:pt idx="385">
                  <c:v>6.6045999999999994E-2</c:v>
                </c:pt>
                <c:pt idx="386">
                  <c:v>6.6214000000000009E-2</c:v>
                </c:pt>
                <c:pt idx="387">
                  <c:v>6.6379999999999995E-2</c:v>
                </c:pt>
                <c:pt idx="388">
                  <c:v>6.6519999999999996E-2</c:v>
                </c:pt>
                <c:pt idx="389">
                  <c:v>6.6685999999999995E-2</c:v>
                </c:pt>
                <c:pt idx="390">
                  <c:v>6.6851999999999995E-2</c:v>
                </c:pt>
                <c:pt idx="391">
                  <c:v>6.6989999999999994E-2</c:v>
                </c:pt>
                <c:pt idx="392">
                  <c:v>6.7157999999999995E-2</c:v>
                </c:pt>
                <c:pt idx="393">
                  <c:v>6.7325999999999997E-2</c:v>
                </c:pt>
                <c:pt idx="394">
                  <c:v>6.7491999999999996E-2</c:v>
                </c:pt>
                <c:pt idx="395">
                  <c:v>6.7657999999999996E-2</c:v>
                </c:pt>
                <c:pt idx="396">
                  <c:v>6.7823999999999995E-2</c:v>
                </c:pt>
                <c:pt idx="397">
                  <c:v>6.7991999999999997E-2</c:v>
                </c:pt>
                <c:pt idx="398">
                  <c:v>6.8159999999999998E-2</c:v>
                </c:pt>
                <c:pt idx="399">
                  <c:v>6.8325999999999998E-2</c:v>
                </c:pt>
                <c:pt idx="400">
                  <c:v>6.8491999999999997E-2</c:v>
                </c:pt>
                <c:pt idx="401">
                  <c:v>6.8657999999999997E-2</c:v>
                </c:pt>
                <c:pt idx="402">
                  <c:v>6.8825999999999998E-2</c:v>
                </c:pt>
                <c:pt idx="403">
                  <c:v>6.8994E-2</c:v>
                </c:pt>
                <c:pt idx="404">
                  <c:v>6.9157999999999997E-2</c:v>
                </c:pt>
                <c:pt idx="405">
                  <c:v>6.9323999999999997E-2</c:v>
                </c:pt>
                <c:pt idx="406">
                  <c:v>6.9491999999999998E-2</c:v>
                </c:pt>
                <c:pt idx="407">
                  <c:v>6.9657999999999998E-2</c:v>
                </c:pt>
                <c:pt idx="408">
                  <c:v>6.9825999999999999E-2</c:v>
                </c:pt>
                <c:pt idx="409">
                  <c:v>6.9991999999999999E-2</c:v>
                </c:pt>
                <c:pt idx="410">
                  <c:v>7.0157999999999998E-2</c:v>
                </c:pt>
                <c:pt idx="411">
                  <c:v>7.0326E-2</c:v>
                </c:pt>
                <c:pt idx="412">
                  <c:v>7.0491999999999999E-2</c:v>
                </c:pt>
                <c:pt idx="413">
                  <c:v>7.0683999999999997E-2</c:v>
                </c:pt>
                <c:pt idx="414">
                  <c:v>7.0879999999999999E-2</c:v>
                </c:pt>
                <c:pt idx="415">
                  <c:v>7.1048E-2</c:v>
                </c:pt>
                <c:pt idx="416">
                  <c:v>7.1242E-2</c:v>
                </c:pt>
                <c:pt idx="417">
                  <c:v>7.1435999999999999E-2</c:v>
                </c:pt>
                <c:pt idx="418">
                  <c:v>7.1629999999999999E-2</c:v>
                </c:pt>
                <c:pt idx="419">
                  <c:v>7.1823999999999999E-2</c:v>
                </c:pt>
                <c:pt idx="420">
                  <c:v>7.2020000000000001E-2</c:v>
                </c:pt>
                <c:pt idx="421">
                  <c:v>7.2214E-2</c:v>
                </c:pt>
                <c:pt idx="422">
                  <c:v>7.2408E-2</c:v>
                </c:pt>
                <c:pt idx="423">
                  <c:v>7.2604000000000002E-2</c:v>
                </c:pt>
                <c:pt idx="424">
                  <c:v>7.2798000000000002E-2</c:v>
                </c:pt>
                <c:pt idx="425">
                  <c:v>7.2992000000000001E-2</c:v>
                </c:pt>
                <c:pt idx="426">
                  <c:v>7.3186000000000001E-2</c:v>
                </c:pt>
                <c:pt idx="427">
                  <c:v>7.3380000000000001E-2</c:v>
                </c:pt>
                <c:pt idx="428">
                  <c:v>7.3576000000000003E-2</c:v>
                </c:pt>
                <c:pt idx="429">
                  <c:v>7.3768E-2</c:v>
                </c:pt>
                <c:pt idx="430">
                  <c:v>7.3964000000000002E-2</c:v>
                </c:pt>
                <c:pt idx="431">
                  <c:v>7.4186000000000002E-2</c:v>
                </c:pt>
                <c:pt idx="432">
                  <c:v>7.4382000000000004E-2</c:v>
                </c:pt>
                <c:pt idx="433">
                  <c:v>7.4576000000000003E-2</c:v>
                </c:pt>
                <c:pt idx="434">
                  <c:v>7.4768000000000001E-2</c:v>
                </c:pt>
                <c:pt idx="435">
                  <c:v>7.4964000000000003E-2</c:v>
                </c:pt>
                <c:pt idx="436">
                  <c:v>7.5187999999999991E-2</c:v>
                </c:pt>
                <c:pt idx="437">
                  <c:v>7.5380000000000003E-2</c:v>
                </c:pt>
                <c:pt idx="438">
                  <c:v>7.5576000000000004E-2</c:v>
                </c:pt>
                <c:pt idx="439">
                  <c:v>7.5770000000000004E-2</c:v>
                </c:pt>
                <c:pt idx="440">
                  <c:v>7.5992000000000004E-2</c:v>
                </c:pt>
                <c:pt idx="441">
                  <c:v>7.6214000000000004E-2</c:v>
                </c:pt>
                <c:pt idx="442">
                  <c:v>7.6437999999999992E-2</c:v>
                </c:pt>
                <c:pt idx="443">
                  <c:v>7.6658000000000004E-2</c:v>
                </c:pt>
                <c:pt idx="444">
                  <c:v>7.6880000000000004E-2</c:v>
                </c:pt>
                <c:pt idx="445">
                  <c:v>7.7100000000000002E-2</c:v>
                </c:pt>
                <c:pt idx="446">
                  <c:v>7.7325999999999992E-2</c:v>
                </c:pt>
                <c:pt idx="447">
                  <c:v>7.7519999999999992E-2</c:v>
                </c:pt>
                <c:pt idx="448">
                  <c:v>7.7712000000000003E-2</c:v>
                </c:pt>
                <c:pt idx="449">
                  <c:v>7.7935999999999991E-2</c:v>
                </c:pt>
                <c:pt idx="450">
                  <c:v>7.8158000000000005E-2</c:v>
                </c:pt>
                <c:pt idx="451">
                  <c:v>7.8380000000000005E-2</c:v>
                </c:pt>
                <c:pt idx="452">
                  <c:v>7.8602000000000005E-2</c:v>
                </c:pt>
                <c:pt idx="453">
                  <c:v>7.8826000000000007E-2</c:v>
                </c:pt>
                <c:pt idx="454">
                  <c:v>7.9047999999999993E-2</c:v>
                </c:pt>
                <c:pt idx="455">
                  <c:v>7.9268000000000005E-2</c:v>
                </c:pt>
                <c:pt idx="456">
                  <c:v>7.9492000000000007E-2</c:v>
                </c:pt>
                <c:pt idx="457">
                  <c:v>7.9714000000000007E-2</c:v>
                </c:pt>
                <c:pt idx="458">
                  <c:v>7.9935999999999993E-2</c:v>
                </c:pt>
                <c:pt idx="459">
                  <c:v>8.0159999999999995E-2</c:v>
                </c:pt>
                <c:pt idx="460">
                  <c:v>8.0408000000000007E-2</c:v>
                </c:pt>
                <c:pt idx="461">
                  <c:v>8.0631999999999995E-2</c:v>
                </c:pt>
                <c:pt idx="462">
                  <c:v>8.0852000000000007E-2</c:v>
                </c:pt>
                <c:pt idx="463">
                  <c:v>8.1075999999999995E-2</c:v>
                </c:pt>
                <c:pt idx="464">
                  <c:v>8.1297999999999995E-2</c:v>
                </c:pt>
                <c:pt idx="465">
                  <c:v>8.1517999999999993E-2</c:v>
                </c:pt>
                <c:pt idx="466">
                  <c:v>8.1768000000000007E-2</c:v>
                </c:pt>
                <c:pt idx="467">
                  <c:v>8.2019999999999996E-2</c:v>
                </c:pt>
                <c:pt idx="468">
                  <c:v>8.2268000000000008E-2</c:v>
                </c:pt>
                <c:pt idx="469">
                  <c:v>8.252000000000001E-2</c:v>
                </c:pt>
                <c:pt idx="470">
                  <c:v>8.2769999999999996E-2</c:v>
                </c:pt>
                <c:pt idx="471">
                  <c:v>8.3019999999999997E-2</c:v>
                </c:pt>
                <c:pt idx="472">
                  <c:v>8.3269999999999997E-2</c:v>
                </c:pt>
                <c:pt idx="473">
                  <c:v>8.3519999999999997E-2</c:v>
                </c:pt>
                <c:pt idx="474">
                  <c:v>8.3770000000000011E-2</c:v>
                </c:pt>
                <c:pt idx="475">
                  <c:v>8.4017999999999995E-2</c:v>
                </c:pt>
                <c:pt idx="476">
                  <c:v>8.4269999999999998E-2</c:v>
                </c:pt>
                <c:pt idx="477">
                  <c:v>8.451800000000001E-2</c:v>
                </c:pt>
                <c:pt idx="478">
                  <c:v>8.4769999999999998E-2</c:v>
                </c:pt>
                <c:pt idx="479">
                  <c:v>8.5020000000000012E-2</c:v>
                </c:pt>
                <c:pt idx="480">
                  <c:v>8.5269999999999999E-2</c:v>
                </c:pt>
                <c:pt idx="481">
                  <c:v>8.5547999999999999E-2</c:v>
                </c:pt>
                <c:pt idx="482">
                  <c:v>8.5826E-2</c:v>
                </c:pt>
                <c:pt idx="483">
                  <c:v>8.6099999999999996E-2</c:v>
                </c:pt>
                <c:pt idx="484">
                  <c:v>8.6379999999999998E-2</c:v>
                </c:pt>
                <c:pt idx="485">
                  <c:v>8.6660000000000001E-2</c:v>
                </c:pt>
                <c:pt idx="486">
                  <c:v>8.6935999999999999E-2</c:v>
                </c:pt>
                <c:pt idx="487">
                  <c:v>8.7186E-2</c:v>
                </c:pt>
                <c:pt idx="488">
                  <c:v>8.7466000000000002E-2</c:v>
                </c:pt>
                <c:pt idx="489">
                  <c:v>8.7739999999999985E-2</c:v>
                </c:pt>
                <c:pt idx="490">
                  <c:v>8.8020000000000001E-2</c:v>
                </c:pt>
                <c:pt idx="491">
                  <c:v>8.8298000000000001E-2</c:v>
                </c:pt>
                <c:pt idx="492">
                  <c:v>8.8574E-2</c:v>
                </c:pt>
                <c:pt idx="493">
                  <c:v>8.8854000000000002E-2</c:v>
                </c:pt>
                <c:pt idx="494">
                  <c:v>8.9130000000000001E-2</c:v>
                </c:pt>
                <c:pt idx="495">
                  <c:v>8.9407999999999987E-2</c:v>
                </c:pt>
                <c:pt idx="496">
                  <c:v>8.9686000000000002E-2</c:v>
                </c:pt>
                <c:pt idx="497">
                  <c:v>8.9962E-2</c:v>
                </c:pt>
                <c:pt idx="498">
                  <c:v>9.0242000000000003E-2</c:v>
                </c:pt>
                <c:pt idx="499">
                  <c:v>9.0519999999999989E-2</c:v>
                </c:pt>
                <c:pt idx="500">
                  <c:v>9.082599999999999E-2</c:v>
                </c:pt>
                <c:pt idx="501">
                  <c:v>9.1132000000000005E-2</c:v>
                </c:pt>
                <c:pt idx="502">
                  <c:v>9.143599999999999E-2</c:v>
                </c:pt>
                <c:pt idx="503">
                  <c:v>9.1742000000000004E-2</c:v>
                </c:pt>
                <c:pt idx="504">
                  <c:v>9.2048000000000005E-2</c:v>
                </c:pt>
                <c:pt idx="505">
                  <c:v>9.2352000000000004E-2</c:v>
                </c:pt>
                <c:pt idx="506">
                  <c:v>9.2660000000000006E-2</c:v>
                </c:pt>
                <c:pt idx="507">
                  <c:v>9.2964000000000005E-2</c:v>
                </c:pt>
                <c:pt idx="508">
                  <c:v>9.3270000000000006E-2</c:v>
                </c:pt>
                <c:pt idx="509">
                  <c:v>9.3575999999999993E-2</c:v>
                </c:pt>
                <c:pt idx="510">
                  <c:v>9.3880000000000005E-2</c:v>
                </c:pt>
                <c:pt idx="511">
                  <c:v>9.4185999999999992E-2</c:v>
                </c:pt>
                <c:pt idx="512">
                  <c:v>9.4519999999999993E-2</c:v>
                </c:pt>
                <c:pt idx="513">
                  <c:v>9.4854000000000008E-2</c:v>
                </c:pt>
                <c:pt idx="514">
                  <c:v>9.5185999999999993E-2</c:v>
                </c:pt>
                <c:pt idx="515">
                  <c:v>9.5518000000000006E-2</c:v>
                </c:pt>
                <c:pt idx="516">
                  <c:v>9.5853999999999995E-2</c:v>
                </c:pt>
                <c:pt idx="517">
                  <c:v>9.6186000000000008E-2</c:v>
                </c:pt>
                <c:pt idx="518">
                  <c:v>9.6519999999999995E-2</c:v>
                </c:pt>
                <c:pt idx="519">
                  <c:v>9.6851999999999994E-2</c:v>
                </c:pt>
                <c:pt idx="520">
                  <c:v>9.7186000000000008E-2</c:v>
                </c:pt>
                <c:pt idx="521">
                  <c:v>9.7521999999999998E-2</c:v>
                </c:pt>
                <c:pt idx="522">
                  <c:v>9.7851999999999995E-2</c:v>
                </c:pt>
                <c:pt idx="523">
                  <c:v>9.8184000000000007E-2</c:v>
                </c:pt>
                <c:pt idx="524">
                  <c:v>9.8518000000000008E-2</c:v>
                </c:pt>
                <c:pt idx="525">
                  <c:v>9.8854000000000011E-2</c:v>
                </c:pt>
                <c:pt idx="526">
                  <c:v>9.9185999999999996E-2</c:v>
                </c:pt>
                <c:pt idx="527">
                  <c:v>9.9545999999999996E-2</c:v>
                </c:pt>
                <c:pt idx="528">
                  <c:v>9.9907999999999997E-2</c:v>
                </c:pt>
                <c:pt idx="529">
                  <c:v>0.10027</c:v>
                </c:pt>
                <c:pt idx="530">
                  <c:v>0.100632</c:v>
                </c:pt>
                <c:pt idx="531">
                  <c:v>0.10099</c:v>
                </c:pt>
                <c:pt idx="532">
                  <c:v>0.101354</c:v>
                </c:pt>
                <c:pt idx="533">
                  <c:v>0.101714</c:v>
                </c:pt>
                <c:pt idx="534">
                  <c:v>0.102076</c:v>
                </c:pt>
                <c:pt idx="535">
                  <c:v>0.10243600000000001</c:v>
                </c:pt>
                <c:pt idx="536">
                  <c:v>0.102826</c:v>
                </c:pt>
                <c:pt idx="537">
                  <c:v>0.103214</c:v>
                </c:pt>
                <c:pt idx="538">
                  <c:v>0.103574</c:v>
                </c:pt>
                <c:pt idx="539">
                  <c:v>0.103964</c:v>
                </c:pt>
                <c:pt idx="540">
                  <c:v>0.104354</c:v>
                </c:pt>
                <c:pt idx="541">
                  <c:v>0.104742</c:v>
                </c:pt>
                <c:pt idx="542">
                  <c:v>0.10513</c:v>
                </c:pt>
                <c:pt idx="543">
                  <c:v>0.105518</c:v>
                </c:pt>
                <c:pt idx="544">
                  <c:v>0.10590999999999999</c:v>
                </c:pt>
                <c:pt idx="545">
                  <c:v>0.106326</c:v>
                </c:pt>
                <c:pt idx="546">
                  <c:v>0.106714</c:v>
                </c:pt>
                <c:pt idx="547">
                  <c:v>0.107104</c:v>
                </c:pt>
                <c:pt idx="548">
                  <c:v>0.10749</c:v>
                </c:pt>
                <c:pt idx="549">
                  <c:v>0.107908</c:v>
                </c:pt>
                <c:pt idx="550">
                  <c:v>0.10832599999999999</c:v>
                </c:pt>
                <c:pt idx="551">
                  <c:v>0.10871399999999999</c:v>
                </c:pt>
                <c:pt idx="552">
                  <c:v>0.10913</c:v>
                </c:pt>
                <c:pt idx="553">
                  <c:v>0.10954800000000001</c:v>
                </c:pt>
                <c:pt idx="554">
                  <c:v>0.109962</c:v>
                </c:pt>
                <c:pt idx="555">
                  <c:v>0.11038000000000001</c:v>
                </c:pt>
                <c:pt idx="556">
                  <c:v>0.11079599999999999</c:v>
                </c:pt>
                <c:pt idx="557">
                  <c:v>0.11124200000000001</c:v>
                </c:pt>
                <c:pt idx="558">
                  <c:v>0.11168599999999999</c:v>
                </c:pt>
                <c:pt idx="559">
                  <c:v>0.11212999999999999</c:v>
                </c:pt>
                <c:pt idx="560">
                  <c:v>0.11257400000000001</c:v>
                </c:pt>
                <c:pt idx="561">
                  <c:v>0.11301800000000001</c:v>
                </c:pt>
                <c:pt idx="562">
                  <c:v>0.113492</c:v>
                </c:pt>
                <c:pt idx="563">
                  <c:v>0.113964</c:v>
                </c:pt>
                <c:pt idx="564">
                  <c:v>0.114436</c:v>
                </c:pt>
                <c:pt idx="565">
                  <c:v>0.114908</c:v>
                </c:pt>
                <c:pt idx="566">
                  <c:v>0.11538</c:v>
                </c:pt>
                <c:pt idx="567">
                  <c:v>0.11585200000000001</c:v>
                </c:pt>
                <c:pt idx="568">
                  <c:v>0.11635400000000001</c:v>
                </c:pt>
                <c:pt idx="569">
                  <c:v>0.116854</c:v>
                </c:pt>
                <c:pt idx="570">
                  <c:v>0.117326</c:v>
                </c:pt>
                <c:pt idx="571">
                  <c:v>0.117798</c:v>
                </c:pt>
                <c:pt idx="572">
                  <c:v>0.118298</c:v>
                </c:pt>
                <c:pt idx="573">
                  <c:v>0.118798</c:v>
                </c:pt>
                <c:pt idx="574">
                  <c:v>0.11929600000000001</c:v>
                </c:pt>
                <c:pt idx="575">
                  <c:v>0.11979799999999999</c:v>
                </c:pt>
                <c:pt idx="576">
                  <c:v>0.120298</c:v>
                </c:pt>
                <c:pt idx="577">
                  <c:v>0.120798</c:v>
                </c:pt>
                <c:pt idx="578">
                  <c:v>0.121326</c:v>
                </c:pt>
                <c:pt idx="579">
                  <c:v>0.121852</c:v>
                </c:pt>
                <c:pt idx="580">
                  <c:v>0.122378</c:v>
                </c:pt>
                <c:pt idx="581">
                  <c:v>0.12291000000000001</c:v>
                </c:pt>
                <c:pt idx="582">
                  <c:v>0.12346399999999999</c:v>
                </c:pt>
                <c:pt idx="583">
                  <c:v>0.12401999999999999</c:v>
                </c:pt>
                <c:pt idx="584">
                  <c:v>0.124574</c:v>
                </c:pt>
                <c:pt idx="585">
                  <c:v>0.12515799999999999</c:v>
                </c:pt>
                <c:pt idx="586">
                  <c:v>0.12571399999999999</c:v>
                </c:pt>
                <c:pt idx="587">
                  <c:v>0.12629599999999999</c:v>
                </c:pt>
                <c:pt idx="588">
                  <c:v>0.12687999999999999</c:v>
                </c:pt>
                <c:pt idx="589">
                  <c:v>0.12746399999999999</c:v>
                </c:pt>
                <c:pt idx="590">
                  <c:v>0.128048</c:v>
                </c:pt>
                <c:pt idx="591">
                  <c:v>0.12866</c:v>
                </c:pt>
                <c:pt idx="592">
                  <c:v>0.12927</c:v>
                </c:pt>
                <c:pt idx="593">
                  <c:v>0.129908</c:v>
                </c:pt>
                <c:pt idx="594">
                  <c:v>0.130604</c:v>
                </c:pt>
              </c:numCache>
            </c:numRef>
          </c:cat>
          <c:val>
            <c:numRef>
              <c:f>'A22-2'!$F$2:$F$596</c:f>
              <c:numCache>
                <c:formatCode>0.00</c:formatCode>
                <c:ptCount val="595"/>
                <c:pt idx="0">
                  <c:v>0</c:v>
                </c:pt>
                <c:pt idx="1">
                  <c:v>0.12052717352795295</c:v>
                </c:pt>
                <c:pt idx="2">
                  <c:v>0.12052717352795295</c:v>
                </c:pt>
                <c:pt idx="3">
                  <c:v>0.12052717352795295</c:v>
                </c:pt>
                <c:pt idx="4">
                  <c:v>0.12052717352795295</c:v>
                </c:pt>
                <c:pt idx="5">
                  <c:v>0.12454474597888474</c:v>
                </c:pt>
                <c:pt idx="6">
                  <c:v>0.12454474597888474</c:v>
                </c:pt>
                <c:pt idx="7">
                  <c:v>0.12454474597888474</c:v>
                </c:pt>
                <c:pt idx="8">
                  <c:v>0.12052717352795295</c:v>
                </c:pt>
                <c:pt idx="9">
                  <c:v>0.12052717352795295</c:v>
                </c:pt>
                <c:pt idx="10">
                  <c:v>0.12052717352795295</c:v>
                </c:pt>
                <c:pt idx="11">
                  <c:v>0.12052717352795295</c:v>
                </c:pt>
                <c:pt idx="12">
                  <c:v>0.12454474597888474</c:v>
                </c:pt>
                <c:pt idx="13">
                  <c:v>0.12454474597888474</c:v>
                </c:pt>
                <c:pt idx="14">
                  <c:v>0.1285623184298165</c:v>
                </c:pt>
                <c:pt idx="15">
                  <c:v>0.1285623184298165</c:v>
                </c:pt>
                <c:pt idx="16">
                  <c:v>0.1285623184298165</c:v>
                </c:pt>
                <c:pt idx="17">
                  <c:v>0.1285623184298165</c:v>
                </c:pt>
                <c:pt idx="18">
                  <c:v>0.13257989088074826</c:v>
                </c:pt>
                <c:pt idx="19">
                  <c:v>0.13257989088074826</c:v>
                </c:pt>
                <c:pt idx="20">
                  <c:v>0.13257989088074826</c:v>
                </c:pt>
                <c:pt idx="21">
                  <c:v>0.13659746333168005</c:v>
                </c:pt>
                <c:pt idx="22">
                  <c:v>0.1486501806844753</c:v>
                </c:pt>
                <c:pt idx="23">
                  <c:v>0.16070289803727061</c:v>
                </c:pt>
                <c:pt idx="24">
                  <c:v>0.17275325350149981</c:v>
                </c:pt>
                <c:pt idx="25">
                  <c:v>0.18078839840336333</c:v>
                </c:pt>
                <c:pt idx="26">
                  <c:v>0.18882354330522688</c:v>
                </c:pt>
                <c:pt idx="27">
                  <c:v>0.19284111575615864</c:v>
                </c:pt>
                <c:pt idx="28">
                  <c:v>0.1968586882070904</c:v>
                </c:pt>
                <c:pt idx="29">
                  <c:v>0.20087626065802217</c:v>
                </c:pt>
                <c:pt idx="30">
                  <c:v>0.20087626065802217</c:v>
                </c:pt>
                <c:pt idx="31">
                  <c:v>0.20087626065802217</c:v>
                </c:pt>
                <c:pt idx="32">
                  <c:v>0.20087626065802217</c:v>
                </c:pt>
                <c:pt idx="33">
                  <c:v>0.20087626065802217</c:v>
                </c:pt>
                <c:pt idx="34">
                  <c:v>0.20087626065802217</c:v>
                </c:pt>
                <c:pt idx="35">
                  <c:v>0.20087626065802217</c:v>
                </c:pt>
                <c:pt idx="36">
                  <c:v>0.20087626065802217</c:v>
                </c:pt>
                <c:pt idx="37">
                  <c:v>0.20087626065802217</c:v>
                </c:pt>
                <c:pt idx="38">
                  <c:v>0.20087626065802217</c:v>
                </c:pt>
                <c:pt idx="39">
                  <c:v>0.20087626065802217</c:v>
                </c:pt>
                <c:pt idx="40">
                  <c:v>0.20087626065802217</c:v>
                </c:pt>
                <c:pt idx="41">
                  <c:v>0.20489383310895395</c:v>
                </c:pt>
                <c:pt idx="42">
                  <c:v>0.20489383310895395</c:v>
                </c:pt>
                <c:pt idx="43">
                  <c:v>0.20489383310895395</c:v>
                </c:pt>
                <c:pt idx="44">
                  <c:v>0.20087626065802217</c:v>
                </c:pt>
                <c:pt idx="45">
                  <c:v>0.20489383310895395</c:v>
                </c:pt>
                <c:pt idx="46">
                  <c:v>0.20489383310895395</c:v>
                </c:pt>
                <c:pt idx="47">
                  <c:v>0.20489383310895395</c:v>
                </c:pt>
                <c:pt idx="48">
                  <c:v>0.20489383310895395</c:v>
                </c:pt>
                <c:pt idx="49">
                  <c:v>0.20891140555988572</c:v>
                </c:pt>
                <c:pt idx="50">
                  <c:v>0.21292897801081745</c:v>
                </c:pt>
                <c:pt idx="51">
                  <c:v>0.21694655046174924</c:v>
                </c:pt>
                <c:pt idx="52">
                  <c:v>0.22899926781454455</c:v>
                </c:pt>
                <c:pt idx="53">
                  <c:v>0.24105434705590589</c:v>
                </c:pt>
                <c:pt idx="54">
                  <c:v>0.24506955761827159</c:v>
                </c:pt>
                <c:pt idx="55">
                  <c:v>0.24908476818063724</c:v>
                </c:pt>
                <c:pt idx="56">
                  <c:v>0.24908476818063724</c:v>
                </c:pt>
                <c:pt idx="57">
                  <c:v>0.24908476818063724</c:v>
                </c:pt>
                <c:pt idx="58">
                  <c:v>0.24908476818063724</c:v>
                </c:pt>
                <c:pt idx="59">
                  <c:v>0.24908476818063724</c:v>
                </c:pt>
                <c:pt idx="60">
                  <c:v>0.24908476818063724</c:v>
                </c:pt>
                <c:pt idx="61">
                  <c:v>0.24908476818063724</c:v>
                </c:pt>
                <c:pt idx="62">
                  <c:v>0.25309997874300294</c:v>
                </c:pt>
                <c:pt idx="63">
                  <c:v>0.24908476818063724</c:v>
                </c:pt>
                <c:pt idx="64">
                  <c:v>0.25309997874300294</c:v>
                </c:pt>
                <c:pt idx="65">
                  <c:v>0.25309997874300294</c:v>
                </c:pt>
                <c:pt idx="66">
                  <c:v>0.25309997874300294</c:v>
                </c:pt>
                <c:pt idx="67">
                  <c:v>0.25309997874300294</c:v>
                </c:pt>
                <c:pt idx="68">
                  <c:v>0.25309997874300294</c:v>
                </c:pt>
                <c:pt idx="69">
                  <c:v>0.25309997874300294</c:v>
                </c:pt>
                <c:pt idx="70">
                  <c:v>0.25309997874300294</c:v>
                </c:pt>
                <c:pt idx="71">
                  <c:v>0.25309997874300294</c:v>
                </c:pt>
                <c:pt idx="72">
                  <c:v>0.25309997874300294</c:v>
                </c:pt>
                <c:pt idx="73">
                  <c:v>0.25309997874300294</c:v>
                </c:pt>
                <c:pt idx="74">
                  <c:v>0.25711518930536859</c:v>
                </c:pt>
                <c:pt idx="75">
                  <c:v>0.25711518930536859</c:v>
                </c:pt>
                <c:pt idx="76">
                  <c:v>0.25711518930536859</c:v>
                </c:pt>
                <c:pt idx="77">
                  <c:v>0.25711518930536859</c:v>
                </c:pt>
                <c:pt idx="78">
                  <c:v>0.25711518930536859</c:v>
                </c:pt>
                <c:pt idx="79">
                  <c:v>0.26113039986773429</c:v>
                </c:pt>
                <c:pt idx="80">
                  <c:v>0.26516922931576087</c:v>
                </c:pt>
                <c:pt idx="81">
                  <c:v>0.27319965044049227</c:v>
                </c:pt>
                <c:pt idx="82">
                  <c:v>0.28123007156522356</c:v>
                </c:pt>
                <c:pt idx="83">
                  <c:v>0.28524528212758921</c:v>
                </c:pt>
                <c:pt idx="84">
                  <c:v>0.29327570325232061</c:v>
                </c:pt>
                <c:pt idx="85">
                  <c:v>0.3013061243770519</c:v>
                </c:pt>
                <c:pt idx="86">
                  <c:v>0.31739058551217558</c:v>
                </c:pt>
                <c:pt idx="87">
                  <c:v>0.33345142776163822</c:v>
                </c:pt>
                <c:pt idx="88">
                  <c:v>0.34953588889676185</c:v>
                </c:pt>
                <c:pt idx="89">
                  <c:v>0.36559673114622454</c:v>
                </c:pt>
                <c:pt idx="90">
                  <c:v>0.38165757339568723</c:v>
                </c:pt>
                <c:pt idx="91">
                  <c:v>0.39774203453081092</c:v>
                </c:pt>
                <c:pt idx="92">
                  <c:v>0.41380287678027355</c:v>
                </c:pt>
                <c:pt idx="93">
                  <c:v>0.42988733791539718</c:v>
                </c:pt>
                <c:pt idx="94">
                  <c:v>0.44594818016485988</c:v>
                </c:pt>
                <c:pt idx="95">
                  <c:v>0.46200902241432251</c:v>
                </c:pt>
                <c:pt idx="96">
                  <c:v>0.4780934835494462</c:v>
                </c:pt>
                <c:pt idx="97">
                  <c:v>0.49816953636127448</c:v>
                </c:pt>
                <c:pt idx="98">
                  <c:v>0.51425399749639822</c:v>
                </c:pt>
                <c:pt idx="99">
                  <c:v>0.5303148397458608</c:v>
                </c:pt>
                <c:pt idx="100">
                  <c:v>0.54637568199532349</c:v>
                </c:pt>
                <c:pt idx="101">
                  <c:v>0.56246014313044712</c:v>
                </c:pt>
                <c:pt idx="102">
                  <c:v>0.57852098537990981</c:v>
                </c:pt>
                <c:pt idx="103">
                  <c:v>0.59460544651503344</c:v>
                </c:pt>
                <c:pt idx="104">
                  <c:v>0.61066628876449625</c:v>
                </c:pt>
                <c:pt idx="105">
                  <c:v>0.62672713101395883</c:v>
                </c:pt>
                <c:pt idx="106">
                  <c:v>0.64281159214908246</c:v>
                </c:pt>
                <c:pt idx="107">
                  <c:v>0.65887243439854515</c:v>
                </c:pt>
                <c:pt idx="108">
                  <c:v>0.67495689553366878</c:v>
                </c:pt>
                <c:pt idx="109">
                  <c:v>0.69101773778313158</c:v>
                </c:pt>
                <c:pt idx="110">
                  <c:v>0.70707858003259416</c:v>
                </c:pt>
                <c:pt idx="111">
                  <c:v>0.72316304116771779</c:v>
                </c:pt>
                <c:pt idx="112">
                  <c:v>0.73922388341718037</c:v>
                </c:pt>
                <c:pt idx="113">
                  <c:v>0.75530834455230411</c:v>
                </c:pt>
                <c:pt idx="114">
                  <c:v>0.77136918680176669</c:v>
                </c:pt>
                <c:pt idx="115">
                  <c:v>0.78743002905122939</c:v>
                </c:pt>
                <c:pt idx="116">
                  <c:v>0.80351449018635324</c:v>
                </c:pt>
                <c:pt idx="117">
                  <c:v>0.81957533243581582</c:v>
                </c:pt>
                <c:pt idx="118">
                  <c:v>0.83565979357093945</c:v>
                </c:pt>
                <c:pt idx="119">
                  <c:v>0.85172063582040203</c:v>
                </c:pt>
                <c:pt idx="120">
                  <c:v>0.86778147806986483</c:v>
                </c:pt>
                <c:pt idx="121">
                  <c:v>0.88386593920498835</c:v>
                </c:pt>
                <c:pt idx="122">
                  <c:v>0.89992678145445104</c:v>
                </c:pt>
                <c:pt idx="123">
                  <c:v>0.91601124258957478</c:v>
                </c:pt>
                <c:pt idx="124">
                  <c:v>0.93207208483903736</c:v>
                </c:pt>
                <c:pt idx="125">
                  <c:v>0.94813292708850017</c:v>
                </c:pt>
                <c:pt idx="126">
                  <c:v>0.96421738822362357</c:v>
                </c:pt>
                <c:pt idx="127">
                  <c:v>0.98027823047308638</c:v>
                </c:pt>
                <c:pt idx="128">
                  <c:v>0.99636269160821012</c:v>
                </c:pt>
                <c:pt idx="129">
                  <c:v>1.0124235338576728</c:v>
                </c:pt>
                <c:pt idx="130">
                  <c:v>1.0284843761071354</c:v>
                </c:pt>
                <c:pt idx="131">
                  <c:v>1.044568837242259</c:v>
                </c:pt>
                <c:pt idx="132">
                  <c:v>1.0646448900540875</c:v>
                </c:pt>
                <c:pt idx="133">
                  <c:v>1.0807293511892111</c:v>
                </c:pt>
                <c:pt idx="134">
                  <c:v>1.0967901934386737</c:v>
                </c:pt>
                <c:pt idx="135">
                  <c:v>1.1128510356881363</c:v>
                </c:pt>
                <c:pt idx="136">
                  <c:v>1.1289354968232601</c:v>
                </c:pt>
                <c:pt idx="137">
                  <c:v>1.1449963390727227</c:v>
                </c:pt>
                <c:pt idx="138">
                  <c:v>1.165096010770212</c:v>
                </c:pt>
                <c:pt idx="139">
                  <c:v>1.1811568530196748</c:v>
                </c:pt>
                <c:pt idx="140">
                  <c:v>1.1972176952691373</c:v>
                </c:pt>
                <c:pt idx="141">
                  <c:v>1.2173173669666266</c:v>
                </c:pt>
                <c:pt idx="142">
                  <c:v>1.2333782092160892</c:v>
                </c:pt>
                <c:pt idx="143">
                  <c:v>1.2494626703512131</c:v>
                </c:pt>
                <c:pt idx="144">
                  <c:v>1.2655235126006756</c:v>
                </c:pt>
                <c:pt idx="145">
                  <c:v>1.2856231842981649</c:v>
                </c:pt>
                <c:pt idx="146">
                  <c:v>1.3016840265476277</c:v>
                </c:pt>
                <c:pt idx="147">
                  <c:v>1.3177448687970903</c:v>
                </c:pt>
                <c:pt idx="148">
                  <c:v>1.3338293299322139</c:v>
                </c:pt>
                <c:pt idx="149">
                  <c:v>1.3498901721816765</c:v>
                </c:pt>
                <c:pt idx="150">
                  <c:v>1.3659746333168001</c:v>
                </c:pt>
                <c:pt idx="151">
                  <c:v>1.3820354755662632</c:v>
                </c:pt>
                <c:pt idx="152">
                  <c:v>1.3980963178157257</c:v>
                </c:pt>
                <c:pt idx="153">
                  <c:v>1.418195989513215</c:v>
                </c:pt>
                <c:pt idx="154">
                  <c:v>1.4382720423250432</c:v>
                </c:pt>
                <c:pt idx="155">
                  <c:v>1.4583717140225325</c:v>
                </c:pt>
                <c:pt idx="156">
                  <c:v>1.4744325562719951</c:v>
                </c:pt>
                <c:pt idx="157">
                  <c:v>1.4945322279694846</c:v>
                </c:pt>
                <c:pt idx="158">
                  <c:v>1.5105930702189472</c:v>
                </c:pt>
                <c:pt idx="159">
                  <c:v>1.526677531354071</c:v>
                </c:pt>
                <c:pt idx="160">
                  <c:v>1.5467535841658993</c:v>
                </c:pt>
                <c:pt idx="161">
                  <c:v>1.5628144264153618</c:v>
                </c:pt>
                <c:pt idx="162">
                  <c:v>1.5788988875504855</c:v>
                </c:pt>
                <c:pt idx="163">
                  <c:v>1.5949597297999483</c:v>
                </c:pt>
                <c:pt idx="164">
                  <c:v>1.6110441909350719</c:v>
                </c:pt>
                <c:pt idx="165">
                  <c:v>1.6271050331845347</c:v>
                </c:pt>
                <c:pt idx="166">
                  <c:v>1.6431658754339971</c:v>
                </c:pt>
                <c:pt idx="167">
                  <c:v>1.6592503365691209</c:v>
                </c:pt>
                <c:pt idx="168">
                  <c:v>1.6753111788185835</c:v>
                </c:pt>
                <c:pt idx="169">
                  <c:v>1.6913956399537071</c:v>
                </c:pt>
                <c:pt idx="170">
                  <c:v>1.7074564822031699</c:v>
                </c:pt>
                <c:pt idx="171">
                  <c:v>1.7275325350149981</c:v>
                </c:pt>
                <c:pt idx="172">
                  <c:v>1.7436169961501216</c:v>
                </c:pt>
                <c:pt idx="173">
                  <c:v>1.7596778383995844</c:v>
                </c:pt>
                <c:pt idx="174">
                  <c:v>1.775762299534708</c:v>
                </c:pt>
                <c:pt idx="175">
                  <c:v>1.7958383523465367</c:v>
                </c:pt>
                <c:pt idx="176">
                  <c:v>1.8119228134816601</c:v>
                </c:pt>
                <c:pt idx="177">
                  <c:v>1.8279836557311226</c:v>
                </c:pt>
                <c:pt idx="178">
                  <c:v>1.8480597085429511</c:v>
                </c:pt>
                <c:pt idx="179">
                  <c:v>1.8641441696780747</c:v>
                </c:pt>
                <c:pt idx="180">
                  <c:v>1.884220222489903</c:v>
                </c:pt>
                <c:pt idx="181">
                  <c:v>1.9003046836250266</c:v>
                </c:pt>
                <c:pt idx="182">
                  <c:v>1.9163655258744894</c:v>
                </c:pt>
                <c:pt idx="183">
                  <c:v>1.9364651975719787</c:v>
                </c:pt>
                <c:pt idx="184">
                  <c:v>1.9525260398214415</c:v>
                </c:pt>
                <c:pt idx="185">
                  <c:v>1.972625711518931</c:v>
                </c:pt>
                <c:pt idx="186">
                  <c:v>1.9886865537683933</c:v>
                </c:pt>
                <c:pt idx="187">
                  <c:v>2.008762606580222</c:v>
                </c:pt>
                <c:pt idx="188">
                  <c:v>2.0248470677153456</c:v>
                </c:pt>
                <c:pt idx="189">
                  <c:v>2.0449231205271738</c:v>
                </c:pt>
                <c:pt idx="190">
                  <c:v>2.0650227922246631</c:v>
                </c:pt>
                <c:pt idx="191">
                  <c:v>2.0810836344741261</c:v>
                </c:pt>
                <c:pt idx="192">
                  <c:v>2.101183306171615</c:v>
                </c:pt>
                <c:pt idx="193">
                  <c:v>2.1212593589834432</c:v>
                </c:pt>
                <c:pt idx="194">
                  <c:v>2.1373438201185668</c:v>
                </c:pt>
                <c:pt idx="195">
                  <c:v>2.1534046623680299</c:v>
                </c:pt>
                <c:pt idx="196">
                  <c:v>2.169465504617492</c:v>
                </c:pt>
                <c:pt idx="197">
                  <c:v>2.1855499657526161</c:v>
                </c:pt>
                <c:pt idx="198">
                  <c:v>2.2016108080020786</c:v>
                </c:pt>
                <c:pt idx="199">
                  <c:v>2.2176952691372023</c:v>
                </c:pt>
                <c:pt idx="200">
                  <c:v>2.2337561113866653</c:v>
                </c:pt>
                <c:pt idx="201">
                  <c:v>2.2498169536361274</c:v>
                </c:pt>
                <c:pt idx="202">
                  <c:v>2.2699166253336172</c:v>
                </c:pt>
                <c:pt idx="203">
                  <c:v>2.2859774675830797</c:v>
                </c:pt>
                <c:pt idx="204">
                  <c:v>2.3020619287182034</c:v>
                </c:pt>
                <c:pt idx="205">
                  <c:v>2.3221379815300316</c:v>
                </c:pt>
                <c:pt idx="206">
                  <c:v>2.3382224426651557</c:v>
                </c:pt>
                <c:pt idx="207">
                  <c:v>2.3542832849146178</c:v>
                </c:pt>
                <c:pt idx="208">
                  <c:v>2.3744065754977686</c:v>
                </c:pt>
                <c:pt idx="209">
                  <c:v>2.3904674177472307</c:v>
                </c:pt>
                <c:pt idx="210">
                  <c:v>2.4065282599966937</c:v>
                </c:pt>
                <c:pt idx="211">
                  <c:v>2.426604312808522</c:v>
                </c:pt>
                <c:pt idx="212">
                  <c:v>2.4466803656203506</c:v>
                </c:pt>
                <c:pt idx="213">
                  <c:v>2.4667564184321784</c:v>
                </c:pt>
                <c:pt idx="214">
                  <c:v>2.4868324712440071</c:v>
                </c:pt>
                <c:pt idx="215">
                  <c:v>2.5069085240558353</c:v>
                </c:pt>
                <c:pt idx="216">
                  <c:v>2.5269845768676631</c:v>
                </c:pt>
                <c:pt idx="217">
                  <c:v>2.5470606296794922</c:v>
                </c:pt>
                <c:pt idx="218">
                  <c:v>2.56713668249132</c:v>
                </c:pt>
                <c:pt idx="219">
                  <c:v>2.5872127353031487</c:v>
                </c:pt>
                <c:pt idx="220">
                  <c:v>2.6072887881149769</c:v>
                </c:pt>
                <c:pt idx="221">
                  <c:v>2.6233496303644395</c:v>
                </c:pt>
                <c:pt idx="222">
                  <c:v>2.6394104726139025</c:v>
                </c:pt>
                <c:pt idx="223">
                  <c:v>2.6557075037199747</c:v>
                </c:pt>
                <c:pt idx="224">
                  <c:v>2.6757835565318033</c:v>
                </c:pt>
                <c:pt idx="225">
                  <c:v>2.6958596093436316</c:v>
                </c:pt>
                <c:pt idx="226">
                  <c:v>2.7159356621554598</c:v>
                </c:pt>
                <c:pt idx="227">
                  <c:v>2.736011714967288</c:v>
                </c:pt>
                <c:pt idx="228">
                  <c:v>2.752072557216751</c:v>
                </c:pt>
                <c:pt idx="229">
                  <c:v>2.7721486100285793</c:v>
                </c:pt>
                <c:pt idx="230">
                  <c:v>2.7922246628404075</c:v>
                </c:pt>
                <c:pt idx="231">
                  <c:v>2.8123007156522357</c:v>
                </c:pt>
                <c:pt idx="232">
                  <c:v>2.8323767684640644</c:v>
                </c:pt>
                <c:pt idx="233">
                  <c:v>2.8484376107135265</c:v>
                </c:pt>
                <c:pt idx="234">
                  <c:v>2.8685136635253552</c:v>
                </c:pt>
                <c:pt idx="235">
                  <c:v>2.8885897163371834</c:v>
                </c:pt>
                <c:pt idx="236">
                  <c:v>2.9046505585866464</c:v>
                </c:pt>
                <c:pt idx="237">
                  <c:v>2.9247266113984742</c:v>
                </c:pt>
                <c:pt idx="238">
                  <c:v>2.9407874536479373</c:v>
                </c:pt>
                <c:pt idx="239">
                  <c:v>2.9608635064597655</c:v>
                </c:pt>
                <c:pt idx="240">
                  <c:v>2.9809395592715937</c:v>
                </c:pt>
                <c:pt idx="241">
                  <c:v>2.9970004015210563</c:v>
                </c:pt>
                <c:pt idx="242">
                  <c:v>3.017076454332885</c:v>
                </c:pt>
                <c:pt idx="243">
                  <c:v>3.0331372965823471</c:v>
                </c:pt>
                <c:pt idx="244">
                  <c:v>3.0534495382507858</c:v>
                </c:pt>
                <c:pt idx="245">
                  <c:v>3.0695103805002488</c:v>
                </c:pt>
                <c:pt idx="246">
                  <c:v>3.0895864333120766</c:v>
                </c:pt>
                <c:pt idx="247">
                  <c:v>3.1176929072486361</c:v>
                </c:pt>
                <c:pt idx="248">
                  <c:v>3.1417841706228309</c:v>
                </c:pt>
                <c:pt idx="249">
                  <c:v>3.1698906445593904</c:v>
                </c:pt>
                <c:pt idx="250">
                  <c:v>3.1939819079335838</c:v>
                </c:pt>
                <c:pt idx="251">
                  <c:v>3.2220883818701438</c:v>
                </c:pt>
                <c:pt idx="252">
                  <c:v>3.2461796452443377</c:v>
                </c:pt>
                <c:pt idx="253">
                  <c:v>3.2742861191808972</c:v>
                </c:pt>
                <c:pt idx="254">
                  <c:v>3.2983773825550919</c:v>
                </c:pt>
                <c:pt idx="255">
                  <c:v>3.326483856491651</c:v>
                </c:pt>
                <c:pt idx="256">
                  <c:v>3.3505751198658453</c:v>
                </c:pt>
                <c:pt idx="257">
                  <c:v>3.3746663832400392</c:v>
                </c:pt>
                <c:pt idx="258">
                  <c:v>3.3987576466142331</c:v>
                </c:pt>
                <c:pt idx="259">
                  <c:v>3.4268641205507926</c:v>
                </c:pt>
                <c:pt idx="260">
                  <c:v>3.4509553839249874</c:v>
                </c:pt>
                <c:pt idx="261">
                  <c:v>3.4752828361557904</c:v>
                </c:pt>
                <c:pt idx="262">
                  <c:v>3.4993740995299842</c:v>
                </c:pt>
                <c:pt idx="263">
                  <c:v>3.523465362904179</c:v>
                </c:pt>
                <c:pt idx="264">
                  <c:v>3.5515718368407385</c:v>
                </c:pt>
                <c:pt idx="265">
                  <c:v>3.5756631002149319</c:v>
                </c:pt>
                <c:pt idx="266">
                  <c:v>3.5997543635891263</c:v>
                </c:pt>
                <c:pt idx="267">
                  <c:v>3.6238456269633201</c:v>
                </c:pt>
                <c:pt idx="268">
                  <c:v>3.6519521008998796</c:v>
                </c:pt>
                <c:pt idx="269">
                  <c:v>3.6760433642740735</c:v>
                </c:pt>
                <c:pt idx="270">
                  <c:v>3.7001346276482678</c:v>
                </c:pt>
                <c:pt idx="271">
                  <c:v>3.7282411015848274</c:v>
                </c:pt>
                <c:pt idx="272">
                  <c:v>3.7523323649590217</c:v>
                </c:pt>
                <c:pt idx="273">
                  <c:v>3.7764236283332151</c:v>
                </c:pt>
                <c:pt idx="274">
                  <c:v>3.8005148917074099</c:v>
                </c:pt>
                <c:pt idx="275">
                  <c:v>3.8246061550816037</c:v>
                </c:pt>
                <c:pt idx="276">
                  <c:v>3.8486974184557972</c:v>
                </c:pt>
                <c:pt idx="277">
                  <c:v>3.8730248706866015</c:v>
                </c:pt>
                <c:pt idx="278">
                  <c:v>3.8971161340607954</c:v>
                </c:pt>
                <c:pt idx="279">
                  <c:v>3.9212073974349893</c:v>
                </c:pt>
                <c:pt idx="280">
                  <c:v>3.9452986608091831</c:v>
                </c:pt>
                <c:pt idx="281">
                  <c:v>3.9734051347457426</c:v>
                </c:pt>
                <c:pt idx="282">
                  <c:v>3.997496398119937</c:v>
                </c:pt>
                <c:pt idx="283">
                  <c:v>4.0215876614941308</c:v>
                </c:pt>
                <c:pt idx="284">
                  <c:v>4.0456789248683247</c:v>
                </c:pt>
                <c:pt idx="285">
                  <c:v>4.0697701882425195</c:v>
                </c:pt>
                <c:pt idx="286">
                  <c:v>4.097876662179079</c:v>
                </c:pt>
                <c:pt idx="287">
                  <c:v>4.1219679255532728</c:v>
                </c:pt>
                <c:pt idx="288">
                  <c:v>4.1581048206145645</c:v>
                </c:pt>
                <c:pt idx="289">
                  <c:v>4.1902265051134888</c:v>
                </c:pt>
                <c:pt idx="290">
                  <c:v>4.2223481896124149</c:v>
                </c:pt>
                <c:pt idx="291">
                  <c:v>4.2584850846737057</c:v>
                </c:pt>
                <c:pt idx="292">
                  <c:v>4.2948581685916061</c:v>
                </c:pt>
                <c:pt idx="293">
                  <c:v>4.3269798530905312</c:v>
                </c:pt>
                <c:pt idx="294">
                  <c:v>4.363116748151822</c:v>
                </c:pt>
                <c:pt idx="295">
                  <c:v>4.3992536432131137</c:v>
                </c:pt>
                <c:pt idx="296">
                  <c:v>4.4313753277120398</c:v>
                </c:pt>
                <c:pt idx="297">
                  <c:v>4.4675122227733306</c:v>
                </c:pt>
                <c:pt idx="298">
                  <c:v>4.5036491178346214</c:v>
                </c:pt>
                <c:pt idx="299">
                  <c:v>4.5397860128959122</c:v>
                </c:pt>
                <c:pt idx="300">
                  <c:v>4.5759229079572039</c:v>
                </c:pt>
                <c:pt idx="301">
                  <c:v>4.6120598030184947</c:v>
                </c:pt>
                <c:pt idx="302">
                  <c:v>4.6481966980797855</c:v>
                </c:pt>
                <c:pt idx="303">
                  <c:v>4.6845697819976859</c:v>
                </c:pt>
                <c:pt idx="304">
                  <c:v>4.7207066770589767</c:v>
                </c:pt>
                <c:pt idx="305">
                  <c:v>4.7568435721202675</c:v>
                </c:pt>
                <c:pt idx="306">
                  <c:v>4.7929804671815583</c:v>
                </c:pt>
                <c:pt idx="307">
                  <c:v>4.82911736224285</c:v>
                </c:pt>
                <c:pt idx="308">
                  <c:v>4.8652542573041417</c:v>
                </c:pt>
                <c:pt idx="309">
                  <c:v>4.9054063629277973</c:v>
                </c:pt>
                <c:pt idx="310">
                  <c:v>4.941543257989089</c:v>
                </c:pt>
                <c:pt idx="311">
                  <c:v>4.9776801530503798</c:v>
                </c:pt>
                <c:pt idx="312">
                  <c:v>5.0138170481116706</c:v>
                </c:pt>
                <c:pt idx="313">
                  <c:v>5.0459387326105958</c:v>
                </c:pt>
                <c:pt idx="314">
                  <c:v>5.0863270270908627</c:v>
                </c:pt>
                <c:pt idx="315">
                  <c:v>5.1224639221521535</c:v>
                </c:pt>
                <c:pt idx="316">
                  <c:v>5.1545856066510787</c:v>
                </c:pt>
                <c:pt idx="317">
                  <c:v>5.194737712274736</c:v>
                </c:pt>
                <c:pt idx="318">
                  <c:v>5.2429202390231229</c:v>
                </c:pt>
                <c:pt idx="319">
                  <c:v>5.2911027657715115</c:v>
                </c:pt>
                <c:pt idx="320">
                  <c:v>5.3392852925198993</c:v>
                </c:pt>
                <c:pt idx="321">
                  <c:v>5.387467819268287</c:v>
                </c:pt>
                <c:pt idx="322">
                  <c:v>5.4356503460166756</c:v>
                </c:pt>
                <c:pt idx="323">
                  <c:v>5.4758024516403321</c:v>
                </c:pt>
                <c:pt idx="324">
                  <c:v>5.5242211672453294</c:v>
                </c:pt>
                <c:pt idx="325">
                  <c:v>5.5643732728689859</c:v>
                </c:pt>
                <c:pt idx="326">
                  <c:v>5.6045253784926432</c:v>
                </c:pt>
                <c:pt idx="327">
                  <c:v>5.6446774841162997</c:v>
                </c:pt>
                <c:pt idx="328">
                  <c:v>5.6888448003023226</c:v>
                </c:pt>
                <c:pt idx="329">
                  <c:v>5.7289969059259791</c:v>
                </c:pt>
                <c:pt idx="330">
                  <c:v>5.7691490115496356</c:v>
                </c:pt>
                <c:pt idx="331">
                  <c:v>5.8093011171732929</c:v>
                </c:pt>
                <c:pt idx="332">
                  <c:v>5.8494532227969485</c:v>
                </c:pt>
                <c:pt idx="333">
                  <c:v>5.8896053284206067</c:v>
                </c:pt>
                <c:pt idx="334">
                  <c:v>5.9340088334632375</c:v>
                </c:pt>
                <c:pt idx="335">
                  <c:v>5.9741609390868948</c:v>
                </c:pt>
                <c:pt idx="336">
                  <c:v>6.0143130447105504</c:v>
                </c:pt>
                <c:pt idx="337">
                  <c:v>6.0544651503342077</c:v>
                </c:pt>
                <c:pt idx="338">
                  <c:v>6.0986324665202289</c:v>
                </c:pt>
                <c:pt idx="339">
                  <c:v>6.1387845721438872</c:v>
                </c:pt>
                <c:pt idx="340">
                  <c:v>6.1789366777675436</c:v>
                </c:pt>
                <c:pt idx="341">
                  <c:v>6.231134415078297</c:v>
                </c:pt>
                <c:pt idx="342">
                  <c:v>6.2833321523890504</c:v>
                </c:pt>
                <c:pt idx="343">
                  <c:v>6.3357660785564143</c:v>
                </c:pt>
                <c:pt idx="344">
                  <c:v>6.3919790264295342</c:v>
                </c:pt>
                <c:pt idx="345">
                  <c:v>6.4441767637402876</c:v>
                </c:pt>
                <c:pt idx="346">
                  <c:v>6.5003897116134075</c:v>
                </c:pt>
                <c:pt idx="347">
                  <c:v>6.5525874489241609</c:v>
                </c:pt>
                <c:pt idx="348">
                  <c:v>6.6088003967972799</c:v>
                </c:pt>
                <c:pt idx="349">
                  <c:v>6.6609981341080333</c:v>
                </c:pt>
                <c:pt idx="350">
                  <c:v>6.7174472708377637</c:v>
                </c:pt>
                <c:pt idx="351">
                  <c:v>6.7736602187108828</c:v>
                </c:pt>
                <c:pt idx="352">
                  <c:v>6.8258579560216361</c:v>
                </c:pt>
                <c:pt idx="353">
                  <c:v>6.8820709038947552</c:v>
                </c:pt>
                <c:pt idx="354">
                  <c:v>6.9382838517678742</c:v>
                </c:pt>
                <c:pt idx="355">
                  <c:v>6.9944967996409932</c:v>
                </c:pt>
                <c:pt idx="356">
                  <c:v>7.0466945369517475</c:v>
                </c:pt>
                <c:pt idx="357">
                  <c:v>7.1029074848248666</c:v>
                </c:pt>
                <c:pt idx="358">
                  <c:v>7.1593566215545961</c:v>
                </c:pt>
                <c:pt idx="359">
                  <c:v>7.2155695694277151</c:v>
                </c:pt>
                <c:pt idx="360">
                  <c:v>7.2717825173008341</c:v>
                </c:pt>
                <c:pt idx="361">
                  <c:v>7.3279954651739532</c:v>
                </c:pt>
                <c:pt idx="362">
                  <c:v>7.3882236236094387</c:v>
                </c:pt>
                <c:pt idx="363">
                  <c:v>7.4444365714825578</c:v>
                </c:pt>
                <c:pt idx="364">
                  <c:v>7.5006495193556768</c:v>
                </c:pt>
                <c:pt idx="365">
                  <c:v>7.5611138666477729</c:v>
                </c:pt>
                <c:pt idx="366">
                  <c:v>7.6173268145208919</c:v>
                </c:pt>
                <c:pt idx="367">
                  <c:v>7.6775549729563775</c:v>
                </c:pt>
                <c:pt idx="368">
                  <c:v>7.7337679208294965</c:v>
                </c:pt>
                <c:pt idx="369">
                  <c:v>7.7939960792649821</c:v>
                </c:pt>
                <c:pt idx="370">
                  <c:v>7.8502090271381011</c:v>
                </c:pt>
                <c:pt idx="371">
                  <c:v>7.9104371855735867</c:v>
                </c:pt>
                <c:pt idx="372">
                  <c:v>7.9668863223033144</c:v>
                </c:pt>
                <c:pt idx="373">
                  <c:v>8.0230992701764343</c:v>
                </c:pt>
                <c:pt idx="374">
                  <c:v>8.0833274286119199</c:v>
                </c:pt>
                <c:pt idx="375">
                  <c:v>8.1435555870474055</c:v>
                </c:pt>
                <c:pt idx="376">
                  <c:v>8.2037837454828875</c:v>
                </c:pt>
                <c:pt idx="377">
                  <c:v>8.2599966933560101</c:v>
                </c:pt>
                <c:pt idx="378">
                  <c:v>8.3322704834785899</c:v>
                </c:pt>
                <c:pt idx="379">
                  <c:v>8.4007652518954163</c:v>
                </c:pt>
                <c:pt idx="380">
                  <c:v>8.473039042017998</c:v>
                </c:pt>
                <c:pt idx="381">
                  <c:v>8.5412976215782148</c:v>
                </c:pt>
                <c:pt idx="382">
                  <c:v>8.6135714117007964</c:v>
                </c:pt>
                <c:pt idx="383">
                  <c:v>8.6818299912610133</c:v>
                </c:pt>
                <c:pt idx="384">
                  <c:v>8.7543399702402045</c:v>
                </c:pt>
                <c:pt idx="385">
                  <c:v>8.8266137603627879</c:v>
                </c:pt>
                <c:pt idx="386">
                  <c:v>8.8988875504853695</c:v>
                </c:pt>
                <c:pt idx="387">
                  <c:v>8.9711613406079511</c:v>
                </c:pt>
                <c:pt idx="388">
                  <c:v>9.0354047096058014</c:v>
                </c:pt>
                <c:pt idx="389">
                  <c:v>9.1116937102907478</c:v>
                </c:pt>
                <c:pt idx="390">
                  <c:v>9.1842036892699408</c:v>
                </c:pt>
                <c:pt idx="391">
                  <c:v>9.2484470582677911</c:v>
                </c:pt>
                <c:pt idx="392">
                  <c:v>9.3247360589527393</c:v>
                </c:pt>
                <c:pt idx="393">
                  <c:v>9.3970098490753209</c:v>
                </c:pt>
                <c:pt idx="394">
                  <c:v>9.4732988497602673</c:v>
                </c:pt>
                <c:pt idx="395">
                  <c:v>9.5455726398828507</c:v>
                </c:pt>
                <c:pt idx="396">
                  <c:v>9.6261130399867749</c:v>
                </c:pt>
                <c:pt idx="397">
                  <c:v>9.7024020406717231</c:v>
                </c:pt>
                <c:pt idx="398">
                  <c:v>9.7786910413566694</c:v>
                </c:pt>
                <c:pt idx="399">
                  <c:v>9.8589952526039841</c:v>
                </c:pt>
                <c:pt idx="400">
                  <c:v>9.9352842532889305</c:v>
                </c:pt>
                <c:pt idx="401">
                  <c:v>10.011809442830488</c:v>
                </c:pt>
                <c:pt idx="402">
                  <c:v>10.092113654077801</c:v>
                </c:pt>
                <c:pt idx="403">
                  <c:v>10.172417865325116</c:v>
                </c:pt>
                <c:pt idx="404">
                  <c:v>10.248706866010062</c:v>
                </c:pt>
                <c:pt idx="405">
                  <c:v>10.329011077257377</c:v>
                </c:pt>
                <c:pt idx="406">
                  <c:v>10.409551477361299</c:v>
                </c:pt>
                <c:pt idx="407">
                  <c:v>10.489855688608612</c:v>
                </c:pt>
                <c:pt idx="408">
                  <c:v>10.570159899855925</c:v>
                </c:pt>
                <c:pt idx="409">
                  <c:v>10.650464111103238</c:v>
                </c:pt>
                <c:pt idx="410">
                  <c:v>10.730768322350553</c:v>
                </c:pt>
                <c:pt idx="411">
                  <c:v>10.811308722454475</c:v>
                </c:pt>
                <c:pt idx="412">
                  <c:v>10.891612933701788</c:v>
                </c:pt>
                <c:pt idx="413">
                  <c:v>10.983962776636201</c:v>
                </c:pt>
                <c:pt idx="414">
                  <c:v>11.07631261957061</c:v>
                </c:pt>
                <c:pt idx="415">
                  <c:v>11.156616830817923</c:v>
                </c:pt>
                <c:pt idx="416">
                  <c:v>11.249202862608943</c:v>
                </c:pt>
                <c:pt idx="417">
                  <c:v>11.337537494980987</c:v>
                </c:pt>
                <c:pt idx="418">
                  <c:v>11.429887337915398</c:v>
                </c:pt>
                <c:pt idx="419">
                  <c:v>11.526252391412175</c:v>
                </c:pt>
                <c:pt idx="420">
                  <c:v>11.618838423203195</c:v>
                </c:pt>
                <c:pt idx="421">
                  <c:v>11.711188266137604</c:v>
                </c:pt>
                <c:pt idx="422">
                  <c:v>11.803538109072015</c:v>
                </c:pt>
                <c:pt idx="423">
                  <c:v>11.899903162568791</c:v>
                </c:pt>
                <c:pt idx="424">
                  <c:v>11.992253005503201</c:v>
                </c:pt>
                <c:pt idx="425">
                  <c:v>12.084839037294222</c:v>
                </c:pt>
                <c:pt idx="426">
                  <c:v>12.181204090790999</c:v>
                </c:pt>
                <c:pt idx="427">
                  <c:v>12.273553933725408</c:v>
                </c:pt>
                <c:pt idx="428">
                  <c:v>12.369918987222185</c:v>
                </c:pt>
                <c:pt idx="429">
                  <c:v>12.46652022957557</c:v>
                </c:pt>
                <c:pt idx="430">
                  <c:v>12.562885283072346</c:v>
                </c:pt>
                <c:pt idx="431">
                  <c:v>12.671295968256219</c:v>
                </c:pt>
                <c:pt idx="432">
                  <c:v>12.767661021752996</c:v>
                </c:pt>
                <c:pt idx="433">
                  <c:v>12.86426226410638</c:v>
                </c:pt>
                <c:pt idx="434">
                  <c:v>12.960627317603159</c:v>
                </c:pt>
                <c:pt idx="435">
                  <c:v>13.056992371099934</c:v>
                </c:pt>
                <c:pt idx="436">
                  <c:v>13.165403056283806</c:v>
                </c:pt>
                <c:pt idx="437">
                  <c:v>13.262004298637191</c:v>
                </c:pt>
                <c:pt idx="438">
                  <c:v>13.35836935213397</c:v>
                </c:pt>
                <c:pt idx="439">
                  <c:v>13.45874961619311</c:v>
                </c:pt>
                <c:pt idx="440">
                  <c:v>13.571175511939348</c:v>
                </c:pt>
                <c:pt idx="441">
                  <c:v>13.683837596542196</c:v>
                </c:pt>
                <c:pt idx="442">
                  <c:v>13.8002787028508</c:v>
                </c:pt>
                <c:pt idx="443">
                  <c:v>13.912704598597038</c:v>
                </c:pt>
                <c:pt idx="444">
                  <c:v>14.029381893762253</c:v>
                </c:pt>
                <c:pt idx="445">
                  <c:v>14.145823000070857</c:v>
                </c:pt>
                <c:pt idx="446">
                  <c:v>14.262264106379462</c:v>
                </c:pt>
                <c:pt idx="447">
                  <c:v>14.366659581000969</c:v>
                </c:pt>
                <c:pt idx="448">
                  <c:v>14.471291244479088</c:v>
                </c:pt>
                <c:pt idx="449">
                  <c:v>14.591747561350054</c:v>
                </c:pt>
                <c:pt idx="450">
                  <c:v>14.712203878221025</c:v>
                </c:pt>
                <c:pt idx="451">
                  <c:v>14.828644984529634</c:v>
                </c:pt>
                <c:pt idx="452">
                  <c:v>14.949337490257212</c:v>
                </c:pt>
                <c:pt idx="453">
                  <c:v>15.065778596565817</c:v>
                </c:pt>
                <c:pt idx="454">
                  <c:v>15.186234913436785</c:v>
                </c:pt>
                <c:pt idx="455">
                  <c:v>15.306927419164367</c:v>
                </c:pt>
                <c:pt idx="456">
                  <c:v>15.427383736035335</c:v>
                </c:pt>
                <c:pt idx="457">
                  <c:v>15.551855263468672</c:v>
                </c:pt>
                <c:pt idx="458">
                  <c:v>15.67254776919625</c:v>
                </c:pt>
                <c:pt idx="459">
                  <c:v>15.793004086067221</c:v>
                </c:pt>
                <c:pt idx="460">
                  <c:v>15.925506034625288</c:v>
                </c:pt>
                <c:pt idx="461">
                  <c:v>16.045962351496257</c:v>
                </c:pt>
                <c:pt idx="462">
                  <c:v>16.16665485722384</c:v>
                </c:pt>
                <c:pt idx="463">
                  <c:v>16.287111174094811</c:v>
                </c:pt>
                <c:pt idx="464">
                  <c:v>16.411582701528143</c:v>
                </c:pt>
                <c:pt idx="465">
                  <c:v>16.532275207255726</c:v>
                </c:pt>
                <c:pt idx="466">
                  <c:v>16.668792366376156</c:v>
                </c:pt>
                <c:pt idx="467">
                  <c:v>16.805309525496586</c:v>
                </c:pt>
                <c:pt idx="468">
                  <c:v>16.942062873473628</c:v>
                </c:pt>
                <c:pt idx="469">
                  <c:v>17.078580032594065</c:v>
                </c:pt>
                <c:pt idx="470">
                  <c:v>17.215097191714495</c:v>
                </c:pt>
                <c:pt idx="471">
                  <c:v>17.355865750253905</c:v>
                </c:pt>
                <c:pt idx="472">
                  <c:v>17.492382909374339</c:v>
                </c:pt>
                <c:pt idx="473">
                  <c:v>17.628900068494772</c:v>
                </c:pt>
                <c:pt idx="474">
                  <c:v>17.765653416471814</c:v>
                </c:pt>
                <c:pt idx="475">
                  <c:v>17.906185786154609</c:v>
                </c:pt>
                <c:pt idx="476">
                  <c:v>18.042702945275042</c:v>
                </c:pt>
                <c:pt idx="477">
                  <c:v>18.179456293252088</c:v>
                </c:pt>
                <c:pt idx="478">
                  <c:v>18.319988662934886</c:v>
                </c:pt>
                <c:pt idx="479">
                  <c:v>18.460521032617685</c:v>
                </c:pt>
                <c:pt idx="480">
                  <c:v>18.597274380594726</c:v>
                </c:pt>
                <c:pt idx="481">
                  <c:v>18.749852381964619</c:v>
                </c:pt>
                <c:pt idx="482">
                  <c:v>18.90644559389688</c:v>
                </c:pt>
                <c:pt idx="483">
                  <c:v>19.059259784123388</c:v>
                </c:pt>
                <c:pt idx="484">
                  <c:v>19.215852996055649</c:v>
                </c:pt>
                <c:pt idx="485">
                  <c:v>19.372682396844521</c:v>
                </c:pt>
                <c:pt idx="486">
                  <c:v>19.529275608776782</c:v>
                </c:pt>
                <c:pt idx="487">
                  <c:v>19.673823189021945</c:v>
                </c:pt>
                <c:pt idx="488">
                  <c:v>19.830652589810814</c:v>
                </c:pt>
                <c:pt idx="489">
                  <c:v>19.991261012305444</c:v>
                </c:pt>
                <c:pt idx="490">
                  <c:v>20.152105623656681</c:v>
                </c:pt>
                <c:pt idx="491">
                  <c:v>20.316729256713675</c:v>
                </c:pt>
                <c:pt idx="492">
                  <c:v>20.485368100333027</c:v>
                </c:pt>
                <c:pt idx="493">
                  <c:v>20.650227922246629</c:v>
                </c:pt>
                <c:pt idx="494">
                  <c:v>20.814851555303623</c:v>
                </c:pt>
                <c:pt idx="495">
                  <c:v>20.979711377217225</c:v>
                </c:pt>
                <c:pt idx="496">
                  <c:v>21.144335010274215</c:v>
                </c:pt>
                <c:pt idx="497">
                  <c:v>21.308958643331213</c:v>
                </c:pt>
                <c:pt idx="498">
                  <c:v>21.473818465244811</c:v>
                </c:pt>
                <c:pt idx="499">
                  <c:v>21.642457308864174</c:v>
                </c:pt>
                <c:pt idx="500">
                  <c:v>21.823377973027238</c:v>
                </c:pt>
                <c:pt idx="501">
                  <c:v>22.004062448333688</c:v>
                </c:pt>
                <c:pt idx="502">
                  <c:v>22.184983112496752</c:v>
                </c:pt>
                <c:pt idx="503">
                  <c:v>22.357637166678479</c:v>
                </c:pt>
                <c:pt idx="504">
                  <c:v>22.538321641984933</c:v>
                </c:pt>
                <c:pt idx="505">
                  <c:v>22.711211885023271</c:v>
                </c:pt>
                <c:pt idx="506">
                  <c:v>22.887881149767352</c:v>
                </c:pt>
                <c:pt idx="507">
                  <c:v>23.064786603368056</c:v>
                </c:pt>
                <c:pt idx="508">
                  <c:v>23.241455868112144</c:v>
                </c:pt>
                <c:pt idx="509">
                  <c:v>23.418361321712844</c:v>
                </c:pt>
                <c:pt idx="510">
                  <c:v>23.599045797019301</c:v>
                </c:pt>
                <c:pt idx="511">
                  <c:v>23.774770306336951</c:v>
                </c:pt>
                <c:pt idx="512">
                  <c:v>23.973168945889135</c:v>
                </c:pt>
                <c:pt idx="513">
                  <c:v>24.16920569687522</c:v>
                </c:pt>
                <c:pt idx="514">
                  <c:v>24.362880559295213</c:v>
                </c:pt>
                <c:pt idx="515">
                  <c:v>24.558917310281302</c:v>
                </c:pt>
                <c:pt idx="516">
                  <c:v>24.754954061267391</c:v>
                </c:pt>
                <c:pt idx="517">
                  <c:v>24.958076477951771</c:v>
                </c:pt>
                <c:pt idx="518">
                  <c:v>25.158837006070058</c:v>
                </c:pt>
                <c:pt idx="519">
                  <c:v>25.354873757056144</c:v>
                </c:pt>
                <c:pt idx="520">
                  <c:v>25.550910508042232</c:v>
                </c:pt>
                <c:pt idx="521">
                  <c:v>25.751671036160513</c:v>
                </c:pt>
                <c:pt idx="522">
                  <c:v>25.957155341410996</c:v>
                </c:pt>
                <c:pt idx="523">
                  <c:v>26.169725312359766</c:v>
                </c:pt>
                <c:pt idx="524">
                  <c:v>26.379933394742441</c:v>
                </c:pt>
                <c:pt idx="525">
                  <c:v>26.583055811426817</c:v>
                </c:pt>
                <c:pt idx="526">
                  <c:v>26.793263893809495</c:v>
                </c:pt>
                <c:pt idx="527">
                  <c:v>27.017643307588752</c:v>
                </c:pt>
                <c:pt idx="528">
                  <c:v>27.242022721368013</c:v>
                </c:pt>
                <c:pt idx="529">
                  <c:v>27.468764023713366</c:v>
                </c:pt>
                <c:pt idx="530">
                  <c:v>27.693143437492619</c:v>
                </c:pt>
                <c:pt idx="531">
                  <c:v>27.912799074139684</c:v>
                </c:pt>
                <c:pt idx="532">
                  <c:v>28.134816599352849</c:v>
                </c:pt>
                <c:pt idx="533">
                  <c:v>28.359196013132102</c:v>
                </c:pt>
                <c:pt idx="534">
                  <c:v>28.581213538345263</c:v>
                </c:pt>
                <c:pt idx="535">
                  <c:v>28.800869174992329</c:v>
                </c:pt>
                <c:pt idx="536">
                  <c:v>29.039419920168168</c:v>
                </c:pt>
                <c:pt idx="537">
                  <c:v>29.275608776777915</c:v>
                </c:pt>
                <c:pt idx="538">
                  <c:v>29.499988190557175</c:v>
                </c:pt>
                <c:pt idx="539">
                  <c:v>29.740900824299111</c:v>
                </c:pt>
                <c:pt idx="540">
                  <c:v>29.979451569474953</c:v>
                </c:pt>
                <c:pt idx="541">
                  <c:v>30.220364203216896</c:v>
                </c:pt>
                <c:pt idx="542">
                  <c:v>30.456553059826643</c:v>
                </c:pt>
                <c:pt idx="543">
                  <c:v>30.695103805002482</c:v>
                </c:pt>
                <c:pt idx="544">
                  <c:v>30.931292661612229</c:v>
                </c:pt>
                <c:pt idx="545">
                  <c:v>31.184014738184654</c:v>
                </c:pt>
                <c:pt idx="546">
                  <c:v>31.424927371926593</c:v>
                </c:pt>
                <c:pt idx="547">
                  <c:v>31.665840005668535</c:v>
                </c:pt>
                <c:pt idx="548">
                  <c:v>31.906752639410477</c:v>
                </c:pt>
                <c:pt idx="549">
                  <c:v>32.168922270247293</c:v>
                </c:pt>
                <c:pt idx="550">
                  <c:v>32.42873001251801</c:v>
                </c:pt>
                <c:pt idx="551">
                  <c:v>32.679090200524342</c:v>
                </c:pt>
                <c:pt idx="552">
                  <c:v>32.938897942795059</c:v>
                </c:pt>
                <c:pt idx="553">
                  <c:v>33.205791350764081</c:v>
                </c:pt>
                <c:pt idx="554">
                  <c:v>33.465599093034797</c:v>
                </c:pt>
                <c:pt idx="555">
                  <c:v>33.727768723871613</c:v>
                </c:pt>
                <c:pt idx="556">
                  <c:v>33.985214577576237</c:v>
                </c:pt>
                <c:pt idx="557">
                  <c:v>34.261555539809635</c:v>
                </c:pt>
                <c:pt idx="558">
                  <c:v>34.530810836344742</c:v>
                </c:pt>
                <c:pt idx="559">
                  <c:v>34.800066132879856</c:v>
                </c:pt>
                <c:pt idx="560">
                  <c:v>35.069321429414963</c:v>
                </c:pt>
                <c:pt idx="561">
                  <c:v>35.343300503082268</c:v>
                </c:pt>
                <c:pt idx="562">
                  <c:v>35.626727131013965</c:v>
                </c:pt>
                <c:pt idx="563">
                  <c:v>35.907791870379562</c:v>
                </c:pt>
                <c:pt idx="564">
                  <c:v>36.191218498311251</c:v>
                </c:pt>
                <c:pt idx="565">
                  <c:v>36.47464512624294</c:v>
                </c:pt>
                <c:pt idx="566">
                  <c:v>36.765157419872935</c:v>
                </c:pt>
                <c:pt idx="567">
                  <c:v>37.046222159238532</c:v>
                </c:pt>
                <c:pt idx="568">
                  <c:v>37.343820118566811</c:v>
                </c:pt>
                <c:pt idx="569">
                  <c:v>37.643779966461182</c:v>
                </c:pt>
                <c:pt idx="570">
                  <c:v>37.934292260091169</c:v>
                </c:pt>
                <c:pt idx="571">
                  <c:v>38.222442665155057</c:v>
                </c:pt>
                <c:pt idx="572">
                  <c:v>38.531850067313826</c:v>
                </c:pt>
                <c:pt idx="573">
                  <c:v>38.836533692340396</c:v>
                </c:pt>
                <c:pt idx="574">
                  <c:v>39.145941094499172</c:v>
                </c:pt>
                <c:pt idx="575">
                  <c:v>39.455348496657933</c:v>
                </c:pt>
                <c:pt idx="576">
                  <c:v>39.762394010250595</c:v>
                </c:pt>
                <c:pt idx="577">
                  <c:v>40.067077635277172</c:v>
                </c:pt>
                <c:pt idx="578">
                  <c:v>40.383570703134232</c:v>
                </c:pt>
                <c:pt idx="579">
                  <c:v>40.702425659557385</c:v>
                </c:pt>
                <c:pt idx="580">
                  <c:v>41.014194950282253</c:v>
                </c:pt>
                <c:pt idx="581">
                  <c:v>41.335411795271504</c:v>
                </c:pt>
                <c:pt idx="582">
                  <c:v>41.666076194525147</c:v>
                </c:pt>
                <c:pt idx="583">
                  <c:v>41.999102482344888</c:v>
                </c:pt>
                <c:pt idx="584">
                  <c:v>42.32976688159853</c:v>
                </c:pt>
                <c:pt idx="585">
                  <c:v>42.669878835116556</c:v>
                </c:pt>
                <c:pt idx="586">
                  <c:v>43.000543234370198</c:v>
                </c:pt>
                <c:pt idx="587">
                  <c:v>43.340655187888245</c:v>
                </c:pt>
                <c:pt idx="588">
                  <c:v>43.678405252840179</c:v>
                </c:pt>
                <c:pt idx="589">
                  <c:v>44.020879094924311</c:v>
                </c:pt>
                <c:pt idx="590">
                  <c:v>44.360991048442344</c:v>
                </c:pt>
                <c:pt idx="591">
                  <c:v>44.715274333356959</c:v>
                </c:pt>
                <c:pt idx="592">
                  <c:v>45.060110064007183</c:v>
                </c:pt>
                <c:pt idx="593">
                  <c:v>45.414393348921799</c:v>
                </c:pt>
                <c:pt idx="594">
                  <c:v>45.77103852240252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A-4629-8618-44230628A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982111"/>
        <c:axId val="920987871"/>
      </c:lineChart>
      <c:catAx>
        <c:axId val="92098211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987871"/>
        <c:crosses val="autoZero"/>
        <c:auto val="1"/>
        <c:lblAlgn val="ctr"/>
        <c:lblOffset val="100"/>
        <c:noMultiLvlLbl val="0"/>
      </c:catAx>
      <c:valAx>
        <c:axId val="92098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98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'A22-3'!$C$2:$C$600</c:f>
              <c:numCache>
                <c:formatCode>0.00</c:formatCode>
                <c:ptCount val="599"/>
                <c:pt idx="0">
                  <c:v>1.0608599999999999E-4</c:v>
                </c:pt>
                <c:pt idx="1">
                  <c:v>8.6376000000000005E-3</c:v>
                </c:pt>
                <c:pt idx="2">
                  <c:v>8.7195999999999992E-3</c:v>
                </c:pt>
                <c:pt idx="3">
                  <c:v>8.8032000000000006E-3</c:v>
                </c:pt>
                <c:pt idx="4">
                  <c:v>8.8890000000000011E-3</c:v>
                </c:pt>
                <c:pt idx="5">
                  <c:v>8.972599999999999E-3</c:v>
                </c:pt>
                <c:pt idx="6">
                  <c:v>9.0546000000000012E-3</c:v>
                </c:pt>
                <c:pt idx="7">
                  <c:v>9.1363999999999994E-3</c:v>
                </c:pt>
                <c:pt idx="8">
                  <c:v>9.2201999999999996E-3</c:v>
                </c:pt>
                <c:pt idx="9">
                  <c:v>9.3039999999999998E-3</c:v>
                </c:pt>
                <c:pt idx="10">
                  <c:v>9.3876000000000012E-3</c:v>
                </c:pt>
                <c:pt idx="11">
                  <c:v>9.4713999999999996E-3</c:v>
                </c:pt>
                <c:pt idx="12">
                  <c:v>9.5534000000000001E-3</c:v>
                </c:pt>
                <c:pt idx="13">
                  <c:v>9.6369999999999997E-3</c:v>
                </c:pt>
                <c:pt idx="14">
                  <c:v>9.7207999999999999E-3</c:v>
                </c:pt>
                <c:pt idx="15">
                  <c:v>9.8046000000000001E-3</c:v>
                </c:pt>
                <c:pt idx="16">
                  <c:v>9.8884000000000003E-3</c:v>
                </c:pt>
                <c:pt idx="17">
                  <c:v>9.972E-3</c:v>
                </c:pt>
                <c:pt idx="18">
                  <c:v>1.0052200000000001E-2</c:v>
                </c:pt>
                <c:pt idx="19">
                  <c:v>1.0137799999999999E-2</c:v>
                </c:pt>
                <c:pt idx="20">
                  <c:v>1.02214E-2</c:v>
                </c:pt>
                <c:pt idx="21">
                  <c:v>1.03052E-2</c:v>
                </c:pt>
                <c:pt idx="22">
                  <c:v>1.0387200000000001E-2</c:v>
                </c:pt>
                <c:pt idx="23">
                  <c:v>1.0470800000000001E-2</c:v>
                </c:pt>
                <c:pt idx="24">
                  <c:v>1.0554600000000001E-2</c:v>
                </c:pt>
                <c:pt idx="25">
                  <c:v>1.0638399999999999E-2</c:v>
                </c:pt>
                <c:pt idx="26">
                  <c:v>1.0720199999999999E-2</c:v>
                </c:pt>
                <c:pt idx="27">
                  <c:v>1.0804000000000001E-2</c:v>
                </c:pt>
                <c:pt idx="28">
                  <c:v>1.0887800000000001E-2</c:v>
                </c:pt>
                <c:pt idx="29">
                  <c:v>1.0997600000000001E-2</c:v>
                </c:pt>
                <c:pt idx="30">
                  <c:v>1.11092E-2</c:v>
                </c:pt>
                <c:pt idx="31">
                  <c:v>1.1221000000000002E-2</c:v>
                </c:pt>
                <c:pt idx="32">
                  <c:v>1.13326E-2</c:v>
                </c:pt>
                <c:pt idx="33">
                  <c:v>1.1442399999999998E-2</c:v>
                </c:pt>
                <c:pt idx="34">
                  <c:v>1.1554E-2</c:v>
                </c:pt>
                <c:pt idx="35">
                  <c:v>1.1665799999999999E-2</c:v>
                </c:pt>
                <c:pt idx="36">
                  <c:v>1.17774E-2</c:v>
                </c:pt>
                <c:pt idx="37">
                  <c:v>1.1887200000000001E-2</c:v>
                </c:pt>
                <c:pt idx="38">
                  <c:v>1.19988E-2</c:v>
                </c:pt>
                <c:pt idx="39">
                  <c:v>1.2108799999999999E-2</c:v>
                </c:pt>
                <c:pt idx="40">
                  <c:v>1.22186E-2</c:v>
                </c:pt>
                <c:pt idx="41">
                  <c:v>1.2332000000000001E-2</c:v>
                </c:pt>
                <c:pt idx="42">
                  <c:v>1.2441800000000001E-2</c:v>
                </c:pt>
                <c:pt idx="43">
                  <c:v>1.25536E-2</c:v>
                </c:pt>
                <c:pt idx="44">
                  <c:v>1.2665200000000001E-2</c:v>
                </c:pt>
                <c:pt idx="45">
                  <c:v>1.27768E-2</c:v>
                </c:pt>
                <c:pt idx="46">
                  <c:v>1.2888599999999998E-2</c:v>
                </c:pt>
                <c:pt idx="47">
                  <c:v>1.29984E-2</c:v>
                </c:pt>
                <c:pt idx="48">
                  <c:v>1.311E-2</c:v>
                </c:pt>
                <c:pt idx="49">
                  <c:v>1.32216E-2</c:v>
                </c:pt>
                <c:pt idx="50">
                  <c:v>1.33334E-2</c:v>
                </c:pt>
                <c:pt idx="51">
                  <c:v>1.3443199999999999E-2</c:v>
                </c:pt>
                <c:pt idx="52">
                  <c:v>1.3554800000000001E-2</c:v>
                </c:pt>
                <c:pt idx="53">
                  <c:v>1.3664600000000001E-2</c:v>
                </c:pt>
                <c:pt idx="54">
                  <c:v>1.3774399999999999E-2</c:v>
                </c:pt>
                <c:pt idx="55">
                  <c:v>1.3888000000000001E-2</c:v>
                </c:pt>
                <c:pt idx="56">
                  <c:v>1.3997799999999999E-2</c:v>
                </c:pt>
                <c:pt idx="57">
                  <c:v>1.4109400000000001E-2</c:v>
                </c:pt>
                <c:pt idx="58">
                  <c:v>1.42212E-2</c:v>
                </c:pt>
                <c:pt idx="59">
                  <c:v>1.4332800000000001E-2</c:v>
                </c:pt>
                <c:pt idx="60">
                  <c:v>1.44706E-2</c:v>
                </c:pt>
                <c:pt idx="61">
                  <c:v>1.45822E-2</c:v>
                </c:pt>
                <c:pt idx="62">
                  <c:v>1.472E-2</c:v>
                </c:pt>
                <c:pt idx="63">
                  <c:v>1.4859599999999999E-2</c:v>
                </c:pt>
                <c:pt idx="64">
                  <c:v>1.4997199999999999E-2</c:v>
                </c:pt>
                <c:pt idx="65">
                  <c:v>1.5136799999999999E-2</c:v>
                </c:pt>
                <c:pt idx="66">
                  <c:v>1.5276400000000001E-2</c:v>
                </c:pt>
                <c:pt idx="67">
                  <c:v>1.5416000000000001E-2</c:v>
                </c:pt>
                <c:pt idx="68">
                  <c:v>1.55538E-2</c:v>
                </c:pt>
                <c:pt idx="69">
                  <c:v>1.56934E-2</c:v>
                </c:pt>
                <c:pt idx="70">
                  <c:v>1.5830999999999998E-2</c:v>
                </c:pt>
                <c:pt idx="71">
                  <c:v>1.5970599999999998E-2</c:v>
                </c:pt>
                <c:pt idx="72">
                  <c:v>1.6110199999999998E-2</c:v>
                </c:pt>
                <c:pt idx="73">
                  <c:v>1.6247999999999999E-2</c:v>
                </c:pt>
                <c:pt idx="74">
                  <c:v>1.6389400000000002E-2</c:v>
                </c:pt>
                <c:pt idx="75">
                  <c:v>1.6527199999999999E-2</c:v>
                </c:pt>
                <c:pt idx="76">
                  <c:v>1.66648E-2</c:v>
                </c:pt>
                <c:pt idx="77">
                  <c:v>1.6804400000000001E-2</c:v>
                </c:pt>
                <c:pt idx="78">
                  <c:v>1.6944000000000001E-2</c:v>
                </c:pt>
                <c:pt idx="79">
                  <c:v>1.7081800000000001E-2</c:v>
                </c:pt>
                <c:pt idx="80">
                  <c:v>1.7221400000000001E-2</c:v>
                </c:pt>
                <c:pt idx="81">
                  <c:v>1.7361000000000001E-2</c:v>
                </c:pt>
                <c:pt idx="82">
                  <c:v>1.74968E-2</c:v>
                </c:pt>
                <c:pt idx="83">
                  <c:v>1.76382E-2</c:v>
                </c:pt>
                <c:pt idx="84">
                  <c:v>1.7776E-2</c:v>
                </c:pt>
                <c:pt idx="85">
                  <c:v>1.79156E-2</c:v>
                </c:pt>
                <c:pt idx="86">
                  <c:v>1.80552E-2</c:v>
                </c:pt>
                <c:pt idx="87">
                  <c:v>1.8220799999999999E-2</c:v>
                </c:pt>
                <c:pt idx="88">
                  <c:v>1.8360399999999999E-2</c:v>
                </c:pt>
                <c:pt idx="89">
                  <c:v>1.8526000000000001E-2</c:v>
                </c:pt>
                <c:pt idx="90">
                  <c:v>1.8665600000000001E-2</c:v>
                </c:pt>
                <c:pt idx="91">
                  <c:v>1.8805200000000001E-2</c:v>
                </c:pt>
                <c:pt idx="92">
                  <c:v>1.8970799999999999E-2</c:v>
                </c:pt>
                <c:pt idx="93">
                  <c:v>1.91104E-2</c:v>
                </c:pt>
                <c:pt idx="94">
                  <c:v>1.92482E-2</c:v>
                </c:pt>
                <c:pt idx="95">
                  <c:v>1.93878E-2</c:v>
                </c:pt>
                <c:pt idx="96">
                  <c:v>1.9527200000000002E-2</c:v>
                </c:pt>
                <c:pt idx="97">
                  <c:v>1.9663200000000002E-2</c:v>
                </c:pt>
                <c:pt idx="98">
                  <c:v>1.9774799999999999E-2</c:v>
                </c:pt>
                <c:pt idx="99">
                  <c:v>1.9916199999999998E-2</c:v>
                </c:pt>
                <c:pt idx="100">
                  <c:v>2.0055999999999997E-2</c:v>
                </c:pt>
                <c:pt idx="101">
                  <c:v>2.0166E-2</c:v>
                </c:pt>
                <c:pt idx="102">
                  <c:v>2.0304000000000003E-2</c:v>
                </c:pt>
                <c:pt idx="103">
                  <c:v>2.0442000000000002E-2</c:v>
                </c:pt>
                <c:pt idx="104">
                  <c:v>2.0554000000000003E-2</c:v>
                </c:pt>
                <c:pt idx="105">
                  <c:v>2.0691999999999999E-2</c:v>
                </c:pt>
                <c:pt idx="106">
                  <c:v>2.0804E-2</c:v>
                </c:pt>
                <c:pt idx="107">
                  <c:v>2.0943999999999997E-2</c:v>
                </c:pt>
                <c:pt idx="108">
                  <c:v>2.1084000000000002E-2</c:v>
                </c:pt>
                <c:pt idx="109">
                  <c:v>2.1194000000000001E-2</c:v>
                </c:pt>
                <c:pt idx="110">
                  <c:v>2.1330000000000002E-2</c:v>
                </c:pt>
                <c:pt idx="111">
                  <c:v>2.1442000000000003E-2</c:v>
                </c:pt>
                <c:pt idx="112">
                  <c:v>2.1582E-2</c:v>
                </c:pt>
                <c:pt idx="113">
                  <c:v>2.1694000000000001E-2</c:v>
                </c:pt>
                <c:pt idx="114">
                  <c:v>2.1806000000000002E-2</c:v>
                </c:pt>
                <c:pt idx="115">
                  <c:v>2.1943999999999998E-2</c:v>
                </c:pt>
                <c:pt idx="116">
                  <c:v>2.2054000000000001E-2</c:v>
                </c:pt>
                <c:pt idx="117">
                  <c:v>2.2164000000000003E-2</c:v>
                </c:pt>
                <c:pt idx="118">
                  <c:v>2.2275999999999997E-2</c:v>
                </c:pt>
                <c:pt idx="119">
                  <c:v>2.2387999999999998E-2</c:v>
                </c:pt>
                <c:pt idx="120">
                  <c:v>2.2499999999999999E-2</c:v>
                </c:pt>
                <c:pt idx="121">
                  <c:v>2.2610000000000002E-2</c:v>
                </c:pt>
                <c:pt idx="122">
                  <c:v>2.2722000000000003E-2</c:v>
                </c:pt>
                <c:pt idx="123">
                  <c:v>2.2831999999999998E-2</c:v>
                </c:pt>
                <c:pt idx="124">
                  <c:v>2.2943999999999999E-2</c:v>
                </c:pt>
                <c:pt idx="125">
                  <c:v>2.3054000000000002E-2</c:v>
                </c:pt>
                <c:pt idx="126">
                  <c:v>2.3166000000000003E-2</c:v>
                </c:pt>
                <c:pt idx="127">
                  <c:v>2.3275999999999998E-2</c:v>
                </c:pt>
                <c:pt idx="128">
                  <c:v>2.3386000000000001E-2</c:v>
                </c:pt>
                <c:pt idx="129">
                  <c:v>2.3498000000000002E-2</c:v>
                </c:pt>
                <c:pt idx="130">
                  <c:v>2.3607999999999997E-2</c:v>
                </c:pt>
                <c:pt idx="131">
                  <c:v>2.3719999999999998E-2</c:v>
                </c:pt>
                <c:pt idx="132">
                  <c:v>2.3831999999999999E-2</c:v>
                </c:pt>
                <c:pt idx="133">
                  <c:v>2.3916E-2</c:v>
                </c:pt>
                <c:pt idx="134">
                  <c:v>2.4026000000000002E-2</c:v>
                </c:pt>
                <c:pt idx="135">
                  <c:v>2.4109999999999999E-2</c:v>
                </c:pt>
                <c:pt idx="136">
                  <c:v>2.4222E-2</c:v>
                </c:pt>
                <c:pt idx="137">
                  <c:v>2.4304000000000003E-2</c:v>
                </c:pt>
                <c:pt idx="138">
                  <c:v>2.4413999999999998E-2</c:v>
                </c:pt>
                <c:pt idx="139">
                  <c:v>2.4525999999999999E-2</c:v>
                </c:pt>
                <c:pt idx="140">
                  <c:v>2.4636000000000002E-2</c:v>
                </c:pt>
                <c:pt idx="141">
                  <c:v>2.4748000000000003E-2</c:v>
                </c:pt>
                <c:pt idx="142">
                  <c:v>2.4832E-2</c:v>
                </c:pt>
                <c:pt idx="143">
                  <c:v>2.4916000000000001E-2</c:v>
                </c:pt>
                <c:pt idx="144">
                  <c:v>2.5000000000000001E-2</c:v>
                </c:pt>
                <c:pt idx="145">
                  <c:v>2.5108000000000002E-2</c:v>
                </c:pt>
                <c:pt idx="146">
                  <c:v>2.5219999999999999E-2</c:v>
                </c:pt>
                <c:pt idx="147">
                  <c:v>2.5304000000000004E-2</c:v>
                </c:pt>
                <c:pt idx="148">
                  <c:v>2.5388000000000001E-2</c:v>
                </c:pt>
                <c:pt idx="149">
                  <c:v>2.5470000000000003E-2</c:v>
                </c:pt>
                <c:pt idx="150">
                  <c:v>2.5552000000000002E-2</c:v>
                </c:pt>
                <c:pt idx="151">
                  <c:v>2.5638000000000001E-2</c:v>
                </c:pt>
                <c:pt idx="152">
                  <c:v>2.5722000000000002E-2</c:v>
                </c:pt>
                <c:pt idx="153">
                  <c:v>2.5804000000000001E-2</c:v>
                </c:pt>
                <c:pt idx="154">
                  <c:v>2.5885999999999999E-2</c:v>
                </c:pt>
                <c:pt idx="155">
                  <c:v>2.597E-2</c:v>
                </c:pt>
                <c:pt idx="156">
                  <c:v>2.6054000000000001E-2</c:v>
                </c:pt>
                <c:pt idx="157">
                  <c:v>2.6137999999999998E-2</c:v>
                </c:pt>
                <c:pt idx="158">
                  <c:v>2.6221999999999999E-2</c:v>
                </c:pt>
                <c:pt idx="159">
                  <c:v>2.6303999999999998E-2</c:v>
                </c:pt>
                <c:pt idx="160">
                  <c:v>2.6387999999999998E-2</c:v>
                </c:pt>
                <c:pt idx="161">
                  <c:v>2.6472000000000002E-2</c:v>
                </c:pt>
                <c:pt idx="162">
                  <c:v>2.6556000000000003E-2</c:v>
                </c:pt>
                <c:pt idx="163">
                  <c:v>2.6636000000000003E-2</c:v>
                </c:pt>
                <c:pt idx="164">
                  <c:v>2.6720000000000001E-2</c:v>
                </c:pt>
                <c:pt idx="165">
                  <c:v>2.6802000000000003E-2</c:v>
                </c:pt>
                <c:pt idx="166">
                  <c:v>2.6888000000000002E-2</c:v>
                </c:pt>
                <c:pt idx="167">
                  <c:v>2.6971999999999999E-2</c:v>
                </c:pt>
                <c:pt idx="168">
                  <c:v>2.7054000000000002E-2</c:v>
                </c:pt>
                <c:pt idx="169">
                  <c:v>2.7137999999999999E-2</c:v>
                </c:pt>
                <c:pt idx="170">
                  <c:v>2.7220000000000001E-2</c:v>
                </c:pt>
                <c:pt idx="171">
                  <c:v>2.7306E-2</c:v>
                </c:pt>
                <c:pt idx="172">
                  <c:v>2.7387999999999999E-2</c:v>
                </c:pt>
                <c:pt idx="173">
                  <c:v>2.7469999999999998E-2</c:v>
                </c:pt>
                <c:pt idx="174">
                  <c:v>2.7553999999999999E-2</c:v>
                </c:pt>
                <c:pt idx="175">
                  <c:v>2.7637999999999999E-2</c:v>
                </c:pt>
                <c:pt idx="176">
                  <c:v>2.7719999999999998E-2</c:v>
                </c:pt>
                <c:pt idx="177">
                  <c:v>2.7806000000000001E-2</c:v>
                </c:pt>
                <c:pt idx="178">
                  <c:v>2.7888000000000003E-2</c:v>
                </c:pt>
                <c:pt idx="179">
                  <c:v>2.7972E-2</c:v>
                </c:pt>
                <c:pt idx="180">
                  <c:v>2.8054000000000003E-2</c:v>
                </c:pt>
                <c:pt idx="181">
                  <c:v>2.8138E-2</c:v>
                </c:pt>
                <c:pt idx="182">
                  <c:v>2.8220000000000002E-2</c:v>
                </c:pt>
                <c:pt idx="183">
                  <c:v>2.8303999999999999E-2</c:v>
                </c:pt>
                <c:pt idx="184">
                  <c:v>2.8388E-2</c:v>
                </c:pt>
                <c:pt idx="185">
                  <c:v>2.8469999999999999E-2</c:v>
                </c:pt>
                <c:pt idx="186">
                  <c:v>2.8554E-2</c:v>
                </c:pt>
                <c:pt idx="187">
                  <c:v>2.8638E-2</c:v>
                </c:pt>
                <c:pt idx="188">
                  <c:v>2.8721999999999998E-2</c:v>
                </c:pt>
                <c:pt idx="189">
                  <c:v>2.8804E-2</c:v>
                </c:pt>
                <c:pt idx="190">
                  <c:v>2.8887999999999997E-2</c:v>
                </c:pt>
                <c:pt idx="191">
                  <c:v>2.8942000000000002E-2</c:v>
                </c:pt>
                <c:pt idx="192">
                  <c:v>2.9026E-2</c:v>
                </c:pt>
                <c:pt idx="193">
                  <c:v>2.9079999999999998E-2</c:v>
                </c:pt>
                <c:pt idx="194">
                  <c:v>2.9163999999999999E-2</c:v>
                </c:pt>
                <c:pt idx="195">
                  <c:v>2.9222000000000001E-2</c:v>
                </c:pt>
                <c:pt idx="196">
                  <c:v>2.9304E-2</c:v>
                </c:pt>
                <c:pt idx="197">
                  <c:v>2.9360000000000001E-2</c:v>
                </c:pt>
                <c:pt idx="198">
                  <c:v>2.9443999999999998E-2</c:v>
                </c:pt>
                <c:pt idx="199">
                  <c:v>2.9527999999999999E-2</c:v>
                </c:pt>
                <c:pt idx="200">
                  <c:v>2.9582000000000001E-2</c:v>
                </c:pt>
                <c:pt idx="201">
                  <c:v>2.9666000000000001E-2</c:v>
                </c:pt>
                <c:pt idx="202">
                  <c:v>2.9748E-2</c:v>
                </c:pt>
                <c:pt idx="203">
                  <c:v>2.9832000000000001E-2</c:v>
                </c:pt>
                <c:pt idx="204">
                  <c:v>2.9914E-2</c:v>
                </c:pt>
                <c:pt idx="205">
                  <c:v>2.9998E-2</c:v>
                </c:pt>
                <c:pt idx="206">
                  <c:v>3.0082000000000001E-2</c:v>
                </c:pt>
                <c:pt idx="207">
                  <c:v>3.0165999999999998E-2</c:v>
                </c:pt>
                <c:pt idx="208">
                  <c:v>3.0248000000000001E-2</c:v>
                </c:pt>
                <c:pt idx="209">
                  <c:v>3.0331999999999998E-2</c:v>
                </c:pt>
                <c:pt idx="210">
                  <c:v>3.0415999999999999E-2</c:v>
                </c:pt>
                <c:pt idx="211">
                  <c:v>3.0497999999999997E-2</c:v>
                </c:pt>
                <c:pt idx="212">
                  <c:v>3.0554000000000001E-2</c:v>
                </c:pt>
                <c:pt idx="213">
                  <c:v>3.0636E-2</c:v>
                </c:pt>
                <c:pt idx="214">
                  <c:v>3.0720000000000001E-2</c:v>
                </c:pt>
                <c:pt idx="215">
                  <c:v>3.0804000000000002E-2</c:v>
                </c:pt>
                <c:pt idx="216">
                  <c:v>3.0887999999999999E-2</c:v>
                </c:pt>
                <c:pt idx="217">
                  <c:v>3.0941999999999997E-2</c:v>
                </c:pt>
                <c:pt idx="218">
                  <c:v>3.1025999999999998E-2</c:v>
                </c:pt>
                <c:pt idx="219">
                  <c:v>3.1110000000000002E-2</c:v>
                </c:pt>
                <c:pt idx="220">
                  <c:v>3.1194000000000003E-2</c:v>
                </c:pt>
                <c:pt idx="221">
                  <c:v>3.1275999999999998E-2</c:v>
                </c:pt>
                <c:pt idx="222">
                  <c:v>3.1359999999999999E-2</c:v>
                </c:pt>
                <c:pt idx="223">
                  <c:v>3.1415999999999999E-2</c:v>
                </c:pt>
                <c:pt idx="224">
                  <c:v>3.15E-2</c:v>
                </c:pt>
                <c:pt idx="225">
                  <c:v>3.1581999999999999E-2</c:v>
                </c:pt>
                <c:pt idx="226">
                  <c:v>3.1663999999999998E-2</c:v>
                </c:pt>
                <c:pt idx="227">
                  <c:v>3.1722E-2</c:v>
                </c:pt>
                <c:pt idx="228">
                  <c:v>3.1803999999999999E-2</c:v>
                </c:pt>
                <c:pt idx="229">
                  <c:v>3.1859999999999999E-2</c:v>
                </c:pt>
                <c:pt idx="230">
                  <c:v>3.1944E-2</c:v>
                </c:pt>
                <c:pt idx="231">
                  <c:v>3.1997999999999999E-2</c:v>
                </c:pt>
                <c:pt idx="232">
                  <c:v>3.2080000000000004E-2</c:v>
                </c:pt>
                <c:pt idx="233">
                  <c:v>3.2138E-2</c:v>
                </c:pt>
                <c:pt idx="234">
                  <c:v>3.2219999999999999E-2</c:v>
                </c:pt>
                <c:pt idx="235">
                  <c:v>3.2303999999999999E-2</c:v>
                </c:pt>
                <c:pt idx="236">
                  <c:v>3.236E-2</c:v>
                </c:pt>
                <c:pt idx="237">
                  <c:v>3.2444000000000001E-2</c:v>
                </c:pt>
                <c:pt idx="238">
                  <c:v>3.2525999999999999E-2</c:v>
                </c:pt>
                <c:pt idx="239">
                  <c:v>3.2582E-2</c:v>
                </c:pt>
                <c:pt idx="240">
                  <c:v>3.2666000000000001E-2</c:v>
                </c:pt>
                <c:pt idx="241">
                  <c:v>3.2722000000000001E-2</c:v>
                </c:pt>
                <c:pt idx="242">
                  <c:v>3.2832E-2</c:v>
                </c:pt>
                <c:pt idx="243">
                  <c:v>3.2944000000000001E-2</c:v>
                </c:pt>
                <c:pt idx="244">
                  <c:v>3.3054E-2</c:v>
                </c:pt>
                <c:pt idx="245">
                  <c:v>3.3138000000000001E-2</c:v>
                </c:pt>
                <c:pt idx="246">
                  <c:v>3.3250000000000002E-2</c:v>
                </c:pt>
                <c:pt idx="247">
                  <c:v>3.3361999999999996E-2</c:v>
                </c:pt>
                <c:pt idx="248">
                  <c:v>3.3444000000000002E-2</c:v>
                </c:pt>
                <c:pt idx="249">
                  <c:v>3.3554E-2</c:v>
                </c:pt>
                <c:pt idx="250">
                  <c:v>3.3663999999999999E-2</c:v>
                </c:pt>
                <c:pt idx="251">
                  <c:v>3.3748E-2</c:v>
                </c:pt>
                <c:pt idx="252">
                  <c:v>3.3860000000000001E-2</c:v>
                </c:pt>
                <c:pt idx="253">
                  <c:v>3.3942E-2</c:v>
                </c:pt>
                <c:pt idx="254">
                  <c:v>3.4026000000000001E-2</c:v>
                </c:pt>
                <c:pt idx="255">
                  <c:v>3.4138000000000002E-2</c:v>
                </c:pt>
                <c:pt idx="256">
                  <c:v>3.4222000000000002E-2</c:v>
                </c:pt>
                <c:pt idx="257">
                  <c:v>3.4304000000000001E-2</c:v>
                </c:pt>
                <c:pt idx="258">
                  <c:v>3.4386E-2</c:v>
                </c:pt>
                <c:pt idx="259">
                  <c:v>3.4470000000000001E-2</c:v>
                </c:pt>
                <c:pt idx="260">
                  <c:v>3.4582000000000002E-2</c:v>
                </c:pt>
                <c:pt idx="261">
                  <c:v>3.4664E-2</c:v>
                </c:pt>
                <c:pt idx="262">
                  <c:v>3.4748000000000001E-2</c:v>
                </c:pt>
                <c:pt idx="263">
                  <c:v>3.4834000000000004E-2</c:v>
                </c:pt>
                <c:pt idx="264">
                  <c:v>3.4916000000000003E-2</c:v>
                </c:pt>
                <c:pt idx="265">
                  <c:v>3.5000000000000003E-2</c:v>
                </c:pt>
                <c:pt idx="266">
                  <c:v>3.5082000000000002E-2</c:v>
                </c:pt>
                <c:pt idx="267">
                  <c:v>3.5164000000000001E-2</c:v>
                </c:pt>
                <c:pt idx="268">
                  <c:v>3.5249999999999997E-2</c:v>
                </c:pt>
                <c:pt idx="269">
                  <c:v>3.5332000000000002E-2</c:v>
                </c:pt>
                <c:pt idx="270">
                  <c:v>3.5415999999999996E-2</c:v>
                </c:pt>
                <c:pt idx="271">
                  <c:v>3.5498000000000002E-2</c:v>
                </c:pt>
                <c:pt idx="272">
                  <c:v>3.5581999999999996E-2</c:v>
                </c:pt>
                <c:pt idx="273">
                  <c:v>3.5666000000000003E-2</c:v>
                </c:pt>
                <c:pt idx="274">
                  <c:v>3.5750000000000004E-2</c:v>
                </c:pt>
                <c:pt idx="275">
                  <c:v>3.5832000000000003E-2</c:v>
                </c:pt>
                <c:pt idx="276">
                  <c:v>3.5914000000000001E-2</c:v>
                </c:pt>
                <c:pt idx="277">
                  <c:v>3.5998000000000002E-2</c:v>
                </c:pt>
                <c:pt idx="278">
                  <c:v>3.6082000000000003E-2</c:v>
                </c:pt>
                <c:pt idx="279">
                  <c:v>3.6166000000000004E-2</c:v>
                </c:pt>
                <c:pt idx="280">
                  <c:v>3.6248000000000002E-2</c:v>
                </c:pt>
                <c:pt idx="281">
                  <c:v>3.6332000000000003E-2</c:v>
                </c:pt>
                <c:pt idx="282">
                  <c:v>3.6414000000000002E-2</c:v>
                </c:pt>
                <c:pt idx="283">
                  <c:v>3.6526000000000003E-2</c:v>
                </c:pt>
                <c:pt idx="284">
                  <c:v>3.6636000000000002E-2</c:v>
                </c:pt>
                <c:pt idx="285">
                  <c:v>3.6747999999999996E-2</c:v>
                </c:pt>
                <c:pt idx="286">
                  <c:v>3.6859999999999997E-2</c:v>
                </c:pt>
                <c:pt idx="287">
                  <c:v>3.6971999999999998E-2</c:v>
                </c:pt>
                <c:pt idx="288">
                  <c:v>3.7083999999999999E-2</c:v>
                </c:pt>
                <c:pt idx="289">
                  <c:v>3.7193999999999998E-2</c:v>
                </c:pt>
                <c:pt idx="290">
                  <c:v>3.7305999999999999E-2</c:v>
                </c:pt>
                <c:pt idx="291">
                  <c:v>3.7415999999999998E-2</c:v>
                </c:pt>
                <c:pt idx="292">
                  <c:v>3.7526000000000004E-2</c:v>
                </c:pt>
                <c:pt idx="293">
                  <c:v>3.7635999999999996E-2</c:v>
                </c:pt>
                <c:pt idx="294">
                  <c:v>3.7747999999999997E-2</c:v>
                </c:pt>
                <c:pt idx="295">
                  <c:v>3.7859999999999998E-2</c:v>
                </c:pt>
                <c:pt idx="296">
                  <c:v>3.7970000000000004E-2</c:v>
                </c:pt>
                <c:pt idx="297">
                  <c:v>3.8081999999999998E-2</c:v>
                </c:pt>
                <c:pt idx="298">
                  <c:v>3.8191999999999997E-2</c:v>
                </c:pt>
                <c:pt idx="299">
                  <c:v>3.8303999999999998E-2</c:v>
                </c:pt>
                <c:pt idx="300">
                  <c:v>3.8415999999999999E-2</c:v>
                </c:pt>
                <c:pt idx="301">
                  <c:v>3.8528E-2</c:v>
                </c:pt>
                <c:pt idx="302">
                  <c:v>3.8610000000000005E-2</c:v>
                </c:pt>
                <c:pt idx="303">
                  <c:v>3.8721999999999999E-2</c:v>
                </c:pt>
                <c:pt idx="304">
                  <c:v>3.8834E-2</c:v>
                </c:pt>
                <c:pt idx="305">
                  <c:v>3.8942000000000004E-2</c:v>
                </c:pt>
                <c:pt idx="306">
                  <c:v>3.9054000000000005E-2</c:v>
                </c:pt>
                <c:pt idx="307">
                  <c:v>3.9165999999999999E-2</c:v>
                </c:pt>
                <c:pt idx="308">
                  <c:v>3.9278E-2</c:v>
                </c:pt>
                <c:pt idx="309">
                  <c:v>3.9359999999999999E-2</c:v>
                </c:pt>
                <c:pt idx="310">
                  <c:v>3.9472E-2</c:v>
                </c:pt>
                <c:pt idx="311">
                  <c:v>3.9584000000000001E-2</c:v>
                </c:pt>
                <c:pt idx="312">
                  <c:v>3.9691999999999998E-2</c:v>
                </c:pt>
                <c:pt idx="313">
                  <c:v>3.9803999999999999E-2</c:v>
                </c:pt>
                <c:pt idx="314">
                  <c:v>3.9916E-2</c:v>
                </c:pt>
                <c:pt idx="315">
                  <c:v>4.0025999999999999E-2</c:v>
                </c:pt>
                <c:pt idx="316">
                  <c:v>4.0136000000000005E-2</c:v>
                </c:pt>
                <c:pt idx="317">
                  <c:v>4.0247999999999999E-2</c:v>
                </c:pt>
                <c:pt idx="318">
                  <c:v>4.0359999999999993E-2</c:v>
                </c:pt>
                <c:pt idx="319">
                  <c:v>4.0469999999999999E-2</c:v>
                </c:pt>
                <c:pt idx="320">
                  <c:v>4.0582E-2</c:v>
                </c:pt>
                <c:pt idx="321">
                  <c:v>4.0694000000000001E-2</c:v>
                </c:pt>
                <c:pt idx="322">
                  <c:v>4.0804E-2</c:v>
                </c:pt>
                <c:pt idx="323">
                  <c:v>4.0915999999999994E-2</c:v>
                </c:pt>
                <c:pt idx="324">
                  <c:v>4.1028000000000002E-2</c:v>
                </c:pt>
                <c:pt idx="325">
                  <c:v>4.1139999999999996E-2</c:v>
                </c:pt>
                <c:pt idx="326">
                  <c:v>4.1247999999999993E-2</c:v>
                </c:pt>
                <c:pt idx="327">
                  <c:v>4.1360000000000001E-2</c:v>
                </c:pt>
                <c:pt idx="328">
                  <c:v>4.147E-2</c:v>
                </c:pt>
                <c:pt idx="329">
                  <c:v>4.1582000000000001E-2</c:v>
                </c:pt>
                <c:pt idx="330">
                  <c:v>4.1692E-2</c:v>
                </c:pt>
                <c:pt idx="331">
                  <c:v>4.1803999999999994E-2</c:v>
                </c:pt>
                <c:pt idx="332">
                  <c:v>4.1916000000000002E-2</c:v>
                </c:pt>
                <c:pt idx="333">
                  <c:v>4.2026000000000001E-2</c:v>
                </c:pt>
                <c:pt idx="334">
                  <c:v>4.2138000000000002E-2</c:v>
                </c:pt>
                <c:pt idx="335">
                  <c:v>4.2276000000000001E-2</c:v>
                </c:pt>
                <c:pt idx="336">
                  <c:v>4.2416000000000002E-2</c:v>
                </c:pt>
                <c:pt idx="337">
                  <c:v>4.2556000000000004E-2</c:v>
                </c:pt>
                <c:pt idx="338">
                  <c:v>4.2694000000000003E-2</c:v>
                </c:pt>
                <c:pt idx="339">
                  <c:v>4.2830000000000007E-2</c:v>
                </c:pt>
                <c:pt idx="340">
                  <c:v>4.2969999999999994E-2</c:v>
                </c:pt>
                <c:pt idx="341">
                  <c:v>4.3110000000000002E-2</c:v>
                </c:pt>
                <c:pt idx="342">
                  <c:v>4.3246E-2</c:v>
                </c:pt>
                <c:pt idx="343">
                  <c:v>4.3388000000000003E-2</c:v>
                </c:pt>
                <c:pt idx="344">
                  <c:v>4.3525999999999995E-2</c:v>
                </c:pt>
                <c:pt idx="345">
                  <c:v>4.3638000000000003E-2</c:v>
                </c:pt>
                <c:pt idx="346">
                  <c:v>4.3776000000000002E-2</c:v>
                </c:pt>
                <c:pt idx="347">
                  <c:v>4.3916000000000004E-2</c:v>
                </c:pt>
                <c:pt idx="348">
                  <c:v>4.4054000000000003E-2</c:v>
                </c:pt>
                <c:pt idx="349">
                  <c:v>4.4164000000000002E-2</c:v>
                </c:pt>
                <c:pt idx="350">
                  <c:v>4.4303999999999996E-2</c:v>
                </c:pt>
                <c:pt idx="351">
                  <c:v>4.4443999999999997E-2</c:v>
                </c:pt>
                <c:pt idx="352">
                  <c:v>4.4581999999999997E-2</c:v>
                </c:pt>
                <c:pt idx="353">
                  <c:v>4.4691999999999996E-2</c:v>
                </c:pt>
                <c:pt idx="354">
                  <c:v>4.4832000000000004E-2</c:v>
                </c:pt>
                <c:pt idx="355">
                  <c:v>4.4972000000000005E-2</c:v>
                </c:pt>
                <c:pt idx="356">
                  <c:v>4.5107999999999995E-2</c:v>
                </c:pt>
                <c:pt idx="357">
                  <c:v>4.5247999999999997E-2</c:v>
                </c:pt>
                <c:pt idx="358">
                  <c:v>4.5388000000000005E-2</c:v>
                </c:pt>
                <c:pt idx="359">
                  <c:v>4.5525999999999997E-2</c:v>
                </c:pt>
                <c:pt idx="360">
                  <c:v>4.5666000000000005E-2</c:v>
                </c:pt>
                <c:pt idx="361">
                  <c:v>4.5805999999999993E-2</c:v>
                </c:pt>
                <c:pt idx="362">
                  <c:v>4.5941999999999997E-2</c:v>
                </c:pt>
                <c:pt idx="363">
                  <c:v>4.6081999999999998E-2</c:v>
                </c:pt>
                <c:pt idx="364">
                  <c:v>4.6222000000000006E-2</c:v>
                </c:pt>
                <c:pt idx="365">
                  <c:v>4.6359999999999998E-2</c:v>
                </c:pt>
                <c:pt idx="366">
                  <c:v>4.6500000000000007E-2</c:v>
                </c:pt>
                <c:pt idx="367">
                  <c:v>4.6635999999999997E-2</c:v>
                </c:pt>
                <c:pt idx="368">
                  <c:v>4.6775999999999998E-2</c:v>
                </c:pt>
                <c:pt idx="369">
                  <c:v>4.6915999999999999E-2</c:v>
                </c:pt>
                <c:pt idx="370">
                  <c:v>4.7053999999999999E-2</c:v>
                </c:pt>
                <c:pt idx="371">
                  <c:v>4.7194E-2</c:v>
                </c:pt>
                <c:pt idx="372">
                  <c:v>4.7359999999999999E-2</c:v>
                </c:pt>
                <c:pt idx="373">
                  <c:v>4.7497999999999999E-2</c:v>
                </c:pt>
                <c:pt idx="374">
                  <c:v>4.7666000000000007E-2</c:v>
                </c:pt>
                <c:pt idx="375">
                  <c:v>4.7832E-2</c:v>
                </c:pt>
                <c:pt idx="376">
                  <c:v>4.7972000000000001E-2</c:v>
                </c:pt>
                <c:pt idx="377">
                  <c:v>4.8137999999999993E-2</c:v>
                </c:pt>
                <c:pt idx="378">
                  <c:v>4.8276000000000006E-2</c:v>
                </c:pt>
                <c:pt idx="379">
                  <c:v>4.8444000000000001E-2</c:v>
                </c:pt>
                <c:pt idx="380">
                  <c:v>4.8583999999999995E-2</c:v>
                </c:pt>
                <c:pt idx="381">
                  <c:v>4.8719999999999999E-2</c:v>
                </c:pt>
                <c:pt idx="382">
                  <c:v>4.8860000000000001E-2</c:v>
                </c:pt>
                <c:pt idx="383">
                  <c:v>4.8998E-2</c:v>
                </c:pt>
                <c:pt idx="384">
                  <c:v>4.9135999999999999E-2</c:v>
                </c:pt>
                <c:pt idx="385">
                  <c:v>4.9276E-2</c:v>
                </c:pt>
                <c:pt idx="386">
                  <c:v>4.9416000000000002E-2</c:v>
                </c:pt>
                <c:pt idx="387">
                  <c:v>4.9581999999999994E-2</c:v>
                </c:pt>
                <c:pt idx="388">
                  <c:v>4.9745999999999999E-2</c:v>
                </c:pt>
                <c:pt idx="389">
                  <c:v>4.9916000000000002E-2</c:v>
                </c:pt>
                <c:pt idx="390">
                  <c:v>5.0082000000000002E-2</c:v>
                </c:pt>
                <c:pt idx="391">
                  <c:v>5.0248000000000001E-2</c:v>
                </c:pt>
                <c:pt idx="392">
                  <c:v>5.0415999999999996E-2</c:v>
                </c:pt>
                <c:pt idx="393">
                  <c:v>5.058E-2</c:v>
                </c:pt>
                <c:pt idx="394">
                  <c:v>5.0720000000000001E-2</c:v>
                </c:pt>
                <c:pt idx="395">
                  <c:v>5.0888000000000003E-2</c:v>
                </c:pt>
                <c:pt idx="396">
                  <c:v>5.1025999999999995E-2</c:v>
                </c:pt>
                <c:pt idx="397">
                  <c:v>5.1193999999999996E-2</c:v>
                </c:pt>
                <c:pt idx="398">
                  <c:v>5.1360000000000003E-2</c:v>
                </c:pt>
                <c:pt idx="399">
                  <c:v>5.1525999999999995E-2</c:v>
                </c:pt>
                <c:pt idx="400">
                  <c:v>5.1694000000000004E-2</c:v>
                </c:pt>
                <c:pt idx="401">
                  <c:v>5.1862000000000005E-2</c:v>
                </c:pt>
                <c:pt idx="402">
                  <c:v>5.2026000000000003E-2</c:v>
                </c:pt>
                <c:pt idx="403">
                  <c:v>5.2191999999999995E-2</c:v>
                </c:pt>
                <c:pt idx="404">
                  <c:v>5.2359999999999997E-2</c:v>
                </c:pt>
                <c:pt idx="405">
                  <c:v>5.2526000000000003E-2</c:v>
                </c:pt>
                <c:pt idx="406">
                  <c:v>5.2693999999999998E-2</c:v>
                </c:pt>
                <c:pt idx="407">
                  <c:v>5.2858000000000002E-2</c:v>
                </c:pt>
                <c:pt idx="408">
                  <c:v>5.3025999999999997E-2</c:v>
                </c:pt>
                <c:pt idx="409">
                  <c:v>5.3192000000000003E-2</c:v>
                </c:pt>
                <c:pt idx="410">
                  <c:v>5.3360000000000005E-2</c:v>
                </c:pt>
                <c:pt idx="411">
                  <c:v>5.3525999999999997E-2</c:v>
                </c:pt>
                <c:pt idx="412">
                  <c:v>5.3722000000000006E-2</c:v>
                </c:pt>
                <c:pt idx="413">
                  <c:v>5.3916000000000006E-2</c:v>
                </c:pt>
                <c:pt idx="414">
                  <c:v>5.4108000000000003E-2</c:v>
                </c:pt>
                <c:pt idx="415">
                  <c:v>5.4303999999999998E-2</c:v>
                </c:pt>
                <c:pt idx="416">
                  <c:v>5.4469999999999998E-2</c:v>
                </c:pt>
                <c:pt idx="417">
                  <c:v>5.4665999999999999E-2</c:v>
                </c:pt>
                <c:pt idx="418">
                  <c:v>5.4831999999999999E-2</c:v>
                </c:pt>
                <c:pt idx="419">
                  <c:v>5.5025999999999999E-2</c:v>
                </c:pt>
                <c:pt idx="420">
                  <c:v>5.5220000000000005E-2</c:v>
                </c:pt>
                <c:pt idx="421">
                  <c:v>5.5388E-2</c:v>
                </c:pt>
                <c:pt idx="422">
                  <c:v>5.5583999999999995E-2</c:v>
                </c:pt>
                <c:pt idx="423">
                  <c:v>5.5776000000000006E-2</c:v>
                </c:pt>
                <c:pt idx="424">
                  <c:v>5.5967999999999997E-2</c:v>
                </c:pt>
                <c:pt idx="425">
                  <c:v>5.6163999999999999E-2</c:v>
                </c:pt>
                <c:pt idx="426">
                  <c:v>5.636E-2</c:v>
                </c:pt>
                <c:pt idx="427">
                  <c:v>5.6555999999999995E-2</c:v>
                </c:pt>
                <c:pt idx="428">
                  <c:v>5.6748E-2</c:v>
                </c:pt>
                <c:pt idx="429">
                  <c:v>5.6944000000000002E-2</c:v>
                </c:pt>
                <c:pt idx="430">
                  <c:v>5.7138000000000001E-2</c:v>
                </c:pt>
                <c:pt idx="431">
                  <c:v>5.7333999999999996E-2</c:v>
                </c:pt>
                <c:pt idx="432">
                  <c:v>5.7526000000000001E-2</c:v>
                </c:pt>
                <c:pt idx="433">
                  <c:v>5.772E-2</c:v>
                </c:pt>
                <c:pt idx="434">
                  <c:v>5.7915999999999995E-2</c:v>
                </c:pt>
                <c:pt idx="435">
                  <c:v>5.8110000000000002E-2</c:v>
                </c:pt>
                <c:pt idx="436">
                  <c:v>5.8304000000000002E-2</c:v>
                </c:pt>
                <c:pt idx="437">
                  <c:v>5.8499999999999996E-2</c:v>
                </c:pt>
                <c:pt idx="438">
                  <c:v>5.8693999999999996E-2</c:v>
                </c:pt>
                <c:pt idx="439">
                  <c:v>5.8887999999999996E-2</c:v>
                </c:pt>
                <c:pt idx="440">
                  <c:v>5.9080000000000001E-2</c:v>
                </c:pt>
                <c:pt idx="441">
                  <c:v>5.9276000000000002E-2</c:v>
                </c:pt>
                <c:pt idx="442">
                  <c:v>5.9470000000000002E-2</c:v>
                </c:pt>
                <c:pt idx="443">
                  <c:v>5.9691999999999995E-2</c:v>
                </c:pt>
                <c:pt idx="444">
                  <c:v>5.9886000000000002E-2</c:v>
                </c:pt>
                <c:pt idx="445">
                  <c:v>6.0110000000000004E-2</c:v>
                </c:pt>
                <c:pt idx="446">
                  <c:v>6.0334000000000006E-2</c:v>
                </c:pt>
                <c:pt idx="447">
                  <c:v>6.0525999999999996E-2</c:v>
                </c:pt>
                <c:pt idx="448">
                  <c:v>6.0747999999999996E-2</c:v>
                </c:pt>
                <c:pt idx="449">
                  <c:v>6.0971999999999998E-2</c:v>
                </c:pt>
                <c:pt idx="450">
                  <c:v>6.1193999999999998E-2</c:v>
                </c:pt>
                <c:pt idx="451">
                  <c:v>6.1413999999999996E-2</c:v>
                </c:pt>
                <c:pt idx="452">
                  <c:v>6.1637999999999998E-2</c:v>
                </c:pt>
                <c:pt idx="453">
                  <c:v>6.1858000000000003E-2</c:v>
                </c:pt>
                <c:pt idx="454">
                  <c:v>6.2081999999999998E-2</c:v>
                </c:pt>
                <c:pt idx="455">
                  <c:v>6.2304000000000005E-2</c:v>
                </c:pt>
                <c:pt idx="456">
                  <c:v>6.2528E-2</c:v>
                </c:pt>
                <c:pt idx="457">
                  <c:v>6.275E-2</c:v>
                </c:pt>
                <c:pt idx="458">
                  <c:v>6.2969999999999998E-2</c:v>
                </c:pt>
                <c:pt idx="459">
                  <c:v>6.3191999999999998E-2</c:v>
                </c:pt>
                <c:pt idx="460">
                  <c:v>6.3413999999999998E-2</c:v>
                </c:pt>
                <c:pt idx="461">
                  <c:v>6.3635999999999998E-2</c:v>
                </c:pt>
                <c:pt idx="462">
                  <c:v>6.386E-2</c:v>
                </c:pt>
                <c:pt idx="463">
                  <c:v>6.4084000000000002E-2</c:v>
                </c:pt>
                <c:pt idx="464">
                  <c:v>6.4304E-2</c:v>
                </c:pt>
                <c:pt idx="465">
                  <c:v>6.4526E-2</c:v>
                </c:pt>
                <c:pt idx="466">
                  <c:v>6.4750000000000002E-2</c:v>
                </c:pt>
                <c:pt idx="467">
                  <c:v>6.5000000000000002E-2</c:v>
                </c:pt>
                <c:pt idx="468">
                  <c:v>6.5248E-2</c:v>
                </c:pt>
                <c:pt idx="469">
                  <c:v>6.5498000000000001E-2</c:v>
                </c:pt>
                <c:pt idx="470">
                  <c:v>6.5750000000000003E-2</c:v>
                </c:pt>
                <c:pt idx="471">
                  <c:v>6.5998000000000001E-2</c:v>
                </c:pt>
                <c:pt idx="472">
                  <c:v>6.6250000000000003E-2</c:v>
                </c:pt>
                <c:pt idx="473">
                  <c:v>6.6498000000000002E-2</c:v>
                </c:pt>
                <c:pt idx="474">
                  <c:v>6.6748000000000002E-2</c:v>
                </c:pt>
                <c:pt idx="475">
                  <c:v>6.6998000000000002E-2</c:v>
                </c:pt>
                <c:pt idx="476">
                  <c:v>6.7248000000000002E-2</c:v>
                </c:pt>
                <c:pt idx="477">
                  <c:v>6.7526000000000003E-2</c:v>
                </c:pt>
                <c:pt idx="478">
                  <c:v>6.7776000000000003E-2</c:v>
                </c:pt>
                <c:pt idx="479">
                  <c:v>6.8028000000000005E-2</c:v>
                </c:pt>
                <c:pt idx="480">
                  <c:v>6.8276000000000003E-2</c:v>
                </c:pt>
                <c:pt idx="481">
                  <c:v>6.8528000000000006E-2</c:v>
                </c:pt>
                <c:pt idx="482">
                  <c:v>6.8804000000000004E-2</c:v>
                </c:pt>
                <c:pt idx="483">
                  <c:v>6.9082000000000005E-2</c:v>
                </c:pt>
                <c:pt idx="484">
                  <c:v>6.9360000000000005E-2</c:v>
                </c:pt>
                <c:pt idx="485">
                  <c:v>6.9610000000000005E-2</c:v>
                </c:pt>
                <c:pt idx="486">
                  <c:v>6.9888000000000006E-2</c:v>
                </c:pt>
                <c:pt idx="487">
                  <c:v>7.0166000000000006E-2</c:v>
                </c:pt>
                <c:pt idx="488">
                  <c:v>7.0444000000000007E-2</c:v>
                </c:pt>
                <c:pt idx="489">
                  <c:v>7.0720000000000005E-2</c:v>
                </c:pt>
                <c:pt idx="490">
                  <c:v>7.0999999999999994E-2</c:v>
                </c:pt>
                <c:pt idx="491">
                  <c:v>7.1276000000000006E-2</c:v>
                </c:pt>
                <c:pt idx="492">
                  <c:v>7.1554000000000006E-2</c:v>
                </c:pt>
                <c:pt idx="493">
                  <c:v>7.1833999999999995E-2</c:v>
                </c:pt>
                <c:pt idx="494">
                  <c:v>7.2108000000000005E-2</c:v>
                </c:pt>
                <c:pt idx="495">
                  <c:v>7.2388000000000008E-2</c:v>
                </c:pt>
                <c:pt idx="496">
                  <c:v>7.2666000000000008E-2</c:v>
                </c:pt>
                <c:pt idx="497">
                  <c:v>7.2942000000000007E-2</c:v>
                </c:pt>
                <c:pt idx="498">
                  <c:v>7.3220000000000007E-2</c:v>
                </c:pt>
                <c:pt idx="499">
                  <c:v>7.3499999999999996E-2</c:v>
                </c:pt>
                <c:pt idx="500">
                  <c:v>7.3803999999999995E-2</c:v>
                </c:pt>
                <c:pt idx="501">
                  <c:v>7.4109999999999995E-2</c:v>
                </c:pt>
                <c:pt idx="502">
                  <c:v>7.4413999999999994E-2</c:v>
                </c:pt>
                <c:pt idx="503">
                  <c:v>7.4720000000000009E-2</c:v>
                </c:pt>
                <c:pt idx="504">
                  <c:v>7.5027999999999997E-2</c:v>
                </c:pt>
                <c:pt idx="505">
                  <c:v>7.5331999999999996E-2</c:v>
                </c:pt>
                <c:pt idx="506">
                  <c:v>7.5637999999999997E-2</c:v>
                </c:pt>
                <c:pt idx="507">
                  <c:v>7.5943999999999998E-2</c:v>
                </c:pt>
                <c:pt idx="508">
                  <c:v>7.6275999999999997E-2</c:v>
                </c:pt>
                <c:pt idx="509">
                  <c:v>7.6609999999999998E-2</c:v>
                </c:pt>
                <c:pt idx="510">
                  <c:v>7.6915999999999998E-2</c:v>
                </c:pt>
                <c:pt idx="511">
                  <c:v>7.7247999999999997E-2</c:v>
                </c:pt>
                <c:pt idx="512">
                  <c:v>7.7579999999999996E-2</c:v>
                </c:pt>
                <c:pt idx="513">
                  <c:v>7.7915999999999999E-2</c:v>
                </c:pt>
                <c:pt idx="514">
                  <c:v>7.8247999999999998E-2</c:v>
                </c:pt>
                <c:pt idx="515">
                  <c:v>7.8581999999999999E-2</c:v>
                </c:pt>
                <c:pt idx="516">
                  <c:v>7.8913999999999998E-2</c:v>
                </c:pt>
                <c:pt idx="517">
                  <c:v>7.9247999999999999E-2</c:v>
                </c:pt>
                <c:pt idx="518">
                  <c:v>7.9584000000000002E-2</c:v>
                </c:pt>
                <c:pt idx="519">
                  <c:v>7.9916000000000001E-2</c:v>
                </c:pt>
                <c:pt idx="520">
                  <c:v>8.0248000000000014E-2</c:v>
                </c:pt>
                <c:pt idx="521">
                  <c:v>8.0579999999999999E-2</c:v>
                </c:pt>
                <c:pt idx="522">
                  <c:v>8.0916000000000002E-2</c:v>
                </c:pt>
                <c:pt idx="523">
                  <c:v>8.1248000000000001E-2</c:v>
                </c:pt>
                <c:pt idx="524">
                  <c:v>8.1582000000000002E-2</c:v>
                </c:pt>
                <c:pt idx="525">
                  <c:v>8.1915999999999989E-2</c:v>
                </c:pt>
                <c:pt idx="526">
                  <c:v>8.2276000000000002E-2</c:v>
                </c:pt>
                <c:pt idx="527">
                  <c:v>8.2636000000000001E-2</c:v>
                </c:pt>
                <c:pt idx="528">
                  <c:v>8.2997999999999988E-2</c:v>
                </c:pt>
                <c:pt idx="529">
                  <c:v>8.3360000000000004E-2</c:v>
                </c:pt>
                <c:pt idx="530">
                  <c:v>8.3720000000000003E-2</c:v>
                </c:pt>
                <c:pt idx="531">
                  <c:v>8.4082000000000004E-2</c:v>
                </c:pt>
                <c:pt idx="532">
                  <c:v>8.4444000000000005E-2</c:v>
                </c:pt>
                <c:pt idx="533">
                  <c:v>8.4802000000000002E-2</c:v>
                </c:pt>
                <c:pt idx="534">
                  <c:v>8.5164000000000004E-2</c:v>
                </c:pt>
                <c:pt idx="535">
                  <c:v>8.5554000000000005E-2</c:v>
                </c:pt>
                <c:pt idx="536">
                  <c:v>8.5942000000000005E-2</c:v>
                </c:pt>
                <c:pt idx="537">
                  <c:v>8.6332000000000006E-2</c:v>
                </c:pt>
                <c:pt idx="538">
                  <c:v>8.6720000000000005E-2</c:v>
                </c:pt>
                <c:pt idx="539">
                  <c:v>8.7110000000000007E-2</c:v>
                </c:pt>
                <c:pt idx="540">
                  <c:v>8.7498000000000006E-2</c:v>
                </c:pt>
                <c:pt idx="541">
                  <c:v>8.7888000000000008E-2</c:v>
                </c:pt>
                <c:pt idx="542">
                  <c:v>8.8276000000000007E-2</c:v>
                </c:pt>
                <c:pt idx="543">
                  <c:v>8.8665999999999995E-2</c:v>
                </c:pt>
                <c:pt idx="544">
                  <c:v>8.9054000000000008E-2</c:v>
                </c:pt>
                <c:pt idx="545">
                  <c:v>8.9469999999999994E-2</c:v>
                </c:pt>
                <c:pt idx="546">
                  <c:v>8.9860000000000009E-2</c:v>
                </c:pt>
                <c:pt idx="547">
                  <c:v>9.0249999999999997E-2</c:v>
                </c:pt>
                <c:pt idx="548">
                  <c:v>9.0665999999999997E-2</c:v>
                </c:pt>
                <c:pt idx="549">
                  <c:v>9.1083999999999998E-2</c:v>
                </c:pt>
                <c:pt idx="550">
                  <c:v>9.149800000000001E-2</c:v>
                </c:pt>
                <c:pt idx="551">
                  <c:v>9.1889999999999999E-2</c:v>
                </c:pt>
                <c:pt idx="552">
                  <c:v>9.2303999999999997E-2</c:v>
                </c:pt>
                <c:pt idx="553">
                  <c:v>9.2721999999999999E-2</c:v>
                </c:pt>
                <c:pt idx="554">
                  <c:v>9.3137999999999999E-2</c:v>
                </c:pt>
                <c:pt idx="555">
                  <c:v>9.3581999999999999E-2</c:v>
                </c:pt>
                <c:pt idx="556">
                  <c:v>9.4025999999999998E-2</c:v>
                </c:pt>
                <c:pt idx="557">
                  <c:v>9.4469999999999998E-2</c:v>
                </c:pt>
                <c:pt idx="558">
                  <c:v>9.4916E-2</c:v>
                </c:pt>
                <c:pt idx="559">
                  <c:v>9.5388000000000001E-2</c:v>
                </c:pt>
                <c:pt idx="560">
                  <c:v>9.5860000000000001E-2</c:v>
                </c:pt>
                <c:pt idx="561">
                  <c:v>9.6304000000000001E-2</c:v>
                </c:pt>
                <c:pt idx="562">
                  <c:v>9.6776000000000001E-2</c:v>
                </c:pt>
                <c:pt idx="563">
                  <c:v>9.7248000000000001E-2</c:v>
                </c:pt>
                <c:pt idx="564">
                  <c:v>9.7720000000000001E-2</c:v>
                </c:pt>
                <c:pt idx="565">
                  <c:v>9.8192000000000002E-2</c:v>
                </c:pt>
                <c:pt idx="566">
                  <c:v>9.8664000000000002E-2</c:v>
                </c:pt>
                <c:pt idx="567">
                  <c:v>9.9138000000000004E-2</c:v>
                </c:pt>
                <c:pt idx="568">
                  <c:v>9.9610000000000004E-2</c:v>
                </c:pt>
                <c:pt idx="569">
                  <c:v>0.100082</c:v>
                </c:pt>
                <c:pt idx="570">
                  <c:v>0.100554</c:v>
                </c:pt>
                <c:pt idx="571">
                  <c:v>0.10105399999999999</c:v>
                </c:pt>
                <c:pt idx="572">
                  <c:v>0.101552</c:v>
                </c:pt>
                <c:pt idx="573">
                  <c:v>0.10205399999999999</c:v>
                </c:pt>
                <c:pt idx="574">
                  <c:v>0.10255599999999999</c:v>
                </c:pt>
                <c:pt idx="575">
                  <c:v>0.10305400000000001</c:v>
                </c:pt>
                <c:pt idx="576">
                  <c:v>0.10358000000000001</c:v>
                </c:pt>
                <c:pt idx="577">
                  <c:v>0.104112</c:v>
                </c:pt>
                <c:pt idx="578">
                  <c:v>0.10463800000000001</c:v>
                </c:pt>
                <c:pt idx="579">
                  <c:v>0.10519199999999999</c:v>
                </c:pt>
                <c:pt idx="580">
                  <c:v>0.10575</c:v>
                </c:pt>
                <c:pt idx="581">
                  <c:v>0.106304</c:v>
                </c:pt>
                <c:pt idx="582">
                  <c:v>0.10688800000000001</c:v>
                </c:pt>
                <c:pt idx="583">
                  <c:v>0.10747</c:v>
                </c:pt>
                <c:pt idx="584">
                  <c:v>0.10805400000000001</c:v>
                </c:pt>
                <c:pt idx="585">
                  <c:v>0.108666</c:v>
                </c:pt>
                <c:pt idx="586">
                  <c:v>0.109276</c:v>
                </c:pt>
                <c:pt idx="587">
                  <c:v>0.109888</c:v>
                </c:pt>
                <c:pt idx="588">
                  <c:v>0.110498</c:v>
                </c:pt>
                <c:pt idx="589">
                  <c:v>0.11111</c:v>
                </c:pt>
                <c:pt idx="590">
                  <c:v>0.11175</c:v>
                </c:pt>
                <c:pt idx="591">
                  <c:v>0.112414</c:v>
                </c:pt>
                <c:pt idx="592">
                  <c:v>0.11311</c:v>
                </c:pt>
                <c:pt idx="593">
                  <c:v>0.113832</c:v>
                </c:pt>
                <c:pt idx="594">
                  <c:v>0.114608</c:v>
                </c:pt>
                <c:pt idx="595">
                  <c:v>0.11544399999999999</c:v>
                </c:pt>
                <c:pt idx="596">
                  <c:v>0.11627599999999999</c:v>
                </c:pt>
                <c:pt idx="597">
                  <c:v>0.11711199999999999</c:v>
                </c:pt>
                <c:pt idx="598">
                  <c:v>0.11794399999999999</c:v>
                </c:pt>
              </c:numCache>
            </c:numRef>
          </c:cat>
          <c:val>
            <c:numRef>
              <c:f>'A22-3'!$F$2:$F$600</c:f>
              <c:numCache>
                <c:formatCode>0.00</c:formatCode>
                <c:ptCount val="599"/>
                <c:pt idx="0">
                  <c:v>0</c:v>
                </c:pt>
                <c:pt idx="1">
                  <c:v>7.5933218051613627E-2</c:v>
                </c:pt>
                <c:pt idx="2">
                  <c:v>7.5933218051613627E-2</c:v>
                </c:pt>
                <c:pt idx="3">
                  <c:v>7.5933218051613627E-2</c:v>
                </c:pt>
                <c:pt idx="4">
                  <c:v>7.5933218051613627E-2</c:v>
                </c:pt>
                <c:pt idx="5">
                  <c:v>7.5933218051613627E-2</c:v>
                </c:pt>
                <c:pt idx="6">
                  <c:v>7.5933218051613627E-2</c:v>
                </c:pt>
                <c:pt idx="7">
                  <c:v>7.5933218051613627E-2</c:v>
                </c:pt>
                <c:pt idx="8">
                  <c:v>7.5933218051613627E-2</c:v>
                </c:pt>
                <c:pt idx="9">
                  <c:v>7.5933218051613627E-2</c:v>
                </c:pt>
                <c:pt idx="10">
                  <c:v>7.5933218051613627E-2</c:v>
                </c:pt>
                <c:pt idx="11">
                  <c:v>7.5933218051613627E-2</c:v>
                </c:pt>
                <c:pt idx="12">
                  <c:v>7.5933218051613627E-2</c:v>
                </c:pt>
                <c:pt idx="13">
                  <c:v>7.5933218051613627E-2</c:v>
                </c:pt>
                <c:pt idx="14">
                  <c:v>7.5933218051613627E-2</c:v>
                </c:pt>
                <c:pt idx="15">
                  <c:v>7.5933218051613627E-2</c:v>
                </c:pt>
                <c:pt idx="16">
                  <c:v>7.5933218051613627E-2</c:v>
                </c:pt>
                <c:pt idx="17">
                  <c:v>7.5933218051613627E-2</c:v>
                </c:pt>
                <c:pt idx="18">
                  <c:v>7.5933218051613627E-2</c:v>
                </c:pt>
                <c:pt idx="19">
                  <c:v>7.5933218051613627E-2</c:v>
                </c:pt>
                <c:pt idx="20">
                  <c:v>7.5933218051613627E-2</c:v>
                </c:pt>
                <c:pt idx="21">
                  <c:v>7.5933218051613627E-2</c:v>
                </c:pt>
                <c:pt idx="22">
                  <c:v>7.9929703212224881E-2</c:v>
                </c:pt>
                <c:pt idx="23">
                  <c:v>7.5933218051613627E-2</c:v>
                </c:pt>
                <c:pt idx="24">
                  <c:v>7.5933218051613627E-2</c:v>
                </c:pt>
                <c:pt idx="25">
                  <c:v>7.5933218051613627E-2</c:v>
                </c:pt>
                <c:pt idx="26">
                  <c:v>7.5933218051613627E-2</c:v>
                </c:pt>
                <c:pt idx="27">
                  <c:v>7.5933218051613627E-2</c:v>
                </c:pt>
                <c:pt idx="28">
                  <c:v>7.5933218051613627E-2</c:v>
                </c:pt>
                <c:pt idx="29">
                  <c:v>7.5933218051613627E-2</c:v>
                </c:pt>
                <c:pt idx="30">
                  <c:v>7.5933218051613627E-2</c:v>
                </c:pt>
                <c:pt idx="31">
                  <c:v>7.5933218051613627E-2</c:v>
                </c:pt>
                <c:pt idx="32">
                  <c:v>7.9929703212224881E-2</c:v>
                </c:pt>
                <c:pt idx="33">
                  <c:v>7.5933218051613627E-2</c:v>
                </c:pt>
                <c:pt idx="34">
                  <c:v>7.5933218051613627E-2</c:v>
                </c:pt>
                <c:pt idx="35">
                  <c:v>7.5933218051613627E-2</c:v>
                </c:pt>
                <c:pt idx="36">
                  <c:v>7.9929703212224881E-2</c:v>
                </c:pt>
                <c:pt idx="37">
                  <c:v>7.9929703212224881E-2</c:v>
                </c:pt>
                <c:pt idx="38">
                  <c:v>7.9929703212224881E-2</c:v>
                </c:pt>
                <c:pt idx="39">
                  <c:v>7.9929703212224881E-2</c:v>
                </c:pt>
                <c:pt idx="40">
                  <c:v>7.9929703212224881E-2</c:v>
                </c:pt>
                <c:pt idx="41">
                  <c:v>7.9929703212224881E-2</c:v>
                </c:pt>
                <c:pt idx="42">
                  <c:v>7.9929703212224881E-2</c:v>
                </c:pt>
                <c:pt idx="43">
                  <c:v>8.3926188372836108E-2</c:v>
                </c:pt>
                <c:pt idx="44">
                  <c:v>8.3926188372836108E-2</c:v>
                </c:pt>
                <c:pt idx="45">
                  <c:v>8.3926188372836108E-2</c:v>
                </c:pt>
                <c:pt idx="46">
                  <c:v>8.7922673533447362E-2</c:v>
                </c:pt>
                <c:pt idx="47">
                  <c:v>8.7922673533447362E-2</c:v>
                </c:pt>
                <c:pt idx="48">
                  <c:v>9.1919158694058617E-2</c:v>
                </c:pt>
                <c:pt idx="49">
                  <c:v>9.5915643854669844E-2</c:v>
                </c:pt>
                <c:pt idx="50">
                  <c:v>9.9912129015281112E-2</c:v>
                </c:pt>
                <c:pt idx="51">
                  <c:v>9.9912129015281112E-2</c:v>
                </c:pt>
                <c:pt idx="52">
                  <c:v>0.10390861417589235</c:v>
                </c:pt>
                <c:pt idx="53">
                  <c:v>0.10790509933650358</c:v>
                </c:pt>
                <c:pt idx="54">
                  <c:v>0.11190158449711483</c:v>
                </c:pt>
                <c:pt idx="55">
                  <c:v>0.11589806965772609</c:v>
                </c:pt>
                <c:pt idx="56">
                  <c:v>0.11989455481833731</c:v>
                </c:pt>
                <c:pt idx="57">
                  <c:v>0.12389103997894857</c:v>
                </c:pt>
                <c:pt idx="58">
                  <c:v>0.12788752513955981</c:v>
                </c:pt>
                <c:pt idx="59">
                  <c:v>0.13188401030017105</c:v>
                </c:pt>
                <c:pt idx="60">
                  <c:v>0.13588049546078229</c:v>
                </c:pt>
                <c:pt idx="61">
                  <c:v>0.1438734657820048</c:v>
                </c:pt>
                <c:pt idx="62">
                  <c:v>0.15186643610322725</c:v>
                </c:pt>
                <c:pt idx="63">
                  <c:v>0.15186643610322725</c:v>
                </c:pt>
                <c:pt idx="64">
                  <c:v>0.15586292126383849</c:v>
                </c:pt>
                <c:pt idx="65">
                  <c:v>0.15985940642444976</c:v>
                </c:pt>
                <c:pt idx="66">
                  <c:v>0.163855891585061</c:v>
                </c:pt>
                <c:pt idx="67">
                  <c:v>0.17184651241471344</c:v>
                </c:pt>
                <c:pt idx="68">
                  <c:v>0.17983948273593595</c:v>
                </c:pt>
                <c:pt idx="69">
                  <c:v>0.19182893821776967</c:v>
                </c:pt>
                <c:pt idx="70">
                  <c:v>0.20381839369960345</c:v>
                </c:pt>
                <c:pt idx="71">
                  <c:v>0.21181136402082593</c:v>
                </c:pt>
                <c:pt idx="72">
                  <c:v>0.21580784918143714</c:v>
                </c:pt>
                <c:pt idx="73">
                  <c:v>0.23179378982388213</c:v>
                </c:pt>
                <c:pt idx="74">
                  <c:v>0.23978910963667463</c:v>
                </c:pt>
                <c:pt idx="75">
                  <c:v>0.24777738097475704</c:v>
                </c:pt>
                <c:pt idx="76">
                  <c:v>0.26377741856662218</c:v>
                </c:pt>
                <c:pt idx="77">
                  <c:v>0.27176568990470462</c:v>
                </c:pt>
                <c:pt idx="78">
                  <c:v>0.28374809691182828</c:v>
                </c:pt>
                <c:pt idx="79">
                  <c:v>0.29573050391895195</c:v>
                </c:pt>
                <c:pt idx="80">
                  <c:v>0.30773640584177586</c:v>
                </c:pt>
                <c:pt idx="81">
                  <c:v>0.32371294851794075</c:v>
                </c:pt>
                <c:pt idx="82">
                  <c:v>0.33968949119410558</c:v>
                </c:pt>
                <c:pt idx="83">
                  <c:v>0.35169539311692949</c:v>
                </c:pt>
                <c:pt idx="84">
                  <c:v>0.36767193579309437</c:v>
                </c:pt>
                <c:pt idx="85">
                  <c:v>0.37965434280021804</c:v>
                </c:pt>
                <c:pt idx="86">
                  <c:v>0.39565438039208323</c:v>
                </c:pt>
                <c:pt idx="87">
                  <c:v>0.411630923068248</c:v>
                </c:pt>
                <c:pt idx="88">
                  <c:v>0.42763096066011319</c:v>
                </c:pt>
                <c:pt idx="89">
                  <c:v>0.44360750333627808</c:v>
                </c:pt>
                <c:pt idx="90">
                  <c:v>0.4595840460124429</c:v>
                </c:pt>
                <c:pt idx="91">
                  <c:v>0.47558408360430809</c:v>
                </c:pt>
                <c:pt idx="92">
                  <c:v>0.49156062628047298</c:v>
                </c:pt>
                <c:pt idx="93">
                  <c:v>0.50756066387233811</c:v>
                </c:pt>
                <c:pt idx="94">
                  <c:v>0.523537206548503</c:v>
                </c:pt>
                <c:pt idx="95">
                  <c:v>0.53951374922466777</c:v>
                </c:pt>
                <c:pt idx="96">
                  <c:v>0.55551378681653285</c:v>
                </c:pt>
                <c:pt idx="97">
                  <c:v>0.57149032949269785</c:v>
                </c:pt>
                <c:pt idx="98">
                  <c:v>0.58749036708456293</c:v>
                </c:pt>
                <c:pt idx="99">
                  <c:v>0.60346690976072781</c:v>
                </c:pt>
                <c:pt idx="100">
                  <c:v>0.61944345243689269</c:v>
                </c:pt>
                <c:pt idx="101">
                  <c:v>0.63544349002875788</c:v>
                </c:pt>
                <c:pt idx="102">
                  <c:v>0.65142003270492277</c:v>
                </c:pt>
                <c:pt idx="103">
                  <c:v>0.66742007029678774</c:v>
                </c:pt>
                <c:pt idx="104">
                  <c:v>0.68339661297295262</c:v>
                </c:pt>
                <c:pt idx="105">
                  <c:v>0.69937315564911751</c:v>
                </c:pt>
                <c:pt idx="106">
                  <c:v>0.7153731932409827</c:v>
                </c:pt>
                <c:pt idx="107">
                  <c:v>0.73134973591714758</c:v>
                </c:pt>
                <c:pt idx="108">
                  <c:v>0.74732627859331247</c:v>
                </c:pt>
                <c:pt idx="109">
                  <c:v>0.76332631618517754</c:v>
                </c:pt>
                <c:pt idx="110">
                  <c:v>0.77930285886134243</c:v>
                </c:pt>
                <c:pt idx="111">
                  <c:v>0.79530289645320762</c:v>
                </c:pt>
                <c:pt idx="112">
                  <c:v>0.8112794391293725</c:v>
                </c:pt>
                <c:pt idx="113">
                  <c:v>0.82725598180553739</c:v>
                </c:pt>
                <c:pt idx="114">
                  <c:v>0.84325601939740247</c:v>
                </c:pt>
                <c:pt idx="115">
                  <c:v>0.85923256207356735</c:v>
                </c:pt>
                <c:pt idx="116">
                  <c:v>0.87523259966543243</c:v>
                </c:pt>
                <c:pt idx="117">
                  <c:v>0.89120914234159732</c:v>
                </c:pt>
                <c:pt idx="118">
                  <c:v>0.91120331560250367</c:v>
                </c:pt>
                <c:pt idx="119">
                  <c:v>0.92717985827866856</c:v>
                </c:pt>
                <c:pt idx="120">
                  <c:v>0.94315640095483344</c:v>
                </c:pt>
                <c:pt idx="121">
                  <c:v>0.95915643854669852</c:v>
                </c:pt>
                <c:pt idx="122">
                  <c:v>0.9751329812228634</c:v>
                </c:pt>
                <c:pt idx="123">
                  <c:v>0.99113301881472859</c:v>
                </c:pt>
                <c:pt idx="124">
                  <c:v>1.0111036971599345</c:v>
                </c:pt>
                <c:pt idx="125">
                  <c:v>1.0270802398360996</c:v>
                </c:pt>
                <c:pt idx="126">
                  <c:v>1.0430802774279646</c:v>
                </c:pt>
                <c:pt idx="127">
                  <c:v>1.0590568201041297</c:v>
                </c:pt>
                <c:pt idx="128">
                  <c:v>1.0790509933650358</c:v>
                </c:pt>
                <c:pt idx="129">
                  <c:v>1.0950275360412007</c:v>
                </c:pt>
                <c:pt idx="130">
                  <c:v>1.1110040787173656</c:v>
                </c:pt>
                <c:pt idx="131">
                  <c:v>1.1270041163092308</c:v>
                </c:pt>
                <c:pt idx="132">
                  <c:v>1.1429806589853957</c:v>
                </c:pt>
                <c:pt idx="133">
                  <c:v>1.1589806965772607</c:v>
                </c:pt>
                <c:pt idx="134">
                  <c:v>1.1749572392534258</c:v>
                </c:pt>
                <c:pt idx="135">
                  <c:v>1.1909337819295904</c:v>
                </c:pt>
                <c:pt idx="136">
                  <c:v>1.2069338195214556</c:v>
                </c:pt>
                <c:pt idx="137">
                  <c:v>1.2229103621976203</c:v>
                </c:pt>
                <c:pt idx="138">
                  <c:v>1.2429045354585271</c:v>
                </c:pt>
                <c:pt idx="139">
                  <c:v>1.2628752138037329</c:v>
                </c:pt>
                <c:pt idx="140">
                  <c:v>1.2828693870646393</c:v>
                </c:pt>
                <c:pt idx="141">
                  <c:v>1.2988459297408039</c:v>
                </c:pt>
                <c:pt idx="142">
                  <c:v>1.3148459673326693</c:v>
                </c:pt>
                <c:pt idx="143">
                  <c:v>1.330822510008834</c:v>
                </c:pt>
                <c:pt idx="144">
                  <c:v>1.3467990526849991</c:v>
                </c:pt>
                <c:pt idx="145">
                  <c:v>1.3667932259459052</c:v>
                </c:pt>
                <c:pt idx="146">
                  <c:v>1.3827697686220703</c:v>
                </c:pt>
                <c:pt idx="147">
                  <c:v>1.3987698062139353</c:v>
                </c:pt>
                <c:pt idx="148">
                  <c:v>1.4147463488901004</c:v>
                </c:pt>
                <c:pt idx="149">
                  <c:v>1.4307228915662651</c:v>
                </c:pt>
                <c:pt idx="150">
                  <c:v>1.4467229291581303</c:v>
                </c:pt>
                <c:pt idx="151">
                  <c:v>1.4626994718342952</c:v>
                </c:pt>
                <c:pt idx="152">
                  <c:v>1.4786995094261604</c:v>
                </c:pt>
                <c:pt idx="153">
                  <c:v>1.494676052102325</c:v>
                </c:pt>
                <c:pt idx="154">
                  <c:v>1.5106525947784901</c:v>
                </c:pt>
                <c:pt idx="155">
                  <c:v>1.5266526323703551</c:v>
                </c:pt>
                <c:pt idx="156">
                  <c:v>1.54262917504652</c:v>
                </c:pt>
                <c:pt idx="157">
                  <c:v>1.5586292126383852</c:v>
                </c:pt>
                <c:pt idx="158">
                  <c:v>1.57460575531455</c:v>
                </c:pt>
                <c:pt idx="159">
                  <c:v>1.5905822979907149</c:v>
                </c:pt>
                <c:pt idx="160">
                  <c:v>1.6065823355825799</c:v>
                </c:pt>
                <c:pt idx="161">
                  <c:v>1.622558878258745</c:v>
                </c:pt>
                <c:pt idx="162">
                  <c:v>1.63855891585061</c:v>
                </c:pt>
                <c:pt idx="163">
                  <c:v>1.658529594195816</c:v>
                </c:pt>
                <c:pt idx="164">
                  <c:v>1.6745061368719809</c:v>
                </c:pt>
                <c:pt idx="165">
                  <c:v>1.6905061744638461</c:v>
                </c:pt>
                <c:pt idx="166">
                  <c:v>1.706482717140011</c:v>
                </c:pt>
                <c:pt idx="167">
                  <c:v>1.7224827547318762</c:v>
                </c:pt>
                <c:pt idx="168">
                  <c:v>1.7384592974080408</c:v>
                </c:pt>
                <c:pt idx="169">
                  <c:v>1.7584299757532473</c:v>
                </c:pt>
                <c:pt idx="170">
                  <c:v>1.7744300133451123</c:v>
                </c:pt>
                <c:pt idx="171">
                  <c:v>1.790406556021277</c:v>
                </c:pt>
                <c:pt idx="172">
                  <c:v>1.8064065936131424</c:v>
                </c:pt>
                <c:pt idx="173">
                  <c:v>1.8263772719583484</c:v>
                </c:pt>
                <c:pt idx="174">
                  <c:v>1.8423773095502134</c:v>
                </c:pt>
                <c:pt idx="175">
                  <c:v>1.8583538522263785</c:v>
                </c:pt>
                <c:pt idx="176">
                  <c:v>1.8783245305715843</c:v>
                </c:pt>
                <c:pt idx="177">
                  <c:v>1.8943245681634495</c:v>
                </c:pt>
                <c:pt idx="178">
                  <c:v>1.9103011108396144</c:v>
                </c:pt>
                <c:pt idx="179">
                  <c:v>1.930295284100521</c:v>
                </c:pt>
                <c:pt idx="180">
                  <c:v>1.9462718267766854</c:v>
                </c:pt>
                <c:pt idx="181">
                  <c:v>1.966266000037592</c:v>
                </c:pt>
                <c:pt idx="182">
                  <c:v>1.9822425427137569</c:v>
                </c:pt>
                <c:pt idx="183">
                  <c:v>2.002236715974663</c:v>
                </c:pt>
                <c:pt idx="184">
                  <c:v>2.0182132586508281</c:v>
                </c:pt>
                <c:pt idx="185">
                  <c:v>2.0381839369960342</c:v>
                </c:pt>
                <c:pt idx="186">
                  <c:v>2.0581781102569408</c:v>
                </c:pt>
                <c:pt idx="187">
                  <c:v>2.0741546529331054</c:v>
                </c:pt>
                <c:pt idx="188">
                  <c:v>2.094148826194012</c:v>
                </c:pt>
                <c:pt idx="189">
                  <c:v>2.1141195045392176</c:v>
                </c:pt>
                <c:pt idx="190">
                  <c:v>2.1301195421310832</c:v>
                </c:pt>
                <c:pt idx="191">
                  <c:v>2.1460960848072479</c:v>
                </c:pt>
                <c:pt idx="192">
                  <c:v>2.1620726274834126</c:v>
                </c:pt>
                <c:pt idx="193">
                  <c:v>2.1780726650752777</c:v>
                </c:pt>
                <c:pt idx="194">
                  <c:v>2.1940492077514429</c:v>
                </c:pt>
                <c:pt idx="195">
                  <c:v>2.210049245343308</c:v>
                </c:pt>
                <c:pt idx="196">
                  <c:v>2.2260257880194727</c:v>
                </c:pt>
                <c:pt idx="197">
                  <c:v>2.2420023306956374</c:v>
                </c:pt>
                <c:pt idx="198">
                  <c:v>2.2619965039565439</c:v>
                </c:pt>
                <c:pt idx="199">
                  <c:v>2.2779730466327091</c:v>
                </c:pt>
                <c:pt idx="200">
                  <c:v>2.2939730842245738</c:v>
                </c:pt>
                <c:pt idx="201">
                  <c:v>2.3139437625697798</c:v>
                </c:pt>
                <c:pt idx="202">
                  <c:v>2.3339379358306864</c:v>
                </c:pt>
                <c:pt idx="203">
                  <c:v>2.3539556040072931</c:v>
                </c:pt>
                <c:pt idx="204">
                  <c:v>2.3739262823524991</c:v>
                </c:pt>
                <c:pt idx="205">
                  <c:v>2.3938969606977052</c:v>
                </c:pt>
                <c:pt idx="206">
                  <c:v>2.4138676390429112</c:v>
                </c:pt>
                <c:pt idx="207">
                  <c:v>2.4338383173881173</c:v>
                </c:pt>
                <c:pt idx="208">
                  <c:v>2.4538089957333233</c:v>
                </c:pt>
                <c:pt idx="209">
                  <c:v>2.4737796740785298</c:v>
                </c:pt>
                <c:pt idx="210">
                  <c:v>2.4937503524237354</c:v>
                </c:pt>
                <c:pt idx="211">
                  <c:v>2.5137210307689415</c:v>
                </c:pt>
                <c:pt idx="212">
                  <c:v>2.529697573445107</c:v>
                </c:pt>
                <c:pt idx="213">
                  <c:v>2.5496682517903126</c:v>
                </c:pt>
                <c:pt idx="214">
                  <c:v>2.5696389301355187</c:v>
                </c:pt>
                <c:pt idx="215">
                  <c:v>2.5896096084807252</c:v>
                </c:pt>
                <c:pt idx="216">
                  <c:v>2.6095802868259308</c:v>
                </c:pt>
                <c:pt idx="217">
                  <c:v>2.6255568295020959</c:v>
                </c:pt>
                <c:pt idx="218">
                  <c:v>2.6457624570043046</c:v>
                </c:pt>
                <c:pt idx="219">
                  <c:v>2.6657331353495102</c:v>
                </c:pt>
                <c:pt idx="220">
                  <c:v>2.6857038136947171</c:v>
                </c:pt>
                <c:pt idx="221">
                  <c:v>2.7056744920399227</c:v>
                </c:pt>
                <c:pt idx="222">
                  <c:v>2.7256451703851288</c:v>
                </c:pt>
                <c:pt idx="223">
                  <c:v>2.7416217130612934</c:v>
                </c:pt>
                <c:pt idx="224">
                  <c:v>2.7615923914064999</c:v>
                </c:pt>
                <c:pt idx="225">
                  <c:v>2.781563069751706</c:v>
                </c:pt>
                <c:pt idx="226">
                  <c:v>2.8015337480969116</c:v>
                </c:pt>
                <c:pt idx="227">
                  <c:v>2.8175102907730771</c:v>
                </c:pt>
                <c:pt idx="228">
                  <c:v>2.8374809691182827</c:v>
                </c:pt>
                <c:pt idx="229">
                  <c:v>2.8534575117944478</c:v>
                </c:pt>
                <c:pt idx="230">
                  <c:v>2.8734281901396539</c:v>
                </c:pt>
                <c:pt idx="231">
                  <c:v>2.889404732815819</c:v>
                </c:pt>
                <c:pt idx="232">
                  <c:v>2.909375411161025</c:v>
                </c:pt>
                <c:pt idx="233">
                  <c:v>2.9253519538371897</c:v>
                </c:pt>
                <c:pt idx="234">
                  <c:v>2.9453226321823962</c:v>
                </c:pt>
                <c:pt idx="235">
                  <c:v>2.9652933105276018</c:v>
                </c:pt>
                <c:pt idx="236">
                  <c:v>2.9812698532037669</c:v>
                </c:pt>
                <c:pt idx="237">
                  <c:v>3.0012405315489725</c:v>
                </c:pt>
                <c:pt idx="238">
                  <c:v>3.0212112098941795</c:v>
                </c:pt>
                <c:pt idx="239">
                  <c:v>3.0374227017273463</c:v>
                </c:pt>
                <c:pt idx="240">
                  <c:v>3.0573933800725523</c:v>
                </c:pt>
                <c:pt idx="241">
                  <c:v>3.0733699227487175</c:v>
                </c:pt>
                <c:pt idx="242">
                  <c:v>3.1013288724320063</c:v>
                </c:pt>
                <c:pt idx="243">
                  <c:v>3.1292878221152942</c:v>
                </c:pt>
                <c:pt idx="244">
                  <c:v>3.1572467717985826</c:v>
                </c:pt>
                <c:pt idx="245">
                  <c:v>3.1812115858128305</c:v>
                </c:pt>
                <c:pt idx="246">
                  <c:v>3.2091705354961189</c:v>
                </c:pt>
                <c:pt idx="247">
                  <c:v>3.2371294851794077</c:v>
                </c:pt>
                <c:pt idx="248">
                  <c:v>3.2610942991936551</c:v>
                </c:pt>
                <c:pt idx="249">
                  <c:v>3.2890532488769431</c:v>
                </c:pt>
                <c:pt idx="250">
                  <c:v>3.3170121985602319</c:v>
                </c:pt>
                <c:pt idx="251">
                  <c:v>3.3409770125744789</c:v>
                </c:pt>
                <c:pt idx="252">
                  <c:v>3.3689359622577673</c:v>
                </c:pt>
                <c:pt idx="253">
                  <c:v>3.3929007762720147</c:v>
                </c:pt>
                <c:pt idx="254">
                  <c:v>3.4168655902862621</c:v>
                </c:pt>
                <c:pt idx="255">
                  <c:v>3.4450594891265531</c:v>
                </c:pt>
                <c:pt idx="256">
                  <c:v>3.4690243031408006</c:v>
                </c:pt>
                <c:pt idx="257">
                  <c:v>3.4929891171550476</c:v>
                </c:pt>
                <c:pt idx="258">
                  <c:v>3.516953931169295</c:v>
                </c:pt>
                <c:pt idx="259">
                  <c:v>3.5409187451835429</c:v>
                </c:pt>
                <c:pt idx="260">
                  <c:v>3.5688776948668308</c:v>
                </c:pt>
                <c:pt idx="261">
                  <c:v>3.5928425088810783</c:v>
                </c:pt>
                <c:pt idx="262">
                  <c:v>3.6168073228953257</c:v>
                </c:pt>
                <c:pt idx="263">
                  <c:v>3.6407721369095731</c:v>
                </c:pt>
                <c:pt idx="264">
                  <c:v>3.6647369509238201</c:v>
                </c:pt>
                <c:pt idx="265">
                  <c:v>3.6887017649380676</c:v>
                </c:pt>
                <c:pt idx="266">
                  <c:v>3.7126665789523154</c:v>
                </c:pt>
                <c:pt idx="267">
                  <c:v>3.736631392966562</c:v>
                </c:pt>
                <c:pt idx="268">
                  <c:v>3.7605962069808094</c:v>
                </c:pt>
                <c:pt idx="269">
                  <c:v>3.7845610209950573</c:v>
                </c:pt>
                <c:pt idx="270">
                  <c:v>3.8085258350093039</c:v>
                </c:pt>
                <c:pt idx="271">
                  <c:v>3.8324906490235513</c:v>
                </c:pt>
                <c:pt idx="272">
                  <c:v>3.8566904121948014</c:v>
                </c:pt>
                <c:pt idx="273">
                  <c:v>3.8806552262090483</c:v>
                </c:pt>
                <c:pt idx="274">
                  <c:v>3.9046200402232958</c:v>
                </c:pt>
                <c:pt idx="275">
                  <c:v>3.9325789899065842</c:v>
                </c:pt>
                <c:pt idx="276">
                  <c:v>3.956543803920832</c:v>
                </c:pt>
                <c:pt idx="277">
                  <c:v>3.9845027536041204</c:v>
                </c:pt>
                <c:pt idx="278">
                  <c:v>4.0084675676183679</c:v>
                </c:pt>
                <c:pt idx="279">
                  <c:v>4.0364265173016562</c:v>
                </c:pt>
                <c:pt idx="280">
                  <c:v>4.0603913313159037</c:v>
                </c:pt>
                <c:pt idx="281">
                  <c:v>4.0843561453301511</c:v>
                </c:pt>
                <c:pt idx="282">
                  <c:v>4.1123150950134395</c:v>
                </c:pt>
                <c:pt idx="283">
                  <c:v>4.1442681803657688</c:v>
                </c:pt>
                <c:pt idx="284">
                  <c:v>4.18021540138714</c:v>
                </c:pt>
                <c:pt idx="285">
                  <c:v>4.2161626224085111</c:v>
                </c:pt>
                <c:pt idx="286">
                  <c:v>4.2483506569178431</c:v>
                </c:pt>
                <c:pt idx="287">
                  <c:v>4.2842978779392142</c:v>
                </c:pt>
                <c:pt idx="288">
                  <c:v>4.3202450989605854</c:v>
                </c:pt>
                <c:pt idx="289">
                  <c:v>4.3561923199819557</c:v>
                </c:pt>
                <c:pt idx="290">
                  <c:v>4.3921395410033268</c:v>
                </c:pt>
                <c:pt idx="291">
                  <c:v>4.428086762024698</c:v>
                </c:pt>
                <c:pt idx="292">
                  <c:v>4.4640339830460691</c:v>
                </c:pt>
                <c:pt idx="293">
                  <c:v>4.4999812040674394</c:v>
                </c:pt>
                <c:pt idx="294">
                  <c:v>4.5359284250888106</c:v>
                </c:pt>
                <c:pt idx="295">
                  <c:v>4.5718756461101817</c:v>
                </c:pt>
                <c:pt idx="296">
                  <c:v>4.6118170028005938</c:v>
                </c:pt>
                <c:pt idx="297">
                  <c:v>4.647764223821965</c:v>
                </c:pt>
                <c:pt idx="298">
                  <c:v>4.6839463940003396</c:v>
                </c:pt>
                <c:pt idx="299">
                  <c:v>4.7238877506907508</c:v>
                </c:pt>
                <c:pt idx="300">
                  <c:v>4.7638291073811629</c:v>
                </c:pt>
                <c:pt idx="301">
                  <c:v>4.7997763284025341</c:v>
                </c:pt>
                <c:pt idx="302">
                  <c:v>4.8317294137548634</c:v>
                </c:pt>
                <c:pt idx="303">
                  <c:v>4.8676766347762346</c:v>
                </c:pt>
                <c:pt idx="304">
                  <c:v>4.9036238557976057</c:v>
                </c:pt>
                <c:pt idx="305">
                  <c:v>4.9435652124880178</c:v>
                </c:pt>
                <c:pt idx="306">
                  <c:v>4.979512433509389</c:v>
                </c:pt>
                <c:pt idx="307">
                  <c:v>5.0194537901998002</c:v>
                </c:pt>
                <c:pt idx="308">
                  <c:v>5.0556359603781749</c:v>
                </c:pt>
                <c:pt idx="309">
                  <c:v>5.0875890457305042</c:v>
                </c:pt>
                <c:pt idx="310">
                  <c:v>5.1275304024209163</c:v>
                </c:pt>
                <c:pt idx="311">
                  <c:v>5.1674717591113293</c:v>
                </c:pt>
                <c:pt idx="312">
                  <c:v>5.2114072514707814</c:v>
                </c:pt>
                <c:pt idx="313">
                  <c:v>5.2553427438302354</c:v>
                </c:pt>
                <c:pt idx="314">
                  <c:v>5.2952841005206475</c:v>
                </c:pt>
                <c:pt idx="315">
                  <c:v>5.3352254572110605</c:v>
                </c:pt>
                <c:pt idx="316">
                  <c:v>5.3791609495705135</c:v>
                </c:pt>
                <c:pt idx="317">
                  <c:v>5.4191023062609256</c:v>
                </c:pt>
                <c:pt idx="318">
                  <c:v>5.4590436629513368</c:v>
                </c:pt>
                <c:pt idx="319">
                  <c:v>5.5032141044677934</c:v>
                </c:pt>
                <c:pt idx="320">
                  <c:v>5.5431554611582055</c:v>
                </c:pt>
                <c:pt idx="321">
                  <c:v>5.5870909535176594</c:v>
                </c:pt>
                <c:pt idx="322">
                  <c:v>5.6270323102080706</c:v>
                </c:pt>
                <c:pt idx="323">
                  <c:v>5.6709678025675245</c:v>
                </c:pt>
                <c:pt idx="324">
                  <c:v>5.7109091592579366</c:v>
                </c:pt>
                <c:pt idx="325">
                  <c:v>5.7548446516173897</c:v>
                </c:pt>
                <c:pt idx="326">
                  <c:v>5.7947860083078027</c:v>
                </c:pt>
                <c:pt idx="327">
                  <c:v>5.8387215006672557</c:v>
                </c:pt>
                <c:pt idx="328">
                  <c:v>5.8788978065146704</c:v>
                </c:pt>
                <c:pt idx="329">
                  <c:v>5.9228332988741244</c:v>
                </c:pt>
                <c:pt idx="330">
                  <c:v>5.9667687912335774</c:v>
                </c:pt>
                <c:pt idx="331">
                  <c:v>6.0107042835930304</c:v>
                </c:pt>
                <c:pt idx="332">
                  <c:v>6.0546397759524835</c:v>
                </c:pt>
                <c:pt idx="333">
                  <c:v>6.0945811326428956</c:v>
                </c:pt>
                <c:pt idx="334">
                  <c:v>6.1385166250023495</c:v>
                </c:pt>
                <c:pt idx="335">
                  <c:v>6.1944345243689263</c:v>
                </c:pt>
                <c:pt idx="336">
                  <c:v>6.2463582880664639</c:v>
                </c:pt>
                <c:pt idx="337">
                  <c:v>6.3025111365900424</c:v>
                </c:pt>
                <c:pt idx="338">
                  <c:v>6.3544349002875782</c:v>
                </c:pt>
                <c:pt idx="339">
                  <c:v>6.4063586639851149</c:v>
                </c:pt>
                <c:pt idx="340">
                  <c:v>6.4622765633516916</c:v>
                </c:pt>
                <c:pt idx="341">
                  <c:v>6.5142003270492266</c:v>
                </c:pt>
                <c:pt idx="342">
                  <c:v>6.5701182264158033</c:v>
                </c:pt>
                <c:pt idx="343">
                  <c:v>6.626036125782381</c:v>
                </c:pt>
                <c:pt idx="344">
                  <c:v>6.6821889743059613</c:v>
                </c:pt>
                <c:pt idx="345">
                  <c:v>6.7301186023344544</c:v>
                </c:pt>
                <c:pt idx="346">
                  <c:v>6.786036501701032</c:v>
                </c:pt>
                <c:pt idx="347">
                  <c:v>6.8419544010676088</c:v>
                </c:pt>
                <c:pt idx="348">
                  <c:v>6.8978723004341864</c:v>
                </c:pt>
                <c:pt idx="349">
                  <c:v>6.9458019284626813</c:v>
                </c:pt>
                <c:pt idx="350">
                  <c:v>7.0017198278292572</c:v>
                </c:pt>
                <c:pt idx="351">
                  <c:v>7.0576377271958348</c:v>
                </c:pt>
                <c:pt idx="352">
                  <c:v>7.1137905757194142</c:v>
                </c:pt>
                <c:pt idx="353">
                  <c:v>7.1617202037479091</c:v>
                </c:pt>
                <c:pt idx="354">
                  <c:v>7.2176381031144858</c:v>
                </c:pt>
                <c:pt idx="355">
                  <c:v>7.2735560024810626</c:v>
                </c:pt>
                <c:pt idx="356">
                  <c:v>7.3334680375166812</c:v>
                </c:pt>
                <c:pt idx="357">
                  <c:v>7.3893859368832588</c:v>
                </c:pt>
                <c:pt idx="358">
                  <c:v>7.4492979719188774</c:v>
                </c:pt>
                <c:pt idx="359">
                  <c:v>7.5094449561114978</c:v>
                </c:pt>
                <c:pt idx="360">
                  <c:v>7.5653628554780754</c:v>
                </c:pt>
                <c:pt idx="361">
                  <c:v>7.625274890513694</c:v>
                </c:pt>
                <c:pt idx="362">
                  <c:v>7.6851869255493126</c:v>
                </c:pt>
                <c:pt idx="363">
                  <c:v>7.7450989605849294</c:v>
                </c:pt>
                <c:pt idx="364">
                  <c:v>7.8010168599515062</c:v>
                </c:pt>
                <c:pt idx="365">
                  <c:v>7.8609288949871248</c:v>
                </c:pt>
                <c:pt idx="366">
                  <c:v>7.921075879179746</c:v>
                </c:pt>
                <c:pt idx="367">
                  <c:v>7.9809879142153646</c:v>
                </c:pt>
                <c:pt idx="368">
                  <c:v>8.0408999492509832</c:v>
                </c:pt>
                <c:pt idx="369">
                  <c:v>8.1008119842866009</c:v>
                </c:pt>
                <c:pt idx="370">
                  <c:v>8.1607240193222186</c:v>
                </c:pt>
                <c:pt idx="371">
                  <c:v>8.2206360543578363</c:v>
                </c:pt>
                <c:pt idx="372">
                  <c:v>8.2927654455575812</c:v>
                </c:pt>
                <c:pt idx="373">
                  <c:v>8.3566716162622416</c:v>
                </c:pt>
                <c:pt idx="374">
                  <c:v>8.428566058304984</c:v>
                </c:pt>
                <c:pt idx="375">
                  <c:v>8.5004605003477263</c:v>
                </c:pt>
                <c:pt idx="376">
                  <c:v>8.5643666710523849</c:v>
                </c:pt>
                <c:pt idx="377">
                  <c:v>8.6362611130951272</c:v>
                </c:pt>
                <c:pt idx="378">
                  <c:v>8.7004022329567903</c:v>
                </c:pt>
                <c:pt idx="379">
                  <c:v>8.7722966749995308</c:v>
                </c:pt>
                <c:pt idx="380">
                  <c:v>8.8362028457041912</c:v>
                </c:pt>
                <c:pt idx="381">
                  <c:v>8.9041031520778908</c:v>
                </c:pt>
                <c:pt idx="382">
                  <c:v>8.9680093227825495</c:v>
                </c:pt>
                <c:pt idx="383">
                  <c:v>9.0319154934872117</c:v>
                </c:pt>
                <c:pt idx="384">
                  <c:v>9.0958216641918685</c:v>
                </c:pt>
                <c:pt idx="385">
                  <c:v>9.1599627840535298</c:v>
                </c:pt>
                <c:pt idx="386">
                  <c:v>9.2278630904272312</c:v>
                </c:pt>
                <c:pt idx="387">
                  <c:v>9.3037516681390162</c:v>
                </c:pt>
                <c:pt idx="388">
                  <c:v>9.3836343815198386</c:v>
                </c:pt>
                <c:pt idx="389">
                  <c:v>9.4635170949006646</c:v>
                </c:pt>
                <c:pt idx="390">
                  <c:v>9.5436347574384897</c:v>
                </c:pt>
                <c:pt idx="391">
                  <c:v>9.6235174708193156</c:v>
                </c:pt>
                <c:pt idx="392">
                  <c:v>9.7034001842001398</c:v>
                </c:pt>
                <c:pt idx="393">
                  <c:v>9.7832828975809623</c:v>
                </c:pt>
                <c:pt idx="394">
                  <c:v>9.8551773396237063</c:v>
                </c:pt>
                <c:pt idx="395">
                  <c:v>9.9352950021615332</c:v>
                </c:pt>
                <c:pt idx="396">
                  <c:v>10.007189444204274</c:v>
                </c:pt>
                <c:pt idx="397">
                  <c:v>10.0870721575851</c:v>
                </c:pt>
                <c:pt idx="398">
                  <c:v>10.170949006634963</c:v>
                </c:pt>
                <c:pt idx="399">
                  <c:v>10.254825855684832</c:v>
                </c:pt>
                <c:pt idx="400">
                  <c:v>10.334943518222659</c:v>
                </c:pt>
                <c:pt idx="401">
                  <c:v>10.422814502941563</c:v>
                </c:pt>
                <c:pt idx="402">
                  <c:v>10.502697216322389</c:v>
                </c:pt>
                <c:pt idx="403">
                  <c:v>10.590568201041295</c:v>
                </c:pt>
                <c:pt idx="404">
                  <c:v>10.67444505009116</c:v>
                </c:pt>
                <c:pt idx="405">
                  <c:v>10.75855684829803</c:v>
                </c:pt>
                <c:pt idx="406">
                  <c:v>10.842433697347895</c:v>
                </c:pt>
                <c:pt idx="407">
                  <c:v>10.930304682066803</c:v>
                </c:pt>
                <c:pt idx="408">
                  <c:v>11.014181531116668</c:v>
                </c:pt>
                <c:pt idx="409">
                  <c:v>11.098058380166533</c:v>
                </c:pt>
                <c:pt idx="410">
                  <c:v>11.182170178373401</c:v>
                </c:pt>
                <c:pt idx="411">
                  <c:v>11.266047027423266</c:v>
                </c:pt>
                <c:pt idx="412">
                  <c:v>11.365900419149296</c:v>
                </c:pt>
                <c:pt idx="413">
                  <c:v>11.461759675206284</c:v>
                </c:pt>
                <c:pt idx="414">
                  <c:v>11.56184801608932</c:v>
                </c:pt>
                <c:pt idx="415">
                  <c:v>11.657707272146309</c:v>
                </c:pt>
                <c:pt idx="416">
                  <c:v>11.745578256865215</c:v>
                </c:pt>
                <c:pt idx="417">
                  <c:v>11.845431648591246</c:v>
                </c:pt>
                <c:pt idx="418">
                  <c:v>11.933537582467155</c:v>
                </c:pt>
                <c:pt idx="419">
                  <c:v>12.033390974193184</c:v>
                </c:pt>
                <c:pt idx="420">
                  <c:v>12.133244365919216</c:v>
                </c:pt>
                <c:pt idx="421">
                  <c:v>12.22111535063812</c:v>
                </c:pt>
                <c:pt idx="422">
                  <c:v>12.320968742364153</c:v>
                </c:pt>
                <c:pt idx="423">
                  <c:v>12.421057083247184</c:v>
                </c:pt>
                <c:pt idx="424">
                  <c:v>12.520910474973215</c:v>
                </c:pt>
                <c:pt idx="425">
                  <c:v>12.624758002368289</c:v>
                </c:pt>
                <c:pt idx="426">
                  <c:v>12.724611394094319</c:v>
                </c:pt>
                <c:pt idx="427">
                  <c:v>12.824699734977351</c:v>
                </c:pt>
                <c:pt idx="428">
                  <c:v>12.928547262372422</c:v>
                </c:pt>
                <c:pt idx="429">
                  <c:v>13.028400654098453</c:v>
                </c:pt>
                <c:pt idx="430">
                  <c:v>13.132248181493527</c:v>
                </c:pt>
                <c:pt idx="431">
                  <c:v>13.23233652237656</c:v>
                </c:pt>
                <c:pt idx="432">
                  <c:v>13.332189914102591</c:v>
                </c:pt>
                <c:pt idx="433">
                  <c:v>13.43603744149766</c:v>
                </c:pt>
                <c:pt idx="434">
                  <c:v>13.53988496889273</c:v>
                </c:pt>
                <c:pt idx="435">
                  <c:v>13.643967445444808</c:v>
                </c:pt>
                <c:pt idx="436">
                  <c:v>13.751809108508919</c:v>
                </c:pt>
                <c:pt idx="437">
                  <c:v>13.859650771573031</c:v>
                </c:pt>
                <c:pt idx="438">
                  <c:v>13.963733248125108</c:v>
                </c:pt>
                <c:pt idx="439">
                  <c:v>14.071574911189218</c:v>
                </c:pt>
                <c:pt idx="440">
                  <c:v>14.175422438584292</c:v>
                </c:pt>
                <c:pt idx="441">
                  <c:v>14.279269965979362</c:v>
                </c:pt>
                <c:pt idx="442">
                  <c:v>14.387346578200479</c:v>
                </c:pt>
                <c:pt idx="443">
                  <c:v>14.511164783940757</c:v>
                </c:pt>
                <c:pt idx="444">
                  <c:v>14.623000582673908</c:v>
                </c:pt>
                <c:pt idx="445">
                  <c:v>14.746818788414188</c:v>
                </c:pt>
                <c:pt idx="446">
                  <c:v>14.870871943311469</c:v>
                </c:pt>
                <c:pt idx="447">
                  <c:v>14.982707742044624</c:v>
                </c:pt>
                <c:pt idx="448">
                  <c:v>15.106525947784901</c:v>
                </c:pt>
                <c:pt idx="449">
                  <c:v>15.230579102682182</c:v>
                </c:pt>
                <c:pt idx="450">
                  <c:v>15.354397308422458</c:v>
                </c:pt>
                <c:pt idx="451">
                  <c:v>15.478215514162736</c:v>
                </c:pt>
                <c:pt idx="452">
                  <c:v>15.602268669060019</c:v>
                </c:pt>
                <c:pt idx="453">
                  <c:v>15.730081010469334</c:v>
                </c:pt>
                <c:pt idx="454">
                  <c:v>15.853899216209612</c:v>
                </c:pt>
                <c:pt idx="455">
                  <c:v>15.981946506775934</c:v>
                </c:pt>
                <c:pt idx="456">
                  <c:v>16.105764712516212</c:v>
                </c:pt>
                <c:pt idx="457">
                  <c:v>16.233577053925533</c:v>
                </c:pt>
                <c:pt idx="458">
                  <c:v>16.36138939533485</c:v>
                </c:pt>
                <c:pt idx="459">
                  <c:v>16.489436685901172</c:v>
                </c:pt>
                <c:pt idx="460">
                  <c:v>16.617249027310489</c:v>
                </c:pt>
                <c:pt idx="461">
                  <c:v>16.74506136871981</c:v>
                </c:pt>
                <c:pt idx="462">
                  <c:v>16.873108659286132</c:v>
                </c:pt>
                <c:pt idx="463">
                  <c:v>17.000921000695453</c:v>
                </c:pt>
                <c:pt idx="464">
                  <c:v>17.12873334210477</c:v>
                </c:pt>
                <c:pt idx="465">
                  <c:v>17.256780632671092</c:v>
                </c:pt>
                <c:pt idx="466">
                  <c:v>17.384592974080409</c:v>
                </c:pt>
                <c:pt idx="467">
                  <c:v>17.524387722496851</c:v>
                </c:pt>
                <c:pt idx="468">
                  <c:v>17.664417420070297</c:v>
                </c:pt>
                <c:pt idx="469">
                  <c:v>17.808206304155782</c:v>
                </c:pt>
                <c:pt idx="470">
                  <c:v>17.951995188241266</c:v>
                </c:pt>
                <c:pt idx="471">
                  <c:v>18.100013157152794</c:v>
                </c:pt>
                <c:pt idx="472">
                  <c:v>18.243802041238279</c:v>
                </c:pt>
                <c:pt idx="473">
                  <c:v>18.391585060992799</c:v>
                </c:pt>
                <c:pt idx="474">
                  <c:v>18.535608894235288</c:v>
                </c:pt>
                <c:pt idx="475">
                  <c:v>18.679397778320769</c:v>
                </c:pt>
                <c:pt idx="476">
                  <c:v>18.823421611563258</c:v>
                </c:pt>
                <c:pt idx="477">
                  <c:v>18.979192902655868</c:v>
                </c:pt>
                <c:pt idx="478">
                  <c:v>19.122981786741349</c:v>
                </c:pt>
                <c:pt idx="479">
                  <c:v>19.270999755652877</c:v>
                </c:pt>
                <c:pt idx="480">
                  <c:v>19.418782775407404</c:v>
                </c:pt>
                <c:pt idx="481">
                  <c:v>19.566565795161925</c:v>
                </c:pt>
                <c:pt idx="482">
                  <c:v>19.726566171080577</c:v>
                </c:pt>
                <c:pt idx="483">
                  <c:v>19.894319869180311</c:v>
                </c:pt>
                <c:pt idx="484">
                  <c:v>20.058314380768003</c:v>
                </c:pt>
                <c:pt idx="485">
                  <c:v>20.210091536191573</c:v>
                </c:pt>
                <c:pt idx="486">
                  <c:v>20.3778452342913</c:v>
                </c:pt>
                <c:pt idx="487">
                  <c:v>20.541839745878992</c:v>
                </c:pt>
                <c:pt idx="488">
                  <c:v>20.709593443978726</c:v>
                </c:pt>
                <c:pt idx="489">
                  <c:v>20.87758209123546</c:v>
                </c:pt>
                <c:pt idx="490">
                  <c:v>21.04932992500423</c:v>
                </c:pt>
                <c:pt idx="491">
                  <c:v>21.21708362310396</c:v>
                </c:pt>
                <c:pt idx="492">
                  <c:v>21.385072270360698</c:v>
                </c:pt>
                <c:pt idx="493">
                  <c:v>21.556820104129468</c:v>
                </c:pt>
                <c:pt idx="494">
                  <c:v>21.724808751386199</c:v>
                </c:pt>
                <c:pt idx="495">
                  <c:v>21.892562449485933</c:v>
                </c:pt>
                <c:pt idx="496">
                  <c:v>22.060551096742667</c:v>
                </c:pt>
                <c:pt idx="497">
                  <c:v>22.228304794842401</c:v>
                </c:pt>
                <c:pt idx="498">
                  <c:v>22.396058492942128</c:v>
                </c:pt>
                <c:pt idx="499">
                  <c:v>22.564047140198859</c:v>
                </c:pt>
                <c:pt idx="500">
                  <c:v>22.747777380974757</c:v>
                </c:pt>
                <c:pt idx="501">
                  <c:v>22.931742570907655</c:v>
                </c:pt>
                <c:pt idx="502">
                  <c:v>23.115472811683553</c:v>
                </c:pt>
                <c:pt idx="503">
                  <c:v>23.291449730278369</c:v>
                </c:pt>
                <c:pt idx="504">
                  <c:v>23.471185835385224</c:v>
                </c:pt>
                <c:pt idx="505">
                  <c:v>23.654681127004118</c:v>
                </c:pt>
                <c:pt idx="506">
                  <c:v>23.83794146946601</c:v>
                </c:pt>
                <c:pt idx="507">
                  <c:v>24.023551303497925</c:v>
                </c:pt>
                <c:pt idx="508">
                  <c:v>24.218559103809934</c:v>
                </c:pt>
                <c:pt idx="509">
                  <c:v>24.413566904121947</c:v>
                </c:pt>
                <c:pt idx="510">
                  <c:v>24.599176738153865</c:v>
                </c:pt>
                <c:pt idx="511">
                  <c:v>24.798883521605926</c:v>
                </c:pt>
                <c:pt idx="512">
                  <c:v>24.998590305057988</c:v>
                </c:pt>
                <c:pt idx="513">
                  <c:v>25.198297088510049</c:v>
                </c:pt>
                <c:pt idx="514">
                  <c:v>25.398003871962107</c:v>
                </c:pt>
                <c:pt idx="515">
                  <c:v>25.597710655414172</c:v>
                </c:pt>
                <c:pt idx="516">
                  <c:v>25.809164896716354</c:v>
                </c:pt>
                <c:pt idx="517">
                  <c:v>26.013570663308464</c:v>
                </c:pt>
                <c:pt idx="518">
                  <c:v>26.215626938330544</c:v>
                </c:pt>
                <c:pt idx="519">
                  <c:v>26.424731688062707</c:v>
                </c:pt>
                <c:pt idx="520">
                  <c:v>26.640884912504937</c:v>
                </c:pt>
                <c:pt idx="521">
                  <c:v>26.84764017066707</c:v>
                </c:pt>
                <c:pt idx="522">
                  <c:v>27.059094411969252</c:v>
                </c:pt>
                <c:pt idx="523">
                  <c:v>27.268199161701407</c:v>
                </c:pt>
                <c:pt idx="524">
                  <c:v>27.479653403003589</c:v>
                </c:pt>
                <c:pt idx="525">
                  <c:v>27.686408661165729</c:v>
                </c:pt>
                <c:pt idx="526">
                  <c:v>27.919008326598128</c:v>
                </c:pt>
                <c:pt idx="527">
                  <c:v>28.146909008890475</c:v>
                </c:pt>
                <c:pt idx="528">
                  <c:v>28.379508674322881</c:v>
                </c:pt>
                <c:pt idx="529">
                  <c:v>28.602710373475183</c:v>
                </c:pt>
                <c:pt idx="530">
                  <c:v>28.830611055767534</c:v>
                </c:pt>
                <c:pt idx="531">
                  <c:v>29.053812754919836</c:v>
                </c:pt>
                <c:pt idx="532">
                  <c:v>29.281713437212186</c:v>
                </c:pt>
                <c:pt idx="533">
                  <c:v>29.504915136364488</c:v>
                </c:pt>
                <c:pt idx="534">
                  <c:v>29.732815818656842</c:v>
                </c:pt>
                <c:pt idx="535">
                  <c:v>29.977162941939369</c:v>
                </c:pt>
                <c:pt idx="536">
                  <c:v>30.221510065221889</c:v>
                </c:pt>
                <c:pt idx="537">
                  <c:v>30.465857188504408</c:v>
                </c:pt>
                <c:pt idx="538">
                  <c:v>30.707854820216905</c:v>
                </c:pt>
                <c:pt idx="539">
                  <c:v>30.952201943499432</c:v>
                </c:pt>
                <c:pt idx="540">
                  <c:v>31.196549066781948</c:v>
                </c:pt>
                <c:pt idx="541">
                  <c:v>31.436197206924422</c:v>
                </c:pt>
                <c:pt idx="542">
                  <c:v>31.675845347066897</c:v>
                </c:pt>
                <c:pt idx="543">
                  <c:v>31.922541961919443</c:v>
                </c:pt>
                <c:pt idx="544">
                  <c:v>32.171588068342011</c:v>
                </c:pt>
                <c:pt idx="545">
                  <c:v>32.432381632614707</c:v>
                </c:pt>
                <c:pt idx="546">
                  <c:v>32.679078247467253</c:v>
                </c:pt>
                <c:pt idx="547">
                  <c:v>32.925774862319798</c:v>
                </c:pt>
                <c:pt idx="548">
                  <c:v>33.193616901302555</c:v>
                </c:pt>
                <c:pt idx="549">
                  <c:v>33.466157923425378</c:v>
                </c:pt>
                <c:pt idx="550">
                  <c:v>33.733999962408134</c:v>
                </c:pt>
                <c:pt idx="551">
                  <c:v>33.990094543540785</c:v>
                </c:pt>
                <c:pt idx="552">
                  <c:v>34.262635565663594</c:v>
                </c:pt>
                <c:pt idx="553">
                  <c:v>34.530477604646357</c:v>
                </c:pt>
                <c:pt idx="554">
                  <c:v>34.793620660489076</c:v>
                </c:pt>
                <c:pt idx="555">
                  <c:v>35.068511174181907</c:v>
                </c:pt>
                <c:pt idx="556">
                  <c:v>35.345751179444775</c:v>
                </c:pt>
                <c:pt idx="557">
                  <c:v>35.620641693137607</c:v>
                </c:pt>
                <c:pt idx="558">
                  <c:v>35.900231189970491</c:v>
                </c:pt>
                <c:pt idx="559">
                  <c:v>36.19626712779354</c:v>
                </c:pt>
                <c:pt idx="560">
                  <c:v>36.492303065616603</c:v>
                </c:pt>
                <c:pt idx="561">
                  <c:v>36.771892562449487</c:v>
                </c:pt>
                <c:pt idx="562">
                  <c:v>37.063229517132498</c:v>
                </c:pt>
                <c:pt idx="563">
                  <c:v>37.359265454955548</c:v>
                </c:pt>
                <c:pt idx="564">
                  <c:v>37.650602409638552</c:v>
                </c:pt>
                <c:pt idx="565">
                  <c:v>37.95133733060166</c:v>
                </c:pt>
                <c:pt idx="566">
                  <c:v>38.245023776854687</c:v>
                </c:pt>
                <c:pt idx="567">
                  <c:v>38.54105971467775</c:v>
                </c:pt>
                <c:pt idx="568">
                  <c:v>38.846493618780904</c:v>
                </c:pt>
                <c:pt idx="569">
                  <c:v>39.149578031314022</c:v>
                </c:pt>
                <c:pt idx="570">
                  <c:v>39.45266244384716</c:v>
                </c:pt>
                <c:pt idx="571">
                  <c:v>39.77219329737045</c:v>
                </c:pt>
                <c:pt idx="572">
                  <c:v>40.091724150893747</c:v>
                </c:pt>
                <c:pt idx="573">
                  <c:v>40.408905512847021</c:v>
                </c:pt>
                <c:pt idx="574">
                  <c:v>40.71903840009022</c:v>
                </c:pt>
                <c:pt idx="575">
                  <c:v>41.031520778903449</c:v>
                </c:pt>
                <c:pt idx="576">
                  <c:v>41.360449598706843</c:v>
                </c:pt>
                <c:pt idx="577">
                  <c:v>41.682329943800156</c:v>
                </c:pt>
                <c:pt idx="578">
                  <c:v>42.006559780463512</c:v>
                </c:pt>
                <c:pt idx="579">
                  <c:v>42.347236058117026</c:v>
                </c:pt>
                <c:pt idx="580">
                  <c:v>42.685562844200511</c:v>
                </c:pt>
                <c:pt idx="581">
                  <c:v>43.014491664003906</c:v>
                </c:pt>
                <c:pt idx="582">
                  <c:v>43.362216416367502</c:v>
                </c:pt>
                <c:pt idx="583">
                  <c:v>43.70524218559104</c:v>
                </c:pt>
                <c:pt idx="584">
                  <c:v>44.041219480104509</c:v>
                </c:pt>
                <c:pt idx="585">
                  <c:v>44.395992707178166</c:v>
                </c:pt>
                <c:pt idx="586">
                  <c:v>44.748416442681801</c:v>
                </c:pt>
                <c:pt idx="587">
                  <c:v>45.096141195045398</c:v>
                </c:pt>
                <c:pt idx="588">
                  <c:v>45.450914422119055</c:v>
                </c:pt>
                <c:pt idx="589">
                  <c:v>45.803338157622697</c:v>
                </c:pt>
                <c:pt idx="590">
                  <c:v>46.1628103678364</c:v>
                </c:pt>
                <c:pt idx="591">
                  <c:v>46.531680544330207</c:v>
                </c:pt>
                <c:pt idx="592">
                  <c:v>46.898201229253992</c:v>
                </c:pt>
                <c:pt idx="593">
                  <c:v>47.257673439467709</c:v>
                </c:pt>
                <c:pt idx="594">
                  <c:v>47.628893107531532</c:v>
                </c:pt>
                <c:pt idx="595">
                  <c:v>48.004811758735414</c:v>
                </c:pt>
                <c:pt idx="596">
                  <c:v>48.364283968949124</c:v>
                </c:pt>
                <c:pt idx="597">
                  <c:v>48.683814822472414</c:v>
                </c:pt>
                <c:pt idx="598">
                  <c:v>48.784842959983465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9-45C3-9DCD-169445E98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340079"/>
        <c:axId val="669327599"/>
      </c:lineChart>
      <c:catAx>
        <c:axId val="66934007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9327599"/>
        <c:crosses val="autoZero"/>
        <c:auto val="1"/>
        <c:lblAlgn val="ctr"/>
        <c:lblOffset val="100"/>
        <c:noMultiLvlLbl val="0"/>
      </c:catAx>
      <c:valAx>
        <c:axId val="6693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934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'A22-4'!$C$2:$C$589</c:f>
              <c:numCache>
                <c:formatCode>0.00</c:formatCode>
                <c:ptCount val="588"/>
                <c:pt idx="0">
                  <c:v>1.1911400000000001E-4</c:v>
                </c:pt>
                <c:pt idx="1">
                  <c:v>1.8293400000000001E-2</c:v>
                </c:pt>
                <c:pt idx="2">
                  <c:v>1.8459E-2</c:v>
                </c:pt>
                <c:pt idx="3">
                  <c:v>1.8624600000000002E-2</c:v>
                </c:pt>
                <c:pt idx="4">
                  <c:v>1.8792199999999998E-2</c:v>
                </c:pt>
                <c:pt idx="5">
                  <c:v>1.89578E-2</c:v>
                </c:pt>
                <c:pt idx="6">
                  <c:v>1.9125199999999998E-2</c:v>
                </c:pt>
                <c:pt idx="7">
                  <c:v>1.9292800000000002E-2</c:v>
                </c:pt>
                <c:pt idx="8">
                  <c:v>1.9458400000000001E-2</c:v>
                </c:pt>
                <c:pt idx="9">
                  <c:v>1.9625999999999998E-2</c:v>
                </c:pt>
                <c:pt idx="10">
                  <c:v>1.9791599999999999E-2</c:v>
                </c:pt>
                <c:pt idx="11">
                  <c:v>1.9959000000000001E-2</c:v>
                </c:pt>
                <c:pt idx="12">
                  <c:v>2.0125999999999998E-2</c:v>
                </c:pt>
                <c:pt idx="13">
                  <c:v>2.0291999999999998E-2</c:v>
                </c:pt>
                <c:pt idx="14">
                  <c:v>2.0459999999999999E-2</c:v>
                </c:pt>
                <c:pt idx="15">
                  <c:v>2.0626000000000002E-2</c:v>
                </c:pt>
                <c:pt idx="16">
                  <c:v>2.0792000000000001E-2</c:v>
                </c:pt>
                <c:pt idx="17">
                  <c:v>2.0958000000000001E-2</c:v>
                </c:pt>
                <c:pt idx="18">
                  <c:v>2.1124E-2</c:v>
                </c:pt>
                <c:pt idx="19">
                  <c:v>2.1291999999999998E-2</c:v>
                </c:pt>
                <c:pt idx="20">
                  <c:v>2.146E-2</c:v>
                </c:pt>
                <c:pt idx="21">
                  <c:v>2.1652000000000001E-2</c:v>
                </c:pt>
                <c:pt idx="22">
                  <c:v>2.1819999999999999E-2</c:v>
                </c:pt>
                <c:pt idx="23">
                  <c:v>2.2016000000000001E-2</c:v>
                </c:pt>
                <c:pt idx="24">
                  <c:v>2.2210000000000001E-2</c:v>
                </c:pt>
                <c:pt idx="25">
                  <c:v>2.2404E-2</c:v>
                </c:pt>
                <c:pt idx="26">
                  <c:v>2.2597999999999997E-2</c:v>
                </c:pt>
                <c:pt idx="27">
                  <c:v>2.2792E-2</c:v>
                </c:pt>
                <c:pt idx="28">
                  <c:v>2.2985999999999999E-2</c:v>
                </c:pt>
                <c:pt idx="29">
                  <c:v>2.3179999999999999E-2</c:v>
                </c:pt>
                <c:pt idx="30">
                  <c:v>2.3376000000000001E-2</c:v>
                </c:pt>
                <c:pt idx="31">
                  <c:v>2.3570000000000001E-2</c:v>
                </c:pt>
                <c:pt idx="32">
                  <c:v>2.3765999999999999E-2</c:v>
                </c:pt>
                <c:pt idx="33">
                  <c:v>2.3959999999999999E-2</c:v>
                </c:pt>
                <c:pt idx="34">
                  <c:v>2.4153999999999998E-2</c:v>
                </c:pt>
                <c:pt idx="35">
                  <c:v>2.4348000000000002E-2</c:v>
                </c:pt>
                <c:pt idx="36">
                  <c:v>2.4542000000000001E-2</c:v>
                </c:pt>
                <c:pt idx="37">
                  <c:v>2.4735999999999998E-2</c:v>
                </c:pt>
                <c:pt idx="38">
                  <c:v>2.4929999999999997E-2</c:v>
                </c:pt>
                <c:pt idx="39">
                  <c:v>2.5125999999999999E-2</c:v>
                </c:pt>
                <c:pt idx="40">
                  <c:v>2.5322000000000001E-2</c:v>
                </c:pt>
                <c:pt idx="41">
                  <c:v>2.5541999999999999E-2</c:v>
                </c:pt>
                <c:pt idx="42">
                  <c:v>2.5763999999999999E-2</c:v>
                </c:pt>
                <c:pt idx="43">
                  <c:v>2.5985999999999999E-2</c:v>
                </c:pt>
                <c:pt idx="44">
                  <c:v>2.6207999999999999E-2</c:v>
                </c:pt>
                <c:pt idx="45">
                  <c:v>2.6429999999999999E-2</c:v>
                </c:pt>
                <c:pt idx="46">
                  <c:v>2.6654000000000001E-2</c:v>
                </c:pt>
                <c:pt idx="47">
                  <c:v>2.6876000000000001E-2</c:v>
                </c:pt>
                <c:pt idx="48">
                  <c:v>2.7098000000000001E-2</c:v>
                </c:pt>
                <c:pt idx="49">
                  <c:v>2.7317999999999999E-2</c:v>
                </c:pt>
                <c:pt idx="50">
                  <c:v>2.7543999999999999E-2</c:v>
                </c:pt>
                <c:pt idx="51">
                  <c:v>2.7764E-2</c:v>
                </c:pt>
                <c:pt idx="52">
                  <c:v>2.7957999999999997E-2</c:v>
                </c:pt>
                <c:pt idx="53">
                  <c:v>2.8181999999999999E-2</c:v>
                </c:pt>
                <c:pt idx="54">
                  <c:v>2.8403999999999999E-2</c:v>
                </c:pt>
                <c:pt idx="55">
                  <c:v>2.8625999999999999E-2</c:v>
                </c:pt>
                <c:pt idx="56">
                  <c:v>2.8874E-2</c:v>
                </c:pt>
                <c:pt idx="57">
                  <c:v>2.9125999999999999E-2</c:v>
                </c:pt>
                <c:pt idx="58">
                  <c:v>2.9376000000000003E-2</c:v>
                </c:pt>
                <c:pt idx="59">
                  <c:v>2.9626E-2</c:v>
                </c:pt>
                <c:pt idx="60">
                  <c:v>2.9876E-2</c:v>
                </c:pt>
                <c:pt idx="61">
                  <c:v>3.0123999999999998E-2</c:v>
                </c:pt>
                <c:pt idx="62">
                  <c:v>3.0376E-2</c:v>
                </c:pt>
                <c:pt idx="63">
                  <c:v>3.0626E-2</c:v>
                </c:pt>
                <c:pt idx="64">
                  <c:v>3.0874000000000002E-2</c:v>
                </c:pt>
                <c:pt idx="65">
                  <c:v>3.1126000000000001E-2</c:v>
                </c:pt>
                <c:pt idx="66">
                  <c:v>3.1376000000000001E-2</c:v>
                </c:pt>
                <c:pt idx="67">
                  <c:v>3.1626000000000001E-2</c:v>
                </c:pt>
                <c:pt idx="68">
                  <c:v>3.1874E-2</c:v>
                </c:pt>
                <c:pt idx="69">
                  <c:v>3.2126000000000002E-2</c:v>
                </c:pt>
                <c:pt idx="70">
                  <c:v>3.2374E-2</c:v>
                </c:pt>
                <c:pt idx="71">
                  <c:v>3.2626000000000002E-2</c:v>
                </c:pt>
                <c:pt idx="72">
                  <c:v>3.2902000000000001E-2</c:v>
                </c:pt>
                <c:pt idx="73">
                  <c:v>3.3180000000000001E-2</c:v>
                </c:pt>
                <c:pt idx="74">
                  <c:v>3.3460000000000004E-2</c:v>
                </c:pt>
                <c:pt idx="75">
                  <c:v>3.3736000000000002E-2</c:v>
                </c:pt>
                <c:pt idx="76">
                  <c:v>3.4014000000000003E-2</c:v>
                </c:pt>
                <c:pt idx="77">
                  <c:v>3.4291999999999996E-2</c:v>
                </c:pt>
                <c:pt idx="78">
                  <c:v>3.4569999999999997E-2</c:v>
                </c:pt>
                <c:pt idx="79">
                  <c:v>3.4847999999999997E-2</c:v>
                </c:pt>
                <c:pt idx="80">
                  <c:v>3.5125999999999998E-2</c:v>
                </c:pt>
                <c:pt idx="81">
                  <c:v>3.5402000000000003E-2</c:v>
                </c:pt>
                <c:pt idx="82">
                  <c:v>3.5680000000000003E-2</c:v>
                </c:pt>
                <c:pt idx="83">
                  <c:v>3.5959999999999999E-2</c:v>
                </c:pt>
                <c:pt idx="84">
                  <c:v>3.6263999999999998E-2</c:v>
                </c:pt>
                <c:pt idx="85">
                  <c:v>3.6514000000000005E-2</c:v>
                </c:pt>
                <c:pt idx="86">
                  <c:v>3.6822000000000001E-2</c:v>
                </c:pt>
                <c:pt idx="87">
                  <c:v>3.7095999999999997E-2</c:v>
                </c:pt>
                <c:pt idx="88">
                  <c:v>3.7263999999999999E-2</c:v>
                </c:pt>
                <c:pt idx="89">
                  <c:v>3.7432E-2</c:v>
                </c:pt>
                <c:pt idx="90">
                  <c:v>3.7626E-2</c:v>
                </c:pt>
                <c:pt idx="91">
                  <c:v>3.7873999999999998E-2</c:v>
                </c:pt>
                <c:pt idx="92">
                  <c:v>3.8126E-2</c:v>
                </c:pt>
                <c:pt idx="93">
                  <c:v>3.8348E-2</c:v>
                </c:pt>
                <c:pt idx="94">
                  <c:v>3.8542E-2</c:v>
                </c:pt>
                <c:pt idx="95">
                  <c:v>3.8738000000000002E-2</c:v>
                </c:pt>
                <c:pt idx="96">
                  <c:v>3.8958E-2</c:v>
                </c:pt>
                <c:pt idx="97">
                  <c:v>3.9126000000000001E-2</c:v>
                </c:pt>
                <c:pt idx="98">
                  <c:v>3.9264E-2</c:v>
                </c:pt>
                <c:pt idx="99">
                  <c:v>3.943E-2</c:v>
                </c:pt>
                <c:pt idx="100">
                  <c:v>3.9598000000000001E-2</c:v>
                </c:pt>
                <c:pt idx="101">
                  <c:v>3.9765999999999996E-2</c:v>
                </c:pt>
                <c:pt idx="102">
                  <c:v>3.9931999999999995E-2</c:v>
                </c:pt>
                <c:pt idx="103">
                  <c:v>4.0069999999999995E-2</c:v>
                </c:pt>
                <c:pt idx="104">
                  <c:v>4.0208000000000001E-2</c:v>
                </c:pt>
                <c:pt idx="105">
                  <c:v>4.0346E-2</c:v>
                </c:pt>
                <c:pt idx="106">
                  <c:v>4.0487999999999996E-2</c:v>
                </c:pt>
                <c:pt idx="107">
                  <c:v>4.0625999999999995E-2</c:v>
                </c:pt>
                <c:pt idx="108">
                  <c:v>4.0763999999999995E-2</c:v>
                </c:pt>
                <c:pt idx="109">
                  <c:v>4.0903999999999996E-2</c:v>
                </c:pt>
                <c:pt idx="110">
                  <c:v>4.1041999999999995E-2</c:v>
                </c:pt>
                <c:pt idx="111">
                  <c:v>4.1154000000000003E-2</c:v>
                </c:pt>
                <c:pt idx="112">
                  <c:v>4.1292000000000002E-2</c:v>
                </c:pt>
                <c:pt idx="113">
                  <c:v>4.1403999999999996E-2</c:v>
                </c:pt>
                <c:pt idx="114">
                  <c:v>4.1542000000000003E-2</c:v>
                </c:pt>
                <c:pt idx="115">
                  <c:v>4.1653999999999997E-2</c:v>
                </c:pt>
                <c:pt idx="116">
                  <c:v>4.1791999999999996E-2</c:v>
                </c:pt>
                <c:pt idx="117">
                  <c:v>4.1902000000000002E-2</c:v>
                </c:pt>
                <c:pt idx="118">
                  <c:v>4.2013999999999996E-2</c:v>
                </c:pt>
                <c:pt idx="119">
                  <c:v>4.2153999999999997E-2</c:v>
                </c:pt>
                <c:pt idx="120">
                  <c:v>4.2266000000000005E-2</c:v>
                </c:pt>
                <c:pt idx="121">
                  <c:v>4.2375999999999997E-2</c:v>
                </c:pt>
                <c:pt idx="122">
                  <c:v>4.2485999999999996E-2</c:v>
                </c:pt>
                <c:pt idx="123">
                  <c:v>4.2598000000000004E-2</c:v>
                </c:pt>
                <c:pt idx="124">
                  <c:v>4.2736000000000003E-2</c:v>
                </c:pt>
                <c:pt idx="125">
                  <c:v>4.2847999999999997E-2</c:v>
                </c:pt>
                <c:pt idx="126">
                  <c:v>4.2960000000000005E-2</c:v>
                </c:pt>
                <c:pt idx="127">
                  <c:v>4.3097999999999997E-2</c:v>
                </c:pt>
                <c:pt idx="128">
                  <c:v>4.3208000000000003E-2</c:v>
                </c:pt>
                <c:pt idx="129">
                  <c:v>4.3319999999999997E-2</c:v>
                </c:pt>
                <c:pt idx="130">
                  <c:v>4.3429999999999996E-2</c:v>
                </c:pt>
                <c:pt idx="131">
                  <c:v>4.3570000000000005E-2</c:v>
                </c:pt>
                <c:pt idx="132">
                  <c:v>4.3710000000000006E-2</c:v>
                </c:pt>
                <c:pt idx="133">
                  <c:v>4.3822E-2</c:v>
                </c:pt>
                <c:pt idx="134">
                  <c:v>4.3929999999999997E-2</c:v>
                </c:pt>
                <c:pt idx="135">
                  <c:v>4.4067999999999996E-2</c:v>
                </c:pt>
                <c:pt idx="136">
                  <c:v>4.4209999999999999E-2</c:v>
                </c:pt>
                <c:pt idx="137">
                  <c:v>4.4322E-2</c:v>
                </c:pt>
                <c:pt idx="138">
                  <c:v>4.446E-2</c:v>
                </c:pt>
                <c:pt idx="139">
                  <c:v>4.4569999999999999E-2</c:v>
                </c:pt>
                <c:pt idx="140">
                  <c:v>4.4679999999999997E-2</c:v>
                </c:pt>
                <c:pt idx="141">
                  <c:v>4.4790000000000003E-2</c:v>
                </c:pt>
                <c:pt idx="142">
                  <c:v>4.4932E-2</c:v>
                </c:pt>
                <c:pt idx="143">
                  <c:v>4.5041999999999999E-2</c:v>
                </c:pt>
                <c:pt idx="144">
                  <c:v>4.5154E-2</c:v>
                </c:pt>
                <c:pt idx="145">
                  <c:v>4.5266000000000001E-2</c:v>
                </c:pt>
                <c:pt idx="146">
                  <c:v>4.5376E-2</c:v>
                </c:pt>
                <c:pt idx="147">
                  <c:v>4.5486000000000006E-2</c:v>
                </c:pt>
                <c:pt idx="148">
                  <c:v>4.5595999999999998E-2</c:v>
                </c:pt>
                <c:pt idx="149">
                  <c:v>4.5707999999999999E-2</c:v>
                </c:pt>
                <c:pt idx="150">
                  <c:v>4.582E-2</c:v>
                </c:pt>
                <c:pt idx="151">
                  <c:v>4.5929999999999999E-2</c:v>
                </c:pt>
                <c:pt idx="152">
                  <c:v>4.6042E-2</c:v>
                </c:pt>
                <c:pt idx="153">
                  <c:v>4.6154000000000001E-2</c:v>
                </c:pt>
                <c:pt idx="154">
                  <c:v>4.6264E-2</c:v>
                </c:pt>
                <c:pt idx="155">
                  <c:v>4.6376000000000001E-2</c:v>
                </c:pt>
                <c:pt idx="156">
                  <c:v>4.6458000000000006E-2</c:v>
                </c:pt>
                <c:pt idx="157">
                  <c:v>4.657E-2</c:v>
                </c:pt>
                <c:pt idx="158">
                  <c:v>4.6681999999999994E-2</c:v>
                </c:pt>
                <c:pt idx="159">
                  <c:v>4.6794000000000002E-2</c:v>
                </c:pt>
                <c:pt idx="160">
                  <c:v>4.6904000000000001E-2</c:v>
                </c:pt>
                <c:pt idx="161">
                  <c:v>4.7013999999999993E-2</c:v>
                </c:pt>
                <c:pt idx="162">
                  <c:v>4.7126000000000001E-2</c:v>
                </c:pt>
                <c:pt idx="163">
                  <c:v>4.7236E-2</c:v>
                </c:pt>
                <c:pt idx="164">
                  <c:v>4.7348000000000001E-2</c:v>
                </c:pt>
                <c:pt idx="165">
                  <c:v>4.7458E-2</c:v>
                </c:pt>
                <c:pt idx="166">
                  <c:v>4.7569999999999994E-2</c:v>
                </c:pt>
                <c:pt idx="167">
                  <c:v>4.7682000000000002E-2</c:v>
                </c:pt>
                <c:pt idx="168">
                  <c:v>4.7789999999999999E-2</c:v>
                </c:pt>
                <c:pt idx="169">
                  <c:v>4.7904000000000002E-2</c:v>
                </c:pt>
                <c:pt idx="170">
                  <c:v>4.8015999999999996E-2</c:v>
                </c:pt>
                <c:pt idx="171">
                  <c:v>4.8125999999999995E-2</c:v>
                </c:pt>
                <c:pt idx="172">
                  <c:v>4.8236000000000001E-2</c:v>
                </c:pt>
                <c:pt idx="173">
                  <c:v>4.8349999999999997E-2</c:v>
                </c:pt>
                <c:pt idx="174">
                  <c:v>4.8460000000000003E-2</c:v>
                </c:pt>
                <c:pt idx="175">
                  <c:v>4.8570000000000002E-2</c:v>
                </c:pt>
                <c:pt idx="176">
                  <c:v>4.8654000000000003E-2</c:v>
                </c:pt>
                <c:pt idx="177">
                  <c:v>4.8764000000000002E-2</c:v>
                </c:pt>
                <c:pt idx="178">
                  <c:v>4.8876000000000003E-2</c:v>
                </c:pt>
                <c:pt idx="179">
                  <c:v>4.8987999999999997E-2</c:v>
                </c:pt>
                <c:pt idx="180">
                  <c:v>4.9100000000000005E-2</c:v>
                </c:pt>
                <c:pt idx="181">
                  <c:v>4.9210000000000004E-2</c:v>
                </c:pt>
                <c:pt idx="182">
                  <c:v>4.9318000000000001E-2</c:v>
                </c:pt>
                <c:pt idx="183">
                  <c:v>4.9429999999999995E-2</c:v>
                </c:pt>
                <c:pt idx="184">
                  <c:v>4.9542000000000003E-2</c:v>
                </c:pt>
                <c:pt idx="185">
                  <c:v>4.9652000000000002E-2</c:v>
                </c:pt>
                <c:pt idx="186">
                  <c:v>4.9764000000000003E-2</c:v>
                </c:pt>
                <c:pt idx="187">
                  <c:v>4.9875999999999997E-2</c:v>
                </c:pt>
                <c:pt idx="188">
                  <c:v>4.9958000000000002E-2</c:v>
                </c:pt>
                <c:pt idx="189">
                  <c:v>5.0068000000000001E-2</c:v>
                </c:pt>
                <c:pt idx="190">
                  <c:v>5.0179999999999995E-2</c:v>
                </c:pt>
                <c:pt idx="191">
                  <c:v>5.0262000000000001E-2</c:v>
                </c:pt>
                <c:pt idx="192">
                  <c:v>5.0374000000000002E-2</c:v>
                </c:pt>
                <c:pt idx="193">
                  <c:v>5.0457999999999996E-2</c:v>
                </c:pt>
                <c:pt idx="194">
                  <c:v>5.0568000000000002E-2</c:v>
                </c:pt>
                <c:pt idx="195">
                  <c:v>5.0681999999999998E-2</c:v>
                </c:pt>
                <c:pt idx="196">
                  <c:v>5.0792000000000004E-2</c:v>
                </c:pt>
                <c:pt idx="197">
                  <c:v>5.0873999999999996E-2</c:v>
                </c:pt>
                <c:pt idx="198">
                  <c:v>5.0986000000000004E-2</c:v>
                </c:pt>
                <c:pt idx="199">
                  <c:v>5.1070000000000004E-2</c:v>
                </c:pt>
                <c:pt idx="200">
                  <c:v>5.1154000000000005E-2</c:v>
                </c:pt>
                <c:pt idx="201">
                  <c:v>5.1265999999999999E-2</c:v>
                </c:pt>
                <c:pt idx="202">
                  <c:v>5.1348000000000005E-2</c:v>
                </c:pt>
                <c:pt idx="203">
                  <c:v>5.1459999999999999E-2</c:v>
                </c:pt>
                <c:pt idx="204">
                  <c:v>5.1542000000000004E-2</c:v>
                </c:pt>
                <c:pt idx="205">
                  <c:v>5.1653999999999999E-2</c:v>
                </c:pt>
                <c:pt idx="206">
                  <c:v>5.1737999999999999E-2</c:v>
                </c:pt>
                <c:pt idx="207">
                  <c:v>5.1847999999999998E-2</c:v>
                </c:pt>
                <c:pt idx="208">
                  <c:v>5.1958000000000004E-2</c:v>
                </c:pt>
                <c:pt idx="209">
                  <c:v>5.2069999999999998E-2</c:v>
                </c:pt>
                <c:pt idx="210">
                  <c:v>5.2153999999999999E-2</c:v>
                </c:pt>
                <c:pt idx="211">
                  <c:v>5.2236000000000005E-2</c:v>
                </c:pt>
                <c:pt idx="212">
                  <c:v>5.2320000000000005E-2</c:v>
                </c:pt>
                <c:pt idx="213">
                  <c:v>5.2430000000000004E-2</c:v>
                </c:pt>
                <c:pt idx="214">
                  <c:v>5.2514000000000005E-2</c:v>
                </c:pt>
                <c:pt idx="215">
                  <c:v>5.2598000000000006E-2</c:v>
                </c:pt>
                <c:pt idx="216">
                  <c:v>5.271E-2</c:v>
                </c:pt>
                <c:pt idx="217">
                  <c:v>5.2794000000000001E-2</c:v>
                </c:pt>
                <c:pt idx="218">
                  <c:v>5.2904E-2</c:v>
                </c:pt>
                <c:pt idx="219">
                  <c:v>5.2988E-2</c:v>
                </c:pt>
                <c:pt idx="220">
                  <c:v>5.3070000000000006E-2</c:v>
                </c:pt>
                <c:pt idx="221">
                  <c:v>5.3151999999999998E-2</c:v>
                </c:pt>
                <c:pt idx="222">
                  <c:v>5.3263999999999999E-2</c:v>
                </c:pt>
                <c:pt idx="223">
                  <c:v>5.3348000000000007E-2</c:v>
                </c:pt>
                <c:pt idx="224">
                  <c:v>5.3432000000000007E-2</c:v>
                </c:pt>
                <c:pt idx="225">
                  <c:v>5.3513999999999999E-2</c:v>
                </c:pt>
                <c:pt idx="226">
                  <c:v>5.3598E-2</c:v>
                </c:pt>
                <c:pt idx="227">
                  <c:v>5.3680000000000005E-2</c:v>
                </c:pt>
                <c:pt idx="228">
                  <c:v>5.3766000000000001E-2</c:v>
                </c:pt>
                <c:pt idx="229">
                  <c:v>5.3848E-2</c:v>
                </c:pt>
                <c:pt idx="230">
                  <c:v>5.3929999999999999E-2</c:v>
                </c:pt>
                <c:pt idx="231">
                  <c:v>5.4014E-2</c:v>
                </c:pt>
                <c:pt idx="232">
                  <c:v>5.4096000000000005E-2</c:v>
                </c:pt>
                <c:pt idx="233">
                  <c:v>5.4179999999999999E-2</c:v>
                </c:pt>
                <c:pt idx="234">
                  <c:v>5.4264E-2</c:v>
                </c:pt>
                <c:pt idx="235">
                  <c:v>5.4348E-2</c:v>
                </c:pt>
                <c:pt idx="236">
                  <c:v>5.4432000000000001E-2</c:v>
                </c:pt>
                <c:pt idx="237">
                  <c:v>5.4513999999999993E-2</c:v>
                </c:pt>
                <c:pt idx="238">
                  <c:v>5.4598000000000008E-2</c:v>
                </c:pt>
                <c:pt idx="239">
                  <c:v>5.4682000000000001E-2</c:v>
                </c:pt>
                <c:pt idx="240">
                  <c:v>5.4764E-2</c:v>
                </c:pt>
                <c:pt idx="241">
                  <c:v>5.4848000000000001E-2</c:v>
                </c:pt>
                <c:pt idx="242">
                  <c:v>5.4930000000000007E-2</c:v>
                </c:pt>
                <c:pt idx="243">
                  <c:v>5.5014E-2</c:v>
                </c:pt>
                <c:pt idx="244">
                  <c:v>5.5098000000000001E-2</c:v>
                </c:pt>
                <c:pt idx="245">
                  <c:v>5.5182000000000002E-2</c:v>
                </c:pt>
                <c:pt idx="246">
                  <c:v>5.5266000000000003E-2</c:v>
                </c:pt>
                <c:pt idx="247">
                  <c:v>5.5350000000000003E-2</c:v>
                </c:pt>
                <c:pt idx="248">
                  <c:v>5.543E-2</c:v>
                </c:pt>
                <c:pt idx="249">
                  <c:v>5.5514000000000001E-2</c:v>
                </c:pt>
                <c:pt idx="250">
                  <c:v>5.5598000000000002E-2</c:v>
                </c:pt>
                <c:pt idx="251">
                  <c:v>5.5652E-2</c:v>
                </c:pt>
                <c:pt idx="252">
                  <c:v>5.5792000000000001E-2</c:v>
                </c:pt>
                <c:pt idx="253">
                  <c:v>5.5903999999999995E-2</c:v>
                </c:pt>
                <c:pt idx="254">
                  <c:v>5.6016000000000003E-2</c:v>
                </c:pt>
                <c:pt idx="255">
                  <c:v>5.6125999999999995E-2</c:v>
                </c:pt>
                <c:pt idx="256">
                  <c:v>5.6235999999999994E-2</c:v>
                </c:pt>
                <c:pt idx="257">
                  <c:v>5.6348000000000002E-2</c:v>
                </c:pt>
                <c:pt idx="258">
                  <c:v>5.6458000000000001E-2</c:v>
                </c:pt>
                <c:pt idx="259">
                  <c:v>5.6570000000000002E-2</c:v>
                </c:pt>
                <c:pt idx="260">
                  <c:v>5.6680000000000001E-2</c:v>
                </c:pt>
                <c:pt idx="261">
                  <c:v>5.6791999999999995E-2</c:v>
                </c:pt>
                <c:pt idx="262">
                  <c:v>5.6904000000000003E-2</c:v>
                </c:pt>
                <c:pt idx="263">
                  <c:v>5.7013999999999995E-2</c:v>
                </c:pt>
                <c:pt idx="264">
                  <c:v>5.7123999999999994E-2</c:v>
                </c:pt>
                <c:pt idx="265">
                  <c:v>5.7207999999999995E-2</c:v>
                </c:pt>
                <c:pt idx="266">
                  <c:v>5.7320000000000003E-2</c:v>
                </c:pt>
                <c:pt idx="267">
                  <c:v>5.7401999999999995E-2</c:v>
                </c:pt>
                <c:pt idx="268">
                  <c:v>5.7514000000000003E-2</c:v>
                </c:pt>
                <c:pt idx="269">
                  <c:v>5.7625999999999997E-2</c:v>
                </c:pt>
                <c:pt idx="270">
                  <c:v>5.7736000000000003E-2</c:v>
                </c:pt>
                <c:pt idx="271">
                  <c:v>5.7847999999999997E-2</c:v>
                </c:pt>
                <c:pt idx="272">
                  <c:v>5.7930000000000002E-2</c:v>
                </c:pt>
                <c:pt idx="273">
                  <c:v>5.8041999999999996E-2</c:v>
                </c:pt>
                <c:pt idx="274">
                  <c:v>5.8124000000000002E-2</c:v>
                </c:pt>
                <c:pt idx="275">
                  <c:v>5.8235999999999996E-2</c:v>
                </c:pt>
                <c:pt idx="276">
                  <c:v>5.8319999999999997E-2</c:v>
                </c:pt>
                <c:pt idx="277">
                  <c:v>5.8432000000000005E-2</c:v>
                </c:pt>
                <c:pt idx="278">
                  <c:v>5.8513999999999997E-2</c:v>
                </c:pt>
                <c:pt idx="279">
                  <c:v>5.8624000000000002E-2</c:v>
                </c:pt>
                <c:pt idx="280">
                  <c:v>5.8710000000000005E-2</c:v>
                </c:pt>
                <c:pt idx="281">
                  <c:v>5.8819999999999997E-2</c:v>
                </c:pt>
                <c:pt idx="282">
                  <c:v>5.8903999999999998E-2</c:v>
                </c:pt>
                <c:pt idx="283">
                  <c:v>5.8986000000000004E-2</c:v>
                </c:pt>
                <c:pt idx="284">
                  <c:v>5.91E-2</c:v>
                </c:pt>
                <c:pt idx="285">
                  <c:v>5.9181999999999998E-2</c:v>
                </c:pt>
                <c:pt idx="286">
                  <c:v>5.9291999999999997E-2</c:v>
                </c:pt>
                <c:pt idx="287">
                  <c:v>5.9374000000000003E-2</c:v>
                </c:pt>
                <c:pt idx="288">
                  <c:v>5.9458000000000004E-2</c:v>
                </c:pt>
                <c:pt idx="289">
                  <c:v>5.9542000000000005E-2</c:v>
                </c:pt>
                <c:pt idx="290">
                  <c:v>5.9653999999999999E-2</c:v>
                </c:pt>
                <c:pt idx="291">
                  <c:v>5.9736000000000004E-2</c:v>
                </c:pt>
                <c:pt idx="292">
                  <c:v>5.9875999999999999E-2</c:v>
                </c:pt>
                <c:pt idx="293">
                  <c:v>5.9985999999999998E-2</c:v>
                </c:pt>
                <c:pt idx="294">
                  <c:v>6.0095999999999997E-2</c:v>
                </c:pt>
                <c:pt idx="295">
                  <c:v>6.0208000000000005E-2</c:v>
                </c:pt>
                <c:pt idx="296">
                  <c:v>6.0319999999999999E-2</c:v>
                </c:pt>
                <c:pt idx="297">
                  <c:v>6.0432E-2</c:v>
                </c:pt>
                <c:pt idx="298">
                  <c:v>6.0541999999999999E-2</c:v>
                </c:pt>
                <c:pt idx="299">
                  <c:v>6.0654000000000007E-2</c:v>
                </c:pt>
                <c:pt idx="300">
                  <c:v>6.0766000000000001E-2</c:v>
                </c:pt>
                <c:pt idx="301">
                  <c:v>6.0876E-2</c:v>
                </c:pt>
                <c:pt idx="302">
                  <c:v>6.0986000000000005E-2</c:v>
                </c:pt>
                <c:pt idx="303">
                  <c:v>6.1098E-2</c:v>
                </c:pt>
                <c:pt idx="304">
                  <c:v>6.1210000000000007E-2</c:v>
                </c:pt>
                <c:pt idx="305">
                  <c:v>6.132E-2</c:v>
                </c:pt>
                <c:pt idx="306">
                  <c:v>6.1429999999999998E-2</c:v>
                </c:pt>
                <c:pt idx="307">
                  <c:v>6.1542000000000006E-2</c:v>
                </c:pt>
                <c:pt idx="308">
                  <c:v>6.1651999999999998E-2</c:v>
                </c:pt>
                <c:pt idx="309">
                  <c:v>6.1761999999999997E-2</c:v>
                </c:pt>
                <c:pt idx="310">
                  <c:v>6.1876E-2</c:v>
                </c:pt>
                <c:pt idx="311">
                  <c:v>6.1988000000000001E-2</c:v>
                </c:pt>
                <c:pt idx="312">
                  <c:v>6.2098000000000007E-2</c:v>
                </c:pt>
                <c:pt idx="313">
                  <c:v>6.2210000000000001E-2</c:v>
                </c:pt>
                <c:pt idx="314">
                  <c:v>6.232E-2</c:v>
                </c:pt>
                <c:pt idx="315">
                  <c:v>6.2432000000000001E-2</c:v>
                </c:pt>
                <c:pt idx="316">
                  <c:v>6.2542E-2</c:v>
                </c:pt>
                <c:pt idx="317">
                  <c:v>6.2651999999999999E-2</c:v>
                </c:pt>
                <c:pt idx="318">
                  <c:v>6.2766000000000002E-2</c:v>
                </c:pt>
                <c:pt idx="319">
                  <c:v>6.2876000000000001E-2</c:v>
                </c:pt>
                <c:pt idx="320">
                  <c:v>6.2986E-2</c:v>
                </c:pt>
                <c:pt idx="321">
                  <c:v>6.3098000000000001E-2</c:v>
                </c:pt>
                <c:pt idx="322">
                  <c:v>6.3236000000000001E-2</c:v>
                </c:pt>
                <c:pt idx="323">
                  <c:v>6.3376000000000002E-2</c:v>
                </c:pt>
                <c:pt idx="324">
                  <c:v>6.3514000000000001E-2</c:v>
                </c:pt>
                <c:pt idx="325">
                  <c:v>6.3654000000000002E-2</c:v>
                </c:pt>
                <c:pt idx="326">
                  <c:v>6.3766000000000003E-2</c:v>
                </c:pt>
                <c:pt idx="327">
                  <c:v>6.3902E-2</c:v>
                </c:pt>
                <c:pt idx="328">
                  <c:v>6.4042000000000002E-2</c:v>
                </c:pt>
                <c:pt idx="329">
                  <c:v>6.4182000000000003E-2</c:v>
                </c:pt>
                <c:pt idx="330">
                  <c:v>6.4294000000000004E-2</c:v>
                </c:pt>
                <c:pt idx="331">
                  <c:v>6.4430000000000001E-2</c:v>
                </c:pt>
                <c:pt idx="332">
                  <c:v>6.4570000000000002E-2</c:v>
                </c:pt>
                <c:pt idx="333">
                  <c:v>6.4708000000000002E-2</c:v>
                </c:pt>
                <c:pt idx="334">
                  <c:v>6.4846000000000001E-2</c:v>
                </c:pt>
                <c:pt idx="335">
                  <c:v>6.4958000000000002E-2</c:v>
                </c:pt>
                <c:pt idx="336">
                  <c:v>6.5098000000000003E-2</c:v>
                </c:pt>
                <c:pt idx="337">
                  <c:v>6.5210000000000004E-2</c:v>
                </c:pt>
                <c:pt idx="338">
                  <c:v>6.5348000000000003E-2</c:v>
                </c:pt>
                <c:pt idx="339">
                  <c:v>6.5484000000000001E-2</c:v>
                </c:pt>
                <c:pt idx="340">
                  <c:v>6.5598000000000004E-2</c:v>
                </c:pt>
                <c:pt idx="341">
                  <c:v>6.5709999999999991E-2</c:v>
                </c:pt>
                <c:pt idx="342">
                  <c:v>6.5820000000000004E-2</c:v>
                </c:pt>
                <c:pt idx="343">
                  <c:v>6.5960000000000005E-2</c:v>
                </c:pt>
                <c:pt idx="344">
                  <c:v>6.6070000000000004E-2</c:v>
                </c:pt>
                <c:pt idx="345">
                  <c:v>6.6208000000000003E-2</c:v>
                </c:pt>
                <c:pt idx="346">
                  <c:v>6.6348000000000004E-2</c:v>
                </c:pt>
                <c:pt idx="347">
                  <c:v>6.6487999999999992E-2</c:v>
                </c:pt>
                <c:pt idx="348">
                  <c:v>6.6626000000000005E-2</c:v>
                </c:pt>
                <c:pt idx="349">
                  <c:v>6.6765999999999992E-2</c:v>
                </c:pt>
                <c:pt idx="350">
                  <c:v>6.6904000000000005E-2</c:v>
                </c:pt>
                <c:pt idx="351">
                  <c:v>6.7040000000000002E-2</c:v>
                </c:pt>
                <c:pt idx="352">
                  <c:v>6.7180000000000004E-2</c:v>
                </c:pt>
                <c:pt idx="353">
                  <c:v>6.7318000000000003E-2</c:v>
                </c:pt>
                <c:pt idx="354">
                  <c:v>6.7458000000000004E-2</c:v>
                </c:pt>
                <c:pt idx="355">
                  <c:v>6.7599999999999993E-2</c:v>
                </c:pt>
                <c:pt idx="356">
                  <c:v>6.7736000000000005E-2</c:v>
                </c:pt>
                <c:pt idx="357">
                  <c:v>6.7876000000000006E-2</c:v>
                </c:pt>
                <c:pt idx="358">
                  <c:v>6.8015999999999993E-2</c:v>
                </c:pt>
                <c:pt idx="359">
                  <c:v>6.8152000000000004E-2</c:v>
                </c:pt>
                <c:pt idx="360">
                  <c:v>6.8292000000000005E-2</c:v>
                </c:pt>
                <c:pt idx="361">
                  <c:v>6.8432000000000007E-2</c:v>
                </c:pt>
                <c:pt idx="362">
                  <c:v>6.8568000000000004E-2</c:v>
                </c:pt>
                <c:pt idx="363">
                  <c:v>6.8708000000000005E-2</c:v>
                </c:pt>
                <c:pt idx="364">
                  <c:v>6.8848000000000006E-2</c:v>
                </c:pt>
                <c:pt idx="365">
                  <c:v>6.8986000000000006E-2</c:v>
                </c:pt>
                <c:pt idx="366">
                  <c:v>6.9126000000000007E-2</c:v>
                </c:pt>
                <c:pt idx="367">
                  <c:v>6.9264000000000006E-2</c:v>
                </c:pt>
                <c:pt idx="368">
                  <c:v>6.9402000000000005E-2</c:v>
                </c:pt>
                <c:pt idx="369">
                  <c:v>6.9542000000000007E-2</c:v>
                </c:pt>
                <c:pt idx="370">
                  <c:v>6.9680000000000006E-2</c:v>
                </c:pt>
                <c:pt idx="371">
                  <c:v>6.9820000000000007E-2</c:v>
                </c:pt>
                <c:pt idx="372">
                  <c:v>6.9960000000000008E-2</c:v>
                </c:pt>
                <c:pt idx="373">
                  <c:v>7.0095999999999992E-2</c:v>
                </c:pt>
                <c:pt idx="374">
                  <c:v>7.0236000000000007E-2</c:v>
                </c:pt>
                <c:pt idx="375">
                  <c:v>7.0376000000000008E-2</c:v>
                </c:pt>
                <c:pt idx="376">
                  <c:v>7.0514000000000007E-2</c:v>
                </c:pt>
                <c:pt idx="377">
                  <c:v>7.0654000000000008E-2</c:v>
                </c:pt>
                <c:pt idx="378">
                  <c:v>7.0792000000000008E-2</c:v>
                </c:pt>
                <c:pt idx="379">
                  <c:v>7.0929999999999993E-2</c:v>
                </c:pt>
                <c:pt idx="380">
                  <c:v>7.1067999999999992E-2</c:v>
                </c:pt>
                <c:pt idx="381">
                  <c:v>7.1207999999999994E-2</c:v>
                </c:pt>
                <c:pt idx="382">
                  <c:v>7.1348000000000009E-2</c:v>
                </c:pt>
                <c:pt idx="383">
                  <c:v>7.1513999999999994E-2</c:v>
                </c:pt>
                <c:pt idx="384">
                  <c:v>7.1677999999999992E-2</c:v>
                </c:pt>
                <c:pt idx="385">
                  <c:v>7.1820000000000009E-2</c:v>
                </c:pt>
                <c:pt idx="386">
                  <c:v>7.1984000000000006E-2</c:v>
                </c:pt>
                <c:pt idx="387">
                  <c:v>7.2125999999999996E-2</c:v>
                </c:pt>
                <c:pt idx="388">
                  <c:v>7.2265999999999997E-2</c:v>
                </c:pt>
                <c:pt idx="389">
                  <c:v>7.2401999999999994E-2</c:v>
                </c:pt>
                <c:pt idx="390">
                  <c:v>7.2569999999999996E-2</c:v>
                </c:pt>
                <c:pt idx="391">
                  <c:v>7.2708000000000009E-2</c:v>
                </c:pt>
                <c:pt idx="392">
                  <c:v>7.2847999999999996E-2</c:v>
                </c:pt>
                <c:pt idx="393">
                  <c:v>7.2987999999999997E-2</c:v>
                </c:pt>
                <c:pt idx="394">
                  <c:v>7.3124000000000008E-2</c:v>
                </c:pt>
                <c:pt idx="395">
                  <c:v>7.3263999999999996E-2</c:v>
                </c:pt>
                <c:pt idx="396">
                  <c:v>7.3402000000000009E-2</c:v>
                </c:pt>
                <c:pt idx="397">
                  <c:v>7.3541999999999996E-2</c:v>
                </c:pt>
                <c:pt idx="398">
                  <c:v>7.3709999999999998E-2</c:v>
                </c:pt>
                <c:pt idx="399">
                  <c:v>7.3875999999999997E-2</c:v>
                </c:pt>
                <c:pt idx="400">
                  <c:v>7.4041999999999997E-2</c:v>
                </c:pt>
                <c:pt idx="401">
                  <c:v>7.4209999999999998E-2</c:v>
                </c:pt>
                <c:pt idx="402">
                  <c:v>7.4375999999999998E-2</c:v>
                </c:pt>
                <c:pt idx="403">
                  <c:v>7.4543999999999999E-2</c:v>
                </c:pt>
                <c:pt idx="404">
                  <c:v>7.4707999999999997E-2</c:v>
                </c:pt>
                <c:pt idx="405">
                  <c:v>7.4873999999999996E-2</c:v>
                </c:pt>
                <c:pt idx="406">
                  <c:v>7.5044E-2</c:v>
                </c:pt>
                <c:pt idx="407">
                  <c:v>7.5207999999999997E-2</c:v>
                </c:pt>
                <c:pt idx="408">
                  <c:v>7.5375999999999999E-2</c:v>
                </c:pt>
                <c:pt idx="409">
                  <c:v>7.5541999999999998E-2</c:v>
                </c:pt>
                <c:pt idx="410">
                  <c:v>7.5705999999999996E-2</c:v>
                </c:pt>
                <c:pt idx="411">
                  <c:v>7.5875999999999999E-2</c:v>
                </c:pt>
                <c:pt idx="412">
                  <c:v>7.6044E-2</c:v>
                </c:pt>
                <c:pt idx="413">
                  <c:v>7.6207999999999998E-2</c:v>
                </c:pt>
                <c:pt idx="414">
                  <c:v>7.6404E-2</c:v>
                </c:pt>
                <c:pt idx="415">
                  <c:v>7.6597999999999999E-2</c:v>
                </c:pt>
                <c:pt idx="416">
                  <c:v>7.6763999999999999E-2</c:v>
                </c:pt>
                <c:pt idx="417">
                  <c:v>7.6932E-2</c:v>
                </c:pt>
                <c:pt idx="418">
                  <c:v>7.7098E-2</c:v>
                </c:pt>
                <c:pt idx="419">
                  <c:v>7.7261999999999997E-2</c:v>
                </c:pt>
                <c:pt idx="420">
                  <c:v>7.7432000000000001E-2</c:v>
                </c:pt>
                <c:pt idx="421">
                  <c:v>7.7598E-2</c:v>
                </c:pt>
                <c:pt idx="422">
                  <c:v>7.7764E-2</c:v>
                </c:pt>
                <c:pt idx="423">
                  <c:v>7.7932000000000001E-2</c:v>
                </c:pt>
                <c:pt idx="424">
                  <c:v>7.8126000000000001E-2</c:v>
                </c:pt>
                <c:pt idx="425">
                  <c:v>7.8320000000000001E-2</c:v>
                </c:pt>
                <c:pt idx="426">
                  <c:v>7.8514E-2</c:v>
                </c:pt>
                <c:pt idx="427">
                  <c:v>7.8708E-2</c:v>
                </c:pt>
                <c:pt idx="428">
                  <c:v>7.8902E-2</c:v>
                </c:pt>
                <c:pt idx="429">
                  <c:v>7.9098000000000002E-2</c:v>
                </c:pt>
                <c:pt idx="430">
                  <c:v>7.9292000000000001E-2</c:v>
                </c:pt>
                <c:pt idx="431">
                  <c:v>7.9486000000000001E-2</c:v>
                </c:pt>
                <c:pt idx="432">
                  <c:v>7.9654000000000003E-2</c:v>
                </c:pt>
                <c:pt idx="433">
                  <c:v>7.9848000000000002E-2</c:v>
                </c:pt>
                <c:pt idx="434">
                  <c:v>8.0042000000000002E-2</c:v>
                </c:pt>
                <c:pt idx="435">
                  <c:v>8.0236000000000002E-2</c:v>
                </c:pt>
                <c:pt idx="436">
                  <c:v>8.0432000000000003E-2</c:v>
                </c:pt>
                <c:pt idx="437">
                  <c:v>8.0626000000000003E-2</c:v>
                </c:pt>
                <c:pt idx="438">
                  <c:v>8.0820000000000003E-2</c:v>
                </c:pt>
                <c:pt idx="439">
                  <c:v>8.1014000000000003E-2</c:v>
                </c:pt>
                <c:pt idx="440">
                  <c:v>8.1210000000000004E-2</c:v>
                </c:pt>
                <c:pt idx="441">
                  <c:v>8.140399999999999E-2</c:v>
                </c:pt>
                <c:pt idx="442">
                  <c:v>8.1595999999999988E-2</c:v>
                </c:pt>
                <c:pt idx="443">
                  <c:v>8.1792000000000004E-2</c:v>
                </c:pt>
                <c:pt idx="444">
                  <c:v>8.1988000000000005E-2</c:v>
                </c:pt>
                <c:pt idx="445">
                  <c:v>8.2208000000000003E-2</c:v>
                </c:pt>
                <c:pt idx="446">
                  <c:v>8.2403999999999991E-2</c:v>
                </c:pt>
                <c:pt idx="447">
                  <c:v>8.2598000000000005E-2</c:v>
                </c:pt>
                <c:pt idx="448">
                  <c:v>8.2791999999999991E-2</c:v>
                </c:pt>
                <c:pt idx="449">
                  <c:v>8.3016000000000006E-2</c:v>
                </c:pt>
                <c:pt idx="450">
                  <c:v>8.3208000000000004E-2</c:v>
                </c:pt>
                <c:pt idx="451">
                  <c:v>8.3404000000000006E-2</c:v>
                </c:pt>
                <c:pt idx="452">
                  <c:v>8.3626000000000006E-2</c:v>
                </c:pt>
                <c:pt idx="453">
                  <c:v>8.3821999999999994E-2</c:v>
                </c:pt>
                <c:pt idx="454">
                  <c:v>8.4041999999999992E-2</c:v>
                </c:pt>
                <c:pt idx="455">
                  <c:v>8.4263999999999992E-2</c:v>
                </c:pt>
                <c:pt idx="456">
                  <c:v>8.4486000000000006E-2</c:v>
                </c:pt>
                <c:pt idx="457">
                  <c:v>8.470599999999999E-2</c:v>
                </c:pt>
                <c:pt idx="458">
                  <c:v>8.4930000000000005E-2</c:v>
                </c:pt>
                <c:pt idx="459">
                  <c:v>8.5153999999999994E-2</c:v>
                </c:pt>
                <c:pt idx="460">
                  <c:v>8.5375999999999994E-2</c:v>
                </c:pt>
                <c:pt idx="461">
                  <c:v>8.5597999999999994E-2</c:v>
                </c:pt>
                <c:pt idx="462">
                  <c:v>8.5820000000000007E-2</c:v>
                </c:pt>
                <c:pt idx="463">
                  <c:v>8.6042000000000007E-2</c:v>
                </c:pt>
                <c:pt idx="464">
                  <c:v>8.6262000000000005E-2</c:v>
                </c:pt>
                <c:pt idx="465">
                  <c:v>8.6486000000000007E-2</c:v>
                </c:pt>
                <c:pt idx="466">
                  <c:v>8.6709999999999995E-2</c:v>
                </c:pt>
                <c:pt idx="467">
                  <c:v>8.6931999999999995E-2</c:v>
                </c:pt>
                <c:pt idx="468">
                  <c:v>8.7154000000000009E-2</c:v>
                </c:pt>
                <c:pt idx="469">
                  <c:v>8.7376000000000009E-2</c:v>
                </c:pt>
                <c:pt idx="470">
                  <c:v>8.7598000000000009E-2</c:v>
                </c:pt>
                <c:pt idx="471">
                  <c:v>8.7818000000000007E-2</c:v>
                </c:pt>
                <c:pt idx="472">
                  <c:v>8.8070000000000009E-2</c:v>
                </c:pt>
                <c:pt idx="473">
                  <c:v>8.832000000000001E-2</c:v>
                </c:pt>
                <c:pt idx="474">
                  <c:v>8.8569999999999996E-2</c:v>
                </c:pt>
                <c:pt idx="475">
                  <c:v>8.8819999999999996E-2</c:v>
                </c:pt>
                <c:pt idx="476">
                  <c:v>8.9071999999999998E-2</c:v>
                </c:pt>
                <c:pt idx="477">
                  <c:v>8.932000000000001E-2</c:v>
                </c:pt>
                <c:pt idx="478">
                  <c:v>8.9570000000000011E-2</c:v>
                </c:pt>
                <c:pt idx="479">
                  <c:v>8.9819999999999997E-2</c:v>
                </c:pt>
                <c:pt idx="480">
                  <c:v>9.0067999999999995E-2</c:v>
                </c:pt>
                <c:pt idx="481">
                  <c:v>9.0319999999999998E-2</c:v>
                </c:pt>
                <c:pt idx="482">
                  <c:v>9.0569999999999998E-2</c:v>
                </c:pt>
                <c:pt idx="483">
                  <c:v>9.0820000000000012E-2</c:v>
                </c:pt>
                <c:pt idx="484">
                  <c:v>9.1069999999999998E-2</c:v>
                </c:pt>
                <c:pt idx="485">
                  <c:v>9.1319999999999998E-2</c:v>
                </c:pt>
                <c:pt idx="486">
                  <c:v>9.1569999999999999E-2</c:v>
                </c:pt>
                <c:pt idx="487">
                  <c:v>9.1819999999999999E-2</c:v>
                </c:pt>
                <c:pt idx="488">
                  <c:v>9.2070000000000013E-2</c:v>
                </c:pt>
                <c:pt idx="489">
                  <c:v>9.2319999999999999E-2</c:v>
                </c:pt>
                <c:pt idx="490">
                  <c:v>9.257E-2</c:v>
                </c:pt>
                <c:pt idx="491">
                  <c:v>9.2822000000000002E-2</c:v>
                </c:pt>
                <c:pt idx="492">
                  <c:v>9.307E-2</c:v>
                </c:pt>
                <c:pt idx="493">
                  <c:v>9.3320000000000014E-2</c:v>
                </c:pt>
                <c:pt idx="494">
                  <c:v>9.3598000000000001E-2</c:v>
                </c:pt>
                <c:pt idx="495">
                  <c:v>9.3876000000000015E-2</c:v>
                </c:pt>
                <c:pt idx="496">
                  <c:v>9.4152E-2</c:v>
                </c:pt>
                <c:pt idx="497">
                  <c:v>9.443E-2</c:v>
                </c:pt>
                <c:pt idx="498">
                  <c:v>9.4708000000000001E-2</c:v>
                </c:pt>
                <c:pt idx="499">
                  <c:v>9.4987999999999989E-2</c:v>
                </c:pt>
                <c:pt idx="500">
                  <c:v>9.5264000000000001E-2</c:v>
                </c:pt>
                <c:pt idx="501">
                  <c:v>9.5542000000000002E-2</c:v>
                </c:pt>
                <c:pt idx="502">
                  <c:v>9.5820000000000002E-2</c:v>
                </c:pt>
                <c:pt idx="503">
                  <c:v>9.6098000000000003E-2</c:v>
                </c:pt>
                <c:pt idx="504">
                  <c:v>9.640399999999999E-2</c:v>
                </c:pt>
                <c:pt idx="505">
                  <c:v>9.6708000000000002E-2</c:v>
                </c:pt>
                <c:pt idx="506">
                  <c:v>9.7012000000000001E-2</c:v>
                </c:pt>
                <c:pt idx="507">
                  <c:v>9.731999999999999E-2</c:v>
                </c:pt>
                <c:pt idx="508">
                  <c:v>9.7626000000000004E-2</c:v>
                </c:pt>
                <c:pt idx="509">
                  <c:v>9.7929999999999989E-2</c:v>
                </c:pt>
                <c:pt idx="510">
                  <c:v>9.8236000000000004E-2</c:v>
                </c:pt>
                <c:pt idx="511">
                  <c:v>9.8539999999999989E-2</c:v>
                </c:pt>
                <c:pt idx="512">
                  <c:v>9.8848000000000005E-2</c:v>
                </c:pt>
                <c:pt idx="513">
                  <c:v>9.9154000000000006E-2</c:v>
                </c:pt>
                <c:pt idx="514">
                  <c:v>9.9458000000000005E-2</c:v>
                </c:pt>
                <c:pt idx="515">
                  <c:v>9.9765999999999994E-2</c:v>
                </c:pt>
                <c:pt idx="516">
                  <c:v>0.10006999999999999</c:v>
                </c:pt>
                <c:pt idx="517">
                  <c:v>0.10037599999999999</c:v>
                </c:pt>
                <c:pt idx="518">
                  <c:v>0.10068199999999999</c:v>
                </c:pt>
                <c:pt idx="519">
                  <c:v>0.10101399999999999</c:v>
                </c:pt>
                <c:pt idx="520">
                  <c:v>0.10131999999999999</c:v>
                </c:pt>
                <c:pt idx="521">
                  <c:v>0.10162599999999999</c:v>
                </c:pt>
                <c:pt idx="522">
                  <c:v>0.10193199999999999</c:v>
                </c:pt>
                <c:pt idx="523">
                  <c:v>0.102266</c:v>
                </c:pt>
                <c:pt idx="524">
                  <c:v>0.10259800000000001</c:v>
                </c:pt>
                <c:pt idx="525">
                  <c:v>0.10293200000000001</c:v>
                </c:pt>
                <c:pt idx="526">
                  <c:v>0.10326399999999999</c:v>
                </c:pt>
                <c:pt idx="527">
                  <c:v>0.10357</c:v>
                </c:pt>
                <c:pt idx="528">
                  <c:v>0.103904</c:v>
                </c:pt>
                <c:pt idx="529">
                  <c:v>0.10423600000000001</c:v>
                </c:pt>
                <c:pt idx="530">
                  <c:v>0.10457000000000001</c:v>
                </c:pt>
                <c:pt idx="531">
                  <c:v>0.104904</c:v>
                </c:pt>
                <c:pt idx="532">
                  <c:v>0.105238</c:v>
                </c:pt>
                <c:pt idx="533">
                  <c:v>0.105596</c:v>
                </c:pt>
                <c:pt idx="534">
                  <c:v>0.10596</c:v>
                </c:pt>
                <c:pt idx="535">
                  <c:v>0.106318</c:v>
                </c:pt>
                <c:pt idx="536">
                  <c:v>0.106682</c:v>
                </c:pt>
                <c:pt idx="537">
                  <c:v>0.10704000000000001</c:v>
                </c:pt>
                <c:pt idx="538">
                  <c:v>0.107404</c:v>
                </c:pt>
                <c:pt idx="539">
                  <c:v>0.10776400000000001</c:v>
                </c:pt>
                <c:pt idx="540">
                  <c:v>0.108126</c:v>
                </c:pt>
                <c:pt idx="541">
                  <c:v>0.108488</c:v>
                </c:pt>
                <c:pt idx="542">
                  <c:v>0.10887600000000001</c:v>
                </c:pt>
                <c:pt idx="543">
                  <c:v>0.10926399999999999</c:v>
                </c:pt>
                <c:pt idx="544">
                  <c:v>0.109654</c:v>
                </c:pt>
                <c:pt idx="545">
                  <c:v>0.11004200000000001</c:v>
                </c:pt>
                <c:pt idx="546">
                  <c:v>0.110404</c:v>
                </c:pt>
                <c:pt idx="547">
                  <c:v>0.110792</c:v>
                </c:pt>
                <c:pt idx="548">
                  <c:v>0.111182</c:v>
                </c:pt>
                <c:pt idx="549">
                  <c:v>0.11157</c:v>
                </c:pt>
                <c:pt idx="550">
                  <c:v>0.11196</c:v>
                </c:pt>
                <c:pt idx="551">
                  <c:v>0.112348</c:v>
                </c:pt>
                <c:pt idx="552">
                  <c:v>0.112736</c:v>
                </c:pt>
                <c:pt idx="553">
                  <c:v>0.113126</c:v>
                </c:pt>
                <c:pt idx="554">
                  <c:v>0.113514</c:v>
                </c:pt>
                <c:pt idx="555">
                  <c:v>0.11393</c:v>
                </c:pt>
                <c:pt idx="556">
                  <c:v>0.11432</c:v>
                </c:pt>
                <c:pt idx="557">
                  <c:v>0.114708</c:v>
                </c:pt>
                <c:pt idx="558">
                  <c:v>0.11512600000000001</c:v>
                </c:pt>
                <c:pt idx="559">
                  <c:v>0.11554199999999999</c:v>
                </c:pt>
                <c:pt idx="560">
                  <c:v>0.11596000000000001</c:v>
                </c:pt>
                <c:pt idx="561">
                  <c:v>0.11637600000000001</c:v>
                </c:pt>
                <c:pt idx="562">
                  <c:v>0.11679199999999999</c:v>
                </c:pt>
                <c:pt idx="563">
                  <c:v>0.11723599999999999</c:v>
                </c:pt>
                <c:pt idx="564">
                  <c:v>0.11768200000000001</c:v>
                </c:pt>
                <c:pt idx="565">
                  <c:v>0.11812599999999999</c:v>
                </c:pt>
                <c:pt idx="566">
                  <c:v>0.11856999999999999</c:v>
                </c:pt>
                <c:pt idx="567">
                  <c:v>0.11901400000000001</c:v>
                </c:pt>
                <c:pt idx="568">
                  <c:v>0.11945600000000001</c:v>
                </c:pt>
                <c:pt idx="569">
                  <c:v>0.119904</c:v>
                </c:pt>
                <c:pt idx="570">
                  <c:v>0.12034800000000001</c:v>
                </c:pt>
                <c:pt idx="571">
                  <c:v>0.12082000000000001</c:v>
                </c:pt>
                <c:pt idx="572">
                  <c:v>0.121266</c:v>
                </c:pt>
                <c:pt idx="573">
                  <c:v>0.12173600000000001</c:v>
                </c:pt>
                <c:pt idx="574">
                  <c:v>0.12221</c:v>
                </c:pt>
                <c:pt idx="575">
                  <c:v>0.12268000000000001</c:v>
                </c:pt>
                <c:pt idx="576">
                  <c:v>0.12315200000000001</c:v>
                </c:pt>
                <c:pt idx="577">
                  <c:v>0.123626</c:v>
                </c:pt>
                <c:pt idx="578">
                  <c:v>0.124124</c:v>
                </c:pt>
                <c:pt idx="579">
                  <c:v>0.124626</c:v>
                </c:pt>
                <c:pt idx="580">
                  <c:v>0.12512600000000001</c:v>
                </c:pt>
                <c:pt idx="581">
                  <c:v>0.12562400000000001</c:v>
                </c:pt>
                <c:pt idx="582">
                  <c:v>0.12612799999999999</c:v>
                </c:pt>
                <c:pt idx="583">
                  <c:v>0.12665399999999999</c:v>
                </c:pt>
                <c:pt idx="584">
                  <c:v>0.12717999999999999</c:v>
                </c:pt>
                <c:pt idx="585">
                  <c:v>0.12771000000000002</c:v>
                </c:pt>
                <c:pt idx="586">
                  <c:v>0.12826399999999999</c:v>
                </c:pt>
                <c:pt idx="587">
                  <c:v>0.12881999999999999</c:v>
                </c:pt>
              </c:numCache>
            </c:numRef>
          </c:cat>
          <c:val>
            <c:numRef>
              <c:f>'A22-4'!$F$2:$F$589</c:f>
              <c:numCache>
                <c:formatCode>0.00</c:formatCode>
                <c:ptCount val="588"/>
                <c:pt idx="0">
                  <c:v>0</c:v>
                </c:pt>
                <c:pt idx="1">
                  <c:v>0.15656329651656753</c:v>
                </c:pt>
                <c:pt idx="2">
                  <c:v>0.15656329651656753</c:v>
                </c:pt>
                <c:pt idx="3">
                  <c:v>0.15656329651656753</c:v>
                </c:pt>
                <c:pt idx="4">
                  <c:v>0.15656329651656753</c:v>
                </c:pt>
                <c:pt idx="5">
                  <c:v>0.15656329651656753</c:v>
                </c:pt>
                <c:pt idx="6">
                  <c:v>0.15656329651656753</c:v>
                </c:pt>
                <c:pt idx="7">
                  <c:v>0.15656329651656753</c:v>
                </c:pt>
                <c:pt idx="8">
                  <c:v>0.15656329651656753</c:v>
                </c:pt>
                <c:pt idx="9">
                  <c:v>0.15656329651656753</c:v>
                </c:pt>
                <c:pt idx="10">
                  <c:v>0.16057774001699235</c:v>
                </c:pt>
                <c:pt idx="11">
                  <c:v>0.16057774001699235</c:v>
                </c:pt>
                <c:pt idx="12">
                  <c:v>0.16057774001699235</c:v>
                </c:pt>
                <c:pt idx="13">
                  <c:v>0.16057774001699235</c:v>
                </c:pt>
                <c:pt idx="14">
                  <c:v>0.16057774001699235</c:v>
                </c:pt>
                <c:pt idx="15">
                  <c:v>0.16459218351741717</c:v>
                </c:pt>
                <c:pt idx="16">
                  <c:v>0.16860662701784196</c:v>
                </c:pt>
                <c:pt idx="17">
                  <c:v>0.16860662701784196</c:v>
                </c:pt>
                <c:pt idx="18">
                  <c:v>0.16860662701784196</c:v>
                </c:pt>
                <c:pt idx="19">
                  <c:v>0.16860662701784196</c:v>
                </c:pt>
                <c:pt idx="20">
                  <c:v>0.16860662701784196</c:v>
                </c:pt>
                <c:pt idx="21">
                  <c:v>0.17663315396960258</c:v>
                </c:pt>
                <c:pt idx="22">
                  <c:v>0.17663315396960258</c:v>
                </c:pt>
                <c:pt idx="23">
                  <c:v>0.18064759747002737</c:v>
                </c:pt>
                <c:pt idx="24">
                  <c:v>0.18466204097045219</c:v>
                </c:pt>
                <c:pt idx="25">
                  <c:v>0.19670537147172659</c:v>
                </c:pt>
                <c:pt idx="26">
                  <c:v>0.20473425847257623</c:v>
                </c:pt>
                <c:pt idx="27">
                  <c:v>0.20874870197300105</c:v>
                </c:pt>
                <c:pt idx="28">
                  <c:v>0.1926909279713018</c:v>
                </c:pt>
                <c:pt idx="29">
                  <c:v>0.18867648447087701</c:v>
                </c:pt>
                <c:pt idx="30">
                  <c:v>0.18466204097045219</c:v>
                </c:pt>
                <c:pt idx="31">
                  <c:v>0.18466204097045219</c:v>
                </c:pt>
                <c:pt idx="32">
                  <c:v>0.18867648447087701</c:v>
                </c:pt>
                <c:pt idx="33">
                  <c:v>0.19670537147172659</c:v>
                </c:pt>
                <c:pt idx="34">
                  <c:v>0.20874870197300105</c:v>
                </c:pt>
                <c:pt idx="35">
                  <c:v>0.22079203247427545</c:v>
                </c:pt>
                <c:pt idx="36">
                  <c:v>0.22480647597470024</c:v>
                </c:pt>
                <c:pt idx="37">
                  <c:v>0.23283536297554991</c:v>
                </c:pt>
                <c:pt idx="38">
                  <c:v>0.23685452657415274</c:v>
                </c:pt>
                <c:pt idx="39">
                  <c:v>0.24086661002548851</c:v>
                </c:pt>
                <c:pt idx="40">
                  <c:v>0.24086661002548851</c:v>
                </c:pt>
                <c:pt idx="41">
                  <c:v>0.24086661002548851</c:v>
                </c:pt>
                <c:pt idx="42">
                  <c:v>0.24086661002548851</c:v>
                </c:pt>
                <c:pt idx="43">
                  <c:v>0.24086661002548851</c:v>
                </c:pt>
                <c:pt idx="44">
                  <c:v>0.24086661002548851</c:v>
                </c:pt>
                <c:pt idx="45">
                  <c:v>0.24086661002548851</c:v>
                </c:pt>
                <c:pt idx="46">
                  <c:v>0.24086661002548851</c:v>
                </c:pt>
                <c:pt idx="47">
                  <c:v>0.24487869347682428</c:v>
                </c:pt>
                <c:pt idx="48">
                  <c:v>0.24487869347682428</c:v>
                </c:pt>
                <c:pt idx="49">
                  <c:v>0.24487869347682428</c:v>
                </c:pt>
                <c:pt idx="50">
                  <c:v>0.24889077692816008</c:v>
                </c:pt>
                <c:pt idx="51">
                  <c:v>0.25691494383083169</c:v>
                </c:pt>
                <c:pt idx="52">
                  <c:v>0.27298687812706501</c:v>
                </c:pt>
                <c:pt idx="53">
                  <c:v>0.28101104502973662</c:v>
                </c:pt>
                <c:pt idx="54">
                  <c:v>0.28502312848107242</c:v>
                </c:pt>
                <c:pt idx="55">
                  <c:v>0.28903521193240822</c:v>
                </c:pt>
                <c:pt idx="56">
                  <c:v>0.29304729538374402</c:v>
                </c:pt>
                <c:pt idx="57">
                  <c:v>0.29705937883507977</c:v>
                </c:pt>
                <c:pt idx="58">
                  <c:v>0.29705937883507977</c:v>
                </c:pt>
                <c:pt idx="59">
                  <c:v>0.29705937883507977</c:v>
                </c:pt>
                <c:pt idx="60">
                  <c:v>0.29705937883507977</c:v>
                </c:pt>
                <c:pt idx="61">
                  <c:v>0.29705937883507977</c:v>
                </c:pt>
                <c:pt idx="62">
                  <c:v>0.29705937883507977</c:v>
                </c:pt>
                <c:pt idx="63">
                  <c:v>0.29705937883507977</c:v>
                </c:pt>
                <c:pt idx="64">
                  <c:v>0.29705937883507977</c:v>
                </c:pt>
                <c:pt idx="65">
                  <c:v>0.29705937883507977</c:v>
                </c:pt>
                <c:pt idx="66">
                  <c:v>0.30107146228641557</c:v>
                </c:pt>
                <c:pt idx="67">
                  <c:v>0.30107146228641557</c:v>
                </c:pt>
                <c:pt idx="68">
                  <c:v>0.30107146228641557</c:v>
                </c:pt>
                <c:pt idx="69">
                  <c:v>0.30107146228641557</c:v>
                </c:pt>
                <c:pt idx="70">
                  <c:v>0.30107146228641557</c:v>
                </c:pt>
                <c:pt idx="71">
                  <c:v>0.30107146228641557</c:v>
                </c:pt>
                <c:pt idx="72">
                  <c:v>0.30510714622864155</c:v>
                </c:pt>
                <c:pt idx="73">
                  <c:v>0.30107146228641557</c:v>
                </c:pt>
                <c:pt idx="74">
                  <c:v>0.30107146228641557</c:v>
                </c:pt>
                <c:pt idx="75">
                  <c:v>0.30510714622864155</c:v>
                </c:pt>
                <c:pt idx="76">
                  <c:v>0.30510714622864155</c:v>
                </c:pt>
                <c:pt idx="77">
                  <c:v>0.30911922967997735</c:v>
                </c:pt>
                <c:pt idx="78">
                  <c:v>0.30510714622864155</c:v>
                </c:pt>
                <c:pt idx="79">
                  <c:v>0.30911922967997735</c:v>
                </c:pt>
                <c:pt idx="80">
                  <c:v>0.30911922967997735</c:v>
                </c:pt>
                <c:pt idx="81">
                  <c:v>0.31313131313131315</c:v>
                </c:pt>
                <c:pt idx="82">
                  <c:v>0.31313131313131315</c:v>
                </c:pt>
                <c:pt idx="83">
                  <c:v>0.3171433965826489</c:v>
                </c:pt>
                <c:pt idx="84">
                  <c:v>0.3251675634853205</c:v>
                </c:pt>
                <c:pt idx="85">
                  <c:v>0.34121589729066365</c:v>
                </c:pt>
                <c:pt idx="86">
                  <c:v>0.34522798074199945</c:v>
                </c:pt>
                <c:pt idx="87">
                  <c:v>0.36129991503823278</c:v>
                </c:pt>
                <c:pt idx="88">
                  <c:v>0.37734824884357593</c:v>
                </c:pt>
                <c:pt idx="89">
                  <c:v>0.39342018313980937</c:v>
                </c:pt>
                <c:pt idx="90">
                  <c:v>0.40946851694515246</c:v>
                </c:pt>
                <c:pt idx="91">
                  <c:v>0.42551685075049561</c:v>
                </c:pt>
                <c:pt idx="92">
                  <c:v>0.44158878504672888</c:v>
                </c:pt>
                <c:pt idx="93">
                  <c:v>0.46164920230340789</c:v>
                </c:pt>
                <c:pt idx="94">
                  <c:v>0.47772113659964127</c:v>
                </c:pt>
                <c:pt idx="95">
                  <c:v>0.49376947040498442</c:v>
                </c:pt>
                <c:pt idx="96">
                  <c:v>0.50984140470121786</c:v>
                </c:pt>
                <c:pt idx="97">
                  <c:v>0.52588973850656096</c:v>
                </c:pt>
                <c:pt idx="98">
                  <c:v>0.54193807231190416</c:v>
                </c:pt>
                <c:pt idx="99">
                  <c:v>0.55801000660813738</c:v>
                </c:pt>
                <c:pt idx="100">
                  <c:v>0.57405834041348069</c:v>
                </c:pt>
                <c:pt idx="101">
                  <c:v>0.59414235816104977</c:v>
                </c:pt>
                <c:pt idx="102">
                  <c:v>0.61019069196639286</c:v>
                </c:pt>
                <c:pt idx="103">
                  <c:v>0.62623902577173607</c:v>
                </c:pt>
                <c:pt idx="104">
                  <c:v>0.64231096006796939</c:v>
                </c:pt>
                <c:pt idx="105">
                  <c:v>0.65835929387331249</c:v>
                </c:pt>
                <c:pt idx="106">
                  <c:v>0.67443122816954604</c:v>
                </c:pt>
                <c:pt idx="107">
                  <c:v>0.69047956197488913</c:v>
                </c:pt>
                <c:pt idx="108">
                  <c:v>0.70652789578023223</c:v>
                </c:pt>
                <c:pt idx="109">
                  <c:v>0.72259983007646555</c:v>
                </c:pt>
                <c:pt idx="110">
                  <c:v>0.73864816388180876</c:v>
                </c:pt>
                <c:pt idx="111">
                  <c:v>0.75472009817804209</c:v>
                </c:pt>
                <c:pt idx="112">
                  <c:v>0.77076843198338518</c:v>
                </c:pt>
                <c:pt idx="113">
                  <c:v>0.78681676578872839</c:v>
                </c:pt>
                <c:pt idx="114">
                  <c:v>0.80288870008496183</c:v>
                </c:pt>
                <c:pt idx="115">
                  <c:v>0.81893703389030492</c:v>
                </c:pt>
                <c:pt idx="116">
                  <c:v>0.83500896818653836</c:v>
                </c:pt>
                <c:pt idx="117">
                  <c:v>0.85105730199188145</c:v>
                </c:pt>
                <c:pt idx="118">
                  <c:v>0.86710563579722455</c:v>
                </c:pt>
                <c:pt idx="119">
                  <c:v>0.88317757009345776</c:v>
                </c:pt>
                <c:pt idx="120">
                  <c:v>0.89922590389880097</c:v>
                </c:pt>
                <c:pt idx="121">
                  <c:v>0.91529783819503452</c:v>
                </c:pt>
                <c:pt idx="122">
                  <c:v>0.93134617200037773</c:v>
                </c:pt>
                <c:pt idx="123">
                  <c:v>0.94739450580572082</c:v>
                </c:pt>
                <c:pt idx="124">
                  <c:v>0.96346644010195404</c:v>
                </c:pt>
                <c:pt idx="125">
                  <c:v>0.97951477390729713</c:v>
                </c:pt>
                <c:pt idx="126">
                  <c:v>0.99558670820353068</c:v>
                </c:pt>
                <c:pt idx="127">
                  <c:v>1.0116350420088738</c:v>
                </c:pt>
                <c:pt idx="128">
                  <c:v>1.027683375814217</c:v>
                </c:pt>
                <c:pt idx="129">
                  <c:v>1.0437553101104502</c:v>
                </c:pt>
                <c:pt idx="130">
                  <c:v>1.0598036439157934</c:v>
                </c:pt>
                <c:pt idx="131">
                  <c:v>1.0758519777211366</c:v>
                </c:pt>
                <c:pt idx="132">
                  <c:v>1.09192391201737</c:v>
                </c:pt>
                <c:pt idx="133">
                  <c:v>1.1079722458227133</c:v>
                </c:pt>
                <c:pt idx="134">
                  <c:v>1.1240441801189465</c:v>
                </c:pt>
                <c:pt idx="135">
                  <c:v>1.1400925139242897</c:v>
                </c:pt>
                <c:pt idx="136">
                  <c:v>1.1561408477296329</c:v>
                </c:pt>
                <c:pt idx="137">
                  <c:v>1.1722127820258659</c:v>
                </c:pt>
                <c:pt idx="138">
                  <c:v>1.1882611158312091</c:v>
                </c:pt>
                <c:pt idx="139">
                  <c:v>1.2043330501274427</c:v>
                </c:pt>
                <c:pt idx="140">
                  <c:v>1.2203813839327857</c:v>
                </c:pt>
                <c:pt idx="141">
                  <c:v>1.2364297177381289</c:v>
                </c:pt>
                <c:pt idx="142">
                  <c:v>1.2525016520343624</c:v>
                </c:pt>
                <c:pt idx="143">
                  <c:v>1.2685499858397054</c:v>
                </c:pt>
                <c:pt idx="144">
                  <c:v>1.2846219201359388</c:v>
                </c:pt>
                <c:pt idx="145">
                  <c:v>1.300670253941282</c:v>
                </c:pt>
                <c:pt idx="146">
                  <c:v>1.316718587746625</c:v>
                </c:pt>
                <c:pt idx="147">
                  <c:v>1.3327905220428584</c:v>
                </c:pt>
                <c:pt idx="148">
                  <c:v>1.3488388558482016</c:v>
                </c:pt>
                <c:pt idx="149">
                  <c:v>1.3649107901444351</c:v>
                </c:pt>
                <c:pt idx="150">
                  <c:v>1.3809591239497783</c:v>
                </c:pt>
                <c:pt idx="151">
                  <c:v>1.3970074577551215</c:v>
                </c:pt>
                <c:pt idx="152">
                  <c:v>1.4130793920513547</c:v>
                </c:pt>
                <c:pt idx="153">
                  <c:v>1.4291277258566979</c:v>
                </c:pt>
                <c:pt idx="154">
                  <c:v>1.4451996601529311</c:v>
                </c:pt>
                <c:pt idx="155">
                  <c:v>1.4612479939582741</c:v>
                </c:pt>
                <c:pt idx="156">
                  <c:v>1.4772963277636175</c:v>
                </c:pt>
                <c:pt idx="157">
                  <c:v>1.493368262059851</c:v>
                </c:pt>
                <c:pt idx="158">
                  <c:v>1.5094165958651939</c:v>
                </c:pt>
                <c:pt idx="159">
                  <c:v>1.5254885301614276</c:v>
                </c:pt>
                <c:pt idx="160">
                  <c:v>1.5415368639667704</c:v>
                </c:pt>
                <c:pt idx="161">
                  <c:v>1.5575851977721138</c:v>
                </c:pt>
                <c:pt idx="162">
                  <c:v>1.577669215519683</c:v>
                </c:pt>
                <c:pt idx="163">
                  <c:v>1.593717549325026</c:v>
                </c:pt>
                <c:pt idx="164">
                  <c:v>1.6097894836212592</c:v>
                </c:pt>
                <c:pt idx="165">
                  <c:v>1.6258378174266026</c:v>
                </c:pt>
                <c:pt idx="166">
                  <c:v>1.6418861512319456</c:v>
                </c:pt>
                <c:pt idx="167">
                  <c:v>1.6619701689795148</c:v>
                </c:pt>
                <c:pt idx="168">
                  <c:v>1.678018502784858</c:v>
                </c:pt>
                <c:pt idx="169">
                  <c:v>1.6940904370810912</c:v>
                </c:pt>
                <c:pt idx="170">
                  <c:v>1.7101387708864344</c:v>
                </c:pt>
                <c:pt idx="171">
                  <c:v>1.7261871046917774</c:v>
                </c:pt>
                <c:pt idx="172">
                  <c:v>1.7422590389880108</c:v>
                </c:pt>
                <c:pt idx="173">
                  <c:v>1.758307372793354</c:v>
                </c:pt>
                <c:pt idx="174">
                  <c:v>1.7743793070895875</c:v>
                </c:pt>
                <c:pt idx="175">
                  <c:v>1.7904276408949309</c:v>
                </c:pt>
                <c:pt idx="176">
                  <c:v>1.8064759747002737</c:v>
                </c:pt>
                <c:pt idx="177">
                  <c:v>1.8225479089965071</c:v>
                </c:pt>
                <c:pt idx="178">
                  <c:v>1.8385962428018503</c:v>
                </c:pt>
                <c:pt idx="179">
                  <c:v>1.8546681770980835</c:v>
                </c:pt>
                <c:pt idx="180">
                  <c:v>1.8707165109034269</c:v>
                </c:pt>
                <c:pt idx="181">
                  <c:v>1.8867648447087697</c:v>
                </c:pt>
                <c:pt idx="182">
                  <c:v>1.9068488624563389</c:v>
                </c:pt>
                <c:pt idx="183">
                  <c:v>1.9228971962616823</c:v>
                </c:pt>
                <c:pt idx="184">
                  <c:v>1.9389691305579158</c:v>
                </c:pt>
                <c:pt idx="185">
                  <c:v>1.9590295478145943</c:v>
                </c:pt>
                <c:pt idx="186">
                  <c:v>1.9751014821108277</c:v>
                </c:pt>
                <c:pt idx="187">
                  <c:v>1.9911498159161711</c:v>
                </c:pt>
                <c:pt idx="188">
                  <c:v>2.0071981497215146</c:v>
                </c:pt>
                <c:pt idx="189">
                  <c:v>2.0232700840177475</c:v>
                </c:pt>
                <c:pt idx="190">
                  <c:v>2.0393184178230905</c:v>
                </c:pt>
                <c:pt idx="191">
                  <c:v>2.055390352119324</c:v>
                </c:pt>
                <c:pt idx="192">
                  <c:v>2.071438685924667</c:v>
                </c:pt>
                <c:pt idx="193">
                  <c:v>2.0874870197300104</c:v>
                </c:pt>
                <c:pt idx="194">
                  <c:v>2.1035589540262438</c:v>
                </c:pt>
                <c:pt idx="195">
                  <c:v>2.1236193712829228</c:v>
                </c:pt>
                <c:pt idx="196">
                  <c:v>2.1396913055791562</c:v>
                </c:pt>
                <c:pt idx="197">
                  <c:v>2.1557396393844992</c:v>
                </c:pt>
                <c:pt idx="198">
                  <c:v>2.1717879731898426</c:v>
                </c:pt>
                <c:pt idx="199">
                  <c:v>2.1878599074860756</c:v>
                </c:pt>
                <c:pt idx="200">
                  <c:v>2.2039082412914186</c:v>
                </c:pt>
                <c:pt idx="201">
                  <c:v>2.219980175587652</c:v>
                </c:pt>
                <c:pt idx="202">
                  <c:v>2.2360285093929955</c:v>
                </c:pt>
                <c:pt idx="203">
                  <c:v>2.2520768431983385</c:v>
                </c:pt>
                <c:pt idx="204">
                  <c:v>2.2681487774945714</c:v>
                </c:pt>
                <c:pt idx="205">
                  <c:v>2.2841971112999153</c:v>
                </c:pt>
                <c:pt idx="206">
                  <c:v>2.3002690455961483</c:v>
                </c:pt>
                <c:pt idx="207">
                  <c:v>2.3203294628528273</c:v>
                </c:pt>
                <c:pt idx="208">
                  <c:v>2.3404134806003967</c:v>
                </c:pt>
                <c:pt idx="209">
                  <c:v>2.3564618144057397</c:v>
                </c:pt>
                <c:pt idx="210">
                  <c:v>2.3725573491928635</c:v>
                </c:pt>
                <c:pt idx="211">
                  <c:v>2.3886056829982061</c:v>
                </c:pt>
                <c:pt idx="212">
                  <c:v>2.4046540168035495</c:v>
                </c:pt>
                <c:pt idx="213">
                  <c:v>2.4247144340602285</c:v>
                </c:pt>
                <c:pt idx="214">
                  <c:v>2.4407627678655714</c:v>
                </c:pt>
                <c:pt idx="215">
                  <c:v>2.4568111016709149</c:v>
                </c:pt>
                <c:pt idx="216">
                  <c:v>2.4768715189275938</c:v>
                </c:pt>
                <c:pt idx="217">
                  <c:v>2.4929198527329368</c:v>
                </c:pt>
                <c:pt idx="218">
                  <c:v>2.5129802699896158</c:v>
                </c:pt>
                <c:pt idx="219">
                  <c:v>2.5290286037949588</c:v>
                </c:pt>
                <c:pt idx="220">
                  <c:v>2.5450769376003022</c:v>
                </c:pt>
                <c:pt idx="221">
                  <c:v>2.5611252714056452</c:v>
                </c:pt>
                <c:pt idx="222">
                  <c:v>2.5811856886623241</c:v>
                </c:pt>
                <c:pt idx="223">
                  <c:v>2.5972340224676671</c:v>
                </c:pt>
                <c:pt idx="224">
                  <c:v>2.6132823562730105</c:v>
                </c:pt>
                <c:pt idx="225">
                  <c:v>2.6293306900783535</c:v>
                </c:pt>
                <c:pt idx="226">
                  <c:v>2.6496271122439343</c:v>
                </c:pt>
                <c:pt idx="227">
                  <c:v>2.6656754460492778</c:v>
                </c:pt>
                <c:pt idx="228">
                  <c:v>2.6817237798546207</c:v>
                </c:pt>
                <c:pt idx="229">
                  <c:v>2.7017841971113001</c:v>
                </c:pt>
                <c:pt idx="230">
                  <c:v>2.7178325309166427</c:v>
                </c:pt>
                <c:pt idx="231">
                  <c:v>2.7338808647219865</c:v>
                </c:pt>
                <c:pt idx="232">
                  <c:v>2.7539412819786651</c:v>
                </c:pt>
                <c:pt idx="233">
                  <c:v>2.7740016992353445</c:v>
                </c:pt>
                <c:pt idx="234">
                  <c:v>2.790050033040687</c:v>
                </c:pt>
                <c:pt idx="235">
                  <c:v>2.8060983668460304</c:v>
                </c:pt>
                <c:pt idx="236">
                  <c:v>2.8261587841027094</c:v>
                </c:pt>
                <c:pt idx="237">
                  <c:v>2.8462192013593879</c:v>
                </c:pt>
                <c:pt idx="238">
                  <c:v>2.8622675351647318</c:v>
                </c:pt>
                <c:pt idx="239">
                  <c:v>2.8823279524214103</c:v>
                </c:pt>
                <c:pt idx="240">
                  <c:v>2.8983762862267537</c:v>
                </c:pt>
                <c:pt idx="241">
                  <c:v>2.9144246200320967</c:v>
                </c:pt>
                <c:pt idx="242">
                  <c:v>2.9344850372887756</c:v>
                </c:pt>
                <c:pt idx="243">
                  <c:v>2.9505333710941186</c:v>
                </c:pt>
                <c:pt idx="244">
                  <c:v>2.966581704899462</c:v>
                </c:pt>
                <c:pt idx="245">
                  <c:v>2.986642122156141</c:v>
                </c:pt>
                <c:pt idx="246">
                  <c:v>3.002690455961484</c:v>
                </c:pt>
                <c:pt idx="247">
                  <c:v>3.0227508732181634</c:v>
                </c:pt>
                <c:pt idx="248">
                  <c:v>3.0387992070235059</c:v>
                </c:pt>
                <c:pt idx="249">
                  <c:v>3.0590956291890872</c:v>
                </c:pt>
                <c:pt idx="250">
                  <c:v>3.0751439629944306</c:v>
                </c:pt>
                <c:pt idx="251">
                  <c:v>3.0911922967997731</c:v>
                </c:pt>
                <c:pt idx="252">
                  <c:v>3.119276880959124</c:v>
                </c:pt>
                <c:pt idx="253">
                  <c:v>3.1433493816671385</c:v>
                </c:pt>
                <c:pt idx="254">
                  <c:v>3.1674218823751539</c:v>
                </c:pt>
                <c:pt idx="255">
                  <c:v>3.1955064665345043</c:v>
                </c:pt>
                <c:pt idx="256">
                  <c:v>3.2195789672425184</c:v>
                </c:pt>
                <c:pt idx="257">
                  <c:v>3.2476635514018692</c:v>
                </c:pt>
                <c:pt idx="258">
                  <c:v>3.2717360521098837</c:v>
                </c:pt>
                <c:pt idx="259">
                  <c:v>3.2998206362692342</c:v>
                </c:pt>
                <c:pt idx="260">
                  <c:v>3.3238931369772491</c:v>
                </c:pt>
                <c:pt idx="261">
                  <c:v>3.3519777211366</c:v>
                </c:pt>
                <c:pt idx="262">
                  <c:v>3.3800623052959504</c:v>
                </c:pt>
                <c:pt idx="263">
                  <c:v>3.4081468894553009</c:v>
                </c:pt>
                <c:pt idx="264">
                  <c:v>3.4322193901633153</c:v>
                </c:pt>
                <c:pt idx="265">
                  <c:v>3.4565278957802321</c:v>
                </c:pt>
                <c:pt idx="266">
                  <c:v>3.4806003964882466</c:v>
                </c:pt>
                <c:pt idx="267">
                  <c:v>3.5046728971962615</c:v>
                </c:pt>
                <c:pt idx="268">
                  <c:v>3.532757481355612</c:v>
                </c:pt>
                <c:pt idx="269">
                  <c:v>3.5608420655149629</c:v>
                </c:pt>
                <c:pt idx="270">
                  <c:v>3.5889266496743133</c:v>
                </c:pt>
                <c:pt idx="271">
                  <c:v>3.6170112338336637</c:v>
                </c:pt>
                <c:pt idx="272">
                  <c:v>3.6410837345416782</c:v>
                </c:pt>
                <c:pt idx="273">
                  <c:v>3.6691683187010287</c:v>
                </c:pt>
                <c:pt idx="274">
                  <c:v>3.693240819409044</c:v>
                </c:pt>
                <c:pt idx="275">
                  <c:v>3.7213254035683945</c:v>
                </c:pt>
                <c:pt idx="276">
                  <c:v>3.7453979042764085</c:v>
                </c:pt>
                <c:pt idx="277">
                  <c:v>3.7734824884357594</c:v>
                </c:pt>
                <c:pt idx="278">
                  <c:v>3.7975549891437739</c:v>
                </c:pt>
                <c:pt idx="279">
                  <c:v>3.8256395733031243</c:v>
                </c:pt>
                <c:pt idx="280">
                  <c:v>3.8497120740111397</c:v>
                </c:pt>
                <c:pt idx="281">
                  <c:v>3.8780326630793915</c:v>
                </c:pt>
                <c:pt idx="282">
                  <c:v>3.9021051637874069</c:v>
                </c:pt>
                <c:pt idx="283">
                  <c:v>3.9261776644954218</c:v>
                </c:pt>
                <c:pt idx="284">
                  <c:v>3.9542622486547723</c:v>
                </c:pt>
                <c:pt idx="285">
                  <c:v>3.9783347493627867</c:v>
                </c:pt>
                <c:pt idx="286">
                  <c:v>4.0064193335221372</c:v>
                </c:pt>
                <c:pt idx="287">
                  <c:v>4.0304918342301521</c:v>
                </c:pt>
                <c:pt idx="288">
                  <c:v>4.054564334938167</c:v>
                </c:pt>
                <c:pt idx="289">
                  <c:v>4.0786368356461811</c:v>
                </c:pt>
                <c:pt idx="290">
                  <c:v>4.106721419805532</c:v>
                </c:pt>
                <c:pt idx="291">
                  <c:v>4.134806003964882</c:v>
                </c:pt>
                <c:pt idx="292">
                  <c:v>4.1709147550269048</c:v>
                </c:pt>
                <c:pt idx="293">
                  <c:v>4.2070235060889267</c:v>
                </c:pt>
                <c:pt idx="294">
                  <c:v>4.2391201736996127</c:v>
                </c:pt>
                <c:pt idx="295">
                  <c:v>4.2714528462192014</c:v>
                </c:pt>
                <c:pt idx="296">
                  <c:v>4.3075615972812242</c:v>
                </c:pt>
                <c:pt idx="297">
                  <c:v>4.3396582648919093</c:v>
                </c:pt>
                <c:pt idx="298">
                  <c:v>4.3717549325025971</c:v>
                </c:pt>
                <c:pt idx="299">
                  <c:v>4.4038516001132821</c:v>
                </c:pt>
                <c:pt idx="300">
                  <c:v>4.435948267723969</c:v>
                </c:pt>
                <c:pt idx="301">
                  <c:v>4.468044935334655</c:v>
                </c:pt>
                <c:pt idx="302">
                  <c:v>4.5001416029453418</c:v>
                </c:pt>
                <c:pt idx="303">
                  <c:v>4.5322382705560269</c:v>
                </c:pt>
                <c:pt idx="304">
                  <c:v>4.5643349381667147</c:v>
                </c:pt>
                <c:pt idx="305">
                  <c:v>4.5964316057773997</c:v>
                </c:pt>
                <c:pt idx="306">
                  <c:v>4.6285282733880866</c:v>
                </c:pt>
                <c:pt idx="307">
                  <c:v>4.6646370244501085</c:v>
                </c:pt>
                <c:pt idx="308">
                  <c:v>4.6969696969696972</c:v>
                </c:pt>
                <c:pt idx="309">
                  <c:v>4.7290663645803832</c:v>
                </c:pt>
                <c:pt idx="310">
                  <c:v>4.7651751156424051</c:v>
                </c:pt>
                <c:pt idx="311">
                  <c:v>4.801283866704428</c:v>
                </c:pt>
                <c:pt idx="312">
                  <c:v>4.837392617766449</c:v>
                </c:pt>
                <c:pt idx="313">
                  <c:v>4.8735013688284718</c:v>
                </c:pt>
                <c:pt idx="314">
                  <c:v>4.9096101198904938</c:v>
                </c:pt>
                <c:pt idx="315">
                  <c:v>4.9417067875011798</c:v>
                </c:pt>
                <c:pt idx="316">
                  <c:v>4.9778155385632017</c:v>
                </c:pt>
                <c:pt idx="317">
                  <c:v>5.0139242896252236</c:v>
                </c:pt>
                <c:pt idx="318">
                  <c:v>5.0500330406872465</c:v>
                </c:pt>
                <c:pt idx="319">
                  <c:v>5.0863777966581702</c:v>
                </c:pt>
                <c:pt idx="320">
                  <c:v>5.1224865477201931</c:v>
                </c:pt>
                <c:pt idx="321">
                  <c:v>5.1585952987822141</c:v>
                </c:pt>
                <c:pt idx="322">
                  <c:v>5.202728216746908</c:v>
                </c:pt>
                <c:pt idx="323">
                  <c:v>5.2468611347116019</c:v>
                </c:pt>
                <c:pt idx="324">
                  <c:v>5.2909940526762957</c:v>
                </c:pt>
                <c:pt idx="325">
                  <c:v>5.3351269706409887</c:v>
                </c:pt>
                <c:pt idx="326">
                  <c:v>5.3752478051543466</c:v>
                </c:pt>
                <c:pt idx="327">
                  <c:v>5.4233928065703774</c:v>
                </c:pt>
                <c:pt idx="328">
                  <c:v>5.4675257245350704</c:v>
                </c:pt>
                <c:pt idx="329">
                  <c:v>5.5118946474086661</c:v>
                </c:pt>
                <c:pt idx="330">
                  <c:v>5.552015481922024</c:v>
                </c:pt>
                <c:pt idx="331">
                  <c:v>5.5961483998867179</c:v>
                </c:pt>
                <c:pt idx="332">
                  <c:v>5.6442934013027477</c:v>
                </c:pt>
                <c:pt idx="333">
                  <c:v>5.6924384027187758</c:v>
                </c:pt>
                <c:pt idx="334">
                  <c:v>5.7365713206834696</c:v>
                </c:pt>
                <c:pt idx="335">
                  <c:v>5.7766921551968284</c:v>
                </c:pt>
                <c:pt idx="336">
                  <c:v>5.8208250731615214</c:v>
                </c:pt>
                <c:pt idx="337">
                  <c:v>5.8609459076748793</c:v>
                </c:pt>
                <c:pt idx="338">
                  <c:v>5.909326913999811</c:v>
                </c:pt>
                <c:pt idx="339">
                  <c:v>5.9534598319645049</c:v>
                </c:pt>
                <c:pt idx="340">
                  <c:v>5.9935806664778628</c:v>
                </c:pt>
                <c:pt idx="341">
                  <c:v>6.0337015009912207</c:v>
                </c:pt>
                <c:pt idx="342">
                  <c:v>6.0738223355045786</c:v>
                </c:pt>
                <c:pt idx="343">
                  <c:v>6.1219673369206076</c:v>
                </c:pt>
                <c:pt idx="344">
                  <c:v>6.1620881714339664</c:v>
                </c:pt>
                <c:pt idx="345">
                  <c:v>6.2102331728499953</c:v>
                </c:pt>
                <c:pt idx="346">
                  <c:v>6.2583781742660243</c:v>
                </c:pt>
                <c:pt idx="347">
                  <c:v>6.3107712640422919</c:v>
                </c:pt>
                <c:pt idx="348">
                  <c:v>6.3629283489096577</c:v>
                </c:pt>
                <c:pt idx="349">
                  <c:v>6.4110733503256858</c:v>
                </c:pt>
                <c:pt idx="350">
                  <c:v>6.4632304351930525</c:v>
                </c:pt>
                <c:pt idx="351">
                  <c:v>6.5113754366090806</c:v>
                </c:pt>
                <c:pt idx="352">
                  <c:v>6.5635325214764464</c:v>
                </c:pt>
                <c:pt idx="353">
                  <c:v>6.6197016897951473</c:v>
                </c:pt>
                <c:pt idx="354">
                  <c:v>6.6718587746625122</c:v>
                </c:pt>
                <c:pt idx="355">
                  <c:v>6.7242518644387808</c:v>
                </c:pt>
                <c:pt idx="356">
                  <c:v>6.7764089493061457</c:v>
                </c:pt>
                <c:pt idx="357">
                  <c:v>6.8285660341735097</c:v>
                </c:pt>
                <c:pt idx="358">
                  <c:v>6.8847352024922133</c:v>
                </c:pt>
                <c:pt idx="359">
                  <c:v>6.9409043708109133</c:v>
                </c:pt>
                <c:pt idx="360">
                  <c:v>6.9930614556782782</c:v>
                </c:pt>
                <c:pt idx="361">
                  <c:v>7.0492306239969782</c:v>
                </c:pt>
                <c:pt idx="362">
                  <c:v>7.10539979231568</c:v>
                </c:pt>
                <c:pt idx="363">
                  <c:v>7.1618049655432827</c:v>
                </c:pt>
                <c:pt idx="364">
                  <c:v>7.2179741338619845</c:v>
                </c:pt>
                <c:pt idx="365">
                  <c:v>7.2741433021806863</c:v>
                </c:pt>
                <c:pt idx="366">
                  <c:v>7.3303124704993872</c:v>
                </c:pt>
                <c:pt idx="367">
                  <c:v>7.3864816388180881</c:v>
                </c:pt>
                <c:pt idx="368">
                  <c:v>7.4426508071367889</c:v>
                </c:pt>
                <c:pt idx="369">
                  <c:v>7.4988199754554898</c:v>
                </c:pt>
                <c:pt idx="370">
                  <c:v>7.5552251486830926</c:v>
                </c:pt>
                <c:pt idx="371">
                  <c:v>7.6113943170017935</c:v>
                </c:pt>
                <c:pt idx="372">
                  <c:v>7.6715755687718303</c:v>
                </c:pt>
                <c:pt idx="373">
                  <c:v>7.7277447370905321</c:v>
                </c:pt>
                <c:pt idx="374">
                  <c:v>7.7879259888605681</c:v>
                </c:pt>
                <c:pt idx="375">
                  <c:v>7.8481072406306049</c:v>
                </c:pt>
                <c:pt idx="376">
                  <c:v>7.9042764089493058</c:v>
                </c:pt>
                <c:pt idx="377">
                  <c:v>7.9646936656282454</c:v>
                </c:pt>
                <c:pt idx="378">
                  <c:v>8.0248749173982805</c:v>
                </c:pt>
                <c:pt idx="379">
                  <c:v>8.0850561691683183</c:v>
                </c:pt>
                <c:pt idx="380">
                  <c:v>8.1452374209383542</c:v>
                </c:pt>
                <c:pt idx="381">
                  <c:v>8.2094307561597279</c:v>
                </c:pt>
                <c:pt idx="382">
                  <c:v>8.2696120079297639</c:v>
                </c:pt>
                <c:pt idx="383">
                  <c:v>8.3460775984140465</c:v>
                </c:pt>
                <c:pt idx="384">
                  <c:v>8.4182951005380922</c:v>
                </c:pt>
                <c:pt idx="385">
                  <c:v>8.4824884357594641</c:v>
                </c:pt>
                <c:pt idx="386">
                  <c:v>8.554705937883508</c:v>
                </c:pt>
                <c:pt idx="387">
                  <c:v>8.6188992731048799</c:v>
                </c:pt>
                <c:pt idx="388">
                  <c:v>8.6830926083262536</c:v>
                </c:pt>
                <c:pt idx="389">
                  <c:v>8.7475219484565283</c:v>
                </c:pt>
                <c:pt idx="390">
                  <c:v>8.8197394505805704</c:v>
                </c:pt>
                <c:pt idx="391">
                  <c:v>8.8879448692532819</c:v>
                </c:pt>
                <c:pt idx="392">
                  <c:v>8.952138204474652</c:v>
                </c:pt>
                <c:pt idx="393">
                  <c:v>9.0163315396960257</c:v>
                </c:pt>
                <c:pt idx="394">
                  <c:v>9.0805248749173977</c:v>
                </c:pt>
                <c:pt idx="395">
                  <c:v>9.1449542150476724</c:v>
                </c:pt>
                <c:pt idx="396">
                  <c:v>9.213159633720382</c:v>
                </c:pt>
                <c:pt idx="397">
                  <c:v>9.277352968941754</c:v>
                </c:pt>
                <c:pt idx="398">
                  <c:v>9.3575946379684698</c:v>
                </c:pt>
                <c:pt idx="399">
                  <c:v>9.4338242235438514</c:v>
                </c:pt>
                <c:pt idx="400">
                  <c:v>9.5140658925705637</c:v>
                </c:pt>
                <c:pt idx="401">
                  <c:v>9.594543566506184</c:v>
                </c:pt>
                <c:pt idx="402">
                  <c:v>9.674785235532898</c:v>
                </c:pt>
                <c:pt idx="403">
                  <c:v>9.7510148211082797</c:v>
                </c:pt>
                <c:pt idx="404">
                  <c:v>9.8312564901349955</c:v>
                </c:pt>
                <c:pt idx="405">
                  <c:v>9.9074860757103753</c:v>
                </c:pt>
                <c:pt idx="406">
                  <c:v>9.9879637496459921</c:v>
                </c:pt>
                <c:pt idx="407">
                  <c:v>10.068205418672708</c:v>
                </c:pt>
                <c:pt idx="408">
                  <c:v>10.144435004248088</c:v>
                </c:pt>
                <c:pt idx="409">
                  <c:v>10.224676673274804</c:v>
                </c:pt>
                <c:pt idx="410">
                  <c:v>10.300906258850185</c:v>
                </c:pt>
                <c:pt idx="411">
                  <c:v>10.381383932785802</c:v>
                </c:pt>
                <c:pt idx="412">
                  <c:v>10.461625601812518</c:v>
                </c:pt>
                <c:pt idx="413">
                  <c:v>10.541867270839234</c:v>
                </c:pt>
                <c:pt idx="414">
                  <c:v>10.634145190219956</c:v>
                </c:pt>
                <c:pt idx="415">
                  <c:v>10.722411026149343</c:v>
                </c:pt>
                <c:pt idx="416">
                  <c:v>10.802888700084962</c:v>
                </c:pt>
                <c:pt idx="417">
                  <c:v>10.883130369111678</c:v>
                </c:pt>
                <c:pt idx="418">
                  <c:v>10.967384121589728</c:v>
                </c:pt>
                <c:pt idx="419">
                  <c:v>11.047625790616445</c:v>
                </c:pt>
                <c:pt idx="420">
                  <c:v>11.127867459643161</c:v>
                </c:pt>
                <c:pt idx="421">
                  <c:v>11.20834513357878</c:v>
                </c:pt>
                <c:pt idx="422">
                  <c:v>11.29259888605683</c:v>
                </c:pt>
                <c:pt idx="423">
                  <c:v>11.372840555083545</c:v>
                </c:pt>
                <c:pt idx="424">
                  <c:v>11.465118474464269</c:v>
                </c:pt>
                <c:pt idx="425">
                  <c:v>11.561408477296329</c:v>
                </c:pt>
                <c:pt idx="426">
                  <c:v>11.657934485037289</c:v>
                </c:pt>
                <c:pt idx="427">
                  <c:v>11.750212404418011</c:v>
                </c:pt>
                <c:pt idx="428">
                  <c:v>11.846502407250071</c:v>
                </c:pt>
                <c:pt idx="429">
                  <c:v>11.942792410082129</c:v>
                </c:pt>
                <c:pt idx="430">
                  <c:v>12.039318417823091</c:v>
                </c:pt>
                <c:pt idx="431">
                  <c:v>12.135608420655149</c:v>
                </c:pt>
                <c:pt idx="432">
                  <c:v>12.223874256584539</c:v>
                </c:pt>
                <c:pt idx="433">
                  <c:v>12.320164259416595</c:v>
                </c:pt>
                <c:pt idx="434">
                  <c:v>12.416690267157556</c:v>
                </c:pt>
                <c:pt idx="435">
                  <c:v>12.516992353440951</c:v>
                </c:pt>
                <c:pt idx="436">
                  <c:v>12.613282356273013</c:v>
                </c:pt>
                <c:pt idx="437">
                  <c:v>12.713584442556405</c:v>
                </c:pt>
                <c:pt idx="438">
                  <c:v>12.810110450297366</c:v>
                </c:pt>
                <c:pt idx="439">
                  <c:v>12.910412536580759</c:v>
                </c:pt>
                <c:pt idx="440">
                  <c:v>13.010714622864155</c:v>
                </c:pt>
                <c:pt idx="441">
                  <c:v>13.115028792598887</c:v>
                </c:pt>
                <c:pt idx="442">
                  <c:v>13.215566883791183</c:v>
                </c:pt>
                <c:pt idx="443">
                  <c:v>13.315868970074577</c:v>
                </c:pt>
                <c:pt idx="444">
                  <c:v>13.420183139809309</c:v>
                </c:pt>
                <c:pt idx="445">
                  <c:v>13.536533559898047</c:v>
                </c:pt>
                <c:pt idx="446">
                  <c:v>13.641083734541679</c:v>
                </c:pt>
                <c:pt idx="447">
                  <c:v>13.745397904276409</c:v>
                </c:pt>
                <c:pt idx="448">
                  <c:v>13.849712074011139</c:v>
                </c:pt>
                <c:pt idx="449">
                  <c:v>13.966062494099877</c:v>
                </c:pt>
                <c:pt idx="450">
                  <c:v>14.070612668743511</c:v>
                </c:pt>
                <c:pt idx="451">
                  <c:v>14.174926838478241</c:v>
                </c:pt>
                <c:pt idx="452">
                  <c:v>14.291277258566977</c:v>
                </c:pt>
                <c:pt idx="453">
                  <c:v>14.395591428301708</c:v>
                </c:pt>
                <c:pt idx="454">
                  <c:v>14.512177853299347</c:v>
                </c:pt>
                <c:pt idx="455">
                  <c:v>14.632540356839423</c:v>
                </c:pt>
                <c:pt idx="456">
                  <c:v>14.752902860379496</c:v>
                </c:pt>
                <c:pt idx="457">
                  <c:v>14.869489285377135</c:v>
                </c:pt>
                <c:pt idx="458">
                  <c:v>14.989851788917209</c:v>
                </c:pt>
                <c:pt idx="459">
                  <c:v>15.106202209005948</c:v>
                </c:pt>
                <c:pt idx="460">
                  <c:v>15.222552629094684</c:v>
                </c:pt>
                <c:pt idx="461">
                  <c:v>15.343151137543661</c:v>
                </c:pt>
                <c:pt idx="462">
                  <c:v>15.459501557632398</c:v>
                </c:pt>
                <c:pt idx="463">
                  <c:v>15.579864061172472</c:v>
                </c:pt>
                <c:pt idx="464">
                  <c:v>15.700462569621447</c:v>
                </c:pt>
                <c:pt idx="465">
                  <c:v>15.820825073161522</c:v>
                </c:pt>
                <c:pt idx="466">
                  <c:v>15.941187576701596</c:v>
                </c:pt>
                <c:pt idx="467">
                  <c:v>16.061786085150572</c:v>
                </c:pt>
                <c:pt idx="468">
                  <c:v>16.182148588690644</c:v>
                </c:pt>
                <c:pt idx="469">
                  <c:v>16.30251109223072</c:v>
                </c:pt>
                <c:pt idx="470">
                  <c:v>16.422873595770792</c:v>
                </c:pt>
                <c:pt idx="471">
                  <c:v>16.547484187671103</c:v>
                </c:pt>
                <c:pt idx="472">
                  <c:v>16.683895025016518</c:v>
                </c:pt>
                <c:pt idx="473">
                  <c:v>16.820305862361938</c:v>
                </c:pt>
                <c:pt idx="474">
                  <c:v>16.956952704616256</c:v>
                </c:pt>
                <c:pt idx="475">
                  <c:v>17.093363541961672</c:v>
                </c:pt>
                <c:pt idx="476">
                  <c:v>17.233786462758424</c:v>
                </c:pt>
                <c:pt idx="477">
                  <c:v>17.370433305012742</c:v>
                </c:pt>
                <c:pt idx="478">
                  <c:v>17.506844142358162</c:v>
                </c:pt>
                <c:pt idx="479">
                  <c:v>17.647267063154914</c:v>
                </c:pt>
                <c:pt idx="480">
                  <c:v>17.787925988860572</c:v>
                </c:pt>
                <c:pt idx="481">
                  <c:v>17.928348909657323</c:v>
                </c:pt>
                <c:pt idx="482">
                  <c:v>18.068771830454075</c:v>
                </c:pt>
                <c:pt idx="483">
                  <c:v>18.213442839611066</c:v>
                </c:pt>
                <c:pt idx="484">
                  <c:v>18.35787784385915</c:v>
                </c:pt>
                <c:pt idx="485">
                  <c:v>18.498536769564808</c:v>
                </c:pt>
                <c:pt idx="486">
                  <c:v>18.642971773812899</c:v>
                </c:pt>
                <c:pt idx="487">
                  <c:v>18.791418861512319</c:v>
                </c:pt>
                <c:pt idx="488">
                  <c:v>18.93608987066931</c:v>
                </c:pt>
                <c:pt idx="489">
                  <c:v>19.084536958368734</c:v>
                </c:pt>
                <c:pt idx="490">
                  <c:v>19.232984046068157</c:v>
                </c:pt>
                <c:pt idx="491">
                  <c:v>19.377655055225148</c:v>
                </c:pt>
                <c:pt idx="492">
                  <c:v>19.526102142924572</c:v>
                </c:pt>
                <c:pt idx="493">
                  <c:v>19.678561314075331</c:v>
                </c:pt>
                <c:pt idx="494">
                  <c:v>19.843292740489002</c:v>
                </c:pt>
                <c:pt idx="495">
                  <c:v>20.007788161993769</c:v>
                </c:pt>
                <c:pt idx="496">
                  <c:v>20.176531671858772</c:v>
                </c:pt>
                <c:pt idx="497">
                  <c:v>20.341027093363543</c:v>
                </c:pt>
                <c:pt idx="498">
                  <c:v>20.505522514868307</c:v>
                </c:pt>
                <c:pt idx="499">
                  <c:v>20.670253941281977</c:v>
                </c:pt>
                <c:pt idx="500">
                  <c:v>20.834749362786745</c:v>
                </c:pt>
                <c:pt idx="501">
                  <c:v>21.003492872651751</c:v>
                </c:pt>
                <c:pt idx="502">
                  <c:v>21.167988294156519</c:v>
                </c:pt>
                <c:pt idx="503">
                  <c:v>21.328471632209951</c:v>
                </c:pt>
                <c:pt idx="504">
                  <c:v>21.497215142074953</c:v>
                </c:pt>
                <c:pt idx="505">
                  <c:v>21.661710563579724</c:v>
                </c:pt>
                <c:pt idx="506">
                  <c:v>21.838478240347399</c:v>
                </c:pt>
                <c:pt idx="507">
                  <c:v>22.015009912206178</c:v>
                </c:pt>
                <c:pt idx="508">
                  <c:v>22.195789672425189</c:v>
                </c:pt>
                <c:pt idx="509">
                  <c:v>22.376333427735297</c:v>
                </c:pt>
                <c:pt idx="510">
                  <c:v>22.553101104502971</c:v>
                </c:pt>
                <c:pt idx="511">
                  <c:v>22.733644859813083</c:v>
                </c:pt>
                <c:pt idx="512">
                  <c:v>22.91820069857453</c:v>
                </c:pt>
                <c:pt idx="513">
                  <c:v>23.094968375342209</c:v>
                </c:pt>
                <c:pt idx="514">
                  <c:v>23.279524214103652</c:v>
                </c:pt>
                <c:pt idx="515">
                  <c:v>23.460303974322667</c:v>
                </c:pt>
                <c:pt idx="516">
                  <c:v>23.640611724723875</c:v>
                </c:pt>
                <c:pt idx="517">
                  <c:v>23.824695553667514</c:v>
                </c:pt>
                <c:pt idx="518">
                  <c:v>24.011139431700176</c:v>
                </c:pt>
                <c:pt idx="519">
                  <c:v>24.207023506088927</c:v>
                </c:pt>
                <c:pt idx="520">
                  <c:v>24.391107335032569</c:v>
                </c:pt>
                <c:pt idx="521">
                  <c:v>24.575191163976211</c:v>
                </c:pt>
                <c:pt idx="522">
                  <c:v>24.763995091097897</c:v>
                </c:pt>
                <c:pt idx="523">
                  <c:v>24.969319361842725</c:v>
                </c:pt>
                <c:pt idx="524">
                  <c:v>25.174643632587561</c:v>
                </c:pt>
                <c:pt idx="525">
                  <c:v>25.382327952421413</c:v>
                </c:pt>
                <c:pt idx="526">
                  <c:v>25.587652223166241</c:v>
                </c:pt>
                <c:pt idx="527">
                  <c:v>25.781176248465972</c:v>
                </c:pt>
                <c:pt idx="528">
                  <c:v>25.98414047012178</c:v>
                </c:pt>
                <c:pt idx="529">
                  <c:v>26.194184839044652</c:v>
                </c:pt>
                <c:pt idx="530">
                  <c:v>26.399509109789481</c:v>
                </c:pt>
                <c:pt idx="531">
                  <c:v>26.602473331445296</c:v>
                </c:pt>
                <c:pt idx="532">
                  <c:v>26.807797602190124</c:v>
                </c:pt>
                <c:pt idx="533">
                  <c:v>27.032002265647129</c:v>
                </c:pt>
                <c:pt idx="534">
                  <c:v>27.2538468800151</c:v>
                </c:pt>
                <c:pt idx="535">
                  <c:v>27.475691494383085</c:v>
                </c:pt>
                <c:pt idx="536">
                  <c:v>27.695176059662039</c:v>
                </c:pt>
                <c:pt idx="537">
                  <c:v>27.91702067403002</c:v>
                </c:pt>
                <c:pt idx="538">
                  <c:v>28.136505239308978</c:v>
                </c:pt>
                <c:pt idx="539">
                  <c:v>28.358349853676952</c:v>
                </c:pt>
                <c:pt idx="540">
                  <c:v>28.577834418955916</c:v>
                </c:pt>
                <c:pt idx="541">
                  <c:v>28.799679033323891</c:v>
                </c:pt>
                <c:pt idx="542">
                  <c:v>29.040404040404042</c:v>
                </c:pt>
                <c:pt idx="543">
                  <c:v>29.276408949306145</c:v>
                </c:pt>
                <c:pt idx="544">
                  <c:v>29.510053809119231</c:v>
                </c:pt>
                <c:pt idx="545">
                  <c:v>29.746058718021338</c:v>
                </c:pt>
                <c:pt idx="546">
                  <c:v>29.972623430567353</c:v>
                </c:pt>
                <c:pt idx="547">
                  <c:v>30.213348437647504</c:v>
                </c:pt>
                <c:pt idx="548">
                  <c:v>30.454073444727651</c:v>
                </c:pt>
                <c:pt idx="549">
                  <c:v>30.697158500896819</c:v>
                </c:pt>
                <c:pt idx="550">
                  <c:v>30.940243557065987</c:v>
                </c:pt>
                <c:pt idx="551">
                  <c:v>31.188048711413199</c:v>
                </c:pt>
                <c:pt idx="552">
                  <c:v>31.435853865760407</c:v>
                </c:pt>
                <c:pt idx="553">
                  <c:v>31.681298971018599</c:v>
                </c:pt>
                <c:pt idx="554">
                  <c:v>31.926744076276787</c:v>
                </c:pt>
                <c:pt idx="555">
                  <c:v>32.191069574247145</c:v>
                </c:pt>
                <c:pt idx="556">
                  <c:v>32.441234777683377</c:v>
                </c:pt>
                <c:pt idx="557">
                  <c:v>32.689039932030582</c:v>
                </c:pt>
                <c:pt idx="558">
                  <c:v>32.951005380911923</c:v>
                </c:pt>
                <c:pt idx="559">
                  <c:v>33.210610780704243</c:v>
                </c:pt>
                <c:pt idx="560">
                  <c:v>33.47257622958557</c:v>
                </c:pt>
                <c:pt idx="561">
                  <c:v>33.729821580288871</c:v>
                </c:pt>
                <c:pt idx="562">
                  <c:v>33.989426980081184</c:v>
                </c:pt>
                <c:pt idx="563">
                  <c:v>34.267912772585667</c:v>
                </c:pt>
                <c:pt idx="564">
                  <c:v>34.544038516001137</c:v>
                </c:pt>
                <c:pt idx="565">
                  <c:v>34.820164259416593</c:v>
                </c:pt>
                <c:pt idx="566">
                  <c:v>35.098650051921084</c:v>
                </c:pt>
                <c:pt idx="567">
                  <c:v>35.374775795336546</c:v>
                </c:pt>
                <c:pt idx="568">
                  <c:v>35.648541489662982</c:v>
                </c:pt>
                <c:pt idx="569">
                  <c:v>35.919947134900404</c:v>
                </c:pt>
                <c:pt idx="570">
                  <c:v>36.193712829226847</c:v>
                </c:pt>
                <c:pt idx="571">
                  <c:v>36.4910790144435</c:v>
                </c:pt>
                <c:pt idx="572">
                  <c:v>36.776644954215051</c:v>
                </c:pt>
                <c:pt idx="573">
                  <c:v>37.074011139431697</c:v>
                </c:pt>
                <c:pt idx="574">
                  <c:v>37.369017275559337</c:v>
                </c:pt>
                <c:pt idx="575">
                  <c:v>37.66638346077599</c:v>
                </c:pt>
                <c:pt idx="576">
                  <c:v>37.963749645992635</c:v>
                </c:pt>
                <c:pt idx="577">
                  <c:v>38.261115831209288</c:v>
                </c:pt>
                <c:pt idx="578">
                  <c:v>38.57028226187105</c:v>
                </c:pt>
                <c:pt idx="579">
                  <c:v>38.879448692532804</c:v>
                </c:pt>
                <c:pt idx="580">
                  <c:v>39.188615123194559</c:v>
                </c:pt>
                <c:pt idx="581">
                  <c:v>39.49306145567828</c:v>
                </c:pt>
                <c:pt idx="582">
                  <c:v>39.799867837251014</c:v>
                </c:pt>
                <c:pt idx="583">
                  <c:v>40.111394317001789</c:v>
                </c:pt>
                <c:pt idx="584">
                  <c:v>40.425280845841591</c:v>
                </c:pt>
                <c:pt idx="585">
                  <c:v>40.739167374681394</c:v>
                </c:pt>
                <c:pt idx="586">
                  <c:v>41.062494099877284</c:v>
                </c:pt>
                <c:pt idx="587">
                  <c:v>41.381100726895127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3-44EC-9561-549FC88B1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179999"/>
        <c:axId val="1034386223"/>
      </c:lineChart>
      <c:catAx>
        <c:axId val="53617999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4386223"/>
        <c:crosses val="autoZero"/>
        <c:auto val="1"/>
        <c:lblAlgn val="ctr"/>
        <c:lblOffset val="100"/>
        <c:noMultiLvlLbl val="0"/>
      </c:catAx>
      <c:valAx>
        <c:axId val="103438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17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'A22-5'!$C$2:$C$573</c:f>
              <c:numCache>
                <c:formatCode>0.00</c:formatCode>
                <c:ptCount val="572"/>
                <c:pt idx="0">
                  <c:v>1.4703199999999998E-4</c:v>
                </c:pt>
                <c:pt idx="1">
                  <c:v>2.2879999999999998E-2</c:v>
                </c:pt>
                <c:pt idx="2">
                  <c:v>2.3073999999999997E-2</c:v>
                </c:pt>
                <c:pt idx="3">
                  <c:v>2.3269999999999999E-2</c:v>
                </c:pt>
                <c:pt idx="4">
                  <c:v>2.3466000000000001E-2</c:v>
                </c:pt>
                <c:pt idx="5">
                  <c:v>2.366E-2</c:v>
                </c:pt>
                <c:pt idx="6">
                  <c:v>2.3852000000000002E-2</c:v>
                </c:pt>
                <c:pt idx="7">
                  <c:v>2.4045999999999998E-2</c:v>
                </c:pt>
                <c:pt idx="8">
                  <c:v>2.4242E-2</c:v>
                </c:pt>
                <c:pt idx="9">
                  <c:v>2.4435999999999999E-2</c:v>
                </c:pt>
                <c:pt idx="10">
                  <c:v>2.4629999999999999E-2</c:v>
                </c:pt>
                <c:pt idx="11">
                  <c:v>2.4826000000000001E-2</c:v>
                </c:pt>
                <c:pt idx="12">
                  <c:v>2.5019999999999997E-2</c:v>
                </c:pt>
                <c:pt idx="13">
                  <c:v>2.5242000000000001E-2</c:v>
                </c:pt>
                <c:pt idx="14">
                  <c:v>2.5464000000000001E-2</c:v>
                </c:pt>
                <c:pt idx="15">
                  <c:v>2.5683999999999998E-2</c:v>
                </c:pt>
                <c:pt idx="16">
                  <c:v>2.5908E-2</c:v>
                </c:pt>
                <c:pt idx="17">
                  <c:v>2.613E-2</c:v>
                </c:pt>
                <c:pt idx="18">
                  <c:v>2.6354000000000002E-2</c:v>
                </c:pt>
                <c:pt idx="19">
                  <c:v>2.6575999999999999E-2</c:v>
                </c:pt>
                <c:pt idx="20">
                  <c:v>2.6796E-2</c:v>
                </c:pt>
                <c:pt idx="21">
                  <c:v>2.7019999999999999E-2</c:v>
                </c:pt>
                <c:pt idx="22">
                  <c:v>2.724E-2</c:v>
                </c:pt>
                <c:pt idx="23">
                  <c:v>2.7463999999999999E-2</c:v>
                </c:pt>
                <c:pt idx="24">
                  <c:v>2.7686000000000002E-2</c:v>
                </c:pt>
                <c:pt idx="25">
                  <c:v>2.7907999999999999E-2</c:v>
                </c:pt>
                <c:pt idx="26">
                  <c:v>2.8132000000000001E-2</c:v>
                </c:pt>
                <c:pt idx="27">
                  <c:v>2.8351999999999999E-2</c:v>
                </c:pt>
                <c:pt idx="28">
                  <c:v>2.8574000000000002E-2</c:v>
                </c:pt>
                <c:pt idx="29">
                  <c:v>2.8795999999999999E-2</c:v>
                </c:pt>
                <c:pt idx="30">
                  <c:v>2.9020000000000001E-2</c:v>
                </c:pt>
                <c:pt idx="31">
                  <c:v>2.9268000000000002E-2</c:v>
                </c:pt>
                <c:pt idx="32">
                  <c:v>2.9520000000000001E-2</c:v>
                </c:pt>
                <c:pt idx="33">
                  <c:v>2.9769999999999998E-2</c:v>
                </c:pt>
                <c:pt idx="34">
                  <c:v>3.0018E-2</c:v>
                </c:pt>
                <c:pt idx="35">
                  <c:v>3.0270000000000002E-2</c:v>
                </c:pt>
                <c:pt idx="36">
                  <c:v>3.0520000000000002E-2</c:v>
                </c:pt>
                <c:pt idx="37">
                  <c:v>3.0769999999999999E-2</c:v>
                </c:pt>
                <c:pt idx="38">
                  <c:v>3.1019999999999999E-2</c:v>
                </c:pt>
                <c:pt idx="39">
                  <c:v>3.1213999999999999E-2</c:v>
                </c:pt>
                <c:pt idx="40">
                  <c:v>3.1379999999999998E-2</c:v>
                </c:pt>
                <c:pt idx="41">
                  <c:v>3.1573999999999998E-2</c:v>
                </c:pt>
                <c:pt idx="42">
                  <c:v>3.1741999999999999E-2</c:v>
                </c:pt>
                <c:pt idx="43">
                  <c:v>3.1938000000000001E-2</c:v>
                </c:pt>
                <c:pt idx="44">
                  <c:v>3.2185999999999999E-2</c:v>
                </c:pt>
                <c:pt idx="45">
                  <c:v>3.2436E-2</c:v>
                </c:pt>
                <c:pt idx="46">
                  <c:v>3.2688000000000002E-2</c:v>
                </c:pt>
                <c:pt idx="47">
                  <c:v>3.2964E-2</c:v>
                </c:pt>
                <c:pt idx="48">
                  <c:v>3.3158E-2</c:v>
                </c:pt>
                <c:pt idx="49">
                  <c:v>3.3382000000000002E-2</c:v>
                </c:pt>
                <c:pt idx="50">
                  <c:v>3.3576000000000002E-2</c:v>
                </c:pt>
                <c:pt idx="51">
                  <c:v>3.3739999999999999E-2</c:v>
                </c:pt>
                <c:pt idx="52">
                  <c:v>3.3992000000000001E-2</c:v>
                </c:pt>
                <c:pt idx="53">
                  <c:v>3.4242000000000002E-2</c:v>
                </c:pt>
                <c:pt idx="54">
                  <c:v>3.4437999999999996E-2</c:v>
                </c:pt>
                <c:pt idx="55">
                  <c:v>3.4632000000000003E-2</c:v>
                </c:pt>
                <c:pt idx="56">
                  <c:v>3.4824000000000001E-2</c:v>
                </c:pt>
                <c:pt idx="57">
                  <c:v>3.5019999999999996E-2</c:v>
                </c:pt>
                <c:pt idx="58">
                  <c:v>3.5186000000000002E-2</c:v>
                </c:pt>
                <c:pt idx="59">
                  <c:v>3.5379999999999995E-2</c:v>
                </c:pt>
                <c:pt idx="60">
                  <c:v>3.5548000000000003E-2</c:v>
                </c:pt>
                <c:pt idx="61">
                  <c:v>3.5714000000000003E-2</c:v>
                </c:pt>
                <c:pt idx="62">
                  <c:v>3.5908000000000002E-2</c:v>
                </c:pt>
                <c:pt idx="63">
                  <c:v>3.6074000000000002E-2</c:v>
                </c:pt>
                <c:pt idx="64">
                  <c:v>3.6240000000000001E-2</c:v>
                </c:pt>
                <c:pt idx="65">
                  <c:v>3.6408000000000003E-2</c:v>
                </c:pt>
                <c:pt idx="66">
                  <c:v>3.6575999999999997E-2</c:v>
                </c:pt>
                <c:pt idx="67">
                  <c:v>3.6741999999999997E-2</c:v>
                </c:pt>
                <c:pt idx="68">
                  <c:v>3.6907999999999996E-2</c:v>
                </c:pt>
                <c:pt idx="69">
                  <c:v>3.7073999999999996E-2</c:v>
                </c:pt>
                <c:pt idx="70">
                  <c:v>3.7213999999999997E-2</c:v>
                </c:pt>
                <c:pt idx="71">
                  <c:v>3.7379999999999997E-2</c:v>
                </c:pt>
                <c:pt idx="72">
                  <c:v>3.7519999999999998E-2</c:v>
                </c:pt>
                <c:pt idx="73">
                  <c:v>3.7657999999999997E-2</c:v>
                </c:pt>
                <c:pt idx="74">
                  <c:v>3.7825999999999999E-2</c:v>
                </c:pt>
                <c:pt idx="75">
                  <c:v>3.7964000000000005E-2</c:v>
                </c:pt>
                <c:pt idx="76">
                  <c:v>3.8131999999999999E-2</c:v>
                </c:pt>
                <c:pt idx="77">
                  <c:v>3.8272E-2</c:v>
                </c:pt>
                <c:pt idx="78">
                  <c:v>3.8435999999999998E-2</c:v>
                </c:pt>
                <c:pt idx="79">
                  <c:v>3.8601999999999997E-2</c:v>
                </c:pt>
                <c:pt idx="80">
                  <c:v>3.8711999999999996E-2</c:v>
                </c:pt>
                <c:pt idx="81">
                  <c:v>3.8852000000000005E-2</c:v>
                </c:pt>
                <c:pt idx="82">
                  <c:v>3.8991999999999999E-2</c:v>
                </c:pt>
                <c:pt idx="83">
                  <c:v>3.9129999999999998E-2</c:v>
                </c:pt>
                <c:pt idx="84">
                  <c:v>3.9269999999999999E-2</c:v>
                </c:pt>
                <c:pt idx="85">
                  <c:v>3.9410000000000001E-2</c:v>
                </c:pt>
                <c:pt idx="86">
                  <c:v>3.9545999999999998E-2</c:v>
                </c:pt>
                <c:pt idx="87">
                  <c:v>3.9688000000000001E-2</c:v>
                </c:pt>
                <c:pt idx="88">
                  <c:v>3.9798E-2</c:v>
                </c:pt>
                <c:pt idx="89">
                  <c:v>3.9935999999999999E-2</c:v>
                </c:pt>
                <c:pt idx="90">
                  <c:v>4.0073999999999999E-2</c:v>
                </c:pt>
                <c:pt idx="91">
                  <c:v>4.0214E-2</c:v>
                </c:pt>
                <c:pt idx="92">
                  <c:v>4.0326000000000001E-2</c:v>
                </c:pt>
                <c:pt idx="93">
                  <c:v>4.0436E-2</c:v>
                </c:pt>
                <c:pt idx="94">
                  <c:v>4.0574000000000006E-2</c:v>
                </c:pt>
                <c:pt idx="95">
                  <c:v>4.0683999999999998E-2</c:v>
                </c:pt>
                <c:pt idx="96">
                  <c:v>4.0795999999999999E-2</c:v>
                </c:pt>
                <c:pt idx="97">
                  <c:v>4.0936E-2</c:v>
                </c:pt>
                <c:pt idx="98">
                  <c:v>4.1048000000000001E-2</c:v>
                </c:pt>
                <c:pt idx="99">
                  <c:v>4.1159999999999995E-2</c:v>
                </c:pt>
                <c:pt idx="100">
                  <c:v>4.1298000000000001E-2</c:v>
                </c:pt>
                <c:pt idx="101">
                  <c:v>4.1407999999999993E-2</c:v>
                </c:pt>
                <c:pt idx="102">
                  <c:v>4.1517999999999999E-2</c:v>
                </c:pt>
                <c:pt idx="103">
                  <c:v>4.163E-2</c:v>
                </c:pt>
                <c:pt idx="104">
                  <c:v>4.1742000000000001E-2</c:v>
                </c:pt>
                <c:pt idx="105">
                  <c:v>4.1853999999999995E-2</c:v>
                </c:pt>
                <c:pt idx="106">
                  <c:v>4.1966000000000003E-2</c:v>
                </c:pt>
                <c:pt idx="107">
                  <c:v>4.2077999999999997E-2</c:v>
                </c:pt>
                <c:pt idx="108">
                  <c:v>4.2186000000000001E-2</c:v>
                </c:pt>
                <c:pt idx="109">
                  <c:v>4.2324000000000001E-2</c:v>
                </c:pt>
                <c:pt idx="110">
                  <c:v>4.2433999999999999E-2</c:v>
                </c:pt>
                <c:pt idx="111">
                  <c:v>4.2519999999999995E-2</c:v>
                </c:pt>
                <c:pt idx="112">
                  <c:v>4.2630000000000001E-2</c:v>
                </c:pt>
                <c:pt idx="113">
                  <c:v>4.274E-2</c:v>
                </c:pt>
                <c:pt idx="114">
                  <c:v>4.2826000000000003E-2</c:v>
                </c:pt>
                <c:pt idx="115">
                  <c:v>4.2935999999999995E-2</c:v>
                </c:pt>
                <c:pt idx="116">
                  <c:v>4.3046000000000001E-2</c:v>
                </c:pt>
                <c:pt idx="117">
                  <c:v>4.3132000000000004E-2</c:v>
                </c:pt>
                <c:pt idx="118">
                  <c:v>4.3242000000000003E-2</c:v>
                </c:pt>
                <c:pt idx="119">
                  <c:v>4.3326000000000003E-2</c:v>
                </c:pt>
                <c:pt idx="120">
                  <c:v>4.3437999999999997E-2</c:v>
                </c:pt>
                <c:pt idx="121">
                  <c:v>4.3520000000000003E-2</c:v>
                </c:pt>
                <c:pt idx="122">
                  <c:v>4.3631999999999997E-2</c:v>
                </c:pt>
                <c:pt idx="123">
                  <c:v>4.3742000000000003E-2</c:v>
                </c:pt>
                <c:pt idx="124">
                  <c:v>4.3823999999999995E-2</c:v>
                </c:pt>
                <c:pt idx="125">
                  <c:v>4.3907999999999996E-2</c:v>
                </c:pt>
                <c:pt idx="126">
                  <c:v>4.4020000000000004E-2</c:v>
                </c:pt>
                <c:pt idx="127">
                  <c:v>4.4101999999999995E-2</c:v>
                </c:pt>
                <c:pt idx="128">
                  <c:v>4.4214000000000003E-2</c:v>
                </c:pt>
                <c:pt idx="129">
                  <c:v>4.4325999999999997E-2</c:v>
                </c:pt>
                <c:pt idx="130">
                  <c:v>4.4408000000000003E-2</c:v>
                </c:pt>
                <c:pt idx="131">
                  <c:v>4.4492000000000004E-2</c:v>
                </c:pt>
                <c:pt idx="132">
                  <c:v>4.4602000000000003E-2</c:v>
                </c:pt>
                <c:pt idx="133">
                  <c:v>4.4711999999999995E-2</c:v>
                </c:pt>
                <c:pt idx="134">
                  <c:v>4.4797999999999998E-2</c:v>
                </c:pt>
                <c:pt idx="135">
                  <c:v>4.4881999999999998E-2</c:v>
                </c:pt>
                <c:pt idx="136">
                  <c:v>4.4993999999999999E-2</c:v>
                </c:pt>
                <c:pt idx="137">
                  <c:v>4.5075999999999998E-2</c:v>
                </c:pt>
                <c:pt idx="138">
                  <c:v>4.5159999999999999E-2</c:v>
                </c:pt>
                <c:pt idx="139">
                  <c:v>4.5242000000000004E-2</c:v>
                </c:pt>
                <c:pt idx="140">
                  <c:v>4.5324000000000003E-2</c:v>
                </c:pt>
                <c:pt idx="141">
                  <c:v>4.5434000000000002E-2</c:v>
                </c:pt>
                <c:pt idx="142">
                  <c:v>4.5545999999999996E-2</c:v>
                </c:pt>
                <c:pt idx="143">
                  <c:v>4.5631999999999999E-2</c:v>
                </c:pt>
                <c:pt idx="144">
                  <c:v>4.5742000000000005E-2</c:v>
                </c:pt>
                <c:pt idx="145">
                  <c:v>4.5852000000000004E-2</c:v>
                </c:pt>
                <c:pt idx="146">
                  <c:v>4.5963999999999998E-2</c:v>
                </c:pt>
                <c:pt idx="147">
                  <c:v>4.6074000000000004E-2</c:v>
                </c:pt>
                <c:pt idx="148">
                  <c:v>4.6155999999999996E-2</c:v>
                </c:pt>
                <c:pt idx="149">
                  <c:v>4.6268000000000004E-2</c:v>
                </c:pt>
                <c:pt idx="150">
                  <c:v>4.6379999999999998E-2</c:v>
                </c:pt>
                <c:pt idx="151">
                  <c:v>4.6462000000000003E-2</c:v>
                </c:pt>
                <c:pt idx="152">
                  <c:v>4.6573999999999997E-2</c:v>
                </c:pt>
                <c:pt idx="153">
                  <c:v>4.6660000000000007E-2</c:v>
                </c:pt>
                <c:pt idx="154">
                  <c:v>4.6744000000000001E-2</c:v>
                </c:pt>
                <c:pt idx="155">
                  <c:v>4.6851999999999998E-2</c:v>
                </c:pt>
                <c:pt idx="156">
                  <c:v>4.6935999999999999E-2</c:v>
                </c:pt>
                <c:pt idx="157">
                  <c:v>4.7019999999999999E-2</c:v>
                </c:pt>
                <c:pt idx="158">
                  <c:v>4.7102000000000005E-2</c:v>
                </c:pt>
                <c:pt idx="159">
                  <c:v>4.7213999999999999E-2</c:v>
                </c:pt>
                <c:pt idx="160">
                  <c:v>4.7295999999999998E-2</c:v>
                </c:pt>
                <c:pt idx="161">
                  <c:v>4.7407999999999999E-2</c:v>
                </c:pt>
                <c:pt idx="162">
                  <c:v>4.7491999999999999E-2</c:v>
                </c:pt>
                <c:pt idx="163">
                  <c:v>4.7573999999999998E-2</c:v>
                </c:pt>
                <c:pt idx="164">
                  <c:v>4.7657999999999999E-2</c:v>
                </c:pt>
                <c:pt idx="165">
                  <c:v>4.7742000000000007E-2</c:v>
                </c:pt>
                <c:pt idx="166">
                  <c:v>4.7823999999999998E-2</c:v>
                </c:pt>
                <c:pt idx="167">
                  <c:v>4.7907999999999999E-2</c:v>
                </c:pt>
                <c:pt idx="168">
                  <c:v>4.7992E-2</c:v>
                </c:pt>
                <c:pt idx="169">
                  <c:v>4.8076000000000001E-2</c:v>
                </c:pt>
                <c:pt idx="170">
                  <c:v>4.8158000000000006E-2</c:v>
                </c:pt>
                <c:pt idx="171">
                  <c:v>4.8242E-2</c:v>
                </c:pt>
                <c:pt idx="172">
                  <c:v>4.8323999999999999E-2</c:v>
                </c:pt>
                <c:pt idx="173">
                  <c:v>4.8408E-2</c:v>
                </c:pt>
                <c:pt idx="174">
                  <c:v>4.8492E-2</c:v>
                </c:pt>
                <c:pt idx="175">
                  <c:v>4.8575999999999994E-2</c:v>
                </c:pt>
                <c:pt idx="176">
                  <c:v>4.8658E-2</c:v>
                </c:pt>
                <c:pt idx="177">
                  <c:v>4.8742000000000001E-2</c:v>
                </c:pt>
                <c:pt idx="178">
                  <c:v>4.8826000000000001E-2</c:v>
                </c:pt>
                <c:pt idx="179">
                  <c:v>4.8910000000000002E-2</c:v>
                </c:pt>
                <c:pt idx="180">
                  <c:v>4.8994000000000003E-2</c:v>
                </c:pt>
                <c:pt idx="181">
                  <c:v>4.9076000000000002E-2</c:v>
                </c:pt>
                <c:pt idx="182">
                  <c:v>4.9156000000000005E-2</c:v>
                </c:pt>
                <c:pt idx="183">
                  <c:v>4.9240000000000006E-2</c:v>
                </c:pt>
                <c:pt idx="184">
                  <c:v>4.9326000000000002E-2</c:v>
                </c:pt>
                <c:pt idx="185">
                  <c:v>4.9409999999999996E-2</c:v>
                </c:pt>
                <c:pt idx="186">
                  <c:v>4.9492000000000001E-2</c:v>
                </c:pt>
                <c:pt idx="187">
                  <c:v>4.9574E-2</c:v>
                </c:pt>
                <c:pt idx="188">
                  <c:v>4.9660000000000003E-2</c:v>
                </c:pt>
                <c:pt idx="189">
                  <c:v>4.9770000000000002E-2</c:v>
                </c:pt>
                <c:pt idx="190">
                  <c:v>4.9854000000000002E-2</c:v>
                </c:pt>
                <c:pt idx="191">
                  <c:v>4.9936000000000001E-2</c:v>
                </c:pt>
                <c:pt idx="192">
                  <c:v>5.0018E-2</c:v>
                </c:pt>
                <c:pt idx="193">
                  <c:v>5.0102000000000001E-2</c:v>
                </c:pt>
                <c:pt idx="194">
                  <c:v>5.0183999999999999E-2</c:v>
                </c:pt>
                <c:pt idx="195">
                  <c:v>5.0270000000000002E-2</c:v>
                </c:pt>
                <c:pt idx="196">
                  <c:v>5.0354000000000003E-2</c:v>
                </c:pt>
                <c:pt idx="197">
                  <c:v>5.0438000000000004E-2</c:v>
                </c:pt>
                <c:pt idx="198">
                  <c:v>5.0519999999999995E-2</c:v>
                </c:pt>
                <c:pt idx="199">
                  <c:v>5.0603999999999996E-2</c:v>
                </c:pt>
                <c:pt idx="200">
                  <c:v>5.0686000000000002E-2</c:v>
                </c:pt>
                <c:pt idx="201">
                  <c:v>5.0770000000000003E-2</c:v>
                </c:pt>
                <c:pt idx="202">
                  <c:v>5.0852000000000001E-2</c:v>
                </c:pt>
                <c:pt idx="203">
                  <c:v>5.0936000000000002E-2</c:v>
                </c:pt>
                <c:pt idx="204">
                  <c:v>5.1018000000000001E-2</c:v>
                </c:pt>
                <c:pt idx="205">
                  <c:v>5.1102000000000002E-2</c:v>
                </c:pt>
                <c:pt idx="206">
                  <c:v>5.1188000000000004E-2</c:v>
                </c:pt>
                <c:pt idx="207">
                  <c:v>5.1269999999999996E-2</c:v>
                </c:pt>
                <c:pt idx="208">
                  <c:v>5.1353999999999997E-2</c:v>
                </c:pt>
                <c:pt idx="209">
                  <c:v>5.1436000000000003E-2</c:v>
                </c:pt>
                <c:pt idx="210">
                  <c:v>5.1574000000000002E-2</c:v>
                </c:pt>
                <c:pt idx="211">
                  <c:v>5.1714000000000003E-2</c:v>
                </c:pt>
                <c:pt idx="212">
                  <c:v>5.1825999999999997E-2</c:v>
                </c:pt>
                <c:pt idx="213">
                  <c:v>5.1963999999999996E-2</c:v>
                </c:pt>
                <c:pt idx="214">
                  <c:v>5.2076000000000004E-2</c:v>
                </c:pt>
                <c:pt idx="215">
                  <c:v>5.2214000000000003E-2</c:v>
                </c:pt>
                <c:pt idx="216">
                  <c:v>5.2325999999999998E-2</c:v>
                </c:pt>
                <c:pt idx="217">
                  <c:v>5.2464000000000004E-2</c:v>
                </c:pt>
                <c:pt idx="218">
                  <c:v>5.2603999999999998E-2</c:v>
                </c:pt>
                <c:pt idx="219">
                  <c:v>5.2743999999999999E-2</c:v>
                </c:pt>
                <c:pt idx="220">
                  <c:v>5.2853999999999998E-2</c:v>
                </c:pt>
                <c:pt idx="221">
                  <c:v>5.2964000000000004E-2</c:v>
                </c:pt>
                <c:pt idx="222">
                  <c:v>5.3075999999999998E-2</c:v>
                </c:pt>
                <c:pt idx="223">
                  <c:v>5.3185999999999997E-2</c:v>
                </c:pt>
                <c:pt idx="224">
                  <c:v>5.3296000000000003E-2</c:v>
                </c:pt>
                <c:pt idx="225">
                  <c:v>5.3407999999999997E-2</c:v>
                </c:pt>
                <c:pt idx="226">
                  <c:v>5.3520000000000005E-2</c:v>
                </c:pt>
                <c:pt idx="227">
                  <c:v>5.3630000000000004E-2</c:v>
                </c:pt>
                <c:pt idx="228">
                  <c:v>5.3739999999999996E-2</c:v>
                </c:pt>
                <c:pt idx="229">
                  <c:v>5.3852000000000004E-2</c:v>
                </c:pt>
                <c:pt idx="230">
                  <c:v>5.3963999999999998E-2</c:v>
                </c:pt>
                <c:pt idx="231">
                  <c:v>5.4076000000000006E-2</c:v>
                </c:pt>
                <c:pt idx="232">
                  <c:v>5.4188E-2</c:v>
                </c:pt>
                <c:pt idx="233">
                  <c:v>5.4297999999999999E-2</c:v>
                </c:pt>
                <c:pt idx="234">
                  <c:v>5.441E-2</c:v>
                </c:pt>
                <c:pt idx="235">
                  <c:v>5.4518000000000004E-2</c:v>
                </c:pt>
                <c:pt idx="236">
                  <c:v>5.4629999999999998E-2</c:v>
                </c:pt>
                <c:pt idx="237">
                  <c:v>5.4740000000000004E-2</c:v>
                </c:pt>
                <c:pt idx="238">
                  <c:v>5.4851999999999998E-2</c:v>
                </c:pt>
                <c:pt idx="239">
                  <c:v>5.4964000000000006E-2</c:v>
                </c:pt>
                <c:pt idx="240">
                  <c:v>5.5076E-2</c:v>
                </c:pt>
                <c:pt idx="241">
                  <c:v>5.5187999999999994E-2</c:v>
                </c:pt>
                <c:pt idx="242">
                  <c:v>5.5296000000000005E-2</c:v>
                </c:pt>
                <c:pt idx="243">
                  <c:v>5.5407999999999999E-2</c:v>
                </c:pt>
                <c:pt idx="244">
                  <c:v>5.5519999999999993E-2</c:v>
                </c:pt>
                <c:pt idx="245">
                  <c:v>5.5629999999999999E-2</c:v>
                </c:pt>
                <c:pt idx="246">
                  <c:v>5.5742E-2</c:v>
                </c:pt>
                <c:pt idx="247">
                  <c:v>5.5854000000000001E-2</c:v>
                </c:pt>
                <c:pt idx="248">
                  <c:v>5.5965999999999995E-2</c:v>
                </c:pt>
                <c:pt idx="249">
                  <c:v>5.6073999999999999E-2</c:v>
                </c:pt>
                <c:pt idx="250">
                  <c:v>5.6214000000000007E-2</c:v>
                </c:pt>
                <c:pt idx="251">
                  <c:v>5.6353999999999994E-2</c:v>
                </c:pt>
                <c:pt idx="252">
                  <c:v>5.6492000000000007E-2</c:v>
                </c:pt>
                <c:pt idx="253">
                  <c:v>5.6631999999999995E-2</c:v>
                </c:pt>
                <c:pt idx="254">
                  <c:v>5.6769999999999994E-2</c:v>
                </c:pt>
                <c:pt idx="255">
                  <c:v>5.6908E-2</c:v>
                </c:pt>
                <c:pt idx="256">
                  <c:v>5.7047999999999995E-2</c:v>
                </c:pt>
                <c:pt idx="257">
                  <c:v>5.7186000000000001E-2</c:v>
                </c:pt>
                <c:pt idx="258">
                  <c:v>5.7324E-2</c:v>
                </c:pt>
                <c:pt idx="259">
                  <c:v>5.7464000000000001E-2</c:v>
                </c:pt>
                <c:pt idx="260">
                  <c:v>5.7573999999999993E-2</c:v>
                </c:pt>
                <c:pt idx="261">
                  <c:v>5.7714000000000001E-2</c:v>
                </c:pt>
                <c:pt idx="262">
                  <c:v>5.7826000000000002E-2</c:v>
                </c:pt>
                <c:pt idx="263">
                  <c:v>5.7935999999999994E-2</c:v>
                </c:pt>
                <c:pt idx="264">
                  <c:v>5.8074000000000001E-2</c:v>
                </c:pt>
                <c:pt idx="265">
                  <c:v>5.8188000000000004E-2</c:v>
                </c:pt>
                <c:pt idx="266">
                  <c:v>5.8297999999999996E-2</c:v>
                </c:pt>
                <c:pt idx="267">
                  <c:v>5.8407999999999995E-2</c:v>
                </c:pt>
                <c:pt idx="268">
                  <c:v>5.8520000000000003E-2</c:v>
                </c:pt>
                <c:pt idx="269">
                  <c:v>5.8658000000000002E-2</c:v>
                </c:pt>
                <c:pt idx="270">
                  <c:v>5.8769999999999996E-2</c:v>
                </c:pt>
                <c:pt idx="271">
                  <c:v>5.8880000000000002E-2</c:v>
                </c:pt>
                <c:pt idx="272">
                  <c:v>5.8992000000000003E-2</c:v>
                </c:pt>
                <c:pt idx="273">
                  <c:v>5.9101999999999995E-2</c:v>
                </c:pt>
                <c:pt idx="274">
                  <c:v>5.9212000000000001E-2</c:v>
                </c:pt>
                <c:pt idx="275">
                  <c:v>5.9324000000000002E-2</c:v>
                </c:pt>
                <c:pt idx="276">
                  <c:v>5.9436000000000003E-2</c:v>
                </c:pt>
                <c:pt idx="277">
                  <c:v>5.9547999999999997E-2</c:v>
                </c:pt>
                <c:pt idx="278">
                  <c:v>5.9660000000000005E-2</c:v>
                </c:pt>
                <c:pt idx="279">
                  <c:v>5.9770000000000004E-2</c:v>
                </c:pt>
                <c:pt idx="280">
                  <c:v>5.9908000000000003E-2</c:v>
                </c:pt>
                <c:pt idx="281">
                  <c:v>6.0046000000000002E-2</c:v>
                </c:pt>
                <c:pt idx="282">
                  <c:v>6.0187999999999998E-2</c:v>
                </c:pt>
                <c:pt idx="283">
                  <c:v>6.0324000000000003E-2</c:v>
                </c:pt>
                <c:pt idx="284">
                  <c:v>6.0464000000000004E-2</c:v>
                </c:pt>
                <c:pt idx="285">
                  <c:v>6.0603999999999998E-2</c:v>
                </c:pt>
                <c:pt idx="286">
                  <c:v>6.0739999999999995E-2</c:v>
                </c:pt>
                <c:pt idx="287">
                  <c:v>6.0880000000000004E-2</c:v>
                </c:pt>
                <c:pt idx="288">
                  <c:v>6.1020000000000005E-2</c:v>
                </c:pt>
                <c:pt idx="289">
                  <c:v>6.1158000000000004E-2</c:v>
                </c:pt>
                <c:pt idx="290">
                  <c:v>6.1298000000000005E-2</c:v>
                </c:pt>
                <c:pt idx="291">
                  <c:v>6.1436000000000004E-2</c:v>
                </c:pt>
                <c:pt idx="292">
                  <c:v>6.1573999999999997E-2</c:v>
                </c:pt>
                <c:pt idx="293">
                  <c:v>6.1714000000000005E-2</c:v>
                </c:pt>
                <c:pt idx="294">
                  <c:v>6.1851999999999997E-2</c:v>
                </c:pt>
                <c:pt idx="295">
                  <c:v>6.1992000000000005E-2</c:v>
                </c:pt>
                <c:pt idx="296">
                  <c:v>6.2131999999999993E-2</c:v>
                </c:pt>
                <c:pt idx="297">
                  <c:v>6.2267999999999997E-2</c:v>
                </c:pt>
                <c:pt idx="298">
                  <c:v>6.2407999999999998E-2</c:v>
                </c:pt>
                <c:pt idx="299">
                  <c:v>6.2519999999999992E-2</c:v>
                </c:pt>
                <c:pt idx="300">
                  <c:v>6.2659999999999993E-2</c:v>
                </c:pt>
                <c:pt idx="301">
                  <c:v>6.2797999999999993E-2</c:v>
                </c:pt>
                <c:pt idx="302">
                  <c:v>6.2908000000000006E-2</c:v>
                </c:pt>
                <c:pt idx="303">
                  <c:v>6.3018000000000005E-2</c:v>
                </c:pt>
                <c:pt idx="304">
                  <c:v>6.3158000000000006E-2</c:v>
                </c:pt>
                <c:pt idx="305">
                  <c:v>6.3323999999999991E-2</c:v>
                </c:pt>
                <c:pt idx="306">
                  <c:v>6.3493999999999995E-2</c:v>
                </c:pt>
                <c:pt idx="307">
                  <c:v>6.3631999999999994E-2</c:v>
                </c:pt>
                <c:pt idx="308">
                  <c:v>6.3796000000000005E-2</c:v>
                </c:pt>
                <c:pt idx="309">
                  <c:v>6.3963999999999993E-2</c:v>
                </c:pt>
                <c:pt idx="310">
                  <c:v>6.4103999999999994E-2</c:v>
                </c:pt>
                <c:pt idx="311">
                  <c:v>6.4241999999999994E-2</c:v>
                </c:pt>
                <c:pt idx="312">
                  <c:v>6.4381999999999995E-2</c:v>
                </c:pt>
                <c:pt idx="313">
                  <c:v>6.4547999999999994E-2</c:v>
                </c:pt>
                <c:pt idx="314">
                  <c:v>6.4686000000000007E-2</c:v>
                </c:pt>
                <c:pt idx="315">
                  <c:v>6.4825999999999995E-2</c:v>
                </c:pt>
                <c:pt idx="316">
                  <c:v>6.4964000000000008E-2</c:v>
                </c:pt>
                <c:pt idx="317">
                  <c:v>6.5102000000000007E-2</c:v>
                </c:pt>
                <c:pt idx="318">
                  <c:v>6.5242000000000008E-2</c:v>
                </c:pt>
                <c:pt idx="319">
                  <c:v>6.5380000000000008E-2</c:v>
                </c:pt>
                <c:pt idx="320">
                  <c:v>6.5519999999999995E-2</c:v>
                </c:pt>
                <c:pt idx="321">
                  <c:v>6.5658000000000008E-2</c:v>
                </c:pt>
                <c:pt idx="322">
                  <c:v>6.5797999999999995E-2</c:v>
                </c:pt>
                <c:pt idx="323">
                  <c:v>6.5937999999999997E-2</c:v>
                </c:pt>
                <c:pt idx="324">
                  <c:v>6.6101999999999994E-2</c:v>
                </c:pt>
                <c:pt idx="325">
                  <c:v>6.6269999999999996E-2</c:v>
                </c:pt>
                <c:pt idx="326">
                  <c:v>6.6435999999999995E-2</c:v>
                </c:pt>
                <c:pt idx="327">
                  <c:v>6.6603999999999997E-2</c:v>
                </c:pt>
                <c:pt idx="328">
                  <c:v>6.6769999999999996E-2</c:v>
                </c:pt>
                <c:pt idx="329">
                  <c:v>6.6933999999999994E-2</c:v>
                </c:pt>
                <c:pt idx="330">
                  <c:v>6.7102000000000009E-2</c:v>
                </c:pt>
                <c:pt idx="331">
                  <c:v>6.7269999999999996E-2</c:v>
                </c:pt>
                <c:pt idx="332">
                  <c:v>6.7435999999999996E-2</c:v>
                </c:pt>
                <c:pt idx="333">
                  <c:v>6.7601999999999995E-2</c:v>
                </c:pt>
                <c:pt idx="334">
                  <c:v>6.7742000000000011E-2</c:v>
                </c:pt>
                <c:pt idx="335">
                  <c:v>6.7907999999999996E-2</c:v>
                </c:pt>
                <c:pt idx="336">
                  <c:v>6.8049999999999999E-2</c:v>
                </c:pt>
                <c:pt idx="337">
                  <c:v>6.8215999999999999E-2</c:v>
                </c:pt>
                <c:pt idx="338">
                  <c:v>6.835200000000001E-2</c:v>
                </c:pt>
                <c:pt idx="339">
                  <c:v>6.8517999999999996E-2</c:v>
                </c:pt>
                <c:pt idx="340">
                  <c:v>6.8657999999999997E-2</c:v>
                </c:pt>
                <c:pt idx="341">
                  <c:v>6.8823999999999996E-2</c:v>
                </c:pt>
                <c:pt idx="342">
                  <c:v>6.8991999999999998E-2</c:v>
                </c:pt>
                <c:pt idx="343">
                  <c:v>6.9157999999999997E-2</c:v>
                </c:pt>
                <c:pt idx="344">
                  <c:v>6.9323999999999997E-2</c:v>
                </c:pt>
                <c:pt idx="345">
                  <c:v>6.9494E-2</c:v>
                </c:pt>
                <c:pt idx="346">
                  <c:v>6.966E-2</c:v>
                </c:pt>
                <c:pt idx="347">
                  <c:v>6.9825999999999999E-2</c:v>
                </c:pt>
                <c:pt idx="348">
                  <c:v>6.9991999999999999E-2</c:v>
                </c:pt>
                <c:pt idx="349">
                  <c:v>7.0157999999999998E-2</c:v>
                </c:pt>
                <c:pt idx="350">
                  <c:v>7.0326E-2</c:v>
                </c:pt>
                <c:pt idx="351">
                  <c:v>7.0491999999999999E-2</c:v>
                </c:pt>
                <c:pt idx="352">
                  <c:v>7.0657999999999999E-2</c:v>
                </c:pt>
                <c:pt idx="353">
                  <c:v>7.0823999999999998E-2</c:v>
                </c:pt>
                <c:pt idx="354">
                  <c:v>7.0992E-2</c:v>
                </c:pt>
                <c:pt idx="355">
                  <c:v>7.1157999999999999E-2</c:v>
                </c:pt>
                <c:pt idx="356">
                  <c:v>7.1326000000000001E-2</c:v>
                </c:pt>
                <c:pt idx="357">
                  <c:v>7.1489999999999998E-2</c:v>
                </c:pt>
                <c:pt idx="358">
                  <c:v>7.1660000000000001E-2</c:v>
                </c:pt>
                <c:pt idx="359">
                  <c:v>7.1854000000000001E-2</c:v>
                </c:pt>
                <c:pt idx="360">
                  <c:v>7.2020000000000001E-2</c:v>
                </c:pt>
                <c:pt idx="361">
                  <c:v>7.2214E-2</c:v>
                </c:pt>
                <c:pt idx="362">
                  <c:v>7.238E-2</c:v>
                </c:pt>
                <c:pt idx="363">
                  <c:v>7.2545999999999999E-2</c:v>
                </c:pt>
                <c:pt idx="364">
                  <c:v>7.2714000000000001E-2</c:v>
                </c:pt>
                <c:pt idx="365">
                  <c:v>7.2882000000000002E-2</c:v>
                </c:pt>
                <c:pt idx="366">
                  <c:v>7.3046E-2</c:v>
                </c:pt>
                <c:pt idx="367">
                  <c:v>7.3214000000000001E-2</c:v>
                </c:pt>
                <c:pt idx="368">
                  <c:v>7.3380000000000001E-2</c:v>
                </c:pt>
                <c:pt idx="369">
                  <c:v>7.3548000000000002E-2</c:v>
                </c:pt>
                <c:pt idx="370">
                  <c:v>7.3742000000000002E-2</c:v>
                </c:pt>
                <c:pt idx="371">
                  <c:v>7.3936000000000002E-2</c:v>
                </c:pt>
                <c:pt idx="372">
                  <c:v>7.4132000000000003E-2</c:v>
                </c:pt>
                <c:pt idx="373">
                  <c:v>7.4326000000000003E-2</c:v>
                </c:pt>
                <c:pt idx="374">
                  <c:v>7.4518000000000001E-2</c:v>
                </c:pt>
                <c:pt idx="375">
                  <c:v>7.4714000000000003E-2</c:v>
                </c:pt>
                <c:pt idx="376">
                  <c:v>7.4880000000000002E-2</c:v>
                </c:pt>
                <c:pt idx="377">
                  <c:v>7.5076000000000004E-2</c:v>
                </c:pt>
                <c:pt idx="378">
                  <c:v>7.5242000000000003E-2</c:v>
                </c:pt>
                <c:pt idx="379">
                  <c:v>7.5436000000000003E-2</c:v>
                </c:pt>
                <c:pt idx="380">
                  <c:v>7.5603999999999991E-2</c:v>
                </c:pt>
                <c:pt idx="381">
                  <c:v>7.579799999999999E-2</c:v>
                </c:pt>
                <c:pt idx="382">
                  <c:v>7.5994000000000006E-2</c:v>
                </c:pt>
                <c:pt idx="383">
                  <c:v>7.6186000000000004E-2</c:v>
                </c:pt>
                <c:pt idx="384">
                  <c:v>7.6380000000000003E-2</c:v>
                </c:pt>
                <c:pt idx="385">
                  <c:v>7.6574000000000003E-2</c:v>
                </c:pt>
                <c:pt idx="386">
                  <c:v>7.6769999999999991E-2</c:v>
                </c:pt>
                <c:pt idx="387">
                  <c:v>7.6963999999999991E-2</c:v>
                </c:pt>
                <c:pt idx="388">
                  <c:v>7.7158000000000004E-2</c:v>
                </c:pt>
                <c:pt idx="389">
                  <c:v>7.7354000000000006E-2</c:v>
                </c:pt>
                <c:pt idx="390">
                  <c:v>7.7548000000000006E-2</c:v>
                </c:pt>
                <c:pt idx="391">
                  <c:v>7.7742000000000006E-2</c:v>
                </c:pt>
                <c:pt idx="392">
                  <c:v>7.7935999999999991E-2</c:v>
                </c:pt>
                <c:pt idx="393">
                  <c:v>7.8159999999999993E-2</c:v>
                </c:pt>
                <c:pt idx="394">
                  <c:v>7.8380000000000005E-2</c:v>
                </c:pt>
                <c:pt idx="395">
                  <c:v>7.8602000000000005E-2</c:v>
                </c:pt>
                <c:pt idx="396">
                  <c:v>7.8826000000000007E-2</c:v>
                </c:pt>
                <c:pt idx="397">
                  <c:v>7.9046000000000005E-2</c:v>
                </c:pt>
                <c:pt idx="398">
                  <c:v>7.9269999999999993E-2</c:v>
                </c:pt>
                <c:pt idx="399">
                  <c:v>7.9492000000000007E-2</c:v>
                </c:pt>
                <c:pt idx="400">
                  <c:v>7.9715999999999995E-2</c:v>
                </c:pt>
                <c:pt idx="401">
                  <c:v>7.9935999999999993E-2</c:v>
                </c:pt>
                <c:pt idx="402">
                  <c:v>8.0158000000000007E-2</c:v>
                </c:pt>
                <c:pt idx="403">
                  <c:v>8.0380000000000007E-2</c:v>
                </c:pt>
                <c:pt idx="404">
                  <c:v>8.0602000000000007E-2</c:v>
                </c:pt>
                <c:pt idx="405">
                  <c:v>8.0823999999999993E-2</c:v>
                </c:pt>
                <c:pt idx="406">
                  <c:v>8.1047999999999995E-2</c:v>
                </c:pt>
                <c:pt idx="407">
                  <c:v>8.1271999999999997E-2</c:v>
                </c:pt>
                <c:pt idx="408">
                  <c:v>8.1492000000000009E-2</c:v>
                </c:pt>
                <c:pt idx="409">
                  <c:v>8.1714000000000009E-2</c:v>
                </c:pt>
                <c:pt idx="410">
                  <c:v>8.1935999999999995E-2</c:v>
                </c:pt>
                <c:pt idx="411">
                  <c:v>8.2159999999999997E-2</c:v>
                </c:pt>
                <c:pt idx="412">
                  <c:v>8.2407999999999995E-2</c:v>
                </c:pt>
                <c:pt idx="413">
                  <c:v>8.2631999999999997E-2</c:v>
                </c:pt>
                <c:pt idx="414">
                  <c:v>8.2853999999999997E-2</c:v>
                </c:pt>
                <c:pt idx="415">
                  <c:v>8.3073999999999995E-2</c:v>
                </c:pt>
                <c:pt idx="416">
                  <c:v>8.3295999999999995E-2</c:v>
                </c:pt>
                <c:pt idx="417">
                  <c:v>8.3519999999999997E-2</c:v>
                </c:pt>
                <c:pt idx="418">
                  <c:v>8.3741999999999997E-2</c:v>
                </c:pt>
                <c:pt idx="419">
                  <c:v>8.3963999999999997E-2</c:v>
                </c:pt>
                <c:pt idx="420">
                  <c:v>8.4185999999999997E-2</c:v>
                </c:pt>
                <c:pt idx="421">
                  <c:v>8.4435999999999997E-2</c:v>
                </c:pt>
                <c:pt idx="422">
                  <c:v>8.4657999999999997E-2</c:v>
                </c:pt>
                <c:pt idx="423">
                  <c:v>8.4907999999999997E-2</c:v>
                </c:pt>
                <c:pt idx="424">
                  <c:v>8.516E-2</c:v>
                </c:pt>
                <c:pt idx="425">
                  <c:v>8.5379999999999998E-2</c:v>
                </c:pt>
                <c:pt idx="426">
                  <c:v>8.5604E-2</c:v>
                </c:pt>
                <c:pt idx="427">
                  <c:v>8.5826E-2</c:v>
                </c:pt>
                <c:pt idx="428">
                  <c:v>8.6047999999999986E-2</c:v>
                </c:pt>
                <c:pt idx="429">
                  <c:v>8.6295999999999998E-2</c:v>
                </c:pt>
                <c:pt idx="430">
                  <c:v>8.6548E-2</c:v>
                </c:pt>
                <c:pt idx="431">
                  <c:v>8.6798E-2</c:v>
                </c:pt>
                <c:pt idx="432">
                  <c:v>8.7048E-2</c:v>
                </c:pt>
                <c:pt idx="433">
                  <c:v>8.7297999999999987E-2</c:v>
                </c:pt>
                <c:pt idx="434">
                  <c:v>8.7548000000000001E-2</c:v>
                </c:pt>
                <c:pt idx="435">
                  <c:v>8.7798000000000001E-2</c:v>
                </c:pt>
                <c:pt idx="436">
                  <c:v>8.8046000000000013E-2</c:v>
                </c:pt>
                <c:pt idx="437">
                  <c:v>8.8298000000000001E-2</c:v>
                </c:pt>
                <c:pt idx="438">
                  <c:v>8.8546E-2</c:v>
                </c:pt>
                <c:pt idx="439">
                  <c:v>8.8797999999999988E-2</c:v>
                </c:pt>
                <c:pt idx="440">
                  <c:v>8.9048000000000002E-2</c:v>
                </c:pt>
                <c:pt idx="441">
                  <c:v>8.9296E-2</c:v>
                </c:pt>
                <c:pt idx="442">
                  <c:v>8.9548000000000003E-2</c:v>
                </c:pt>
                <c:pt idx="443">
                  <c:v>8.9797999999999989E-2</c:v>
                </c:pt>
                <c:pt idx="444">
                  <c:v>9.0074000000000001E-2</c:v>
                </c:pt>
                <c:pt idx="445">
                  <c:v>9.035399999999999E-2</c:v>
                </c:pt>
                <c:pt idx="446">
                  <c:v>9.0630000000000002E-2</c:v>
                </c:pt>
                <c:pt idx="447">
                  <c:v>9.0908000000000003E-2</c:v>
                </c:pt>
                <c:pt idx="448">
                  <c:v>9.1186000000000003E-2</c:v>
                </c:pt>
                <c:pt idx="449">
                  <c:v>9.1462000000000002E-2</c:v>
                </c:pt>
                <c:pt idx="450">
                  <c:v>9.1714000000000004E-2</c:v>
                </c:pt>
                <c:pt idx="451">
                  <c:v>9.199199999999999E-2</c:v>
                </c:pt>
                <c:pt idx="452">
                  <c:v>9.2268000000000003E-2</c:v>
                </c:pt>
                <c:pt idx="453">
                  <c:v>9.2547999999999991E-2</c:v>
                </c:pt>
                <c:pt idx="454">
                  <c:v>9.2826000000000006E-2</c:v>
                </c:pt>
                <c:pt idx="455">
                  <c:v>9.3102000000000004E-2</c:v>
                </c:pt>
                <c:pt idx="456">
                  <c:v>9.3382000000000007E-2</c:v>
                </c:pt>
                <c:pt idx="457">
                  <c:v>9.3659999999999993E-2</c:v>
                </c:pt>
                <c:pt idx="458">
                  <c:v>9.3934000000000004E-2</c:v>
                </c:pt>
                <c:pt idx="459">
                  <c:v>9.4214000000000006E-2</c:v>
                </c:pt>
                <c:pt idx="460">
                  <c:v>9.4491999999999993E-2</c:v>
                </c:pt>
                <c:pt idx="461">
                  <c:v>9.4768000000000005E-2</c:v>
                </c:pt>
                <c:pt idx="462">
                  <c:v>9.5047999999999994E-2</c:v>
                </c:pt>
                <c:pt idx="463">
                  <c:v>9.5324000000000006E-2</c:v>
                </c:pt>
                <c:pt idx="464">
                  <c:v>9.5630000000000007E-2</c:v>
                </c:pt>
                <c:pt idx="465">
                  <c:v>9.5936000000000007E-2</c:v>
                </c:pt>
                <c:pt idx="466">
                  <c:v>9.6241999999999994E-2</c:v>
                </c:pt>
                <c:pt idx="467">
                  <c:v>9.6547999999999995E-2</c:v>
                </c:pt>
                <c:pt idx="468">
                  <c:v>9.6851999999999994E-2</c:v>
                </c:pt>
                <c:pt idx="469">
                  <c:v>9.7157999999999994E-2</c:v>
                </c:pt>
                <c:pt idx="470">
                  <c:v>9.7463999999999995E-2</c:v>
                </c:pt>
                <c:pt idx="471">
                  <c:v>9.7769999999999996E-2</c:v>
                </c:pt>
                <c:pt idx="472">
                  <c:v>9.8073999999999995E-2</c:v>
                </c:pt>
                <c:pt idx="473">
                  <c:v>9.8379999999999995E-2</c:v>
                </c:pt>
                <c:pt idx="474">
                  <c:v>9.868600000000001E-2</c:v>
                </c:pt>
                <c:pt idx="475">
                  <c:v>9.8992000000000011E-2</c:v>
                </c:pt>
                <c:pt idx="476">
                  <c:v>9.9323999999999996E-2</c:v>
                </c:pt>
                <c:pt idx="477">
                  <c:v>9.9657999999999997E-2</c:v>
                </c:pt>
                <c:pt idx="478">
                  <c:v>9.9990000000000009E-2</c:v>
                </c:pt>
                <c:pt idx="479">
                  <c:v>0.100326</c:v>
                </c:pt>
                <c:pt idx="480">
                  <c:v>0.100658</c:v>
                </c:pt>
                <c:pt idx="481">
                  <c:v>0.100992</c:v>
                </c:pt>
                <c:pt idx="482">
                  <c:v>0.101326</c:v>
                </c:pt>
                <c:pt idx="483">
                  <c:v>0.10165800000000001</c:v>
                </c:pt>
                <c:pt idx="484">
                  <c:v>0.10199</c:v>
                </c:pt>
                <c:pt idx="485">
                  <c:v>0.102324</c:v>
                </c:pt>
                <c:pt idx="486">
                  <c:v>0.10266</c:v>
                </c:pt>
                <c:pt idx="487">
                  <c:v>0.10299200000000001</c:v>
                </c:pt>
                <c:pt idx="488">
                  <c:v>0.103324</c:v>
                </c:pt>
                <c:pt idx="489">
                  <c:v>0.103658</c:v>
                </c:pt>
                <c:pt idx="490">
                  <c:v>0.103992</c:v>
                </c:pt>
                <c:pt idx="491">
                  <c:v>0.104326</c:v>
                </c:pt>
                <c:pt idx="492">
                  <c:v>0.104658</c:v>
                </c:pt>
                <c:pt idx="493">
                  <c:v>0.104992</c:v>
                </c:pt>
                <c:pt idx="494">
                  <c:v>0.105326</c:v>
                </c:pt>
                <c:pt idx="495">
                  <c:v>0.105686</c:v>
                </c:pt>
                <c:pt idx="496">
                  <c:v>0.10604799999999999</c:v>
                </c:pt>
                <c:pt idx="497">
                  <c:v>0.10641</c:v>
                </c:pt>
                <c:pt idx="498">
                  <c:v>0.10676999999999999</c:v>
                </c:pt>
                <c:pt idx="499">
                  <c:v>0.10712999999999999</c:v>
                </c:pt>
                <c:pt idx="500">
                  <c:v>0.107492</c:v>
                </c:pt>
                <c:pt idx="501">
                  <c:v>0.107852</c:v>
                </c:pt>
                <c:pt idx="502">
                  <c:v>0.108214</c:v>
                </c:pt>
                <c:pt idx="503">
                  <c:v>0.10857599999999999</c:v>
                </c:pt>
                <c:pt idx="504">
                  <c:v>0.10893800000000001</c:v>
                </c:pt>
                <c:pt idx="505">
                  <c:v>0.10932399999999999</c:v>
                </c:pt>
                <c:pt idx="506">
                  <c:v>0.10971399999999999</c:v>
                </c:pt>
                <c:pt idx="507">
                  <c:v>0.11010400000000001</c:v>
                </c:pt>
                <c:pt idx="508">
                  <c:v>0.11049200000000001</c:v>
                </c:pt>
                <c:pt idx="509">
                  <c:v>0.11087999999999999</c:v>
                </c:pt>
                <c:pt idx="510">
                  <c:v>0.11127000000000001</c:v>
                </c:pt>
                <c:pt idx="511">
                  <c:v>0.11165800000000001</c:v>
                </c:pt>
                <c:pt idx="512">
                  <c:v>0.11204800000000001</c:v>
                </c:pt>
                <c:pt idx="513">
                  <c:v>0.11246399999999999</c:v>
                </c:pt>
                <c:pt idx="514">
                  <c:v>0.112882</c:v>
                </c:pt>
                <c:pt idx="515">
                  <c:v>0.11326800000000001</c:v>
                </c:pt>
                <c:pt idx="516">
                  <c:v>0.11366</c:v>
                </c:pt>
                <c:pt idx="517">
                  <c:v>0.11407400000000001</c:v>
                </c:pt>
                <c:pt idx="518">
                  <c:v>0.114492</c:v>
                </c:pt>
                <c:pt idx="519">
                  <c:v>0.114908</c:v>
                </c:pt>
                <c:pt idx="520">
                  <c:v>0.115298</c:v>
                </c:pt>
                <c:pt idx="521">
                  <c:v>0.115716</c:v>
                </c:pt>
                <c:pt idx="522">
                  <c:v>0.11613</c:v>
                </c:pt>
                <c:pt idx="523">
                  <c:v>0.116548</c:v>
                </c:pt>
                <c:pt idx="524">
                  <c:v>0.11699</c:v>
                </c:pt>
                <c:pt idx="525">
                  <c:v>0.117438</c:v>
                </c:pt>
                <c:pt idx="526">
                  <c:v>0.117882</c:v>
                </c:pt>
                <c:pt idx="527">
                  <c:v>0.11832599999999999</c:v>
                </c:pt>
                <c:pt idx="528">
                  <c:v>0.118768</c:v>
                </c:pt>
                <c:pt idx="529">
                  <c:v>0.119214</c:v>
                </c:pt>
                <c:pt idx="530">
                  <c:v>0.119686</c:v>
                </c:pt>
                <c:pt idx="531">
                  <c:v>0.12016</c:v>
                </c:pt>
                <c:pt idx="532">
                  <c:v>0.12063</c:v>
                </c:pt>
                <c:pt idx="533">
                  <c:v>0.121104</c:v>
                </c:pt>
                <c:pt idx="534">
                  <c:v>0.12157400000000002</c:v>
                </c:pt>
                <c:pt idx="535">
                  <c:v>0.122048</c:v>
                </c:pt>
                <c:pt idx="536">
                  <c:v>0.12254799999999999</c:v>
                </c:pt>
                <c:pt idx="537">
                  <c:v>0.12301999999999999</c:v>
                </c:pt>
                <c:pt idx="538">
                  <c:v>0.12349199999999999</c:v>
                </c:pt>
                <c:pt idx="539">
                  <c:v>0.12396599999999999</c:v>
                </c:pt>
                <c:pt idx="540">
                  <c:v>0.12446400000000001</c:v>
                </c:pt>
                <c:pt idx="541">
                  <c:v>0.12493600000000001</c:v>
                </c:pt>
                <c:pt idx="542">
                  <c:v>0.12543599999999999</c:v>
                </c:pt>
                <c:pt idx="543">
                  <c:v>0.12593799999999999</c:v>
                </c:pt>
                <c:pt idx="544">
                  <c:v>0.12643599999999999</c:v>
                </c:pt>
                <c:pt idx="545">
                  <c:v>0.12693399999999999</c:v>
                </c:pt>
                <c:pt idx="546">
                  <c:v>0.12746399999999999</c:v>
                </c:pt>
                <c:pt idx="547">
                  <c:v>0.12799199999999999</c:v>
                </c:pt>
                <c:pt idx="548">
                  <c:v>0.12852</c:v>
                </c:pt>
                <c:pt idx="549">
                  <c:v>0.12905</c:v>
                </c:pt>
                <c:pt idx="550">
                  <c:v>0.12960199999999999</c:v>
                </c:pt>
                <c:pt idx="551">
                  <c:v>0.130158</c:v>
                </c:pt>
                <c:pt idx="552">
                  <c:v>0.13071199999999999</c:v>
                </c:pt>
                <c:pt idx="553">
                  <c:v>0.13127</c:v>
                </c:pt>
                <c:pt idx="554">
                  <c:v>0.131854</c:v>
                </c:pt>
                <c:pt idx="555">
                  <c:v>0.132436</c:v>
                </c:pt>
                <c:pt idx="556">
                  <c:v>0.133018</c:v>
                </c:pt>
                <c:pt idx="557">
                  <c:v>0.133604</c:v>
                </c:pt>
                <c:pt idx="558">
                  <c:v>0.134188</c:v>
                </c:pt>
                <c:pt idx="559">
                  <c:v>0.134798</c:v>
                </c:pt>
                <c:pt idx="560">
                  <c:v>0.135408</c:v>
                </c:pt>
                <c:pt idx="561">
                  <c:v>0.136048</c:v>
                </c:pt>
                <c:pt idx="562">
                  <c:v>0.136714</c:v>
                </c:pt>
                <c:pt idx="563">
                  <c:v>0.13741</c:v>
                </c:pt>
                <c:pt idx="564">
                  <c:v>0.13813</c:v>
                </c:pt>
                <c:pt idx="565">
                  <c:v>0.13888200000000001</c:v>
                </c:pt>
                <c:pt idx="566">
                  <c:v>0.139686</c:v>
                </c:pt>
                <c:pt idx="567">
                  <c:v>0.14052000000000001</c:v>
                </c:pt>
                <c:pt idx="568">
                  <c:v>0.14135400000000001</c:v>
                </c:pt>
                <c:pt idx="569">
                  <c:v>0.14218800000000001</c:v>
                </c:pt>
                <c:pt idx="570">
                  <c:v>0.14302000000000001</c:v>
                </c:pt>
                <c:pt idx="571">
                  <c:v>0.14385199999999998</c:v>
                </c:pt>
              </c:numCache>
            </c:numRef>
          </c:cat>
          <c:val>
            <c:numRef>
              <c:f>'A22-5'!$F$2:$F$573</c:f>
              <c:numCache>
                <c:formatCode>0.00</c:formatCode>
                <c:ptCount val="572"/>
                <c:pt idx="0">
                  <c:v>0</c:v>
                </c:pt>
                <c:pt idx="1">
                  <c:v>0.20874870197300105</c:v>
                </c:pt>
                <c:pt idx="2">
                  <c:v>0.20874870197300105</c:v>
                </c:pt>
                <c:pt idx="3">
                  <c:v>0.20874870197300105</c:v>
                </c:pt>
                <c:pt idx="4">
                  <c:v>0.20874870197300105</c:v>
                </c:pt>
                <c:pt idx="5">
                  <c:v>0.20874870197300105</c:v>
                </c:pt>
                <c:pt idx="6">
                  <c:v>0.21276314547342587</c:v>
                </c:pt>
                <c:pt idx="7">
                  <c:v>0.21276314547342587</c:v>
                </c:pt>
                <c:pt idx="8">
                  <c:v>0.20874870197300105</c:v>
                </c:pt>
                <c:pt idx="9">
                  <c:v>0.21276314547342587</c:v>
                </c:pt>
                <c:pt idx="10">
                  <c:v>0.21276314547342587</c:v>
                </c:pt>
                <c:pt idx="11">
                  <c:v>0.21276314547342587</c:v>
                </c:pt>
                <c:pt idx="12">
                  <c:v>0.21276314547342587</c:v>
                </c:pt>
                <c:pt idx="13">
                  <c:v>0.21276314547342587</c:v>
                </c:pt>
                <c:pt idx="14">
                  <c:v>0.21276314547342587</c:v>
                </c:pt>
                <c:pt idx="15">
                  <c:v>0.21276314547342587</c:v>
                </c:pt>
                <c:pt idx="16">
                  <c:v>0.21276314547342587</c:v>
                </c:pt>
                <c:pt idx="17">
                  <c:v>0.21276314547342587</c:v>
                </c:pt>
                <c:pt idx="18">
                  <c:v>0.21276314547342587</c:v>
                </c:pt>
                <c:pt idx="19">
                  <c:v>0.21276314547342587</c:v>
                </c:pt>
                <c:pt idx="20">
                  <c:v>0.21276314547342587</c:v>
                </c:pt>
                <c:pt idx="21">
                  <c:v>0.21276314547342587</c:v>
                </c:pt>
                <c:pt idx="22">
                  <c:v>0.21276314547342587</c:v>
                </c:pt>
                <c:pt idx="23">
                  <c:v>0.21276314547342587</c:v>
                </c:pt>
                <c:pt idx="24">
                  <c:v>0.21276314547342587</c:v>
                </c:pt>
                <c:pt idx="25">
                  <c:v>0.21276314547342587</c:v>
                </c:pt>
                <c:pt idx="26">
                  <c:v>0.21276314547342587</c:v>
                </c:pt>
                <c:pt idx="27">
                  <c:v>0.21276314547342587</c:v>
                </c:pt>
                <c:pt idx="28">
                  <c:v>0.21276314547342587</c:v>
                </c:pt>
                <c:pt idx="29">
                  <c:v>0.21677758897385066</c:v>
                </c:pt>
                <c:pt idx="30">
                  <c:v>0.21677758897385066</c:v>
                </c:pt>
                <c:pt idx="31">
                  <c:v>0.22079203247427545</c:v>
                </c:pt>
                <c:pt idx="32">
                  <c:v>0.22079203247427545</c:v>
                </c:pt>
                <c:pt idx="33">
                  <c:v>0.22480647597470024</c:v>
                </c:pt>
                <c:pt idx="34">
                  <c:v>0.22480647597470024</c:v>
                </c:pt>
                <c:pt idx="35">
                  <c:v>0.22882091947512509</c:v>
                </c:pt>
                <c:pt idx="36">
                  <c:v>0.23283536297554991</c:v>
                </c:pt>
                <c:pt idx="37">
                  <c:v>0.23685452657415274</c:v>
                </c:pt>
                <c:pt idx="38">
                  <c:v>0.25290286037949589</c:v>
                </c:pt>
                <c:pt idx="39">
                  <c:v>0.26897479467572921</c:v>
                </c:pt>
                <c:pt idx="40">
                  <c:v>0.28502312848107242</c:v>
                </c:pt>
                <c:pt idx="41">
                  <c:v>0.30107146228641557</c:v>
                </c:pt>
                <c:pt idx="42">
                  <c:v>0.3171433965826489</c:v>
                </c:pt>
                <c:pt idx="43">
                  <c:v>0.33319173038799205</c:v>
                </c:pt>
                <c:pt idx="44">
                  <c:v>0.34926366468422537</c:v>
                </c:pt>
                <c:pt idx="45">
                  <c:v>0.36531199848956852</c:v>
                </c:pt>
                <c:pt idx="46">
                  <c:v>0.38136033229491173</c:v>
                </c:pt>
                <c:pt idx="47">
                  <c:v>0.39342018313980937</c:v>
                </c:pt>
                <c:pt idx="48">
                  <c:v>0.40946851694515246</c:v>
                </c:pt>
                <c:pt idx="49">
                  <c:v>0.42551685075049561</c:v>
                </c:pt>
                <c:pt idx="50">
                  <c:v>0.44158878504672888</c:v>
                </c:pt>
                <c:pt idx="51">
                  <c:v>0.45763711885207209</c:v>
                </c:pt>
                <c:pt idx="52">
                  <c:v>0.47772113659964127</c:v>
                </c:pt>
                <c:pt idx="53">
                  <c:v>0.49376947040498442</c:v>
                </c:pt>
                <c:pt idx="54">
                  <c:v>0.50984140470121786</c:v>
                </c:pt>
                <c:pt idx="55">
                  <c:v>0.52588973850656096</c:v>
                </c:pt>
                <c:pt idx="56">
                  <c:v>0.54193807231190416</c:v>
                </c:pt>
                <c:pt idx="57">
                  <c:v>0.55801000660813738</c:v>
                </c:pt>
                <c:pt idx="58">
                  <c:v>0.57405834041348069</c:v>
                </c:pt>
                <c:pt idx="59">
                  <c:v>0.59013027470971391</c:v>
                </c:pt>
                <c:pt idx="60">
                  <c:v>0.60617860851505712</c:v>
                </c:pt>
                <c:pt idx="61">
                  <c:v>0.62222694232040021</c:v>
                </c:pt>
                <c:pt idx="62">
                  <c:v>0.63829887661663365</c:v>
                </c:pt>
                <c:pt idx="63">
                  <c:v>0.65434721042197674</c:v>
                </c:pt>
                <c:pt idx="64">
                  <c:v>0.67041914471821007</c:v>
                </c:pt>
                <c:pt idx="65">
                  <c:v>0.68646747852355328</c:v>
                </c:pt>
                <c:pt idx="66">
                  <c:v>0.70251581232889637</c:v>
                </c:pt>
                <c:pt idx="67">
                  <c:v>0.71858774662512981</c:v>
                </c:pt>
                <c:pt idx="68">
                  <c:v>0.73463608043047302</c:v>
                </c:pt>
                <c:pt idx="69">
                  <c:v>0.75068441423581611</c:v>
                </c:pt>
                <c:pt idx="70">
                  <c:v>0.76675634853204944</c:v>
                </c:pt>
                <c:pt idx="71">
                  <c:v>0.78280468233739253</c:v>
                </c:pt>
                <c:pt idx="72">
                  <c:v>0.79887661663362608</c:v>
                </c:pt>
                <c:pt idx="73">
                  <c:v>0.81492495043896918</c:v>
                </c:pt>
                <c:pt idx="74">
                  <c:v>0.83097328424431227</c:v>
                </c:pt>
                <c:pt idx="75">
                  <c:v>0.8470452185405456</c:v>
                </c:pt>
                <c:pt idx="76">
                  <c:v>0.86309355234588869</c:v>
                </c:pt>
                <c:pt idx="77">
                  <c:v>0.87916548664212213</c:v>
                </c:pt>
                <c:pt idx="78">
                  <c:v>0.89521382044746545</c:v>
                </c:pt>
                <c:pt idx="79">
                  <c:v>0.91126215425280854</c:v>
                </c:pt>
                <c:pt idx="80">
                  <c:v>0.92733408854904176</c:v>
                </c:pt>
                <c:pt idx="81">
                  <c:v>0.94338242235438485</c:v>
                </c:pt>
                <c:pt idx="82">
                  <c:v>0.9594543566506184</c:v>
                </c:pt>
                <c:pt idx="83">
                  <c:v>0.9755026904559615</c:v>
                </c:pt>
                <c:pt idx="84">
                  <c:v>0.99155102426130459</c:v>
                </c:pt>
                <c:pt idx="85">
                  <c:v>1.007622958557538</c:v>
                </c:pt>
                <c:pt idx="86">
                  <c:v>1.0236712923628812</c:v>
                </c:pt>
                <c:pt idx="87">
                  <c:v>1.0397432266591145</c:v>
                </c:pt>
                <c:pt idx="88">
                  <c:v>1.0557915604644577</c:v>
                </c:pt>
                <c:pt idx="89">
                  <c:v>1.0718398942698006</c:v>
                </c:pt>
                <c:pt idx="90">
                  <c:v>1.0879118285660341</c:v>
                </c:pt>
                <c:pt idx="91">
                  <c:v>1.1039601623713773</c:v>
                </c:pt>
                <c:pt idx="92">
                  <c:v>1.1200320966676105</c:v>
                </c:pt>
                <c:pt idx="93">
                  <c:v>1.1360804304729537</c:v>
                </c:pt>
                <c:pt idx="94">
                  <c:v>1.1521287642782969</c:v>
                </c:pt>
                <c:pt idx="95">
                  <c:v>1.1682006985745303</c:v>
                </c:pt>
                <c:pt idx="96">
                  <c:v>1.1842490323798736</c:v>
                </c:pt>
                <c:pt idx="97">
                  <c:v>1.200320966676107</c:v>
                </c:pt>
                <c:pt idx="98">
                  <c:v>1.21636930048145</c:v>
                </c:pt>
                <c:pt idx="99">
                  <c:v>1.2324176342867932</c:v>
                </c:pt>
                <c:pt idx="100">
                  <c:v>1.2484895685830266</c:v>
                </c:pt>
                <c:pt idx="101">
                  <c:v>1.2645379023883696</c:v>
                </c:pt>
                <c:pt idx="102">
                  <c:v>1.280609836684603</c:v>
                </c:pt>
                <c:pt idx="103">
                  <c:v>1.2966581704899462</c:v>
                </c:pt>
                <c:pt idx="104">
                  <c:v>1.3127065042952892</c:v>
                </c:pt>
                <c:pt idx="105">
                  <c:v>1.3287784385915227</c:v>
                </c:pt>
                <c:pt idx="106">
                  <c:v>1.3448267723968659</c:v>
                </c:pt>
                <c:pt idx="107">
                  <c:v>1.3608751062022089</c:v>
                </c:pt>
                <c:pt idx="108">
                  <c:v>1.3769470404984425</c:v>
                </c:pt>
                <c:pt idx="109">
                  <c:v>1.3929953743037857</c:v>
                </c:pt>
                <c:pt idx="110">
                  <c:v>1.4090673086000187</c:v>
                </c:pt>
                <c:pt idx="111">
                  <c:v>1.4251156424053619</c:v>
                </c:pt>
                <c:pt idx="112">
                  <c:v>1.4411639762107051</c:v>
                </c:pt>
                <c:pt idx="113">
                  <c:v>1.4572359105069386</c:v>
                </c:pt>
                <c:pt idx="114">
                  <c:v>1.4732842443122818</c:v>
                </c:pt>
                <c:pt idx="115">
                  <c:v>1.493368262059851</c:v>
                </c:pt>
                <c:pt idx="116">
                  <c:v>1.5094165958651939</c:v>
                </c:pt>
                <c:pt idx="117">
                  <c:v>1.5254885301614276</c:v>
                </c:pt>
                <c:pt idx="118">
                  <c:v>1.5415368639667704</c:v>
                </c:pt>
                <c:pt idx="119">
                  <c:v>1.5575851977721138</c:v>
                </c:pt>
                <c:pt idx="120">
                  <c:v>1.573657132068347</c:v>
                </c:pt>
                <c:pt idx="121">
                  <c:v>1.58970546587369</c:v>
                </c:pt>
                <c:pt idx="122">
                  <c:v>1.6097894836212592</c:v>
                </c:pt>
                <c:pt idx="123">
                  <c:v>1.6258378174266026</c:v>
                </c:pt>
                <c:pt idx="124">
                  <c:v>1.6418861512319456</c:v>
                </c:pt>
                <c:pt idx="125">
                  <c:v>1.657958085528179</c:v>
                </c:pt>
                <c:pt idx="126">
                  <c:v>1.674006419333522</c:v>
                </c:pt>
                <c:pt idx="127">
                  <c:v>1.6900783536297552</c:v>
                </c:pt>
                <c:pt idx="128">
                  <c:v>1.7101387708864344</c:v>
                </c:pt>
                <c:pt idx="129">
                  <c:v>1.7261871046917774</c:v>
                </c:pt>
                <c:pt idx="130">
                  <c:v>1.7422590389880108</c:v>
                </c:pt>
                <c:pt idx="131">
                  <c:v>1.758307372793354</c:v>
                </c:pt>
                <c:pt idx="132">
                  <c:v>1.7783913905409232</c:v>
                </c:pt>
                <c:pt idx="133">
                  <c:v>1.7944397243462666</c:v>
                </c:pt>
                <c:pt idx="134">
                  <c:v>1.8105116586424999</c:v>
                </c:pt>
                <c:pt idx="135">
                  <c:v>1.8265599924478428</c:v>
                </c:pt>
                <c:pt idx="136">
                  <c:v>1.8426083262531863</c:v>
                </c:pt>
                <c:pt idx="137">
                  <c:v>1.8586802605494193</c:v>
                </c:pt>
                <c:pt idx="138">
                  <c:v>1.8747285943547627</c:v>
                </c:pt>
                <c:pt idx="139">
                  <c:v>1.8908005286509961</c:v>
                </c:pt>
                <c:pt idx="140">
                  <c:v>1.9068488624563389</c:v>
                </c:pt>
                <c:pt idx="141">
                  <c:v>1.9269092797130181</c:v>
                </c:pt>
                <c:pt idx="142">
                  <c:v>1.9469932974605872</c:v>
                </c:pt>
                <c:pt idx="143">
                  <c:v>1.9630416312659305</c:v>
                </c:pt>
                <c:pt idx="144">
                  <c:v>1.9831256490134994</c:v>
                </c:pt>
                <c:pt idx="145">
                  <c:v>2.0031860662701786</c:v>
                </c:pt>
                <c:pt idx="146">
                  <c:v>2.0232700840177475</c:v>
                </c:pt>
                <c:pt idx="147">
                  <c:v>2.0433305012744265</c:v>
                </c:pt>
                <c:pt idx="148">
                  <c:v>2.0594024355706599</c:v>
                </c:pt>
                <c:pt idx="149">
                  <c:v>2.0794628528273389</c:v>
                </c:pt>
                <c:pt idx="150">
                  <c:v>2.0995468705749079</c:v>
                </c:pt>
                <c:pt idx="151">
                  <c:v>2.1155952043802508</c:v>
                </c:pt>
                <c:pt idx="152">
                  <c:v>2.1356792221278198</c:v>
                </c:pt>
                <c:pt idx="153">
                  <c:v>2.1517275559331637</c:v>
                </c:pt>
                <c:pt idx="154">
                  <c:v>2.1677758897385067</c:v>
                </c:pt>
                <c:pt idx="155">
                  <c:v>2.1878599074860756</c:v>
                </c:pt>
                <c:pt idx="156">
                  <c:v>2.2039082412914186</c:v>
                </c:pt>
                <c:pt idx="157">
                  <c:v>2.219980175587652</c:v>
                </c:pt>
                <c:pt idx="158">
                  <c:v>2.2360285093929955</c:v>
                </c:pt>
                <c:pt idx="159">
                  <c:v>2.2561125271405649</c:v>
                </c:pt>
                <c:pt idx="160">
                  <c:v>2.2721608609459074</c:v>
                </c:pt>
                <c:pt idx="161">
                  <c:v>2.2922212782025868</c:v>
                </c:pt>
                <c:pt idx="162">
                  <c:v>2.3082932124988198</c:v>
                </c:pt>
                <c:pt idx="163">
                  <c:v>2.3243415463041632</c:v>
                </c:pt>
                <c:pt idx="164">
                  <c:v>2.3404134806003967</c:v>
                </c:pt>
                <c:pt idx="165">
                  <c:v>2.3564618144057397</c:v>
                </c:pt>
                <c:pt idx="166">
                  <c:v>2.3725573491928635</c:v>
                </c:pt>
                <c:pt idx="167">
                  <c:v>2.3886056829982061</c:v>
                </c:pt>
                <c:pt idx="168">
                  <c:v>2.4046540168035495</c:v>
                </c:pt>
                <c:pt idx="169">
                  <c:v>2.4207023506088925</c:v>
                </c:pt>
                <c:pt idx="170">
                  <c:v>2.4407627678655714</c:v>
                </c:pt>
                <c:pt idx="171">
                  <c:v>2.4568111016709149</c:v>
                </c:pt>
                <c:pt idx="172">
                  <c:v>2.4728594354762579</c:v>
                </c:pt>
                <c:pt idx="173">
                  <c:v>2.4889077692816008</c:v>
                </c:pt>
                <c:pt idx="174">
                  <c:v>2.5049561030869443</c:v>
                </c:pt>
                <c:pt idx="175">
                  <c:v>2.5250165203436232</c:v>
                </c:pt>
                <c:pt idx="176">
                  <c:v>2.5410648541489662</c:v>
                </c:pt>
                <c:pt idx="177">
                  <c:v>2.5571131879543092</c:v>
                </c:pt>
                <c:pt idx="178">
                  <c:v>2.5771736052109881</c:v>
                </c:pt>
                <c:pt idx="179">
                  <c:v>2.5932219390163316</c:v>
                </c:pt>
                <c:pt idx="180">
                  <c:v>2.6092702728216746</c:v>
                </c:pt>
                <c:pt idx="181">
                  <c:v>2.6253186066270175</c:v>
                </c:pt>
                <c:pt idx="182">
                  <c:v>2.6416029453412633</c:v>
                </c:pt>
                <c:pt idx="183">
                  <c:v>2.6576512791466063</c:v>
                </c:pt>
                <c:pt idx="184">
                  <c:v>2.6777116964032852</c:v>
                </c:pt>
                <c:pt idx="185">
                  <c:v>2.6937600302086282</c:v>
                </c:pt>
                <c:pt idx="186">
                  <c:v>2.7098083640139712</c:v>
                </c:pt>
                <c:pt idx="187">
                  <c:v>2.7258566978193146</c:v>
                </c:pt>
                <c:pt idx="188">
                  <c:v>2.741905031624658</c:v>
                </c:pt>
                <c:pt idx="189">
                  <c:v>2.761965448881337</c:v>
                </c:pt>
                <c:pt idx="190">
                  <c:v>2.7780137826866795</c:v>
                </c:pt>
                <c:pt idx="191">
                  <c:v>2.7940621164920234</c:v>
                </c:pt>
                <c:pt idx="192">
                  <c:v>2.8101104502973659</c:v>
                </c:pt>
                <c:pt idx="193">
                  <c:v>2.8261587841027094</c:v>
                </c:pt>
                <c:pt idx="194">
                  <c:v>2.8422071179080528</c:v>
                </c:pt>
                <c:pt idx="195">
                  <c:v>2.8582554517133958</c:v>
                </c:pt>
                <c:pt idx="196">
                  <c:v>2.8743037855187388</c:v>
                </c:pt>
                <c:pt idx="197">
                  <c:v>2.8903521193240822</c:v>
                </c:pt>
                <c:pt idx="198">
                  <c:v>2.9064004531294252</c:v>
                </c:pt>
                <c:pt idx="199">
                  <c:v>2.9224487869347682</c:v>
                </c:pt>
                <c:pt idx="200">
                  <c:v>2.9384971207401116</c:v>
                </c:pt>
                <c:pt idx="201">
                  <c:v>2.9545454545454546</c:v>
                </c:pt>
                <c:pt idx="202">
                  <c:v>2.9705937883507976</c:v>
                </c:pt>
                <c:pt idx="203">
                  <c:v>2.9906542056074765</c:v>
                </c:pt>
                <c:pt idx="204">
                  <c:v>3.00670253941282</c:v>
                </c:pt>
                <c:pt idx="205">
                  <c:v>3.0227508732181634</c:v>
                </c:pt>
                <c:pt idx="206">
                  <c:v>3.0387992070235059</c:v>
                </c:pt>
                <c:pt idx="207">
                  <c:v>3.0550835457377512</c:v>
                </c:pt>
                <c:pt idx="208">
                  <c:v>3.0711318795430946</c:v>
                </c:pt>
                <c:pt idx="209">
                  <c:v>3.0911922967997731</c:v>
                </c:pt>
                <c:pt idx="210">
                  <c:v>3.119276880959124</c:v>
                </c:pt>
                <c:pt idx="211">
                  <c:v>3.1473614651184749</c:v>
                </c:pt>
                <c:pt idx="212">
                  <c:v>3.171433965826489</c:v>
                </c:pt>
                <c:pt idx="213">
                  <c:v>3.1995185499858394</c:v>
                </c:pt>
                <c:pt idx="214">
                  <c:v>3.2235910506938548</c:v>
                </c:pt>
                <c:pt idx="215">
                  <c:v>3.2516756348532052</c:v>
                </c:pt>
                <c:pt idx="216">
                  <c:v>3.2757481355612197</c:v>
                </c:pt>
                <c:pt idx="217">
                  <c:v>3.3038327197205706</c:v>
                </c:pt>
                <c:pt idx="218">
                  <c:v>3.331917303879921</c:v>
                </c:pt>
                <c:pt idx="219">
                  <c:v>3.3600018880392715</c:v>
                </c:pt>
                <c:pt idx="220">
                  <c:v>3.3840743887472855</c:v>
                </c:pt>
                <c:pt idx="221">
                  <c:v>3.4081468894553009</c:v>
                </c:pt>
                <c:pt idx="222">
                  <c:v>3.4322193901633153</c:v>
                </c:pt>
                <c:pt idx="223">
                  <c:v>3.4565278957802321</c:v>
                </c:pt>
                <c:pt idx="224">
                  <c:v>3.4806003964882466</c:v>
                </c:pt>
                <c:pt idx="225">
                  <c:v>3.5046728971962615</c:v>
                </c:pt>
                <c:pt idx="226">
                  <c:v>3.5287453979042769</c:v>
                </c:pt>
                <c:pt idx="227">
                  <c:v>3.5528178986122909</c:v>
                </c:pt>
                <c:pt idx="228">
                  <c:v>3.5809024827716414</c:v>
                </c:pt>
                <c:pt idx="229">
                  <c:v>3.6049749834796563</c:v>
                </c:pt>
                <c:pt idx="230">
                  <c:v>3.6290474841876716</c:v>
                </c:pt>
                <c:pt idx="231">
                  <c:v>3.6571320683470221</c:v>
                </c:pt>
                <c:pt idx="232">
                  <c:v>3.6812045690550361</c:v>
                </c:pt>
                <c:pt idx="233">
                  <c:v>3.705277069763051</c:v>
                </c:pt>
                <c:pt idx="234">
                  <c:v>3.7333616539224015</c:v>
                </c:pt>
                <c:pt idx="235">
                  <c:v>3.7574341546304164</c:v>
                </c:pt>
                <c:pt idx="236">
                  <c:v>3.7815066553384309</c:v>
                </c:pt>
                <c:pt idx="237">
                  <c:v>3.8095912394977813</c:v>
                </c:pt>
                <c:pt idx="238">
                  <c:v>3.8336637402057963</c:v>
                </c:pt>
                <c:pt idx="239">
                  <c:v>3.8577362409138112</c:v>
                </c:pt>
                <c:pt idx="240">
                  <c:v>3.8860568299820639</c:v>
                </c:pt>
                <c:pt idx="241">
                  <c:v>3.9101293306900784</c:v>
                </c:pt>
                <c:pt idx="242">
                  <c:v>3.9382139148494288</c:v>
                </c:pt>
                <c:pt idx="243">
                  <c:v>3.9662984990087793</c:v>
                </c:pt>
                <c:pt idx="244">
                  <c:v>3.9903709997167947</c:v>
                </c:pt>
                <c:pt idx="245">
                  <c:v>4.0184555838761451</c:v>
                </c:pt>
                <c:pt idx="246">
                  <c:v>4.0465401680354951</c:v>
                </c:pt>
                <c:pt idx="247">
                  <c:v>4.07061266874351</c:v>
                </c:pt>
                <c:pt idx="248">
                  <c:v>4.09869725290286</c:v>
                </c:pt>
                <c:pt idx="249">
                  <c:v>4.1267818370622109</c:v>
                </c:pt>
                <c:pt idx="250">
                  <c:v>4.1588785046728969</c:v>
                </c:pt>
                <c:pt idx="251">
                  <c:v>4.1949872557349197</c:v>
                </c:pt>
                <c:pt idx="252">
                  <c:v>4.2310960067969408</c:v>
                </c:pt>
                <c:pt idx="253">
                  <c:v>4.2674407627678654</c:v>
                </c:pt>
                <c:pt idx="254">
                  <c:v>4.3035495138298883</c:v>
                </c:pt>
                <c:pt idx="255">
                  <c:v>4.3396582648919093</c:v>
                </c:pt>
                <c:pt idx="256">
                  <c:v>4.3757670159539321</c:v>
                </c:pt>
                <c:pt idx="257">
                  <c:v>4.4118757670159532</c:v>
                </c:pt>
                <c:pt idx="258">
                  <c:v>4.447984518077976</c:v>
                </c:pt>
                <c:pt idx="259">
                  <c:v>4.484093269139998</c:v>
                </c:pt>
                <c:pt idx="260">
                  <c:v>4.5161899367506848</c:v>
                </c:pt>
                <c:pt idx="261">
                  <c:v>4.5522986878127067</c:v>
                </c:pt>
                <c:pt idx="262">
                  <c:v>4.5843953554233927</c:v>
                </c:pt>
                <c:pt idx="263">
                  <c:v>4.6164920230340787</c:v>
                </c:pt>
                <c:pt idx="264">
                  <c:v>4.6526007740961006</c:v>
                </c:pt>
                <c:pt idx="265">
                  <c:v>4.6849334466156893</c:v>
                </c:pt>
                <c:pt idx="266">
                  <c:v>4.7170301142263753</c:v>
                </c:pt>
                <c:pt idx="267">
                  <c:v>4.7491267818370622</c:v>
                </c:pt>
                <c:pt idx="268">
                  <c:v>4.7812234494477481</c:v>
                </c:pt>
                <c:pt idx="269">
                  <c:v>4.817332200509771</c:v>
                </c:pt>
                <c:pt idx="270">
                  <c:v>4.8494288681204569</c:v>
                </c:pt>
                <c:pt idx="271">
                  <c:v>4.8815255357311429</c:v>
                </c:pt>
                <c:pt idx="272">
                  <c:v>4.9136222033418298</c:v>
                </c:pt>
                <c:pt idx="273">
                  <c:v>4.9457188709525157</c:v>
                </c:pt>
                <c:pt idx="274">
                  <c:v>4.9778155385632017</c:v>
                </c:pt>
                <c:pt idx="275">
                  <c:v>5.0139242896252236</c:v>
                </c:pt>
                <c:pt idx="276">
                  <c:v>5.0460209572359105</c:v>
                </c:pt>
                <c:pt idx="277">
                  <c:v>5.0783536297554992</c:v>
                </c:pt>
                <c:pt idx="278">
                  <c:v>5.1104502973661852</c:v>
                </c:pt>
                <c:pt idx="279">
                  <c:v>5.1465590484282071</c:v>
                </c:pt>
                <c:pt idx="280">
                  <c:v>5.1866798829415659</c:v>
                </c:pt>
                <c:pt idx="281">
                  <c:v>5.2308128009062589</c:v>
                </c:pt>
                <c:pt idx="282">
                  <c:v>5.2709336354196168</c:v>
                </c:pt>
                <c:pt idx="283">
                  <c:v>5.3150665533843107</c:v>
                </c:pt>
                <c:pt idx="284">
                  <c:v>5.3551873878976686</c:v>
                </c:pt>
                <c:pt idx="285">
                  <c:v>5.3993203058623616</c:v>
                </c:pt>
                <c:pt idx="286">
                  <c:v>5.4434532238270554</c:v>
                </c:pt>
                <c:pt idx="287">
                  <c:v>5.4835740583404133</c:v>
                </c:pt>
                <c:pt idx="288">
                  <c:v>5.5279429812140091</c:v>
                </c:pt>
                <c:pt idx="289">
                  <c:v>5.5720758991787021</c:v>
                </c:pt>
                <c:pt idx="290">
                  <c:v>5.6202209005947319</c:v>
                </c:pt>
                <c:pt idx="291">
                  <c:v>5.6643538185594258</c:v>
                </c:pt>
                <c:pt idx="292">
                  <c:v>5.7124988199754556</c:v>
                </c:pt>
                <c:pt idx="293">
                  <c:v>5.7566317379401486</c:v>
                </c:pt>
                <c:pt idx="294">
                  <c:v>5.8007646559048425</c:v>
                </c:pt>
                <c:pt idx="295">
                  <c:v>5.8448975738695363</c:v>
                </c:pt>
                <c:pt idx="296">
                  <c:v>5.8890304918342302</c:v>
                </c:pt>
                <c:pt idx="297">
                  <c:v>5.9333994147078259</c:v>
                </c:pt>
                <c:pt idx="298">
                  <c:v>5.9775323326725198</c:v>
                </c:pt>
                <c:pt idx="299">
                  <c:v>6.0176531671858777</c:v>
                </c:pt>
                <c:pt idx="300">
                  <c:v>6.0617860851505716</c:v>
                </c:pt>
                <c:pt idx="301">
                  <c:v>6.1059190031152655</c:v>
                </c:pt>
                <c:pt idx="302">
                  <c:v>6.1460398376286234</c:v>
                </c:pt>
                <c:pt idx="303">
                  <c:v>6.1861606721419804</c:v>
                </c:pt>
                <c:pt idx="304">
                  <c:v>6.2343056735580111</c:v>
                </c:pt>
                <c:pt idx="305">
                  <c:v>6.290474841876712</c:v>
                </c:pt>
                <c:pt idx="306">
                  <c:v>6.3428679316529779</c:v>
                </c:pt>
                <c:pt idx="307">
                  <c:v>6.3910129330690086</c:v>
                </c:pt>
                <c:pt idx="308">
                  <c:v>6.4471821013877095</c:v>
                </c:pt>
                <c:pt idx="309">
                  <c:v>6.4993391862550745</c:v>
                </c:pt>
                <c:pt idx="310">
                  <c:v>6.5474841876711034</c:v>
                </c:pt>
                <c:pt idx="311">
                  <c:v>6.5956291890871341</c:v>
                </c:pt>
                <c:pt idx="312">
                  <c:v>6.6437741905031622</c:v>
                </c:pt>
                <c:pt idx="313">
                  <c:v>6.6999433588218631</c:v>
                </c:pt>
                <c:pt idx="314">
                  <c:v>6.7483243651467957</c:v>
                </c:pt>
                <c:pt idx="315">
                  <c:v>6.7964693665628246</c:v>
                </c:pt>
                <c:pt idx="316">
                  <c:v>6.8446143679788536</c:v>
                </c:pt>
                <c:pt idx="317">
                  <c:v>6.8927593693948834</c:v>
                </c:pt>
                <c:pt idx="318">
                  <c:v>6.9449164542622484</c:v>
                </c:pt>
                <c:pt idx="319">
                  <c:v>6.9930614556782782</c:v>
                </c:pt>
                <c:pt idx="320">
                  <c:v>7.0452185405456431</c:v>
                </c:pt>
                <c:pt idx="321">
                  <c:v>7.093363541961673</c:v>
                </c:pt>
                <c:pt idx="322">
                  <c:v>7.1457566317379388</c:v>
                </c:pt>
                <c:pt idx="323">
                  <c:v>7.1979137166053055</c:v>
                </c:pt>
                <c:pt idx="324">
                  <c:v>7.2621070518266775</c:v>
                </c:pt>
                <c:pt idx="325">
                  <c:v>7.3222883035967143</c:v>
                </c:pt>
                <c:pt idx="326">
                  <c:v>7.3864816388180881</c:v>
                </c:pt>
                <c:pt idx="327">
                  <c:v>7.45067497403946</c:v>
                </c:pt>
                <c:pt idx="328">
                  <c:v>7.5148683092608328</c:v>
                </c:pt>
                <c:pt idx="329">
                  <c:v>7.5792976493911066</c:v>
                </c:pt>
                <c:pt idx="330">
                  <c:v>7.6434909846124794</c:v>
                </c:pt>
                <c:pt idx="331">
                  <c:v>7.7076843198338523</c:v>
                </c:pt>
                <c:pt idx="332">
                  <c:v>7.7718776550552251</c:v>
                </c:pt>
                <c:pt idx="333">
                  <c:v>7.836070990276597</c:v>
                </c:pt>
                <c:pt idx="334">
                  <c:v>7.8922401585952997</c:v>
                </c:pt>
                <c:pt idx="335">
                  <c:v>7.9566694987255735</c:v>
                </c:pt>
                <c:pt idx="336">
                  <c:v>8.0128386670442744</c:v>
                </c:pt>
                <c:pt idx="337">
                  <c:v>8.0770320022656463</c:v>
                </c:pt>
                <c:pt idx="338">
                  <c:v>8.1332011705843481</c:v>
                </c:pt>
                <c:pt idx="339">
                  <c:v>8.19739450580572</c:v>
                </c:pt>
                <c:pt idx="340">
                  <c:v>8.2535636741244218</c:v>
                </c:pt>
                <c:pt idx="341">
                  <c:v>8.3217690927971297</c:v>
                </c:pt>
                <c:pt idx="342">
                  <c:v>8.3902105163787404</c:v>
                </c:pt>
                <c:pt idx="343">
                  <c:v>8.4584159350514483</c:v>
                </c:pt>
                <c:pt idx="344">
                  <c:v>8.526621353724158</c:v>
                </c:pt>
                <c:pt idx="345">
                  <c:v>8.5908146889455299</c:v>
                </c:pt>
                <c:pt idx="346">
                  <c:v>8.6590201076182396</c:v>
                </c:pt>
                <c:pt idx="347">
                  <c:v>8.7272255262909475</c:v>
                </c:pt>
                <c:pt idx="348">
                  <c:v>8.7956669498725564</c:v>
                </c:pt>
                <c:pt idx="349">
                  <c:v>8.8638723685452661</c:v>
                </c:pt>
                <c:pt idx="350">
                  <c:v>8.932077787217974</c:v>
                </c:pt>
                <c:pt idx="351">
                  <c:v>9.0002832058906836</c:v>
                </c:pt>
                <c:pt idx="352">
                  <c:v>9.0684886245633898</c:v>
                </c:pt>
                <c:pt idx="353">
                  <c:v>9.1366940432360995</c:v>
                </c:pt>
                <c:pt idx="354">
                  <c:v>9.2091475502690443</c:v>
                </c:pt>
                <c:pt idx="355">
                  <c:v>9.277352968941754</c:v>
                </c:pt>
                <c:pt idx="356">
                  <c:v>9.3495704710657996</c:v>
                </c:pt>
                <c:pt idx="357">
                  <c:v>9.4217879731898435</c:v>
                </c:pt>
                <c:pt idx="358">
                  <c:v>9.4940054753138856</c:v>
                </c:pt>
                <c:pt idx="359">
                  <c:v>9.5744831492495042</c:v>
                </c:pt>
                <c:pt idx="360">
                  <c:v>9.650712734824884</c:v>
                </c:pt>
                <c:pt idx="361">
                  <c:v>9.7309544038515998</c:v>
                </c:pt>
                <c:pt idx="362">
                  <c:v>9.8071839894269797</c:v>
                </c:pt>
                <c:pt idx="363">
                  <c:v>9.8794014915510253</c:v>
                </c:pt>
                <c:pt idx="364">
                  <c:v>9.9558670820353061</c:v>
                </c:pt>
                <c:pt idx="365">
                  <c:v>10.032096667610686</c:v>
                </c:pt>
                <c:pt idx="366">
                  <c:v>10.10431416973473</c:v>
                </c:pt>
                <c:pt idx="367">
                  <c:v>10.180543755310111</c:v>
                </c:pt>
                <c:pt idx="368">
                  <c:v>10.25677334088549</c:v>
                </c:pt>
                <c:pt idx="369">
                  <c:v>10.333002926460869</c:v>
                </c:pt>
                <c:pt idx="370">
                  <c:v>10.417492683847824</c:v>
                </c:pt>
                <c:pt idx="371">
                  <c:v>10.509770603228546</c:v>
                </c:pt>
                <c:pt idx="372">
                  <c:v>10.598036439157935</c:v>
                </c:pt>
                <c:pt idx="373">
                  <c:v>10.686302275087321</c:v>
                </c:pt>
                <c:pt idx="374">
                  <c:v>10.774804115925612</c:v>
                </c:pt>
                <c:pt idx="375">
                  <c:v>10.863069951854998</c:v>
                </c:pt>
                <c:pt idx="376">
                  <c:v>10.943311620881714</c:v>
                </c:pt>
                <c:pt idx="377">
                  <c:v>11.031577456811101</c:v>
                </c:pt>
                <c:pt idx="378">
                  <c:v>11.111819125837817</c:v>
                </c:pt>
                <c:pt idx="379">
                  <c:v>11.200320966676106</c:v>
                </c:pt>
                <c:pt idx="380">
                  <c:v>11.280562635702822</c:v>
                </c:pt>
                <c:pt idx="381">
                  <c:v>11.368828471632211</c:v>
                </c:pt>
                <c:pt idx="382">
                  <c:v>11.461106391012933</c:v>
                </c:pt>
                <c:pt idx="383">
                  <c:v>11.553384310393657</c:v>
                </c:pt>
                <c:pt idx="384">
                  <c:v>11.645898234683282</c:v>
                </c:pt>
                <c:pt idx="385">
                  <c:v>11.738176154064005</c:v>
                </c:pt>
                <c:pt idx="386">
                  <c:v>11.830454073444727</c:v>
                </c:pt>
                <c:pt idx="387">
                  <c:v>11.922731992825451</c:v>
                </c:pt>
                <c:pt idx="388">
                  <c:v>12.015245917115076</c:v>
                </c:pt>
                <c:pt idx="389">
                  <c:v>12.107523836495798</c:v>
                </c:pt>
                <c:pt idx="390">
                  <c:v>12.199801755876521</c:v>
                </c:pt>
                <c:pt idx="391">
                  <c:v>12.288067591805909</c:v>
                </c:pt>
                <c:pt idx="392">
                  <c:v>12.380345511186633</c:v>
                </c:pt>
                <c:pt idx="393">
                  <c:v>12.480883602378931</c:v>
                </c:pt>
                <c:pt idx="394">
                  <c:v>12.585197772113661</c:v>
                </c:pt>
                <c:pt idx="395">
                  <c:v>12.689511941848389</c:v>
                </c:pt>
                <c:pt idx="396">
                  <c:v>12.798074199943358</c:v>
                </c:pt>
                <c:pt idx="397">
                  <c:v>12.902388369678089</c:v>
                </c:pt>
                <c:pt idx="398">
                  <c:v>13.006702539412821</c:v>
                </c:pt>
                <c:pt idx="399">
                  <c:v>13.111016709147551</c:v>
                </c:pt>
                <c:pt idx="400">
                  <c:v>13.219578967242519</c:v>
                </c:pt>
                <c:pt idx="401">
                  <c:v>13.323893136977247</c:v>
                </c:pt>
                <c:pt idx="402">
                  <c:v>13.428207306711979</c:v>
                </c:pt>
                <c:pt idx="403">
                  <c:v>13.536533559898047</c:v>
                </c:pt>
                <c:pt idx="404">
                  <c:v>13.645095817993013</c:v>
                </c:pt>
                <c:pt idx="405">
                  <c:v>13.749409987727745</c:v>
                </c:pt>
                <c:pt idx="406">
                  <c:v>13.857736240913811</c:v>
                </c:pt>
                <c:pt idx="407">
                  <c:v>13.966062494099877</c:v>
                </c:pt>
                <c:pt idx="408">
                  <c:v>14.074624752194847</c:v>
                </c:pt>
                <c:pt idx="409">
                  <c:v>14.186963088832249</c:v>
                </c:pt>
                <c:pt idx="410">
                  <c:v>14.29930142546965</c:v>
                </c:pt>
                <c:pt idx="411">
                  <c:v>14.411639762107052</c:v>
                </c:pt>
                <c:pt idx="412">
                  <c:v>14.536250354007361</c:v>
                </c:pt>
                <c:pt idx="413">
                  <c:v>14.648588690644766</c:v>
                </c:pt>
                <c:pt idx="414">
                  <c:v>14.760927027282168</c:v>
                </c:pt>
                <c:pt idx="415">
                  <c:v>14.873501368828471</c:v>
                </c:pt>
                <c:pt idx="416">
                  <c:v>14.993863872368546</c:v>
                </c:pt>
                <c:pt idx="417">
                  <c:v>15.110214292457282</c:v>
                </c:pt>
                <c:pt idx="418">
                  <c:v>15.226564712546018</c:v>
                </c:pt>
                <c:pt idx="419">
                  <c:v>15.343151137543661</c:v>
                </c:pt>
                <c:pt idx="420">
                  <c:v>15.459501557632398</c:v>
                </c:pt>
                <c:pt idx="421">
                  <c:v>15.59190031152648</c:v>
                </c:pt>
                <c:pt idx="422">
                  <c:v>15.712498819975455</c:v>
                </c:pt>
                <c:pt idx="423">
                  <c:v>15.844897573869536</c:v>
                </c:pt>
                <c:pt idx="424">
                  <c:v>15.977296327763616</c:v>
                </c:pt>
                <c:pt idx="425">
                  <c:v>16.097894836212593</c:v>
                </c:pt>
                <c:pt idx="426">
                  <c:v>16.218257339752668</c:v>
                </c:pt>
                <c:pt idx="427">
                  <c:v>16.33861984329274</c:v>
                </c:pt>
                <c:pt idx="428">
                  <c:v>16.459218351741715</c:v>
                </c:pt>
                <c:pt idx="429">
                  <c:v>16.595629189087134</c:v>
                </c:pt>
                <c:pt idx="430">
                  <c:v>16.73204002643255</c:v>
                </c:pt>
                <c:pt idx="431">
                  <c:v>16.864674785235536</c:v>
                </c:pt>
                <c:pt idx="432">
                  <c:v>17.001085622580948</c:v>
                </c:pt>
                <c:pt idx="433">
                  <c:v>17.133484376475032</c:v>
                </c:pt>
                <c:pt idx="434">
                  <c:v>17.27013121872935</c:v>
                </c:pt>
                <c:pt idx="435">
                  <c:v>17.406542056074766</c:v>
                </c:pt>
                <c:pt idx="436">
                  <c:v>17.542952893420182</c:v>
                </c:pt>
                <c:pt idx="437">
                  <c:v>17.6795997356745</c:v>
                </c:pt>
                <c:pt idx="438">
                  <c:v>17.816010573019916</c:v>
                </c:pt>
                <c:pt idx="439">
                  <c:v>17.956433493816672</c:v>
                </c:pt>
                <c:pt idx="440">
                  <c:v>18.093080336070987</c:v>
                </c:pt>
                <c:pt idx="441">
                  <c:v>18.233503256867746</c:v>
                </c:pt>
                <c:pt idx="442">
                  <c:v>18.369914094213158</c:v>
                </c:pt>
                <c:pt idx="443">
                  <c:v>18.510573019918816</c:v>
                </c:pt>
                <c:pt idx="444">
                  <c:v>18.667044274520912</c:v>
                </c:pt>
                <c:pt idx="445">
                  <c:v>18.819503445671671</c:v>
                </c:pt>
                <c:pt idx="446">
                  <c:v>18.972198621731334</c:v>
                </c:pt>
                <c:pt idx="447">
                  <c:v>19.124657792882093</c:v>
                </c:pt>
                <c:pt idx="448">
                  <c:v>19.277116964032849</c:v>
                </c:pt>
                <c:pt idx="449">
                  <c:v>19.429812140092515</c:v>
                </c:pt>
                <c:pt idx="450">
                  <c:v>19.5742471443406</c:v>
                </c:pt>
                <c:pt idx="451">
                  <c:v>19.730954403851598</c:v>
                </c:pt>
                <c:pt idx="452">
                  <c:v>19.887425658453694</c:v>
                </c:pt>
                <c:pt idx="453">
                  <c:v>20.043896913055789</c:v>
                </c:pt>
                <c:pt idx="454">
                  <c:v>20.204616256018124</c:v>
                </c:pt>
                <c:pt idx="455">
                  <c:v>20.365099594071555</c:v>
                </c:pt>
                <c:pt idx="456">
                  <c:v>20.525818937033893</c:v>
                </c:pt>
                <c:pt idx="457">
                  <c:v>20.690314358538657</c:v>
                </c:pt>
                <c:pt idx="458">
                  <c:v>20.850797696592089</c:v>
                </c:pt>
                <c:pt idx="459">
                  <c:v>21.015529123005759</c:v>
                </c:pt>
                <c:pt idx="460">
                  <c:v>21.180024544510527</c:v>
                </c:pt>
                <c:pt idx="461">
                  <c:v>21.344755970924194</c:v>
                </c:pt>
                <c:pt idx="462">
                  <c:v>21.509251392428961</c:v>
                </c:pt>
                <c:pt idx="463">
                  <c:v>21.673746813933729</c:v>
                </c:pt>
                <c:pt idx="464">
                  <c:v>21.854526574152743</c:v>
                </c:pt>
                <c:pt idx="465">
                  <c:v>22.031058246011519</c:v>
                </c:pt>
                <c:pt idx="466">
                  <c:v>22.207825922779197</c:v>
                </c:pt>
                <c:pt idx="467">
                  <c:v>22.384357594637969</c:v>
                </c:pt>
                <c:pt idx="468">
                  <c:v>22.557113187954311</c:v>
                </c:pt>
                <c:pt idx="469">
                  <c:v>22.733644859813083</c:v>
                </c:pt>
                <c:pt idx="470">
                  <c:v>22.910176531671858</c:v>
                </c:pt>
                <c:pt idx="471">
                  <c:v>23.086944208439537</c:v>
                </c:pt>
                <c:pt idx="472">
                  <c:v>23.263475880298309</c:v>
                </c:pt>
                <c:pt idx="473">
                  <c:v>23.440243557065987</c:v>
                </c:pt>
                <c:pt idx="474">
                  <c:v>23.617011233833662</c:v>
                </c:pt>
                <c:pt idx="475">
                  <c:v>23.796374964599263</c:v>
                </c:pt>
                <c:pt idx="476">
                  <c:v>23.994619088077034</c:v>
                </c:pt>
                <c:pt idx="477">
                  <c:v>24.190503162465781</c:v>
                </c:pt>
                <c:pt idx="478">
                  <c:v>24.388747285943548</c:v>
                </c:pt>
                <c:pt idx="479">
                  <c:v>24.584631360332295</c:v>
                </c:pt>
                <c:pt idx="480">
                  <c:v>24.780515434721043</c:v>
                </c:pt>
                <c:pt idx="481">
                  <c:v>24.98111960728783</c:v>
                </c:pt>
                <c:pt idx="482">
                  <c:v>25.186443878032666</c:v>
                </c:pt>
                <c:pt idx="483">
                  <c:v>25.387048050599454</c:v>
                </c:pt>
                <c:pt idx="484">
                  <c:v>25.582932124988197</c:v>
                </c:pt>
                <c:pt idx="485">
                  <c:v>25.788256395733033</c:v>
                </c:pt>
                <c:pt idx="486">
                  <c:v>25.993580666477868</c:v>
                </c:pt>
                <c:pt idx="487">
                  <c:v>26.201264986311717</c:v>
                </c:pt>
                <c:pt idx="488">
                  <c:v>26.411309355234586</c:v>
                </c:pt>
                <c:pt idx="489">
                  <c:v>26.618993675068442</c:v>
                </c:pt>
                <c:pt idx="490">
                  <c:v>26.831398093080338</c:v>
                </c:pt>
                <c:pt idx="491">
                  <c:v>27.041442462003207</c:v>
                </c:pt>
                <c:pt idx="492">
                  <c:v>27.2538468800151</c:v>
                </c:pt>
                <c:pt idx="493">
                  <c:v>27.461531199848952</c:v>
                </c:pt>
                <c:pt idx="494">
                  <c:v>27.676295666949873</c:v>
                </c:pt>
                <c:pt idx="495">
                  <c:v>27.89578023222883</c:v>
                </c:pt>
                <c:pt idx="496">
                  <c:v>28.119984895685828</c:v>
                </c:pt>
                <c:pt idx="497">
                  <c:v>28.348909657320871</c:v>
                </c:pt>
                <c:pt idx="498">
                  <c:v>28.575474369866892</c:v>
                </c:pt>
                <c:pt idx="499">
                  <c:v>28.804399131501935</c:v>
                </c:pt>
                <c:pt idx="500">
                  <c:v>29.028603794958933</c:v>
                </c:pt>
                <c:pt idx="501">
                  <c:v>29.252808458415938</c:v>
                </c:pt>
                <c:pt idx="502">
                  <c:v>29.477013121872936</c:v>
                </c:pt>
                <c:pt idx="503">
                  <c:v>29.703577834418951</c:v>
                </c:pt>
                <c:pt idx="504">
                  <c:v>29.932502596053997</c:v>
                </c:pt>
                <c:pt idx="505">
                  <c:v>30.173227603134144</c:v>
                </c:pt>
                <c:pt idx="506">
                  <c:v>30.416312659303312</c:v>
                </c:pt>
                <c:pt idx="507">
                  <c:v>30.657037666383459</c:v>
                </c:pt>
                <c:pt idx="508">
                  <c:v>30.900122722552627</c:v>
                </c:pt>
                <c:pt idx="509">
                  <c:v>31.143207778721795</c:v>
                </c:pt>
                <c:pt idx="510">
                  <c:v>31.383932785801942</c:v>
                </c:pt>
                <c:pt idx="511">
                  <c:v>31.629377891060138</c:v>
                </c:pt>
                <c:pt idx="512">
                  <c:v>31.874822996318322</c:v>
                </c:pt>
                <c:pt idx="513">
                  <c:v>32.134428396110636</c:v>
                </c:pt>
                <c:pt idx="514">
                  <c:v>32.396393844991977</c:v>
                </c:pt>
                <c:pt idx="515">
                  <c:v>32.644198999339189</c:v>
                </c:pt>
                <c:pt idx="516">
                  <c:v>32.899084300953461</c:v>
                </c:pt>
                <c:pt idx="517">
                  <c:v>33.170489946190877</c:v>
                </c:pt>
                <c:pt idx="518">
                  <c:v>33.444255640517319</c:v>
                </c:pt>
                <c:pt idx="519">
                  <c:v>33.713301236665728</c:v>
                </c:pt>
                <c:pt idx="520">
                  <c:v>33.970546587369014</c:v>
                </c:pt>
                <c:pt idx="521">
                  <c:v>34.241952232606444</c:v>
                </c:pt>
                <c:pt idx="522">
                  <c:v>34.510997828754832</c:v>
                </c:pt>
                <c:pt idx="523">
                  <c:v>34.780043424903234</c:v>
                </c:pt>
                <c:pt idx="524">
                  <c:v>35.060889266496737</c:v>
                </c:pt>
                <c:pt idx="525">
                  <c:v>35.341735108090255</c:v>
                </c:pt>
                <c:pt idx="526">
                  <c:v>35.61550080241669</c:v>
                </c:pt>
                <c:pt idx="527">
                  <c:v>35.896346644010194</c:v>
                </c:pt>
                <c:pt idx="528">
                  <c:v>36.174832436514677</c:v>
                </c:pt>
                <c:pt idx="529">
                  <c:v>36.455678278108188</c:v>
                </c:pt>
                <c:pt idx="530">
                  <c:v>36.753044463324841</c:v>
                </c:pt>
                <c:pt idx="531">
                  <c:v>37.045690550363453</c:v>
                </c:pt>
                <c:pt idx="532">
                  <c:v>37.338336637402058</c:v>
                </c:pt>
                <c:pt idx="533">
                  <c:v>37.635702822618711</c:v>
                </c:pt>
                <c:pt idx="534">
                  <c:v>37.935429056924384</c:v>
                </c:pt>
                <c:pt idx="535">
                  <c:v>38.237515340319085</c:v>
                </c:pt>
                <c:pt idx="536">
                  <c:v>38.546681770980832</c:v>
                </c:pt>
                <c:pt idx="537">
                  <c:v>38.851128103464553</c:v>
                </c:pt>
                <c:pt idx="538">
                  <c:v>39.160294534126308</c:v>
                </c:pt>
                <c:pt idx="539">
                  <c:v>39.46946096478807</c:v>
                </c:pt>
                <c:pt idx="540">
                  <c:v>39.785707542716892</c:v>
                </c:pt>
                <c:pt idx="541">
                  <c:v>40.092513924289619</c:v>
                </c:pt>
                <c:pt idx="542">
                  <c:v>40.41820069857453</c:v>
                </c:pt>
                <c:pt idx="543">
                  <c:v>40.734447276503353</c:v>
                </c:pt>
                <c:pt idx="544">
                  <c:v>41.048333805343148</c:v>
                </c:pt>
                <c:pt idx="545">
                  <c:v>41.364580383271971</c:v>
                </c:pt>
                <c:pt idx="546">
                  <c:v>41.692627206645902</c:v>
                </c:pt>
                <c:pt idx="547">
                  <c:v>42.023034079108839</c:v>
                </c:pt>
                <c:pt idx="548">
                  <c:v>42.348720853393758</c:v>
                </c:pt>
                <c:pt idx="549">
                  <c:v>42.676767676767675</c:v>
                </c:pt>
                <c:pt idx="550">
                  <c:v>43.021334843764755</c:v>
                </c:pt>
                <c:pt idx="551">
                  <c:v>43.363541961672809</c:v>
                </c:pt>
                <c:pt idx="552">
                  <c:v>43.705749079580862</c:v>
                </c:pt>
                <c:pt idx="553">
                  <c:v>44.043236099310867</c:v>
                </c:pt>
                <c:pt idx="554">
                  <c:v>44.392523364485982</c:v>
                </c:pt>
                <c:pt idx="555">
                  <c:v>44.748890776928157</c:v>
                </c:pt>
                <c:pt idx="556">
                  <c:v>45.105258189370339</c:v>
                </c:pt>
                <c:pt idx="557">
                  <c:v>45.459265552723494</c:v>
                </c:pt>
                <c:pt idx="558">
                  <c:v>45.815632965165676</c:v>
                </c:pt>
                <c:pt idx="559">
                  <c:v>46.186160672141973</c:v>
                </c:pt>
                <c:pt idx="560">
                  <c:v>46.542528084584156</c:v>
                </c:pt>
                <c:pt idx="561">
                  <c:v>46.913055791560467</c:v>
                </c:pt>
                <c:pt idx="562">
                  <c:v>47.27886340035873</c:v>
                </c:pt>
                <c:pt idx="563">
                  <c:v>47.647031058246014</c:v>
                </c:pt>
                <c:pt idx="564">
                  <c:v>48.024638912489387</c:v>
                </c:pt>
                <c:pt idx="565">
                  <c:v>48.402246766732752</c:v>
                </c:pt>
                <c:pt idx="566">
                  <c:v>48.786934768243171</c:v>
                </c:pt>
                <c:pt idx="567">
                  <c:v>49.164542622486543</c:v>
                </c:pt>
                <c:pt idx="568">
                  <c:v>49.513829887661664</c:v>
                </c:pt>
                <c:pt idx="569">
                  <c:v>49.822996318323419</c:v>
                </c:pt>
                <c:pt idx="570">
                  <c:v>50.108562258094963</c:v>
                </c:pt>
                <c:pt idx="571">
                  <c:v>50.344567166997066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6-4FC5-A5C3-0AC153383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112095"/>
        <c:axId val="1021107295"/>
      </c:lineChart>
      <c:catAx>
        <c:axId val="102111209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107295"/>
        <c:crosses val="autoZero"/>
        <c:auto val="1"/>
        <c:lblAlgn val="ctr"/>
        <c:lblOffset val="100"/>
        <c:noMultiLvlLbl val="0"/>
      </c:catAx>
      <c:valAx>
        <c:axId val="10211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11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Tensão X Deformação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A22-1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'A22-3'!$C$2:$C$600</c:f>
              <c:numCache>
                <c:formatCode>0.00</c:formatCode>
                <c:ptCount val="599"/>
                <c:pt idx="0">
                  <c:v>1.0608599999999999E-4</c:v>
                </c:pt>
                <c:pt idx="1">
                  <c:v>8.6376000000000005E-3</c:v>
                </c:pt>
                <c:pt idx="2">
                  <c:v>8.7195999999999992E-3</c:v>
                </c:pt>
                <c:pt idx="3">
                  <c:v>8.8032000000000006E-3</c:v>
                </c:pt>
                <c:pt idx="4">
                  <c:v>8.8890000000000011E-3</c:v>
                </c:pt>
                <c:pt idx="5">
                  <c:v>8.972599999999999E-3</c:v>
                </c:pt>
                <c:pt idx="6">
                  <c:v>9.0546000000000012E-3</c:v>
                </c:pt>
                <c:pt idx="7">
                  <c:v>9.1363999999999994E-3</c:v>
                </c:pt>
                <c:pt idx="8">
                  <c:v>9.2201999999999996E-3</c:v>
                </c:pt>
                <c:pt idx="9">
                  <c:v>9.3039999999999998E-3</c:v>
                </c:pt>
                <c:pt idx="10">
                  <c:v>9.3876000000000012E-3</c:v>
                </c:pt>
                <c:pt idx="11">
                  <c:v>9.4713999999999996E-3</c:v>
                </c:pt>
                <c:pt idx="12">
                  <c:v>9.5534000000000001E-3</c:v>
                </c:pt>
                <c:pt idx="13">
                  <c:v>9.6369999999999997E-3</c:v>
                </c:pt>
                <c:pt idx="14">
                  <c:v>9.7207999999999999E-3</c:v>
                </c:pt>
                <c:pt idx="15">
                  <c:v>9.8046000000000001E-3</c:v>
                </c:pt>
                <c:pt idx="16">
                  <c:v>9.8884000000000003E-3</c:v>
                </c:pt>
                <c:pt idx="17">
                  <c:v>9.972E-3</c:v>
                </c:pt>
                <c:pt idx="18">
                  <c:v>1.0052200000000001E-2</c:v>
                </c:pt>
                <c:pt idx="19">
                  <c:v>1.0137799999999999E-2</c:v>
                </c:pt>
                <c:pt idx="20">
                  <c:v>1.02214E-2</c:v>
                </c:pt>
                <c:pt idx="21">
                  <c:v>1.03052E-2</c:v>
                </c:pt>
                <c:pt idx="22">
                  <c:v>1.0387200000000001E-2</c:v>
                </c:pt>
                <c:pt idx="23">
                  <c:v>1.0470800000000001E-2</c:v>
                </c:pt>
                <c:pt idx="24">
                  <c:v>1.0554600000000001E-2</c:v>
                </c:pt>
                <c:pt idx="25">
                  <c:v>1.0638399999999999E-2</c:v>
                </c:pt>
                <c:pt idx="26">
                  <c:v>1.0720199999999999E-2</c:v>
                </c:pt>
                <c:pt idx="27">
                  <c:v>1.0804000000000001E-2</c:v>
                </c:pt>
                <c:pt idx="28">
                  <c:v>1.0887800000000001E-2</c:v>
                </c:pt>
                <c:pt idx="29">
                  <c:v>1.0997600000000001E-2</c:v>
                </c:pt>
                <c:pt idx="30">
                  <c:v>1.11092E-2</c:v>
                </c:pt>
                <c:pt idx="31">
                  <c:v>1.1221000000000002E-2</c:v>
                </c:pt>
                <c:pt idx="32">
                  <c:v>1.13326E-2</c:v>
                </c:pt>
                <c:pt idx="33">
                  <c:v>1.1442399999999998E-2</c:v>
                </c:pt>
                <c:pt idx="34">
                  <c:v>1.1554E-2</c:v>
                </c:pt>
                <c:pt idx="35">
                  <c:v>1.1665799999999999E-2</c:v>
                </c:pt>
                <c:pt idx="36">
                  <c:v>1.17774E-2</c:v>
                </c:pt>
                <c:pt idx="37">
                  <c:v>1.1887200000000001E-2</c:v>
                </c:pt>
                <c:pt idx="38">
                  <c:v>1.19988E-2</c:v>
                </c:pt>
                <c:pt idx="39">
                  <c:v>1.2108799999999999E-2</c:v>
                </c:pt>
                <c:pt idx="40">
                  <c:v>1.22186E-2</c:v>
                </c:pt>
                <c:pt idx="41">
                  <c:v>1.2332000000000001E-2</c:v>
                </c:pt>
                <c:pt idx="42">
                  <c:v>1.2441800000000001E-2</c:v>
                </c:pt>
                <c:pt idx="43">
                  <c:v>1.25536E-2</c:v>
                </c:pt>
                <c:pt idx="44">
                  <c:v>1.2665200000000001E-2</c:v>
                </c:pt>
                <c:pt idx="45">
                  <c:v>1.27768E-2</c:v>
                </c:pt>
                <c:pt idx="46">
                  <c:v>1.2888599999999998E-2</c:v>
                </c:pt>
                <c:pt idx="47">
                  <c:v>1.29984E-2</c:v>
                </c:pt>
                <c:pt idx="48">
                  <c:v>1.311E-2</c:v>
                </c:pt>
                <c:pt idx="49">
                  <c:v>1.32216E-2</c:v>
                </c:pt>
                <c:pt idx="50">
                  <c:v>1.33334E-2</c:v>
                </c:pt>
                <c:pt idx="51">
                  <c:v>1.3443199999999999E-2</c:v>
                </c:pt>
                <c:pt idx="52">
                  <c:v>1.3554800000000001E-2</c:v>
                </c:pt>
                <c:pt idx="53">
                  <c:v>1.3664600000000001E-2</c:v>
                </c:pt>
                <c:pt idx="54">
                  <c:v>1.3774399999999999E-2</c:v>
                </c:pt>
                <c:pt idx="55">
                  <c:v>1.3888000000000001E-2</c:v>
                </c:pt>
                <c:pt idx="56">
                  <c:v>1.3997799999999999E-2</c:v>
                </c:pt>
                <c:pt idx="57">
                  <c:v>1.4109400000000001E-2</c:v>
                </c:pt>
                <c:pt idx="58">
                  <c:v>1.42212E-2</c:v>
                </c:pt>
                <c:pt idx="59">
                  <c:v>1.4332800000000001E-2</c:v>
                </c:pt>
                <c:pt idx="60">
                  <c:v>1.44706E-2</c:v>
                </c:pt>
                <c:pt idx="61">
                  <c:v>1.45822E-2</c:v>
                </c:pt>
                <c:pt idx="62">
                  <c:v>1.472E-2</c:v>
                </c:pt>
                <c:pt idx="63">
                  <c:v>1.4859599999999999E-2</c:v>
                </c:pt>
                <c:pt idx="64">
                  <c:v>1.4997199999999999E-2</c:v>
                </c:pt>
                <c:pt idx="65">
                  <c:v>1.5136799999999999E-2</c:v>
                </c:pt>
                <c:pt idx="66">
                  <c:v>1.5276400000000001E-2</c:v>
                </c:pt>
                <c:pt idx="67">
                  <c:v>1.5416000000000001E-2</c:v>
                </c:pt>
                <c:pt idx="68">
                  <c:v>1.55538E-2</c:v>
                </c:pt>
                <c:pt idx="69">
                  <c:v>1.56934E-2</c:v>
                </c:pt>
                <c:pt idx="70">
                  <c:v>1.5830999999999998E-2</c:v>
                </c:pt>
                <c:pt idx="71">
                  <c:v>1.5970599999999998E-2</c:v>
                </c:pt>
                <c:pt idx="72">
                  <c:v>1.6110199999999998E-2</c:v>
                </c:pt>
                <c:pt idx="73">
                  <c:v>1.6247999999999999E-2</c:v>
                </c:pt>
                <c:pt idx="74">
                  <c:v>1.6389400000000002E-2</c:v>
                </c:pt>
                <c:pt idx="75">
                  <c:v>1.6527199999999999E-2</c:v>
                </c:pt>
                <c:pt idx="76">
                  <c:v>1.66648E-2</c:v>
                </c:pt>
                <c:pt idx="77">
                  <c:v>1.6804400000000001E-2</c:v>
                </c:pt>
                <c:pt idx="78">
                  <c:v>1.6944000000000001E-2</c:v>
                </c:pt>
                <c:pt idx="79">
                  <c:v>1.7081800000000001E-2</c:v>
                </c:pt>
                <c:pt idx="80">
                  <c:v>1.7221400000000001E-2</c:v>
                </c:pt>
                <c:pt idx="81">
                  <c:v>1.7361000000000001E-2</c:v>
                </c:pt>
                <c:pt idx="82">
                  <c:v>1.74968E-2</c:v>
                </c:pt>
                <c:pt idx="83">
                  <c:v>1.76382E-2</c:v>
                </c:pt>
                <c:pt idx="84">
                  <c:v>1.7776E-2</c:v>
                </c:pt>
                <c:pt idx="85">
                  <c:v>1.79156E-2</c:v>
                </c:pt>
                <c:pt idx="86">
                  <c:v>1.80552E-2</c:v>
                </c:pt>
                <c:pt idx="87">
                  <c:v>1.8220799999999999E-2</c:v>
                </c:pt>
                <c:pt idx="88">
                  <c:v>1.8360399999999999E-2</c:v>
                </c:pt>
                <c:pt idx="89">
                  <c:v>1.8526000000000001E-2</c:v>
                </c:pt>
                <c:pt idx="90">
                  <c:v>1.8665600000000001E-2</c:v>
                </c:pt>
                <c:pt idx="91">
                  <c:v>1.8805200000000001E-2</c:v>
                </c:pt>
                <c:pt idx="92">
                  <c:v>1.8970799999999999E-2</c:v>
                </c:pt>
                <c:pt idx="93">
                  <c:v>1.91104E-2</c:v>
                </c:pt>
                <c:pt idx="94">
                  <c:v>1.92482E-2</c:v>
                </c:pt>
                <c:pt idx="95">
                  <c:v>1.93878E-2</c:v>
                </c:pt>
                <c:pt idx="96">
                  <c:v>1.9527200000000002E-2</c:v>
                </c:pt>
                <c:pt idx="97">
                  <c:v>1.9663200000000002E-2</c:v>
                </c:pt>
                <c:pt idx="98">
                  <c:v>1.9774799999999999E-2</c:v>
                </c:pt>
                <c:pt idx="99">
                  <c:v>1.9916199999999998E-2</c:v>
                </c:pt>
                <c:pt idx="100">
                  <c:v>2.0055999999999997E-2</c:v>
                </c:pt>
                <c:pt idx="101">
                  <c:v>2.0166E-2</c:v>
                </c:pt>
                <c:pt idx="102">
                  <c:v>2.0304000000000003E-2</c:v>
                </c:pt>
                <c:pt idx="103">
                  <c:v>2.0442000000000002E-2</c:v>
                </c:pt>
                <c:pt idx="104">
                  <c:v>2.0554000000000003E-2</c:v>
                </c:pt>
                <c:pt idx="105">
                  <c:v>2.0691999999999999E-2</c:v>
                </c:pt>
                <c:pt idx="106">
                  <c:v>2.0804E-2</c:v>
                </c:pt>
                <c:pt idx="107">
                  <c:v>2.0943999999999997E-2</c:v>
                </c:pt>
                <c:pt idx="108">
                  <c:v>2.1084000000000002E-2</c:v>
                </c:pt>
                <c:pt idx="109">
                  <c:v>2.1194000000000001E-2</c:v>
                </c:pt>
                <c:pt idx="110">
                  <c:v>2.1330000000000002E-2</c:v>
                </c:pt>
                <c:pt idx="111">
                  <c:v>2.1442000000000003E-2</c:v>
                </c:pt>
                <c:pt idx="112">
                  <c:v>2.1582E-2</c:v>
                </c:pt>
                <c:pt idx="113">
                  <c:v>2.1694000000000001E-2</c:v>
                </c:pt>
                <c:pt idx="114">
                  <c:v>2.1806000000000002E-2</c:v>
                </c:pt>
                <c:pt idx="115">
                  <c:v>2.1943999999999998E-2</c:v>
                </c:pt>
                <c:pt idx="116">
                  <c:v>2.2054000000000001E-2</c:v>
                </c:pt>
                <c:pt idx="117">
                  <c:v>2.2164000000000003E-2</c:v>
                </c:pt>
                <c:pt idx="118">
                  <c:v>2.2275999999999997E-2</c:v>
                </c:pt>
                <c:pt idx="119">
                  <c:v>2.2387999999999998E-2</c:v>
                </c:pt>
                <c:pt idx="120">
                  <c:v>2.2499999999999999E-2</c:v>
                </c:pt>
                <c:pt idx="121">
                  <c:v>2.2610000000000002E-2</c:v>
                </c:pt>
                <c:pt idx="122">
                  <c:v>2.2722000000000003E-2</c:v>
                </c:pt>
                <c:pt idx="123">
                  <c:v>2.2831999999999998E-2</c:v>
                </c:pt>
                <c:pt idx="124">
                  <c:v>2.2943999999999999E-2</c:v>
                </c:pt>
                <c:pt idx="125">
                  <c:v>2.3054000000000002E-2</c:v>
                </c:pt>
                <c:pt idx="126">
                  <c:v>2.3166000000000003E-2</c:v>
                </c:pt>
                <c:pt idx="127">
                  <c:v>2.3275999999999998E-2</c:v>
                </c:pt>
                <c:pt idx="128">
                  <c:v>2.3386000000000001E-2</c:v>
                </c:pt>
                <c:pt idx="129">
                  <c:v>2.3498000000000002E-2</c:v>
                </c:pt>
                <c:pt idx="130">
                  <c:v>2.3607999999999997E-2</c:v>
                </c:pt>
                <c:pt idx="131">
                  <c:v>2.3719999999999998E-2</c:v>
                </c:pt>
                <c:pt idx="132">
                  <c:v>2.3831999999999999E-2</c:v>
                </c:pt>
                <c:pt idx="133">
                  <c:v>2.3916E-2</c:v>
                </c:pt>
                <c:pt idx="134">
                  <c:v>2.4026000000000002E-2</c:v>
                </c:pt>
                <c:pt idx="135">
                  <c:v>2.4109999999999999E-2</c:v>
                </c:pt>
                <c:pt idx="136">
                  <c:v>2.4222E-2</c:v>
                </c:pt>
                <c:pt idx="137">
                  <c:v>2.4304000000000003E-2</c:v>
                </c:pt>
                <c:pt idx="138">
                  <c:v>2.4413999999999998E-2</c:v>
                </c:pt>
                <c:pt idx="139">
                  <c:v>2.4525999999999999E-2</c:v>
                </c:pt>
                <c:pt idx="140">
                  <c:v>2.4636000000000002E-2</c:v>
                </c:pt>
                <c:pt idx="141">
                  <c:v>2.4748000000000003E-2</c:v>
                </c:pt>
                <c:pt idx="142">
                  <c:v>2.4832E-2</c:v>
                </c:pt>
                <c:pt idx="143">
                  <c:v>2.4916000000000001E-2</c:v>
                </c:pt>
                <c:pt idx="144">
                  <c:v>2.5000000000000001E-2</c:v>
                </c:pt>
                <c:pt idx="145">
                  <c:v>2.5108000000000002E-2</c:v>
                </c:pt>
                <c:pt idx="146">
                  <c:v>2.5219999999999999E-2</c:v>
                </c:pt>
                <c:pt idx="147">
                  <c:v>2.5304000000000004E-2</c:v>
                </c:pt>
                <c:pt idx="148">
                  <c:v>2.5388000000000001E-2</c:v>
                </c:pt>
                <c:pt idx="149">
                  <c:v>2.5470000000000003E-2</c:v>
                </c:pt>
                <c:pt idx="150">
                  <c:v>2.5552000000000002E-2</c:v>
                </c:pt>
                <c:pt idx="151">
                  <c:v>2.5638000000000001E-2</c:v>
                </c:pt>
                <c:pt idx="152">
                  <c:v>2.5722000000000002E-2</c:v>
                </c:pt>
                <c:pt idx="153">
                  <c:v>2.5804000000000001E-2</c:v>
                </c:pt>
                <c:pt idx="154">
                  <c:v>2.5885999999999999E-2</c:v>
                </c:pt>
                <c:pt idx="155">
                  <c:v>2.597E-2</c:v>
                </c:pt>
                <c:pt idx="156">
                  <c:v>2.6054000000000001E-2</c:v>
                </c:pt>
                <c:pt idx="157">
                  <c:v>2.6137999999999998E-2</c:v>
                </c:pt>
                <c:pt idx="158">
                  <c:v>2.6221999999999999E-2</c:v>
                </c:pt>
                <c:pt idx="159">
                  <c:v>2.6303999999999998E-2</c:v>
                </c:pt>
                <c:pt idx="160">
                  <c:v>2.6387999999999998E-2</c:v>
                </c:pt>
                <c:pt idx="161">
                  <c:v>2.6472000000000002E-2</c:v>
                </c:pt>
                <c:pt idx="162">
                  <c:v>2.6556000000000003E-2</c:v>
                </c:pt>
                <c:pt idx="163">
                  <c:v>2.6636000000000003E-2</c:v>
                </c:pt>
                <c:pt idx="164">
                  <c:v>2.6720000000000001E-2</c:v>
                </c:pt>
                <c:pt idx="165">
                  <c:v>2.6802000000000003E-2</c:v>
                </c:pt>
                <c:pt idx="166">
                  <c:v>2.6888000000000002E-2</c:v>
                </c:pt>
                <c:pt idx="167">
                  <c:v>2.6971999999999999E-2</c:v>
                </c:pt>
                <c:pt idx="168">
                  <c:v>2.7054000000000002E-2</c:v>
                </c:pt>
                <c:pt idx="169">
                  <c:v>2.7137999999999999E-2</c:v>
                </c:pt>
                <c:pt idx="170">
                  <c:v>2.7220000000000001E-2</c:v>
                </c:pt>
                <c:pt idx="171">
                  <c:v>2.7306E-2</c:v>
                </c:pt>
                <c:pt idx="172">
                  <c:v>2.7387999999999999E-2</c:v>
                </c:pt>
                <c:pt idx="173">
                  <c:v>2.7469999999999998E-2</c:v>
                </c:pt>
                <c:pt idx="174">
                  <c:v>2.7553999999999999E-2</c:v>
                </c:pt>
                <c:pt idx="175">
                  <c:v>2.7637999999999999E-2</c:v>
                </c:pt>
                <c:pt idx="176">
                  <c:v>2.7719999999999998E-2</c:v>
                </c:pt>
                <c:pt idx="177">
                  <c:v>2.7806000000000001E-2</c:v>
                </c:pt>
                <c:pt idx="178">
                  <c:v>2.7888000000000003E-2</c:v>
                </c:pt>
                <c:pt idx="179">
                  <c:v>2.7972E-2</c:v>
                </c:pt>
                <c:pt idx="180">
                  <c:v>2.8054000000000003E-2</c:v>
                </c:pt>
                <c:pt idx="181">
                  <c:v>2.8138E-2</c:v>
                </c:pt>
                <c:pt idx="182">
                  <c:v>2.8220000000000002E-2</c:v>
                </c:pt>
                <c:pt idx="183">
                  <c:v>2.8303999999999999E-2</c:v>
                </c:pt>
                <c:pt idx="184">
                  <c:v>2.8388E-2</c:v>
                </c:pt>
                <c:pt idx="185">
                  <c:v>2.8469999999999999E-2</c:v>
                </c:pt>
                <c:pt idx="186">
                  <c:v>2.8554E-2</c:v>
                </c:pt>
                <c:pt idx="187">
                  <c:v>2.8638E-2</c:v>
                </c:pt>
                <c:pt idx="188">
                  <c:v>2.8721999999999998E-2</c:v>
                </c:pt>
                <c:pt idx="189">
                  <c:v>2.8804E-2</c:v>
                </c:pt>
                <c:pt idx="190">
                  <c:v>2.8887999999999997E-2</c:v>
                </c:pt>
                <c:pt idx="191">
                  <c:v>2.8942000000000002E-2</c:v>
                </c:pt>
                <c:pt idx="192">
                  <c:v>2.9026E-2</c:v>
                </c:pt>
                <c:pt idx="193">
                  <c:v>2.9079999999999998E-2</c:v>
                </c:pt>
                <c:pt idx="194">
                  <c:v>2.9163999999999999E-2</c:v>
                </c:pt>
                <c:pt idx="195">
                  <c:v>2.9222000000000001E-2</c:v>
                </c:pt>
                <c:pt idx="196">
                  <c:v>2.9304E-2</c:v>
                </c:pt>
                <c:pt idx="197">
                  <c:v>2.9360000000000001E-2</c:v>
                </c:pt>
                <c:pt idx="198">
                  <c:v>2.9443999999999998E-2</c:v>
                </c:pt>
                <c:pt idx="199">
                  <c:v>2.9527999999999999E-2</c:v>
                </c:pt>
                <c:pt idx="200">
                  <c:v>2.9582000000000001E-2</c:v>
                </c:pt>
                <c:pt idx="201">
                  <c:v>2.9666000000000001E-2</c:v>
                </c:pt>
                <c:pt idx="202">
                  <c:v>2.9748E-2</c:v>
                </c:pt>
                <c:pt idx="203">
                  <c:v>2.9832000000000001E-2</c:v>
                </c:pt>
                <c:pt idx="204">
                  <c:v>2.9914E-2</c:v>
                </c:pt>
                <c:pt idx="205">
                  <c:v>2.9998E-2</c:v>
                </c:pt>
                <c:pt idx="206">
                  <c:v>3.0082000000000001E-2</c:v>
                </c:pt>
                <c:pt idx="207">
                  <c:v>3.0165999999999998E-2</c:v>
                </c:pt>
                <c:pt idx="208">
                  <c:v>3.0248000000000001E-2</c:v>
                </c:pt>
                <c:pt idx="209">
                  <c:v>3.0331999999999998E-2</c:v>
                </c:pt>
                <c:pt idx="210">
                  <c:v>3.0415999999999999E-2</c:v>
                </c:pt>
                <c:pt idx="211">
                  <c:v>3.0497999999999997E-2</c:v>
                </c:pt>
                <c:pt idx="212">
                  <c:v>3.0554000000000001E-2</c:v>
                </c:pt>
                <c:pt idx="213">
                  <c:v>3.0636E-2</c:v>
                </c:pt>
                <c:pt idx="214">
                  <c:v>3.0720000000000001E-2</c:v>
                </c:pt>
                <c:pt idx="215">
                  <c:v>3.0804000000000002E-2</c:v>
                </c:pt>
                <c:pt idx="216">
                  <c:v>3.0887999999999999E-2</c:v>
                </c:pt>
                <c:pt idx="217">
                  <c:v>3.0941999999999997E-2</c:v>
                </c:pt>
                <c:pt idx="218">
                  <c:v>3.1025999999999998E-2</c:v>
                </c:pt>
                <c:pt idx="219">
                  <c:v>3.1110000000000002E-2</c:v>
                </c:pt>
                <c:pt idx="220">
                  <c:v>3.1194000000000003E-2</c:v>
                </c:pt>
                <c:pt idx="221">
                  <c:v>3.1275999999999998E-2</c:v>
                </c:pt>
                <c:pt idx="222">
                  <c:v>3.1359999999999999E-2</c:v>
                </c:pt>
                <c:pt idx="223">
                  <c:v>3.1415999999999999E-2</c:v>
                </c:pt>
                <c:pt idx="224">
                  <c:v>3.15E-2</c:v>
                </c:pt>
                <c:pt idx="225">
                  <c:v>3.1581999999999999E-2</c:v>
                </c:pt>
                <c:pt idx="226">
                  <c:v>3.1663999999999998E-2</c:v>
                </c:pt>
                <c:pt idx="227">
                  <c:v>3.1722E-2</c:v>
                </c:pt>
                <c:pt idx="228">
                  <c:v>3.1803999999999999E-2</c:v>
                </c:pt>
                <c:pt idx="229">
                  <c:v>3.1859999999999999E-2</c:v>
                </c:pt>
                <c:pt idx="230">
                  <c:v>3.1944E-2</c:v>
                </c:pt>
                <c:pt idx="231">
                  <c:v>3.1997999999999999E-2</c:v>
                </c:pt>
                <c:pt idx="232">
                  <c:v>3.2080000000000004E-2</c:v>
                </c:pt>
                <c:pt idx="233">
                  <c:v>3.2138E-2</c:v>
                </c:pt>
                <c:pt idx="234">
                  <c:v>3.2219999999999999E-2</c:v>
                </c:pt>
                <c:pt idx="235">
                  <c:v>3.2303999999999999E-2</c:v>
                </c:pt>
                <c:pt idx="236">
                  <c:v>3.236E-2</c:v>
                </c:pt>
                <c:pt idx="237">
                  <c:v>3.2444000000000001E-2</c:v>
                </c:pt>
                <c:pt idx="238">
                  <c:v>3.2525999999999999E-2</c:v>
                </c:pt>
                <c:pt idx="239">
                  <c:v>3.2582E-2</c:v>
                </c:pt>
                <c:pt idx="240">
                  <c:v>3.2666000000000001E-2</c:v>
                </c:pt>
                <c:pt idx="241">
                  <c:v>3.2722000000000001E-2</c:v>
                </c:pt>
                <c:pt idx="242">
                  <c:v>3.2832E-2</c:v>
                </c:pt>
                <c:pt idx="243">
                  <c:v>3.2944000000000001E-2</c:v>
                </c:pt>
                <c:pt idx="244">
                  <c:v>3.3054E-2</c:v>
                </c:pt>
                <c:pt idx="245">
                  <c:v>3.3138000000000001E-2</c:v>
                </c:pt>
                <c:pt idx="246">
                  <c:v>3.3250000000000002E-2</c:v>
                </c:pt>
                <c:pt idx="247">
                  <c:v>3.3361999999999996E-2</c:v>
                </c:pt>
                <c:pt idx="248">
                  <c:v>3.3444000000000002E-2</c:v>
                </c:pt>
                <c:pt idx="249">
                  <c:v>3.3554E-2</c:v>
                </c:pt>
                <c:pt idx="250">
                  <c:v>3.3663999999999999E-2</c:v>
                </c:pt>
                <c:pt idx="251">
                  <c:v>3.3748E-2</c:v>
                </c:pt>
                <c:pt idx="252">
                  <c:v>3.3860000000000001E-2</c:v>
                </c:pt>
                <c:pt idx="253">
                  <c:v>3.3942E-2</c:v>
                </c:pt>
                <c:pt idx="254">
                  <c:v>3.4026000000000001E-2</c:v>
                </c:pt>
                <c:pt idx="255">
                  <c:v>3.4138000000000002E-2</c:v>
                </c:pt>
                <c:pt idx="256">
                  <c:v>3.4222000000000002E-2</c:v>
                </c:pt>
                <c:pt idx="257">
                  <c:v>3.4304000000000001E-2</c:v>
                </c:pt>
                <c:pt idx="258">
                  <c:v>3.4386E-2</c:v>
                </c:pt>
                <c:pt idx="259">
                  <c:v>3.4470000000000001E-2</c:v>
                </c:pt>
                <c:pt idx="260">
                  <c:v>3.4582000000000002E-2</c:v>
                </c:pt>
                <c:pt idx="261">
                  <c:v>3.4664E-2</c:v>
                </c:pt>
                <c:pt idx="262">
                  <c:v>3.4748000000000001E-2</c:v>
                </c:pt>
                <c:pt idx="263">
                  <c:v>3.4834000000000004E-2</c:v>
                </c:pt>
                <c:pt idx="264">
                  <c:v>3.4916000000000003E-2</c:v>
                </c:pt>
                <c:pt idx="265">
                  <c:v>3.5000000000000003E-2</c:v>
                </c:pt>
                <c:pt idx="266">
                  <c:v>3.5082000000000002E-2</c:v>
                </c:pt>
                <c:pt idx="267">
                  <c:v>3.5164000000000001E-2</c:v>
                </c:pt>
                <c:pt idx="268">
                  <c:v>3.5249999999999997E-2</c:v>
                </c:pt>
                <c:pt idx="269">
                  <c:v>3.5332000000000002E-2</c:v>
                </c:pt>
                <c:pt idx="270">
                  <c:v>3.5415999999999996E-2</c:v>
                </c:pt>
                <c:pt idx="271">
                  <c:v>3.5498000000000002E-2</c:v>
                </c:pt>
                <c:pt idx="272">
                  <c:v>3.5581999999999996E-2</c:v>
                </c:pt>
                <c:pt idx="273">
                  <c:v>3.5666000000000003E-2</c:v>
                </c:pt>
                <c:pt idx="274">
                  <c:v>3.5750000000000004E-2</c:v>
                </c:pt>
                <c:pt idx="275">
                  <c:v>3.5832000000000003E-2</c:v>
                </c:pt>
                <c:pt idx="276">
                  <c:v>3.5914000000000001E-2</c:v>
                </c:pt>
                <c:pt idx="277">
                  <c:v>3.5998000000000002E-2</c:v>
                </c:pt>
                <c:pt idx="278">
                  <c:v>3.6082000000000003E-2</c:v>
                </c:pt>
                <c:pt idx="279">
                  <c:v>3.6166000000000004E-2</c:v>
                </c:pt>
                <c:pt idx="280">
                  <c:v>3.6248000000000002E-2</c:v>
                </c:pt>
                <c:pt idx="281">
                  <c:v>3.6332000000000003E-2</c:v>
                </c:pt>
                <c:pt idx="282">
                  <c:v>3.6414000000000002E-2</c:v>
                </c:pt>
                <c:pt idx="283">
                  <c:v>3.6526000000000003E-2</c:v>
                </c:pt>
                <c:pt idx="284">
                  <c:v>3.6636000000000002E-2</c:v>
                </c:pt>
                <c:pt idx="285">
                  <c:v>3.6747999999999996E-2</c:v>
                </c:pt>
                <c:pt idx="286">
                  <c:v>3.6859999999999997E-2</c:v>
                </c:pt>
                <c:pt idx="287">
                  <c:v>3.6971999999999998E-2</c:v>
                </c:pt>
                <c:pt idx="288">
                  <c:v>3.7083999999999999E-2</c:v>
                </c:pt>
                <c:pt idx="289">
                  <c:v>3.7193999999999998E-2</c:v>
                </c:pt>
                <c:pt idx="290">
                  <c:v>3.7305999999999999E-2</c:v>
                </c:pt>
                <c:pt idx="291">
                  <c:v>3.7415999999999998E-2</c:v>
                </c:pt>
                <c:pt idx="292">
                  <c:v>3.7526000000000004E-2</c:v>
                </c:pt>
                <c:pt idx="293">
                  <c:v>3.7635999999999996E-2</c:v>
                </c:pt>
                <c:pt idx="294">
                  <c:v>3.7747999999999997E-2</c:v>
                </c:pt>
                <c:pt idx="295">
                  <c:v>3.7859999999999998E-2</c:v>
                </c:pt>
                <c:pt idx="296">
                  <c:v>3.7970000000000004E-2</c:v>
                </c:pt>
                <c:pt idx="297">
                  <c:v>3.8081999999999998E-2</c:v>
                </c:pt>
                <c:pt idx="298">
                  <c:v>3.8191999999999997E-2</c:v>
                </c:pt>
                <c:pt idx="299">
                  <c:v>3.8303999999999998E-2</c:v>
                </c:pt>
                <c:pt idx="300">
                  <c:v>3.8415999999999999E-2</c:v>
                </c:pt>
                <c:pt idx="301">
                  <c:v>3.8528E-2</c:v>
                </c:pt>
                <c:pt idx="302">
                  <c:v>3.8610000000000005E-2</c:v>
                </c:pt>
                <c:pt idx="303">
                  <c:v>3.8721999999999999E-2</c:v>
                </c:pt>
                <c:pt idx="304">
                  <c:v>3.8834E-2</c:v>
                </c:pt>
                <c:pt idx="305">
                  <c:v>3.8942000000000004E-2</c:v>
                </c:pt>
                <c:pt idx="306">
                  <c:v>3.9054000000000005E-2</c:v>
                </c:pt>
                <c:pt idx="307">
                  <c:v>3.9165999999999999E-2</c:v>
                </c:pt>
                <c:pt idx="308">
                  <c:v>3.9278E-2</c:v>
                </c:pt>
                <c:pt idx="309">
                  <c:v>3.9359999999999999E-2</c:v>
                </c:pt>
                <c:pt idx="310">
                  <c:v>3.9472E-2</c:v>
                </c:pt>
                <c:pt idx="311">
                  <c:v>3.9584000000000001E-2</c:v>
                </c:pt>
                <c:pt idx="312">
                  <c:v>3.9691999999999998E-2</c:v>
                </c:pt>
                <c:pt idx="313">
                  <c:v>3.9803999999999999E-2</c:v>
                </c:pt>
                <c:pt idx="314">
                  <c:v>3.9916E-2</c:v>
                </c:pt>
                <c:pt idx="315">
                  <c:v>4.0025999999999999E-2</c:v>
                </c:pt>
                <c:pt idx="316">
                  <c:v>4.0136000000000005E-2</c:v>
                </c:pt>
                <c:pt idx="317">
                  <c:v>4.0247999999999999E-2</c:v>
                </c:pt>
                <c:pt idx="318">
                  <c:v>4.0359999999999993E-2</c:v>
                </c:pt>
                <c:pt idx="319">
                  <c:v>4.0469999999999999E-2</c:v>
                </c:pt>
                <c:pt idx="320">
                  <c:v>4.0582E-2</c:v>
                </c:pt>
                <c:pt idx="321">
                  <c:v>4.0694000000000001E-2</c:v>
                </c:pt>
                <c:pt idx="322">
                  <c:v>4.0804E-2</c:v>
                </c:pt>
                <c:pt idx="323">
                  <c:v>4.0915999999999994E-2</c:v>
                </c:pt>
                <c:pt idx="324">
                  <c:v>4.1028000000000002E-2</c:v>
                </c:pt>
                <c:pt idx="325">
                  <c:v>4.1139999999999996E-2</c:v>
                </c:pt>
                <c:pt idx="326">
                  <c:v>4.1247999999999993E-2</c:v>
                </c:pt>
                <c:pt idx="327">
                  <c:v>4.1360000000000001E-2</c:v>
                </c:pt>
                <c:pt idx="328">
                  <c:v>4.147E-2</c:v>
                </c:pt>
                <c:pt idx="329">
                  <c:v>4.1582000000000001E-2</c:v>
                </c:pt>
                <c:pt idx="330">
                  <c:v>4.1692E-2</c:v>
                </c:pt>
                <c:pt idx="331">
                  <c:v>4.1803999999999994E-2</c:v>
                </c:pt>
                <c:pt idx="332">
                  <c:v>4.1916000000000002E-2</c:v>
                </c:pt>
                <c:pt idx="333">
                  <c:v>4.2026000000000001E-2</c:v>
                </c:pt>
                <c:pt idx="334">
                  <c:v>4.2138000000000002E-2</c:v>
                </c:pt>
                <c:pt idx="335">
                  <c:v>4.2276000000000001E-2</c:v>
                </c:pt>
                <c:pt idx="336">
                  <c:v>4.2416000000000002E-2</c:v>
                </c:pt>
                <c:pt idx="337">
                  <c:v>4.2556000000000004E-2</c:v>
                </c:pt>
                <c:pt idx="338">
                  <c:v>4.2694000000000003E-2</c:v>
                </c:pt>
                <c:pt idx="339">
                  <c:v>4.2830000000000007E-2</c:v>
                </c:pt>
                <c:pt idx="340">
                  <c:v>4.2969999999999994E-2</c:v>
                </c:pt>
                <c:pt idx="341">
                  <c:v>4.3110000000000002E-2</c:v>
                </c:pt>
                <c:pt idx="342">
                  <c:v>4.3246E-2</c:v>
                </c:pt>
                <c:pt idx="343">
                  <c:v>4.3388000000000003E-2</c:v>
                </c:pt>
                <c:pt idx="344">
                  <c:v>4.3525999999999995E-2</c:v>
                </c:pt>
                <c:pt idx="345">
                  <c:v>4.3638000000000003E-2</c:v>
                </c:pt>
                <c:pt idx="346">
                  <c:v>4.3776000000000002E-2</c:v>
                </c:pt>
                <c:pt idx="347">
                  <c:v>4.3916000000000004E-2</c:v>
                </c:pt>
                <c:pt idx="348">
                  <c:v>4.4054000000000003E-2</c:v>
                </c:pt>
                <c:pt idx="349">
                  <c:v>4.4164000000000002E-2</c:v>
                </c:pt>
                <c:pt idx="350">
                  <c:v>4.4303999999999996E-2</c:v>
                </c:pt>
                <c:pt idx="351">
                  <c:v>4.4443999999999997E-2</c:v>
                </c:pt>
                <c:pt idx="352">
                  <c:v>4.4581999999999997E-2</c:v>
                </c:pt>
                <c:pt idx="353">
                  <c:v>4.4691999999999996E-2</c:v>
                </c:pt>
                <c:pt idx="354">
                  <c:v>4.4832000000000004E-2</c:v>
                </c:pt>
                <c:pt idx="355">
                  <c:v>4.4972000000000005E-2</c:v>
                </c:pt>
                <c:pt idx="356">
                  <c:v>4.5107999999999995E-2</c:v>
                </c:pt>
                <c:pt idx="357">
                  <c:v>4.5247999999999997E-2</c:v>
                </c:pt>
                <c:pt idx="358">
                  <c:v>4.5388000000000005E-2</c:v>
                </c:pt>
                <c:pt idx="359">
                  <c:v>4.5525999999999997E-2</c:v>
                </c:pt>
                <c:pt idx="360">
                  <c:v>4.5666000000000005E-2</c:v>
                </c:pt>
                <c:pt idx="361">
                  <c:v>4.5805999999999993E-2</c:v>
                </c:pt>
                <c:pt idx="362">
                  <c:v>4.5941999999999997E-2</c:v>
                </c:pt>
                <c:pt idx="363">
                  <c:v>4.6081999999999998E-2</c:v>
                </c:pt>
                <c:pt idx="364">
                  <c:v>4.6222000000000006E-2</c:v>
                </c:pt>
                <c:pt idx="365">
                  <c:v>4.6359999999999998E-2</c:v>
                </c:pt>
                <c:pt idx="366">
                  <c:v>4.6500000000000007E-2</c:v>
                </c:pt>
                <c:pt idx="367">
                  <c:v>4.6635999999999997E-2</c:v>
                </c:pt>
                <c:pt idx="368">
                  <c:v>4.6775999999999998E-2</c:v>
                </c:pt>
                <c:pt idx="369">
                  <c:v>4.6915999999999999E-2</c:v>
                </c:pt>
                <c:pt idx="370">
                  <c:v>4.7053999999999999E-2</c:v>
                </c:pt>
                <c:pt idx="371">
                  <c:v>4.7194E-2</c:v>
                </c:pt>
                <c:pt idx="372">
                  <c:v>4.7359999999999999E-2</c:v>
                </c:pt>
                <c:pt idx="373">
                  <c:v>4.7497999999999999E-2</c:v>
                </c:pt>
                <c:pt idx="374">
                  <c:v>4.7666000000000007E-2</c:v>
                </c:pt>
                <c:pt idx="375">
                  <c:v>4.7832E-2</c:v>
                </c:pt>
                <c:pt idx="376">
                  <c:v>4.7972000000000001E-2</c:v>
                </c:pt>
                <c:pt idx="377">
                  <c:v>4.8137999999999993E-2</c:v>
                </c:pt>
                <c:pt idx="378">
                  <c:v>4.8276000000000006E-2</c:v>
                </c:pt>
                <c:pt idx="379">
                  <c:v>4.8444000000000001E-2</c:v>
                </c:pt>
                <c:pt idx="380">
                  <c:v>4.8583999999999995E-2</c:v>
                </c:pt>
                <c:pt idx="381">
                  <c:v>4.8719999999999999E-2</c:v>
                </c:pt>
                <c:pt idx="382">
                  <c:v>4.8860000000000001E-2</c:v>
                </c:pt>
                <c:pt idx="383">
                  <c:v>4.8998E-2</c:v>
                </c:pt>
                <c:pt idx="384">
                  <c:v>4.9135999999999999E-2</c:v>
                </c:pt>
                <c:pt idx="385">
                  <c:v>4.9276E-2</c:v>
                </c:pt>
                <c:pt idx="386">
                  <c:v>4.9416000000000002E-2</c:v>
                </c:pt>
                <c:pt idx="387">
                  <c:v>4.9581999999999994E-2</c:v>
                </c:pt>
                <c:pt idx="388">
                  <c:v>4.9745999999999999E-2</c:v>
                </c:pt>
                <c:pt idx="389">
                  <c:v>4.9916000000000002E-2</c:v>
                </c:pt>
                <c:pt idx="390">
                  <c:v>5.0082000000000002E-2</c:v>
                </c:pt>
                <c:pt idx="391">
                  <c:v>5.0248000000000001E-2</c:v>
                </c:pt>
                <c:pt idx="392">
                  <c:v>5.0415999999999996E-2</c:v>
                </c:pt>
                <c:pt idx="393">
                  <c:v>5.058E-2</c:v>
                </c:pt>
                <c:pt idx="394">
                  <c:v>5.0720000000000001E-2</c:v>
                </c:pt>
                <c:pt idx="395">
                  <c:v>5.0888000000000003E-2</c:v>
                </c:pt>
                <c:pt idx="396">
                  <c:v>5.1025999999999995E-2</c:v>
                </c:pt>
                <c:pt idx="397">
                  <c:v>5.1193999999999996E-2</c:v>
                </c:pt>
                <c:pt idx="398">
                  <c:v>5.1360000000000003E-2</c:v>
                </c:pt>
                <c:pt idx="399">
                  <c:v>5.1525999999999995E-2</c:v>
                </c:pt>
                <c:pt idx="400">
                  <c:v>5.1694000000000004E-2</c:v>
                </c:pt>
                <c:pt idx="401">
                  <c:v>5.1862000000000005E-2</c:v>
                </c:pt>
                <c:pt idx="402">
                  <c:v>5.2026000000000003E-2</c:v>
                </c:pt>
                <c:pt idx="403">
                  <c:v>5.2191999999999995E-2</c:v>
                </c:pt>
                <c:pt idx="404">
                  <c:v>5.2359999999999997E-2</c:v>
                </c:pt>
                <c:pt idx="405">
                  <c:v>5.2526000000000003E-2</c:v>
                </c:pt>
                <c:pt idx="406">
                  <c:v>5.2693999999999998E-2</c:v>
                </c:pt>
                <c:pt idx="407">
                  <c:v>5.2858000000000002E-2</c:v>
                </c:pt>
                <c:pt idx="408">
                  <c:v>5.3025999999999997E-2</c:v>
                </c:pt>
                <c:pt idx="409">
                  <c:v>5.3192000000000003E-2</c:v>
                </c:pt>
                <c:pt idx="410">
                  <c:v>5.3360000000000005E-2</c:v>
                </c:pt>
                <c:pt idx="411">
                  <c:v>5.3525999999999997E-2</c:v>
                </c:pt>
                <c:pt idx="412">
                  <c:v>5.3722000000000006E-2</c:v>
                </c:pt>
                <c:pt idx="413">
                  <c:v>5.3916000000000006E-2</c:v>
                </c:pt>
                <c:pt idx="414">
                  <c:v>5.4108000000000003E-2</c:v>
                </c:pt>
                <c:pt idx="415">
                  <c:v>5.4303999999999998E-2</c:v>
                </c:pt>
                <c:pt idx="416">
                  <c:v>5.4469999999999998E-2</c:v>
                </c:pt>
                <c:pt idx="417">
                  <c:v>5.4665999999999999E-2</c:v>
                </c:pt>
                <c:pt idx="418">
                  <c:v>5.4831999999999999E-2</c:v>
                </c:pt>
                <c:pt idx="419">
                  <c:v>5.5025999999999999E-2</c:v>
                </c:pt>
                <c:pt idx="420">
                  <c:v>5.5220000000000005E-2</c:v>
                </c:pt>
                <c:pt idx="421">
                  <c:v>5.5388E-2</c:v>
                </c:pt>
                <c:pt idx="422">
                  <c:v>5.5583999999999995E-2</c:v>
                </c:pt>
                <c:pt idx="423">
                  <c:v>5.5776000000000006E-2</c:v>
                </c:pt>
                <c:pt idx="424">
                  <c:v>5.5967999999999997E-2</c:v>
                </c:pt>
                <c:pt idx="425">
                  <c:v>5.6163999999999999E-2</c:v>
                </c:pt>
                <c:pt idx="426">
                  <c:v>5.636E-2</c:v>
                </c:pt>
                <c:pt idx="427">
                  <c:v>5.6555999999999995E-2</c:v>
                </c:pt>
                <c:pt idx="428">
                  <c:v>5.6748E-2</c:v>
                </c:pt>
                <c:pt idx="429">
                  <c:v>5.6944000000000002E-2</c:v>
                </c:pt>
                <c:pt idx="430">
                  <c:v>5.7138000000000001E-2</c:v>
                </c:pt>
                <c:pt idx="431">
                  <c:v>5.7333999999999996E-2</c:v>
                </c:pt>
                <c:pt idx="432">
                  <c:v>5.7526000000000001E-2</c:v>
                </c:pt>
                <c:pt idx="433">
                  <c:v>5.772E-2</c:v>
                </c:pt>
                <c:pt idx="434">
                  <c:v>5.7915999999999995E-2</c:v>
                </c:pt>
                <c:pt idx="435">
                  <c:v>5.8110000000000002E-2</c:v>
                </c:pt>
                <c:pt idx="436">
                  <c:v>5.8304000000000002E-2</c:v>
                </c:pt>
                <c:pt idx="437">
                  <c:v>5.8499999999999996E-2</c:v>
                </c:pt>
                <c:pt idx="438">
                  <c:v>5.8693999999999996E-2</c:v>
                </c:pt>
                <c:pt idx="439">
                  <c:v>5.8887999999999996E-2</c:v>
                </c:pt>
                <c:pt idx="440">
                  <c:v>5.9080000000000001E-2</c:v>
                </c:pt>
                <c:pt idx="441">
                  <c:v>5.9276000000000002E-2</c:v>
                </c:pt>
                <c:pt idx="442">
                  <c:v>5.9470000000000002E-2</c:v>
                </c:pt>
                <c:pt idx="443">
                  <c:v>5.9691999999999995E-2</c:v>
                </c:pt>
                <c:pt idx="444">
                  <c:v>5.9886000000000002E-2</c:v>
                </c:pt>
                <c:pt idx="445">
                  <c:v>6.0110000000000004E-2</c:v>
                </c:pt>
                <c:pt idx="446">
                  <c:v>6.0334000000000006E-2</c:v>
                </c:pt>
                <c:pt idx="447">
                  <c:v>6.0525999999999996E-2</c:v>
                </c:pt>
                <c:pt idx="448">
                  <c:v>6.0747999999999996E-2</c:v>
                </c:pt>
                <c:pt idx="449">
                  <c:v>6.0971999999999998E-2</c:v>
                </c:pt>
                <c:pt idx="450">
                  <c:v>6.1193999999999998E-2</c:v>
                </c:pt>
                <c:pt idx="451">
                  <c:v>6.1413999999999996E-2</c:v>
                </c:pt>
                <c:pt idx="452">
                  <c:v>6.1637999999999998E-2</c:v>
                </c:pt>
                <c:pt idx="453">
                  <c:v>6.1858000000000003E-2</c:v>
                </c:pt>
                <c:pt idx="454">
                  <c:v>6.2081999999999998E-2</c:v>
                </c:pt>
                <c:pt idx="455">
                  <c:v>6.2304000000000005E-2</c:v>
                </c:pt>
                <c:pt idx="456">
                  <c:v>6.2528E-2</c:v>
                </c:pt>
                <c:pt idx="457">
                  <c:v>6.275E-2</c:v>
                </c:pt>
                <c:pt idx="458">
                  <c:v>6.2969999999999998E-2</c:v>
                </c:pt>
                <c:pt idx="459">
                  <c:v>6.3191999999999998E-2</c:v>
                </c:pt>
                <c:pt idx="460">
                  <c:v>6.3413999999999998E-2</c:v>
                </c:pt>
                <c:pt idx="461">
                  <c:v>6.3635999999999998E-2</c:v>
                </c:pt>
                <c:pt idx="462">
                  <c:v>6.386E-2</c:v>
                </c:pt>
                <c:pt idx="463">
                  <c:v>6.4084000000000002E-2</c:v>
                </c:pt>
                <c:pt idx="464">
                  <c:v>6.4304E-2</c:v>
                </c:pt>
                <c:pt idx="465">
                  <c:v>6.4526E-2</c:v>
                </c:pt>
                <c:pt idx="466">
                  <c:v>6.4750000000000002E-2</c:v>
                </c:pt>
                <c:pt idx="467">
                  <c:v>6.5000000000000002E-2</c:v>
                </c:pt>
                <c:pt idx="468">
                  <c:v>6.5248E-2</c:v>
                </c:pt>
                <c:pt idx="469">
                  <c:v>6.5498000000000001E-2</c:v>
                </c:pt>
                <c:pt idx="470">
                  <c:v>6.5750000000000003E-2</c:v>
                </c:pt>
                <c:pt idx="471">
                  <c:v>6.5998000000000001E-2</c:v>
                </c:pt>
                <c:pt idx="472">
                  <c:v>6.6250000000000003E-2</c:v>
                </c:pt>
                <c:pt idx="473">
                  <c:v>6.6498000000000002E-2</c:v>
                </c:pt>
                <c:pt idx="474">
                  <c:v>6.6748000000000002E-2</c:v>
                </c:pt>
                <c:pt idx="475">
                  <c:v>6.6998000000000002E-2</c:v>
                </c:pt>
                <c:pt idx="476">
                  <c:v>6.7248000000000002E-2</c:v>
                </c:pt>
                <c:pt idx="477">
                  <c:v>6.7526000000000003E-2</c:v>
                </c:pt>
                <c:pt idx="478">
                  <c:v>6.7776000000000003E-2</c:v>
                </c:pt>
                <c:pt idx="479">
                  <c:v>6.8028000000000005E-2</c:v>
                </c:pt>
                <c:pt idx="480">
                  <c:v>6.8276000000000003E-2</c:v>
                </c:pt>
                <c:pt idx="481">
                  <c:v>6.8528000000000006E-2</c:v>
                </c:pt>
                <c:pt idx="482">
                  <c:v>6.8804000000000004E-2</c:v>
                </c:pt>
                <c:pt idx="483">
                  <c:v>6.9082000000000005E-2</c:v>
                </c:pt>
                <c:pt idx="484">
                  <c:v>6.9360000000000005E-2</c:v>
                </c:pt>
                <c:pt idx="485">
                  <c:v>6.9610000000000005E-2</c:v>
                </c:pt>
                <c:pt idx="486">
                  <c:v>6.9888000000000006E-2</c:v>
                </c:pt>
                <c:pt idx="487">
                  <c:v>7.0166000000000006E-2</c:v>
                </c:pt>
                <c:pt idx="488">
                  <c:v>7.0444000000000007E-2</c:v>
                </c:pt>
                <c:pt idx="489">
                  <c:v>7.0720000000000005E-2</c:v>
                </c:pt>
                <c:pt idx="490">
                  <c:v>7.0999999999999994E-2</c:v>
                </c:pt>
                <c:pt idx="491">
                  <c:v>7.1276000000000006E-2</c:v>
                </c:pt>
                <c:pt idx="492">
                  <c:v>7.1554000000000006E-2</c:v>
                </c:pt>
                <c:pt idx="493">
                  <c:v>7.1833999999999995E-2</c:v>
                </c:pt>
                <c:pt idx="494">
                  <c:v>7.2108000000000005E-2</c:v>
                </c:pt>
                <c:pt idx="495">
                  <c:v>7.2388000000000008E-2</c:v>
                </c:pt>
                <c:pt idx="496">
                  <c:v>7.2666000000000008E-2</c:v>
                </c:pt>
                <c:pt idx="497">
                  <c:v>7.2942000000000007E-2</c:v>
                </c:pt>
                <c:pt idx="498">
                  <c:v>7.3220000000000007E-2</c:v>
                </c:pt>
                <c:pt idx="499">
                  <c:v>7.3499999999999996E-2</c:v>
                </c:pt>
                <c:pt idx="500">
                  <c:v>7.3803999999999995E-2</c:v>
                </c:pt>
                <c:pt idx="501">
                  <c:v>7.4109999999999995E-2</c:v>
                </c:pt>
                <c:pt idx="502">
                  <c:v>7.4413999999999994E-2</c:v>
                </c:pt>
                <c:pt idx="503">
                  <c:v>7.4720000000000009E-2</c:v>
                </c:pt>
                <c:pt idx="504">
                  <c:v>7.5027999999999997E-2</c:v>
                </c:pt>
                <c:pt idx="505">
                  <c:v>7.5331999999999996E-2</c:v>
                </c:pt>
                <c:pt idx="506">
                  <c:v>7.5637999999999997E-2</c:v>
                </c:pt>
                <c:pt idx="507">
                  <c:v>7.5943999999999998E-2</c:v>
                </c:pt>
                <c:pt idx="508">
                  <c:v>7.6275999999999997E-2</c:v>
                </c:pt>
                <c:pt idx="509">
                  <c:v>7.6609999999999998E-2</c:v>
                </c:pt>
                <c:pt idx="510">
                  <c:v>7.6915999999999998E-2</c:v>
                </c:pt>
                <c:pt idx="511">
                  <c:v>7.7247999999999997E-2</c:v>
                </c:pt>
                <c:pt idx="512">
                  <c:v>7.7579999999999996E-2</c:v>
                </c:pt>
                <c:pt idx="513">
                  <c:v>7.7915999999999999E-2</c:v>
                </c:pt>
                <c:pt idx="514">
                  <c:v>7.8247999999999998E-2</c:v>
                </c:pt>
                <c:pt idx="515">
                  <c:v>7.8581999999999999E-2</c:v>
                </c:pt>
                <c:pt idx="516">
                  <c:v>7.8913999999999998E-2</c:v>
                </c:pt>
                <c:pt idx="517">
                  <c:v>7.9247999999999999E-2</c:v>
                </c:pt>
                <c:pt idx="518">
                  <c:v>7.9584000000000002E-2</c:v>
                </c:pt>
                <c:pt idx="519">
                  <c:v>7.9916000000000001E-2</c:v>
                </c:pt>
                <c:pt idx="520">
                  <c:v>8.0248000000000014E-2</c:v>
                </c:pt>
                <c:pt idx="521">
                  <c:v>8.0579999999999999E-2</c:v>
                </c:pt>
                <c:pt idx="522">
                  <c:v>8.0916000000000002E-2</c:v>
                </c:pt>
                <c:pt idx="523">
                  <c:v>8.1248000000000001E-2</c:v>
                </c:pt>
                <c:pt idx="524">
                  <c:v>8.1582000000000002E-2</c:v>
                </c:pt>
                <c:pt idx="525">
                  <c:v>8.1915999999999989E-2</c:v>
                </c:pt>
                <c:pt idx="526">
                  <c:v>8.2276000000000002E-2</c:v>
                </c:pt>
                <c:pt idx="527">
                  <c:v>8.2636000000000001E-2</c:v>
                </c:pt>
                <c:pt idx="528">
                  <c:v>8.2997999999999988E-2</c:v>
                </c:pt>
                <c:pt idx="529">
                  <c:v>8.3360000000000004E-2</c:v>
                </c:pt>
                <c:pt idx="530">
                  <c:v>8.3720000000000003E-2</c:v>
                </c:pt>
                <c:pt idx="531">
                  <c:v>8.4082000000000004E-2</c:v>
                </c:pt>
                <c:pt idx="532">
                  <c:v>8.4444000000000005E-2</c:v>
                </c:pt>
                <c:pt idx="533">
                  <c:v>8.4802000000000002E-2</c:v>
                </c:pt>
                <c:pt idx="534">
                  <c:v>8.5164000000000004E-2</c:v>
                </c:pt>
                <c:pt idx="535">
                  <c:v>8.5554000000000005E-2</c:v>
                </c:pt>
                <c:pt idx="536">
                  <c:v>8.5942000000000005E-2</c:v>
                </c:pt>
                <c:pt idx="537">
                  <c:v>8.6332000000000006E-2</c:v>
                </c:pt>
                <c:pt idx="538">
                  <c:v>8.6720000000000005E-2</c:v>
                </c:pt>
                <c:pt idx="539">
                  <c:v>8.7110000000000007E-2</c:v>
                </c:pt>
                <c:pt idx="540">
                  <c:v>8.7498000000000006E-2</c:v>
                </c:pt>
                <c:pt idx="541">
                  <c:v>8.7888000000000008E-2</c:v>
                </c:pt>
                <c:pt idx="542">
                  <c:v>8.8276000000000007E-2</c:v>
                </c:pt>
                <c:pt idx="543">
                  <c:v>8.8665999999999995E-2</c:v>
                </c:pt>
                <c:pt idx="544">
                  <c:v>8.9054000000000008E-2</c:v>
                </c:pt>
                <c:pt idx="545">
                  <c:v>8.9469999999999994E-2</c:v>
                </c:pt>
                <c:pt idx="546">
                  <c:v>8.9860000000000009E-2</c:v>
                </c:pt>
                <c:pt idx="547">
                  <c:v>9.0249999999999997E-2</c:v>
                </c:pt>
                <c:pt idx="548">
                  <c:v>9.0665999999999997E-2</c:v>
                </c:pt>
                <c:pt idx="549">
                  <c:v>9.1083999999999998E-2</c:v>
                </c:pt>
                <c:pt idx="550">
                  <c:v>9.149800000000001E-2</c:v>
                </c:pt>
                <c:pt idx="551">
                  <c:v>9.1889999999999999E-2</c:v>
                </c:pt>
                <c:pt idx="552">
                  <c:v>9.2303999999999997E-2</c:v>
                </c:pt>
                <c:pt idx="553">
                  <c:v>9.2721999999999999E-2</c:v>
                </c:pt>
                <c:pt idx="554">
                  <c:v>9.3137999999999999E-2</c:v>
                </c:pt>
                <c:pt idx="555">
                  <c:v>9.3581999999999999E-2</c:v>
                </c:pt>
                <c:pt idx="556">
                  <c:v>9.4025999999999998E-2</c:v>
                </c:pt>
                <c:pt idx="557">
                  <c:v>9.4469999999999998E-2</c:v>
                </c:pt>
                <c:pt idx="558">
                  <c:v>9.4916E-2</c:v>
                </c:pt>
                <c:pt idx="559">
                  <c:v>9.5388000000000001E-2</c:v>
                </c:pt>
                <c:pt idx="560">
                  <c:v>9.5860000000000001E-2</c:v>
                </c:pt>
                <c:pt idx="561">
                  <c:v>9.6304000000000001E-2</c:v>
                </c:pt>
                <c:pt idx="562">
                  <c:v>9.6776000000000001E-2</c:v>
                </c:pt>
                <c:pt idx="563">
                  <c:v>9.7248000000000001E-2</c:v>
                </c:pt>
                <c:pt idx="564">
                  <c:v>9.7720000000000001E-2</c:v>
                </c:pt>
                <c:pt idx="565">
                  <c:v>9.8192000000000002E-2</c:v>
                </c:pt>
                <c:pt idx="566">
                  <c:v>9.8664000000000002E-2</c:v>
                </c:pt>
                <c:pt idx="567">
                  <c:v>9.9138000000000004E-2</c:v>
                </c:pt>
                <c:pt idx="568">
                  <c:v>9.9610000000000004E-2</c:v>
                </c:pt>
                <c:pt idx="569">
                  <c:v>0.100082</c:v>
                </c:pt>
                <c:pt idx="570">
                  <c:v>0.100554</c:v>
                </c:pt>
                <c:pt idx="571">
                  <c:v>0.10105399999999999</c:v>
                </c:pt>
                <c:pt idx="572">
                  <c:v>0.101552</c:v>
                </c:pt>
                <c:pt idx="573">
                  <c:v>0.10205399999999999</c:v>
                </c:pt>
                <c:pt idx="574">
                  <c:v>0.10255599999999999</c:v>
                </c:pt>
                <c:pt idx="575">
                  <c:v>0.10305400000000001</c:v>
                </c:pt>
                <c:pt idx="576">
                  <c:v>0.10358000000000001</c:v>
                </c:pt>
                <c:pt idx="577">
                  <c:v>0.104112</c:v>
                </c:pt>
                <c:pt idx="578">
                  <c:v>0.10463800000000001</c:v>
                </c:pt>
                <c:pt idx="579">
                  <c:v>0.10519199999999999</c:v>
                </c:pt>
                <c:pt idx="580">
                  <c:v>0.10575</c:v>
                </c:pt>
                <c:pt idx="581">
                  <c:v>0.106304</c:v>
                </c:pt>
                <c:pt idx="582">
                  <c:v>0.10688800000000001</c:v>
                </c:pt>
                <c:pt idx="583">
                  <c:v>0.10747</c:v>
                </c:pt>
                <c:pt idx="584">
                  <c:v>0.10805400000000001</c:v>
                </c:pt>
                <c:pt idx="585">
                  <c:v>0.108666</c:v>
                </c:pt>
                <c:pt idx="586">
                  <c:v>0.109276</c:v>
                </c:pt>
                <c:pt idx="587">
                  <c:v>0.109888</c:v>
                </c:pt>
                <c:pt idx="588">
                  <c:v>0.110498</c:v>
                </c:pt>
                <c:pt idx="589">
                  <c:v>0.11111</c:v>
                </c:pt>
                <c:pt idx="590">
                  <c:v>0.11175</c:v>
                </c:pt>
                <c:pt idx="591">
                  <c:v>0.112414</c:v>
                </c:pt>
                <c:pt idx="592">
                  <c:v>0.11311</c:v>
                </c:pt>
                <c:pt idx="593">
                  <c:v>0.113832</c:v>
                </c:pt>
                <c:pt idx="594">
                  <c:v>0.114608</c:v>
                </c:pt>
                <c:pt idx="595">
                  <c:v>0.11544399999999999</c:v>
                </c:pt>
                <c:pt idx="596">
                  <c:v>0.11627599999999999</c:v>
                </c:pt>
                <c:pt idx="597">
                  <c:v>0.11711199999999999</c:v>
                </c:pt>
                <c:pt idx="598">
                  <c:v>0.11794399999999999</c:v>
                </c:pt>
              </c:numCache>
            </c:numRef>
          </c:cat>
          <c:val>
            <c:numRef>
              <c:f>'A22-1'!$F$2:$F$600</c:f>
              <c:numCache>
                <c:formatCode>0.00</c:formatCode>
                <c:ptCount val="599"/>
                <c:pt idx="0">
                  <c:v>0</c:v>
                </c:pt>
                <c:pt idx="1">
                  <c:v>0.28611228906414726</c:v>
                </c:pt>
                <c:pt idx="2">
                  <c:v>0.28611228906414726</c:v>
                </c:pt>
                <c:pt idx="3">
                  <c:v>0.28611228906414726</c:v>
                </c:pt>
                <c:pt idx="4">
                  <c:v>0.28611228906414726</c:v>
                </c:pt>
                <c:pt idx="5">
                  <c:v>0.28611228906414726</c:v>
                </c:pt>
                <c:pt idx="6">
                  <c:v>0.28208487421435796</c:v>
                </c:pt>
                <c:pt idx="7">
                  <c:v>0.28208487421435796</c:v>
                </c:pt>
                <c:pt idx="8">
                  <c:v>0.28611228906414726</c:v>
                </c:pt>
                <c:pt idx="9">
                  <c:v>0.28208487421435796</c:v>
                </c:pt>
                <c:pt idx="10">
                  <c:v>0.28208487421435796</c:v>
                </c:pt>
                <c:pt idx="11">
                  <c:v>0.28208487421435796</c:v>
                </c:pt>
                <c:pt idx="12">
                  <c:v>0.28611228906414726</c:v>
                </c:pt>
                <c:pt idx="13">
                  <c:v>0.28611228906414726</c:v>
                </c:pt>
                <c:pt idx="14">
                  <c:v>0.28611228906414726</c:v>
                </c:pt>
                <c:pt idx="15">
                  <c:v>0.28611228906414726</c:v>
                </c:pt>
                <c:pt idx="16">
                  <c:v>0.28611228906414726</c:v>
                </c:pt>
                <c:pt idx="17">
                  <c:v>0.28611228906414726</c:v>
                </c:pt>
                <c:pt idx="18">
                  <c:v>0.28611228906414726</c:v>
                </c:pt>
                <c:pt idx="19">
                  <c:v>0.29013970391393651</c:v>
                </c:pt>
                <c:pt idx="20">
                  <c:v>0.29013970391393651</c:v>
                </c:pt>
                <c:pt idx="21">
                  <c:v>0.29013970391393651</c:v>
                </c:pt>
                <c:pt idx="22">
                  <c:v>0.29013970391393651</c:v>
                </c:pt>
                <c:pt idx="23">
                  <c:v>0.29013970391393651</c:v>
                </c:pt>
                <c:pt idx="24">
                  <c:v>0.29416711876372581</c:v>
                </c:pt>
                <c:pt idx="25">
                  <c:v>0.30627305398868065</c:v>
                </c:pt>
                <c:pt idx="26">
                  <c:v>0.31432788368825915</c:v>
                </c:pt>
                <c:pt idx="27">
                  <c:v>0.31835529853804845</c:v>
                </c:pt>
                <c:pt idx="28">
                  <c:v>0.32238271338783769</c:v>
                </c:pt>
                <c:pt idx="29">
                  <c:v>0.326410128237627</c:v>
                </c:pt>
                <c:pt idx="30">
                  <c:v>0.326410128237627</c:v>
                </c:pt>
                <c:pt idx="31">
                  <c:v>0.3304375430874163</c:v>
                </c:pt>
                <c:pt idx="32">
                  <c:v>0.33446495793720549</c:v>
                </c:pt>
                <c:pt idx="33">
                  <c:v>0.33446495793720549</c:v>
                </c:pt>
                <c:pt idx="34">
                  <c:v>0.33849237278699479</c:v>
                </c:pt>
                <c:pt idx="35">
                  <c:v>0.34251978763678409</c:v>
                </c:pt>
                <c:pt idx="36">
                  <c:v>0.34251978763678409</c:v>
                </c:pt>
                <c:pt idx="37">
                  <c:v>0.33849237278699479</c:v>
                </c:pt>
                <c:pt idx="38">
                  <c:v>0.34251978763678409</c:v>
                </c:pt>
                <c:pt idx="39">
                  <c:v>0.34251978763678409</c:v>
                </c:pt>
                <c:pt idx="40">
                  <c:v>0.34251978763678409</c:v>
                </c:pt>
                <c:pt idx="41">
                  <c:v>0.34251978763678409</c:v>
                </c:pt>
                <c:pt idx="42">
                  <c:v>0.34251978763678409</c:v>
                </c:pt>
                <c:pt idx="43">
                  <c:v>0.34251978763678409</c:v>
                </c:pt>
                <c:pt idx="44">
                  <c:v>0.34251978763678409</c:v>
                </c:pt>
                <c:pt idx="45">
                  <c:v>0.34251978763678409</c:v>
                </c:pt>
                <c:pt idx="46">
                  <c:v>0.34251978763678409</c:v>
                </c:pt>
                <c:pt idx="47">
                  <c:v>0.34654720248657334</c:v>
                </c:pt>
                <c:pt idx="48">
                  <c:v>0.34251978763678409</c:v>
                </c:pt>
                <c:pt idx="49">
                  <c:v>0.34654720248657334</c:v>
                </c:pt>
                <c:pt idx="50">
                  <c:v>0.34654720248657334</c:v>
                </c:pt>
                <c:pt idx="51">
                  <c:v>0.34654720248657334</c:v>
                </c:pt>
                <c:pt idx="52">
                  <c:v>0.34654720248657334</c:v>
                </c:pt>
                <c:pt idx="53">
                  <c:v>0.34654720248657334</c:v>
                </c:pt>
                <c:pt idx="54">
                  <c:v>0.34251978763678409</c:v>
                </c:pt>
                <c:pt idx="55">
                  <c:v>0.34654720248657334</c:v>
                </c:pt>
                <c:pt idx="56">
                  <c:v>0.34654720248657334</c:v>
                </c:pt>
                <c:pt idx="57">
                  <c:v>0.34654720248657334</c:v>
                </c:pt>
                <c:pt idx="58">
                  <c:v>0.34654720248657334</c:v>
                </c:pt>
                <c:pt idx="59">
                  <c:v>0.34654720248657334</c:v>
                </c:pt>
                <c:pt idx="60">
                  <c:v>0.34654720248657334</c:v>
                </c:pt>
                <c:pt idx="61">
                  <c:v>0.34654720248657334</c:v>
                </c:pt>
                <c:pt idx="62">
                  <c:v>0.35059830801194958</c:v>
                </c:pt>
                <c:pt idx="63">
                  <c:v>0.35059830801194958</c:v>
                </c:pt>
                <c:pt idx="64">
                  <c:v>0.35059830801194958</c:v>
                </c:pt>
                <c:pt idx="65">
                  <c:v>0.35059830801194958</c:v>
                </c:pt>
                <c:pt idx="66">
                  <c:v>0.35462572286173882</c:v>
                </c:pt>
                <c:pt idx="67">
                  <c:v>0.35462572286173882</c:v>
                </c:pt>
                <c:pt idx="68">
                  <c:v>0.35462572286173882</c:v>
                </c:pt>
                <c:pt idx="69">
                  <c:v>0.35462572286173882</c:v>
                </c:pt>
                <c:pt idx="70">
                  <c:v>0.35865313771152812</c:v>
                </c:pt>
                <c:pt idx="71">
                  <c:v>0.36268055256131737</c:v>
                </c:pt>
                <c:pt idx="72">
                  <c:v>0.36268055256131737</c:v>
                </c:pt>
                <c:pt idx="73">
                  <c:v>0.36268055256131737</c:v>
                </c:pt>
                <c:pt idx="74">
                  <c:v>0.36670796741110662</c:v>
                </c:pt>
                <c:pt idx="75">
                  <c:v>0.37476279711068528</c:v>
                </c:pt>
                <c:pt idx="76">
                  <c:v>0.38684504166005307</c:v>
                </c:pt>
                <c:pt idx="77">
                  <c:v>0.3989509768850078</c:v>
                </c:pt>
                <c:pt idx="78">
                  <c:v>0.41103322143437571</c:v>
                </c:pt>
                <c:pt idx="79">
                  <c:v>0.4271428808335328</c:v>
                </c:pt>
                <c:pt idx="80">
                  <c:v>0.44327623090827678</c:v>
                </c:pt>
                <c:pt idx="81">
                  <c:v>0.45938589030743382</c:v>
                </c:pt>
                <c:pt idx="82">
                  <c:v>0.47551924038217797</c:v>
                </c:pt>
                <c:pt idx="83">
                  <c:v>0.48760148493154581</c:v>
                </c:pt>
                <c:pt idx="84">
                  <c:v>0.50371114433070285</c:v>
                </c:pt>
                <c:pt idx="85">
                  <c:v>0.519844494405447</c:v>
                </c:pt>
                <c:pt idx="86">
                  <c:v>0.53595415380460409</c:v>
                </c:pt>
                <c:pt idx="87">
                  <c:v>0.55208750387934802</c:v>
                </c:pt>
                <c:pt idx="88">
                  <c:v>0.56819716327850533</c:v>
                </c:pt>
                <c:pt idx="89">
                  <c:v>0.58430682267766232</c:v>
                </c:pt>
                <c:pt idx="90">
                  <c:v>0.60446758760219566</c:v>
                </c:pt>
                <c:pt idx="91">
                  <c:v>0.62057724700135275</c:v>
                </c:pt>
                <c:pt idx="92">
                  <c:v>0.6367105970760969</c:v>
                </c:pt>
                <c:pt idx="93">
                  <c:v>0.65282025647525399</c:v>
                </c:pt>
                <c:pt idx="94">
                  <c:v>0.66892991587441097</c:v>
                </c:pt>
                <c:pt idx="95">
                  <c:v>0.68506326594915512</c:v>
                </c:pt>
                <c:pt idx="96">
                  <c:v>0.70117292534831221</c:v>
                </c:pt>
                <c:pt idx="97">
                  <c:v>0.71730627542305625</c:v>
                </c:pt>
                <c:pt idx="98">
                  <c:v>0.73341593482221323</c:v>
                </c:pt>
                <c:pt idx="99">
                  <c:v>0.74952559422137055</c:v>
                </c:pt>
                <c:pt idx="100">
                  <c:v>0.76565894429611459</c:v>
                </c:pt>
                <c:pt idx="101">
                  <c:v>0.78176860369527168</c:v>
                </c:pt>
                <c:pt idx="102">
                  <c:v>0.7979019537700156</c:v>
                </c:pt>
                <c:pt idx="103">
                  <c:v>0.81401161316917281</c:v>
                </c:pt>
                <c:pt idx="104">
                  <c:v>0.83012127256832979</c:v>
                </c:pt>
                <c:pt idx="105">
                  <c:v>0.85028203749286313</c:v>
                </c:pt>
                <c:pt idx="106">
                  <c:v>0.86639169689202034</c:v>
                </c:pt>
                <c:pt idx="107">
                  <c:v>0.88252504696676437</c:v>
                </c:pt>
                <c:pt idx="108">
                  <c:v>0.89863470636592158</c:v>
                </c:pt>
                <c:pt idx="109">
                  <c:v>0.91474436576507856</c:v>
                </c:pt>
                <c:pt idx="110">
                  <c:v>0.93087771583982271</c:v>
                </c:pt>
                <c:pt idx="111">
                  <c:v>0.94698737523897969</c:v>
                </c:pt>
                <c:pt idx="112">
                  <c:v>0.96312072531372395</c:v>
                </c:pt>
                <c:pt idx="113">
                  <c:v>0.97923038471288093</c:v>
                </c:pt>
                <c:pt idx="114">
                  <c:v>0.99534004411203802</c:v>
                </c:pt>
                <c:pt idx="115">
                  <c:v>1.0114733941867822</c:v>
                </c:pt>
                <c:pt idx="116">
                  <c:v>1.0275830535859392</c:v>
                </c:pt>
                <c:pt idx="117">
                  <c:v>1.0437164036606832</c:v>
                </c:pt>
                <c:pt idx="118">
                  <c:v>1.0598260630598404</c:v>
                </c:pt>
                <c:pt idx="119">
                  <c:v>1.0759357224589974</c:v>
                </c:pt>
                <c:pt idx="120">
                  <c:v>1.0920690725337416</c:v>
                </c:pt>
                <c:pt idx="121">
                  <c:v>1.1081787319328986</c:v>
                </c:pt>
                <c:pt idx="122">
                  <c:v>1.1283394968574318</c:v>
                </c:pt>
                <c:pt idx="123">
                  <c:v>1.1444491562565891</c:v>
                </c:pt>
                <c:pt idx="124">
                  <c:v>1.160558815655746</c:v>
                </c:pt>
                <c:pt idx="125">
                  <c:v>1.1766921657304901</c:v>
                </c:pt>
                <c:pt idx="126">
                  <c:v>1.1928018251296473</c:v>
                </c:pt>
                <c:pt idx="127">
                  <c:v>1.2089351752043913</c:v>
                </c:pt>
                <c:pt idx="128">
                  <c:v>1.2250448346035485</c:v>
                </c:pt>
                <c:pt idx="129">
                  <c:v>1.2411544940027055</c:v>
                </c:pt>
                <c:pt idx="130">
                  <c:v>1.2613152589272389</c:v>
                </c:pt>
                <c:pt idx="131">
                  <c:v>1.2774249183263959</c:v>
                </c:pt>
                <c:pt idx="132">
                  <c:v>1.29355826840114</c:v>
                </c:pt>
                <c:pt idx="133">
                  <c:v>1.3096679278002969</c:v>
                </c:pt>
                <c:pt idx="134">
                  <c:v>1.3258012778750412</c:v>
                </c:pt>
                <c:pt idx="135">
                  <c:v>1.3419109372741982</c:v>
                </c:pt>
                <c:pt idx="136">
                  <c:v>1.3580205966733554</c:v>
                </c:pt>
                <c:pt idx="137">
                  <c:v>1.3741539467480992</c:v>
                </c:pt>
                <c:pt idx="138">
                  <c:v>1.3902636061472564</c:v>
                </c:pt>
                <c:pt idx="139">
                  <c:v>1.4063732655464136</c:v>
                </c:pt>
                <c:pt idx="140">
                  <c:v>1.4225066156211577</c:v>
                </c:pt>
                <c:pt idx="141">
                  <c:v>1.4386162750203149</c:v>
                </c:pt>
                <c:pt idx="142">
                  <c:v>1.4547496250950589</c:v>
                </c:pt>
                <c:pt idx="143">
                  <c:v>1.4708592844942159</c:v>
                </c:pt>
                <c:pt idx="144">
                  <c:v>1.4869689438933731</c:v>
                </c:pt>
                <c:pt idx="145">
                  <c:v>1.5031022939681171</c:v>
                </c:pt>
                <c:pt idx="146">
                  <c:v>1.5192119533672741</c:v>
                </c:pt>
                <c:pt idx="147">
                  <c:v>1.5353453034420186</c:v>
                </c:pt>
                <c:pt idx="148">
                  <c:v>1.5554823776909645</c:v>
                </c:pt>
                <c:pt idx="149">
                  <c:v>1.5716157277657088</c:v>
                </c:pt>
                <c:pt idx="150">
                  <c:v>1.591752802014655</c:v>
                </c:pt>
                <c:pt idx="151">
                  <c:v>1.6078624614138122</c:v>
                </c:pt>
                <c:pt idx="152">
                  <c:v>1.6280232263383456</c:v>
                </c:pt>
                <c:pt idx="153">
                  <c:v>1.6441328857375028</c:v>
                </c:pt>
                <c:pt idx="154">
                  <c:v>1.6602662358122469</c:v>
                </c:pt>
                <c:pt idx="155">
                  <c:v>1.6763758952114036</c:v>
                </c:pt>
                <c:pt idx="156">
                  <c:v>1.6965366601359368</c:v>
                </c:pt>
                <c:pt idx="157">
                  <c:v>1.7126463195350943</c:v>
                </c:pt>
                <c:pt idx="158">
                  <c:v>1.7287559789342513</c:v>
                </c:pt>
                <c:pt idx="159">
                  <c:v>1.7489167438587845</c:v>
                </c:pt>
                <c:pt idx="160">
                  <c:v>1.7650264032579419</c:v>
                </c:pt>
                <c:pt idx="161">
                  <c:v>1.7811597533326857</c:v>
                </c:pt>
                <c:pt idx="162">
                  <c:v>1.8012968275816323</c:v>
                </c:pt>
                <c:pt idx="163">
                  <c:v>1.8214575925061656</c:v>
                </c:pt>
                <c:pt idx="164">
                  <c:v>1.841594666755112</c:v>
                </c:pt>
                <c:pt idx="165">
                  <c:v>1.8617554316796454</c:v>
                </c:pt>
                <c:pt idx="166">
                  <c:v>1.8818925059285918</c:v>
                </c:pt>
                <c:pt idx="167">
                  <c:v>1.8980258560033358</c:v>
                </c:pt>
                <c:pt idx="168">
                  <c:v>1.918162930252282</c:v>
                </c:pt>
                <c:pt idx="169">
                  <c:v>1.9383236951768155</c:v>
                </c:pt>
                <c:pt idx="170">
                  <c:v>1.9544333545759724</c:v>
                </c:pt>
                <c:pt idx="171">
                  <c:v>1.9705430139751294</c:v>
                </c:pt>
                <c:pt idx="172">
                  <c:v>1.9907037788996629</c:v>
                </c:pt>
                <c:pt idx="173">
                  <c:v>2.0108408531486095</c:v>
                </c:pt>
                <c:pt idx="174">
                  <c:v>2.0269742032233533</c:v>
                </c:pt>
                <c:pt idx="175">
                  <c:v>2.0430838626225105</c:v>
                </c:pt>
                <c:pt idx="176">
                  <c:v>2.0632446275470437</c:v>
                </c:pt>
                <c:pt idx="177">
                  <c:v>2.0793542869462009</c:v>
                </c:pt>
                <c:pt idx="178">
                  <c:v>2.0994913611951471</c:v>
                </c:pt>
                <c:pt idx="179">
                  <c:v>2.1156247112698914</c:v>
                </c:pt>
                <c:pt idx="180">
                  <c:v>2.1317343706690481</c:v>
                </c:pt>
                <c:pt idx="181">
                  <c:v>2.1478677207437924</c:v>
                </c:pt>
                <c:pt idx="182">
                  <c:v>2.1639773801429496</c:v>
                </c:pt>
                <c:pt idx="183">
                  <c:v>2.1841381450674833</c:v>
                </c:pt>
                <c:pt idx="184">
                  <c:v>2.20024780446664</c:v>
                </c:pt>
                <c:pt idx="185">
                  <c:v>2.2163574638657972</c:v>
                </c:pt>
                <c:pt idx="186">
                  <c:v>2.2324908139405415</c:v>
                </c:pt>
                <c:pt idx="187">
                  <c:v>2.2486004733396983</c:v>
                </c:pt>
                <c:pt idx="188">
                  <c:v>2.2647338234144425</c:v>
                </c:pt>
                <c:pt idx="189">
                  <c:v>2.2808434828135997</c:v>
                </c:pt>
                <c:pt idx="190">
                  <c:v>2.2969531422127565</c:v>
                </c:pt>
                <c:pt idx="191">
                  <c:v>2.3130864922875007</c:v>
                </c:pt>
                <c:pt idx="192">
                  <c:v>2.3291961516866575</c:v>
                </c:pt>
                <c:pt idx="193">
                  <c:v>2.3533843314609801</c:v>
                </c:pt>
                <c:pt idx="194">
                  <c:v>2.3695413722113114</c:v>
                </c:pt>
                <c:pt idx="195">
                  <c:v>2.3856510316104682</c:v>
                </c:pt>
                <c:pt idx="196">
                  <c:v>2.4017606910096254</c:v>
                </c:pt>
                <c:pt idx="197">
                  <c:v>2.4178703504087826</c:v>
                </c:pt>
                <c:pt idx="198">
                  <c:v>2.4339800098079398</c:v>
                </c:pt>
                <c:pt idx="199">
                  <c:v>2.450089669207097</c:v>
                </c:pt>
                <c:pt idx="200">
                  <c:v>2.4702267434560432</c:v>
                </c:pt>
                <c:pt idx="201">
                  <c:v>2.4863364028552004</c:v>
                </c:pt>
                <c:pt idx="202">
                  <c:v>2.5024460622543572</c:v>
                </c:pt>
                <c:pt idx="203">
                  <c:v>2.5185557216535144</c:v>
                </c:pt>
                <c:pt idx="204">
                  <c:v>2.5346653810526716</c:v>
                </c:pt>
                <c:pt idx="205">
                  <c:v>2.5548024553016182</c:v>
                </c:pt>
                <c:pt idx="206">
                  <c:v>2.5709121147007745</c:v>
                </c:pt>
                <c:pt idx="207">
                  <c:v>2.5870217740999322</c:v>
                </c:pt>
                <c:pt idx="208">
                  <c:v>2.6031314334990889</c:v>
                </c:pt>
                <c:pt idx="209">
                  <c:v>2.6232685077480355</c:v>
                </c:pt>
                <c:pt idx="210">
                  <c:v>2.6393781671471928</c:v>
                </c:pt>
                <c:pt idx="211">
                  <c:v>2.6597521481520086</c:v>
                </c:pt>
                <c:pt idx="212">
                  <c:v>2.6758618075511662</c:v>
                </c:pt>
                <c:pt idx="213">
                  <c:v>2.6959988818001124</c:v>
                </c:pt>
                <c:pt idx="214">
                  <c:v>2.7121085411992696</c:v>
                </c:pt>
                <c:pt idx="215">
                  <c:v>2.7282182005984268</c:v>
                </c:pt>
                <c:pt idx="216">
                  <c:v>2.748355274847373</c:v>
                </c:pt>
                <c:pt idx="217">
                  <c:v>2.7684923490963191</c:v>
                </c:pt>
                <c:pt idx="218">
                  <c:v>2.7846020084954763</c:v>
                </c:pt>
                <c:pt idx="219">
                  <c:v>2.8007116678946335</c:v>
                </c:pt>
                <c:pt idx="220">
                  <c:v>2.8208487421435797</c:v>
                </c:pt>
                <c:pt idx="221">
                  <c:v>2.8369584015427365</c:v>
                </c:pt>
                <c:pt idx="222">
                  <c:v>2.8570954757916831</c:v>
                </c:pt>
                <c:pt idx="223">
                  <c:v>2.8772325500406297</c:v>
                </c:pt>
                <c:pt idx="224">
                  <c:v>2.8933422094397865</c:v>
                </c:pt>
                <c:pt idx="225">
                  <c:v>2.9134792836887335</c:v>
                </c:pt>
                <c:pt idx="226">
                  <c:v>2.9295889430878899</c:v>
                </c:pt>
                <c:pt idx="227">
                  <c:v>2.9497260173368365</c:v>
                </c:pt>
                <c:pt idx="228">
                  <c:v>2.9698630915857827</c:v>
                </c:pt>
                <c:pt idx="229">
                  <c:v>2.9859727509849403</c:v>
                </c:pt>
                <c:pt idx="230">
                  <c:v>3.0061098252338865</c:v>
                </c:pt>
                <c:pt idx="231">
                  <c:v>3.0262468994828322</c:v>
                </c:pt>
                <c:pt idx="232">
                  <c:v>3.0463839737317788</c:v>
                </c:pt>
                <c:pt idx="233">
                  <c:v>3.0627305398868061</c:v>
                </c:pt>
                <c:pt idx="234">
                  <c:v>3.0828676141357523</c:v>
                </c:pt>
                <c:pt idx="235">
                  <c:v>3.1030046883846989</c:v>
                </c:pt>
                <c:pt idx="236">
                  <c:v>3.131196592333223</c:v>
                </c:pt>
                <c:pt idx="237">
                  <c:v>3.1593884962817489</c:v>
                </c:pt>
                <c:pt idx="238">
                  <c:v>3.1875804002302734</c:v>
                </c:pt>
                <c:pt idx="239">
                  <c:v>3.2197997190285874</c:v>
                </c:pt>
                <c:pt idx="240">
                  <c:v>3.2479916229771124</c:v>
                </c:pt>
                <c:pt idx="241">
                  <c:v>3.2761835269256374</c:v>
                </c:pt>
                <c:pt idx="242">
                  <c:v>3.304375430874162</c:v>
                </c:pt>
                <c:pt idx="243">
                  <c:v>3.3365947496724768</c:v>
                </c:pt>
                <c:pt idx="244">
                  <c:v>3.3647866536210018</c:v>
                </c:pt>
                <c:pt idx="245">
                  <c:v>3.3929785575695259</c:v>
                </c:pt>
                <c:pt idx="246">
                  <c:v>3.4211704615180509</c:v>
                </c:pt>
                <c:pt idx="247">
                  <c:v>3.4533897803163653</c:v>
                </c:pt>
                <c:pt idx="248">
                  <c:v>3.48181859102076</c:v>
                </c:pt>
                <c:pt idx="249">
                  <c:v>3.510010494969285</c:v>
                </c:pt>
                <c:pt idx="250">
                  <c:v>3.5422298137675994</c:v>
                </c:pt>
                <c:pt idx="251">
                  <c:v>3.5704217177161244</c:v>
                </c:pt>
                <c:pt idx="252">
                  <c:v>3.5986136216646494</c:v>
                </c:pt>
                <c:pt idx="253">
                  <c:v>3.6308329404629633</c:v>
                </c:pt>
                <c:pt idx="254">
                  <c:v>3.6630522592612773</c:v>
                </c:pt>
                <c:pt idx="255">
                  <c:v>3.6912441632098023</c:v>
                </c:pt>
                <c:pt idx="256">
                  <c:v>3.7234634820081163</c:v>
                </c:pt>
                <c:pt idx="257">
                  <c:v>3.7556828008064307</c:v>
                </c:pt>
                <c:pt idx="258">
                  <c:v>3.7879021196047447</c:v>
                </c:pt>
                <c:pt idx="259">
                  <c:v>3.8160940235532701</c:v>
                </c:pt>
                <c:pt idx="260">
                  <c:v>3.8402585126520052</c:v>
                </c:pt>
                <c:pt idx="261">
                  <c:v>3.8724778314503197</c:v>
                </c:pt>
                <c:pt idx="262">
                  <c:v>3.9049340570045037</c:v>
                </c:pt>
                <c:pt idx="263">
                  <c:v>3.9371533758028177</c:v>
                </c:pt>
                <c:pt idx="264">
                  <c:v>3.9693726946011325</c:v>
                </c:pt>
                <c:pt idx="265">
                  <c:v>4.0015920133994456</c:v>
                </c:pt>
                <c:pt idx="266">
                  <c:v>4.0338113321977609</c:v>
                </c:pt>
                <c:pt idx="267">
                  <c:v>4.0660306509960744</c:v>
                </c:pt>
                <c:pt idx="268">
                  <c:v>4.0982499697943888</c:v>
                </c:pt>
                <c:pt idx="269">
                  <c:v>4.1304692885927023</c:v>
                </c:pt>
                <c:pt idx="270">
                  <c:v>4.1626886073910176</c:v>
                </c:pt>
                <c:pt idx="271">
                  <c:v>4.1949079261893312</c:v>
                </c:pt>
                <c:pt idx="272">
                  <c:v>4.2271272449876456</c:v>
                </c:pt>
                <c:pt idx="273">
                  <c:v>4.2593465637859591</c:v>
                </c:pt>
                <c:pt idx="274">
                  <c:v>4.291802789340144</c:v>
                </c:pt>
                <c:pt idx="275">
                  <c:v>4.3240221081384576</c:v>
                </c:pt>
                <c:pt idx="276">
                  <c:v>4.356241426936772</c:v>
                </c:pt>
                <c:pt idx="277">
                  <c:v>4.3924881605848753</c:v>
                </c:pt>
                <c:pt idx="278">
                  <c:v>4.4247074793831898</c:v>
                </c:pt>
                <c:pt idx="279">
                  <c:v>4.4569267981815042</c:v>
                </c:pt>
                <c:pt idx="280">
                  <c:v>4.4931735318296075</c:v>
                </c:pt>
                <c:pt idx="281">
                  <c:v>4.525392850627922</c:v>
                </c:pt>
                <c:pt idx="282">
                  <c:v>4.5616395842760253</c:v>
                </c:pt>
                <c:pt idx="283">
                  <c:v>4.5938589030743389</c:v>
                </c:pt>
                <c:pt idx="284">
                  <c:v>4.6301056367224431</c:v>
                </c:pt>
                <c:pt idx="285">
                  <c:v>4.6663523703705465</c:v>
                </c:pt>
                <c:pt idx="286">
                  <c:v>4.6988085959247305</c:v>
                </c:pt>
                <c:pt idx="287">
                  <c:v>4.7350553295728339</c:v>
                </c:pt>
                <c:pt idx="288">
                  <c:v>4.7713020632209364</c:v>
                </c:pt>
                <c:pt idx="289">
                  <c:v>4.8075487968690407</c:v>
                </c:pt>
                <c:pt idx="290">
                  <c:v>4.8397681156673542</c:v>
                </c:pt>
                <c:pt idx="291">
                  <c:v>4.8760148493154576</c:v>
                </c:pt>
                <c:pt idx="292">
                  <c:v>4.9122615829635619</c:v>
                </c:pt>
                <c:pt idx="293">
                  <c:v>4.9485083166116652</c:v>
                </c:pt>
                <c:pt idx="294">
                  <c:v>4.9847550502597677</c:v>
                </c:pt>
                <c:pt idx="295">
                  <c:v>5.016974369058083</c:v>
                </c:pt>
                <c:pt idx="296">
                  <c:v>5.0532211027061864</c:v>
                </c:pt>
                <c:pt idx="297">
                  <c:v>5.0894678363542898</c:v>
                </c:pt>
                <c:pt idx="298">
                  <c:v>5.1259514767582628</c:v>
                </c:pt>
                <c:pt idx="299">
                  <c:v>5.1621982104063671</c:v>
                </c:pt>
                <c:pt idx="300">
                  <c:v>5.2105271886038373</c:v>
                </c:pt>
                <c:pt idx="301">
                  <c:v>5.2588561668013085</c:v>
                </c:pt>
                <c:pt idx="302">
                  <c:v>5.3071851449987806</c:v>
                </c:pt>
                <c:pt idx="303">
                  <c:v>5.3555141231962518</c:v>
                </c:pt>
                <c:pt idx="304">
                  <c:v>5.403843101393722</c:v>
                </c:pt>
                <c:pt idx="305">
                  <c:v>5.4521720795911932</c:v>
                </c:pt>
                <c:pt idx="306">
                  <c:v>5.5005010577886653</c:v>
                </c:pt>
                <c:pt idx="307">
                  <c:v>5.5410121130424272</c:v>
                </c:pt>
                <c:pt idx="308">
                  <c:v>5.5893410912398993</c:v>
                </c:pt>
                <c:pt idx="309">
                  <c:v>5.6376700694373705</c:v>
                </c:pt>
                <c:pt idx="310">
                  <c:v>5.6779442179352619</c:v>
                </c:pt>
                <c:pt idx="311">
                  <c:v>5.726273196132734</c:v>
                </c:pt>
                <c:pt idx="312">
                  <c:v>5.7665473446306272</c:v>
                </c:pt>
                <c:pt idx="313">
                  <c:v>5.8189037376778883</c:v>
                </c:pt>
                <c:pt idx="314">
                  <c:v>5.8672327158753586</c:v>
                </c:pt>
                <c:pt idx="315">
                  <c:v>5.9075068643732518</c:v>
                </c:pt>
                <c:pt idx="316">
                  <c:v>5.9480179196270138</c:v>
                </c:pt>
                <c:pt idx="317">
                  <c:v>5.988292068124907</c:v>
                </c:pt>
                <c:pt idx="318">
                  <c:v>6.0285662166227993</c:v>
                </c:pt>
                <c:pt idx="319">
                  <c:v>6.0688403651206935</c:v>
                </c:pt>
                <c:pt idx="320">
                  <c:v>6.1091145136185849</c:v>
                </c:pt>
                <c:pt idx="321">
                  <c:v>6.1493886621164773</c:v>
                </c:pt>
                <c:pt idx="322">
                  <c:v>6.2017450551637374</c:v>
                </c:pt>
                <c:pt idx="323">
                  <c:v>6.2541014482109993</c:v>
                </c:pt>
                <c:pt idx="324">
                  <c:v>6.3064578412582595</c:v>
                </c:pt>
                <c:pt idx="325">
                  <c:v>6.3590511410613901</c:v>
                </c:pt>
                <c:pt idx="326">
                  <c:v>6.4154349489584401</c:v>
                </c:pt>
                <c:pt idx="327">
                  <c:v>6.4677913420057003</c:v>
                </c:pt>
                <c:pt idx="328">
                  <c:v>6.5201477350529613</c:v>
                </c:pt>
                <c:pt idx="329">
                  <c:v>6.5765315429500113</c:v>
                </c:pt>
                <c:pt idx="330">
                  <c:v>6.6288879359972706</c:v>
                </c:pt>
                <c:pt idx="331">
                  <c:v>6.6852717438943206</c:v>
                </c:pt>
                <c:pt idx="332">
                  <c:v>6.7378650436974521</c:v>
                </c:pt>
                <c:pt idx="333">
                  <c:v>6.7942488515945012</c:v>
                </c:pt>
                <c:pt idx="334">
                  <c:v>6.8506326594915512</c:v>
                </c:pt>
                <c:pt idx="335">
                  <c:v>6.9070164673886012</c:v>
                </c:pt>
                <c:pt idx="336">
                  <c:v>6.9593728604358613</c:v>
                </c:pt>
                <c:pt idx="337">
                  <c:v>7.0157566683329113</c:v>
                </c:pt>
                <c:pt idx="338">
                  <c:v>7.0721404762299604</c:v>
                </c:pt>
                <c:pt idx="339">
                  <c:v>7.1285242841270104</c:v>
                </c:pt>
                <c:pt idx="340">
                  <c:v>7.1811175839301411</c:v>
                </c:pt>
                <c:pt idx="341">
                  <c:v>7.2375013918271911</c:v>
                </c:pt>
                <c:pt idx="342">
                  <c:v>7.2938851997242402</c:v>
                </c:pt>
                <c:pt idx="343">
                  <c:v>7.3502690076212902</c:v>
                </c:pt>
                <c:pt idx="344">
                  <c:v>7.4066528155183402</c:v>
                </c:pt>
                <c:pt idx="345">
                  <c:v>7.4630366234153902</c:v>
                </c:pt>
                <c:pt idx="346">
                  <c:v>7.5194204313124393</c:v>
                </c:pt>
                <c:pt idx="347">
                  <c:v>7.5881233905147276</c:v>
                </c:pt>
                <c:pt idx="348">
                  <c:v>7.6565894429611454</c:v>
                </c:pt>
                <c:pt idx="349">
                  <c:v>7.7129732508581954</c:v>
                </c:pt>
                <c:pt idx="350">
                  <c:v>7.7693570587552445</c:v>
                </c:pt>
                <c:pt idx="351">
                  <c:v>7.8257408666522936</c:v>
                </c:pt>
                <c:pt idx="352">
                  <c:v>7.8821246745493436</c:v>
                </c:pt>
                <c:pt idx="353">
                  <c:v>7.9385084824463936</c:v>
                </c:pt>
                <c:pt idx="354">
                  <c:v>7.9951291970993141</c:v>
                </c:pt>
                <c:pt idx="355">
                  <c:v>8.0555404198461513</c:v>
                </c:pt>
                <c:pt idx="356">
                  <c:v>8.111924227743204</c:v>
                </c:pt>
                <c:pt idx="357">
                  <c:v>8.1683080356402531</c:v>
                </c:pt>
                <c:pt idx="358">
                  <c:v>8.2246918435373022</c:v>
                </c:pt>
                <c:pt idx="359">
                  <c:v>8.2851030662841421</c:v>
                </c:pt>
                <c:pt idx="360">
                  <c:v>8.3535691187305599</c:v>
                </c:pt>
                <c:pt idx="361">
                  <c:v>8.4262994927826362</c:v>
                </c:pt>
                <c:pt idx="362">
                  <c:v>8.498792960078843</c:v>
                </c:pt>
                <c:pt idx="363">
                  <c:v>8.5672590125252608</c:v>
                </c:pt>
                <c:pt idx="364">
                  <c:v>8.6437798946712583</c:v>
                </c:pt>
                <c:pt idx="365">
                  <c:v>8.7162733619674633</c:v>
                </c:pt>
                <c:pt idx="366">
                  <c:v>8.7890037360195414</c:v>
                </c:pt>
                <c:pt idx="367">
                  <c:v>8.8614972033157482</c:v>
                </c:pt>
                <c:pt idx="368">
                  <c:v>8.933990670611955</c:v>
                </c:pt>
                <c:pt idx="369">
                  <c:v>9.0105115527579507</c:v>
                </c:pt>
                <c:pt idx="370">
                  <c:v>9.0830050200541557</c:v>
                </c:pt>
                <c:pt idx="371">
                  <c:v>9.1595259022001532</c:v>
                </c:pt>
                <c:pt idx="372">
                  <c:v>9.2322562762522313</c:v>
                </c:pt>
                <c:pt idx="373">
                  <c:v>9.3047497435484363</c:v>
                </c:pt>
                <c:pt idx="374">
                  <c:v>9.3772432108446431</c:v>
                </c:pt>
                <c:pt idx="375">
                  <c:v>9.4537640929906406</c:v>
                </c:pt>
                <c:pt idx="376">
                  <c:v>9.5262575602868473</c:v>
                </c:pt>
                <c:pt idx="377">
                  <c:v>9.6030153491887127</c:v>
                </c:pt>
                <c:pt idx="378">
                  <c:v>9.6755088164849212</c:v>
                </c:pt>
                <c:pt idx="379">
                  <c:v>9.7520296986309152</c:v>
                </c:pt>
                <c:pt idx="380">
                  <c:v>9.8245231659271237</c:v>
                </c:pt>
                <c:pt idx="381">
                  <c:v>9.9010440480731177</c:v>
                </c:pt>
                <c:pt idx="382">
                  <c:v>9.9775649302191152</c:v>
                </c:pt>
                <c:pt idx="383">
                  <c:v>10.054322719120981</c:v>
                </c:pt>
                <c:pt idx="384">
                  <c:v>10.130843601266978</c:v>
                </c:pt>
                <c:pt idx="385">
                  <c:v>10.207364483412974</c:v>
                </c:pt>
                <c:pt idx="386">
                  <c:v>10.283885365558969</c:v>
                </c:pt>
                <c:pt idx="387">
                  <c:v>10.360406247704965</c:v>
                </c:pt>
                <c:pt idx="388">
                  <c:v>10.453273696005988</c:v>
                </c:pt>
                <c:pt idx="389">
                  <c:v>10.545904237551142</c:v>
                </c:pt>
                <c:pt idx="390">
                  <c:v>10.638534779096297</c:v>
                </c:pt>
                <c:pt idx="391">
                  <c:v>10.735192735491239</c:v>
                </c:pt>
                <c:pt idx="392">
                  <c:v>10.828060183792262</c:v>
                </c:pt>
                <c:pt idx="393">
                  <c:v>10.908608480788047</c:v>
                </c:pt>
                <c:pt idx="394">
                  <c:v>10.989156777783833</c:v>
                </c:pt>
                <c:pt idx="395">
                  <c:v>11.069705074779616</c:v>
                </c:pt>
                <c:pt idx="396">
                  <c:v>11.150253371775404</c:v>
                </c:pt>
                <c:pt idx="397">
                  <c:v>11.231038575527059</c:v>
                </c:pt>
                <c:pt idx="398">
                  <c:v>11.311586872522843</c:v>
                </c:pt>
                <c:pt idx="399">
                  <c:v>11.396162584368419</c:v>
                </c:pt>
                <c:pt idx="400">
                  <c:v>11.492820540763361</c:v>
                </c:pt>
                <c:pt idx="401">
                  <c:v>11.589478497158304</c:v>
                </c:pt>
                <c:pt idx="402">
                  <c:v>11.690400775158905</c:v>
                </c:pt>
                <c:pt idx="403">
                  <c:v>11.787058731553849</c:v>
                </c:pt>
                <c:pt idx="404">
                  <c:v>11.887744102798582</c:v>
                </c:pt>
                <c:pt idx="405">
                  <c:v>11.988429474043311</c:v>
                </c:pt>
                <c:pt idx="406">
                  <c:v>12.089351752043914</c:v>
                </c:pt>
                <c:pt idx="407">
                  <c:v>12.190037123288645</c:v>
                </c:pt>
                <c:pt idx="408">
                  <c:v>12.290722494533377</c:v>
                </c:pt>
                <c:pt idx="409">
                  <c:v>12.387380450928319</c:v>
                </c:pt>
                <c:pt idx="410">
                  <c:v>12.488302728928922</c:v>
                </c:pt>
                <c:pt idx="411">
                  <c:v>12.588988100173653</c:v>
                </c:pt>
                <c:pt idx="412">
                  <c:v>12.689673471418384</c:v>
                </c:pt>
                <c:pt idx="413">
                  <c:v>12.790358842663117</c:v>
                </c:pt>
                <c:pt idx="414">
                  <c:v>12.887253705813929</c:v>
                </c:pt>
                <c:pt idx="415">
                  <c:v>12.987939077058662</c:v>
                </c:pt>
                <c:pt idx="416">
                  <c:v>13.088624448303392</c:v>
                </c:pt>
                <c:pt idx="417">
                  <c:v>13.185282404698334</c:v>
                </c:pt>
                <c:pt idx="418">
                  <c:v>13.286204682698937</c:v>
                </c:pt>
                <c:pt idx="419">
                  <c:v>13.38689005394367</c:v>
                </c:pt>
                <c:pt idx="420">
                  <c:v>13.487575425188401</c:v>
                </c:pt>
                <c:pt idx="421">
                  <c:v>13.600343040982501</c:v>
                </c:pt>
                <c:pt idx="422">
                  <c:v>13.713347563532469</c:v>
                </c:pt>
                <c:pt idx="423">
                  <c:v>13.81806034962699</c:v>
                </c:pt>
                <c:pt idx="424">
                  <c:v>13.926800550571302</c:v>
                </c:pt>
                <c:pt idx="425">
                  <c:v>14.039568166365401</c:v>
                </c:pt>
                <c:pt idx="426">
                  <c:v>14.15257268891537</c:v>
                </c:pt>
                <c:pt idx="427">
                  <c:v>14.269367719559259</c:v>
                </c:pt>
                <c:pt idx="428">
                  <c:v>14.386162750203148</c:v>
                </c:pt>
                <c:pt idx="429">
                  <c:v>14.503194687602907</c:v>
                </c:pt>
                <c:pt idx="430">
                  <c:v>14.619989718246796</c:v>
                </c:pt>
                <c:pt idx="431">
                  <c:v>14.736784748890683</c:v>
                </c:pt>
                <c:pt idx="432">
                  <c:v>14.853579779534575</c:v>
                </c:pt>
                <c:pt idx="433">
                  <c:v>14.97061171693433</c:v>
                </c:pt>
                <c:pt idx="434">
                  <c:v>15.087406747578223</c:v>
                </c:pt>
                <c:pt idx="435">
                  <c:v>15.208229193071899</c:v>
                </c:pt>
                <c:pt idx="436">
                  <c:v>15.325261130471658</c:v>
                </c:pt>
                <c:pt idx="437">
                  <c:v>15.442056161115548</c:v>
                </c:pt>
                <c:pt idx="438">
                  <c:v>15.562878606609223</c:v>
                </c:pt>
                <c:pt idx="439">
                  <c:v>15.683701052102903</c:v>
                </c:pt>
                <c:pt idx="440">
                  <c:v>15.820870063751606</c:v>
                </c:pt>
                <c:pt idx="441">
                  <c:v>15.941692509245286</c:v>
                </c:pt>
                <c:pt idx="442">
                  <c:v>16.078624614138121</c:v>
                </c:pt>
                <c:pt idx="443">
                  <c:v>16.199683966387667</c:v>
                </c:pt>
                <c:pt idx="444">
                  <c:v>16.320506411881347</c:v>
                </c:pt>
                <c:pt idx="445">
                  <c:v>16.441328857375026</c:v>
                </c:pt>
                <c:pt idx="446">
                  <c:v>16.562388209624576</c:v>
                </c:pt>
                <c:pt idx="447">
                  <c:v>16.699320314517408</c:v>
                </c:pt>
                <c:pt idx="448">
                  <c:v>16.836252419410243</c:v>
                </c:pt>
                <c:pt idx="449">
                  <c:v>16.965366601359371</c:v>
                </c:pt>
                <c:pt idx="450">
                  <c:v>17.094243876552625</c:v>
                </c:pt>
                <c:pt idx="451">
                  <c:v>17.239230811145042</c:v>
                </c:pt>
                <c:pt idx="452">
                  <c:v>17.380427237643538</c:v>
                </c:pt>
                <c:pt idx="453">
                  <c:v>17.509304512836795</c:v>
                </c:pt>
                <c:pt idx="454">
                  <c:v>17.650264032579418</c:v>
                </c:pt>
                <c:pt idx="455">
                  <c:v>17.799515288777492</c:v>
                </c:pt>
                <c:pt idx="456">
                  <c:v>17.944502223369906</c:v>
                </c:pt>
                <c:pt idx="457">
                  <c:v>18.089489157962319</c:v>
                </c:pt>
                <c:pt idx="458">
                  <c:v>18.234712999310602</c:v>
                </c:pt>
                <c:pt idx="459">
                  <c:v>18.379699933903016</c:v>
                </c:pt>
                <c:pt idx="460">
                  <c:v>18.524686868495429</c:v>
                </c:pt>
                <c:pt idx="461">
                  <c:v>18.669910709843712</c:v>
                </c:pt>
                <c:pt idx="462">
                  <c:v>18.818925059285917</c:v>
                </c:pt>
                <c:pt idx="463">
                  <c:v>18.96391199387833</c:v>
                </c:pt>
                <c:pt idx="464">
                  <c:v>19.113163250076401</c:v>
                </c:pt>
                <c:pt idx="465">
                  <c:v>19.274259844067977</c:v>
                </c:pt>
                <c:pt idx="466">
                  <c:v>19.41948368541626</c:v>
                </c:pt>
                <c:pt idx="467">
                  <c:v>19.564470620008674</c:v>
                </c:pt>
                <c:pt idx="468">
                  <c:v>19.709457554601084</c:v>
                </c:pt>
                <c:pt idx="469">
                  <c:v>19.874818470198313</c:v>
                </c:pt>
                <c:pt idx="470">
                  <c:v>20.039942479039677</c:v>
                </c:pt>
                <c:pt idx="471">
                  <c:v>20.20127597978712</c:v>
                </c:pt>
                <c:pt idx="472">
                  <c:v>20.370427403478264</c:v>
                </c:pt>
                <c:pt idx="473">
                  <c:v>20.535551412319627</c:v>
                </c:pt>
                <c:pt idx="474">
                  <c:v>20.700912327916853</c:v>
                </c:pt>
                <c:pt idx="475">
                  <c:v>20.862008921908426</c:v>
                </c:pt>
                <c:pt idx="476">
                  <c:v>21.027369837505656</c:v>
                </c:pt>
                <c:pt idx="477">
                  <c:v>21.192493846347016</c:v>
                </c:pt>
                <c:pt idx="478">
                  <c:v>21.357617855188376</c:v>
                </c:pt>
                <c:pt idx="479">
                  <c:v>21.527006185635397</c:v>
                </c:pt>
                <c:pt idx="480">
                  <c:v>21.68810277962697</c:v>
                </c:pt>
                <c:pt idx="481">
                  <c:v>21.869573354623355</c:v>
                </c:pt>
                <c:pt idx="482">
                  <c:v>22.054834437713659</c:v>
                </c:pt>
                <c:pt idx="483">
                  <c:v>22.236305012710051</c:v>
                </c:pt>
                <c:pt idx="484">
                  <c:v>22.417538680950564</c:v>
                </c:pt>
                <c:pt idx="485">
                  <c:v>22.602799764040874</c:v>
                </c:pt>
                <c:pt idx="486">
                  <c:v>22.772188094487891</c:v>
                </c:pt>
                <c:pt idx="487">
                  <c:v>22.957449177578194</c:v>
                </c:pt>
                <c:pt idx="488">
                  <c:v>23.142947167424374</c:v>
                </c:pt>
                <c:pt idx="489">
                  <c:v>23.332235665364472</c:v>
                </c:pt>
                <c:pt idx="490">
                  <c:v>23.521761070060435</c:v>
                </c:pt>
                <c:pt idx="491">
                  <c:v>23.711997195024011</c:v>
                </c:pt>
                <c:pt idx="492">
                  <c:v>23.901522599719975</c:v>
                </c:pt>
                <c:pt idx="493">
                  <c:v>24.093417071974642</c:v>
                </c:pt>
                <c:pt idx="494">
                  <c:v>24.287680611788009</c:v>
                </c:pt>
                <c:pt idx="495">
                  <c:v>24.481944151601375</c:v>
                </c:pt>
                <c:pt idx="496">
                  <c:v>24.673838623856039</c:v>
                </c:pt>
                <c:pt idx="497">
                  <c:v>24.868102163669402</c:v>
                </c:pt>
                <c:pt idx="498">
                  <c:v>25.059996635924069</c:v>
                </c:pt>
                <c:pt idx="499">
                  <c:v>25.254260175737432</c:v>
                </c:pt>
                <c:pt idx="500">
                  <c:v>25.448523715550799</c:v>
                </c:pt>
                <c:pt idx="501">
                  <c:v>25.640418187805462</c:v>
                </c:pt>
                <c:pt idx="502">
                  <c:v>25.834681727618829</c:v>
                </c:pt>
                <c:pt idx="503">
                  <c:v>26.040790605225691</c:v>
                </c:pt>
                <c:pt idx="504">
                  <c:v>26.249268550391253</c:v>
                </c:pt>
                <c:pt idx="505">
                  <c:v>26.460115563115515</c:v>
                </c:pt>
                <c:pt idx="506">
                  <c:v>26.67333164339848</c:v>
                </c:pt>
                <c:pt idx="507">
                  <c:v>26.879440521005336</c:v>
                </c:pt>
                <c:pt idx="508">
                  <c:v>27.087918466170905</c:v>
                </c:pt>
                <c:pt idx="509">
                  <c:v>27.296396411336463</c:v>
                </c:pt>
                <c:pt idx="510">
                  <c:v>27.507243424060722</c:v>
                </c:pt>
                <c:pt idx="511">
                  <c:v>27.715721369226287</c:v>
                </c:pt>
                <c:pt idx="512">
                  <c:v>27.926568381950545</c:v>
                </c:pt>
                <c:pt idx="513">
                  <c:v>28.156367935144406</c:v>
                </c:pt>
                <c:pt idx="514">
                  <c:v>28.381429353220867</c:v>
                </c:pt>
                <c:pt idx="515">
                  <c:v>28.606490771297324</c:v>
                </c:pt>
                <c:pt idx="516">
                  <c:v>28.833921256932481</c:v>
                </c:pt>
                <c:pt idx="517">
                  <c:v>29.058982675008941</c:v>
                </c:pt>
                <c:pt idx="518">
                  <c:v>29.288782228202802</c:v>
                </c:pt>
                <c:pt idx="519">
                  <c:v>29.513843646279259</c:v>
                </c:pt>
                <c:pt idx="520">
                  <c:v>29.73890506435572</c:v>
                </c:pt>
                <c:pt idx="521">
                  <c:v>29.985288090460479</c:v>
                </c:pt>
                <c:pt idx="522">
                  <c:v>30.23640925168263</c:v>
                </c:pt>
                <c:pt idx="523">
                  <c:v>30.468577872435187</c:v>
                </c:pt>
                <c:pt idx="524">
                  <c:v>30.703115560746447</c:v>
                </c:pt>
                <c:pt idx="525">
                  <c:v>30.935284181499004</c:v>
                </c:pt>
                <c:pt idx="526">
                  <c:v>31.186405342721162</c:v>
                </c:pt>
                <c:pt idx="527">
                  <c:v>31.43989557150201</c:v>
                </c:pt>
                <c:pt idx="528">
                  <c:v>31.691016732724169</c:v>
                </c:pt>
                <c:pt idx="529">
                  <c:v>31.939768826387624</c:v>
                </c:pt>
                <c:pt idx="530">
                  <c:v>32.188520920051076</c:v>
                </c:pt>
                <c:pt idx="531">
                  <c:v>32.444380216390634</c:v>
                </c:pt>
                <c:pt idx="532">
                  <c:v>32.693132310054089</c:v>
                </c:pt>
                <c:pt idx="533">
                  <c:v>32.946622538834937</c:v>
                </c:pt>
                <c:pt idx="534">
                  <c:v>33.200112767615799</c:v>
                </c:pt>
                <c:pt idx="535">
                  <c:v>33.467817401748846</c:v>
                </c:pt>
                <c:pt idx="536">
                  <c:v>33.728414833205797</c:v>
                </c:pt>
                <c:pt idx="537">
                  <c:v>33.99611946733885</c:v>
                </c:pt>
                <c:pt idx="538">
                  <c:v>34.261455033913201</c:v>
                </c:pt>
                <c:pt idx="539">
                  <c:v>34.526790600487558</c:v>
                </c:pt>
                <c:pt idx="540">
                  <c:v>34.808709639972804</c:v>
                </c:pt>
                <c:pt idx="541">
                  <c:v>35.074045206547154</c:v>
                </c:pt>
                <c:pt idx="542">
                  <c:v>35.353595178473704</c:v>
                </c:pt>
                <c:pt idx="543">
                  <c:v>35.635514217958956</c:v>
                </c:pt>
                <c:pt idx="544">
                  <c:v>35.912695122326809</c:v>
                </c:pt>
                <c:pt idx="545">
                  <c:v>36.194614161812055</c:v>
                </c:pt>
                <c:pt idx="546">
                  <c:v>36.488378539090803</c:v>
                </c:pt>
                <c:pt idx="547">
                  <c:v>36.786881051486944</c:v>
                </c:pt>
                <c:pt idx="548">
                  <c:v>37.068800090972189</c:v>
                </c:pt>
                <c:pt idx="549">
                  <c:v>37.350719130457442</c:v>
                </c:pt>
                <c:pt idx="550">
                  <c:v>37.653959777970989</c:v>
                </c:pt>
                <c:pt idx="551">
                  <c:v>37.959569493043233</c:v>
                </c:pt>
                <c:pt idx="552">
                  <c:v>38.26754827567418</c:v>
                </c:pt>
                <c:pt idx="553">
                  <c:v>38.568419855629024</c:v>
                </c:pt>
                <c:pt idx="554">
                  <c:v>38.871660503142564</c:v>
                </c:pt>
                <c:pt idx="555">
                  <c:v>39.177270218214815</c:v>
                </c:pt>
                <c:pt idx="556">
                  <c:v>39.480510865728355</c:v>
                </c:pt>
                <c:pt idx="557">
                  <c:v>39.793227783476702</c:v>
                </c:pt>
                <c:pt idx="558">
                  <c:v>40.103575633666345</c:v>
                </c:pt>
                <c:pt idx="559">
                  <c:v>40.411554416297285</c:v>
                </c:pt>
                <c:pt idx="560">
                  <c:v>40.733747604280431</c:v>
                </c:pt>
                <c:pt idx="561">
                  <c:v>41.05120265714617</c:v>
                </c:pt>
                <c:pt idx="562">
                  <c:v>41.373395845129316</c:v>
                </c:pt>
                <c:pt idx="563">
                  <c:v>41.707434370905958</c:v>
                </c:pt>
                <c:pt idx="564">
                  <c:v>42.041472896682592</c:v>
                </c:pt>
                <c:pt idx="565">
                  <c:v>42.37314235490053</c:v>
                </c:pt>
                <c:pt idx="566">
                  <c:v>42.702442745559772</c:v>
                </c:pt>
                <c:pt idx="567">
                  <c:v>43.045957541571212</c:v>
                </c:pt>
                <c:pt idx="568">
                  <c:v>43.391841405141349</c:v>
                </c:pt>
                <c:pt idx="569">
                  <c:v>43.747201538946285</c:v>
                </c:pt>
                <c:pt idx="570">
                  <c:v>44.090716334957726</c:v>
                </c:pt>
                <c:pt idx="571">
                  <c:v>44.443707401203959</c:v>
                </c:pt>
                <c:pt idx="572">
                  <c:v>44.794329399891495</c:v>
                </c:pt>
                <c:pt idx="573">
                  <c:v>45.140213263461632</c:v>
                </c:pt>
                <c:pt idx="574">
                  <c:v>45.500311532383968</c:v>
                </c:pt>
                <c:pt idx="575">
                  <c:v>45.862778868865007</c:v>
                </c:pt>
                <c:pt idx="576">
                  <c:v>46.229984340463439</c:v>
                </c:pt>
                <c:pt idx="577">
                  <c:v>46.592451676944471</c:v>
                </c:pt>
                <c:pt idx="578">
                  <c:v>46.95965714854291</c:v>
                </c:pt>
                <c:pt idx="579">
                  <c:v>47.329231687700037</c:v>
                </c:pt>
                <c:pt idx="580">
                  <c:v>47.701175294415869</c:v>
                </c:pt>
                <c:pt idx="581">
                  <c:v>48.077857036249107</c:v>
                </c:pt>
                <c:pt idx="582">
                  <c:v>48.456907845641041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5E-4CB3-A004-2FA832C158F4}"/>
            </c:ext>
          </c:extLst>
        </c:ser>
        <c:ser>
          <c:idx val="2"/>
          <c:order val="1"/>
          <c:tx>
            <c:strRef>
              <c:f>{"A22-2"}</c:f>
              <c:strCache>
                <c:ptCount val="1"/>
                <c:pt idx="0">
                  <c:v>A22-2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'A22-3'!$C$2:$C$600</c:f>
              <c:numCache>
                <c:formatCode>0.00</c:formatCode>
                <c:ptCount val="599"/>
                <c:pt idx="0">
                  <c:v>1.0608599999999999E-4</c:v>
                </c:pt>
                <c:pt idx="1">
                  <c:v>8.6376000000000005E-3</c:v>
                </c:pt>
                <c:pt idx="2">
                  <c:v>8.7195999999999992E-3</c:v>
                </c:pt>
                <c:pt idx="3">
                  <c:v>8.8032000000000006E-3</c:v>
                </c:pt>
                <c:pt idx="4">
                  <c:v>8.8890000000000011E-3</c:v>
                </c:pt>
                <c:pt idx="5">
                  <c:v>8.972599999999999E-3</c:v>
                </c:pt>
                <c:pt idx="6">
                  <c:v>9.0546000000000012E-3</c:v>
                </c:pt>
                <c:pt idx="7">
                  <c:v>9.1363999999999994E-3</c:v>
                </c:pt>
                <c:pt idx="8">
                  <c:v>9.2201999999999996E-3</c:v>
                </c:pt>
                <c:pt idx="9">
                  <c:v>9.3039999999999998E-3</c:v>
                </c:pt>
                <c:pt idx="10">
                  <c:v>9.3876000000000012E-3</c:v>
                </c:pt>
                <c:pt idx="11">
                  <c:v>9.4713999999999996E-3</c:v>
                </c:pt>
                <c:pt idx="12">
                  <c:v>9.5534000000000001E-3</c:v>
                </c:pt>
                <c:pt idx="13">
                  <c:v>9.6369999999999997E-3</c:v>
                </c:pt>
                <c:pt idx="14">
                  <c:v>9.7207999999999999E-3</c:v>
                </c:pt>
                <c:pt idx="15">
                  <c:v>9.8046000000000001E-3</c:v>
                </c:pt>
                <c:pt idx="16">
                  <c:v>9.8884000000000003E-3</c:v>
                </c:pt>
                <c:pt idx="17">
                  <c:v>9.972E-3</c:v>
                </c:pt>
                <c:pt idx="18">
                  <c:v>1.0052200000000001E-2</c:v>
                </c:pt>
                <c:pt idx="19">
                  <c:v>1.0137799999999999E-2</c:v>
                </c:pt>
                <c:pt idx="20">
                  <c:v>1.02214E-2</c:v>
                </c:pt>
                <c:pt idx="21">
                  <c:v>1.03052E-2</c:v>
                </c:pt>
                <c:pt idx="22">
                  <c:v>1.0387200000000001E-2</c:v>
                </c:pt>
                <c:pt idx="23">
                  <c:v>1.0470800000000001E-2</c:v>
                </c:pt>
                <c:pt idx="24">
                  <c:v>1.0554600000000001E-2</c:v>
                </c:pt>
                <c:pt idx="25">
                  <c:v>1.0638399999999999E-2</c:v>
                </c:pt>
                <c:pt idx="26">
                  <c:v>1.0720199999999999E-2</c:v>
                </c:pt>
                <c:pt idx="27">
                  <c:v>1.0804000000000001E-2</c:v>
                </c:pt>
                <c:pt idx="28">
                  <c:v>1.0887800000000001E-2</c:v>
                </c:pt>
                <c:pt idx="29">
                  <c:v>1.0997600000000001E-2</c:v>
                </c:pt>
                <c:pt idx="30">
                  <c:v>1.11092E-2</c:v>
                </c:pt>
                <c:pt idx="31">
                  <c:v>1.1221000000000002E-2</c:v>
                </c:pt>
                <c:pt idx="32">
                  <c:v>1.13326E-2</c:v>
                </c:pt>
                <c:pt idx="33">
                  <c:v>1.1442399999999998E-2</c:v>
                </c:pt>
                <c:pt idx="34">
                  <c:v>1.1554E-2</c:v>
                </c:pt>
                <c:pt idx="35">
                  <c:v>1.1665799999999999E-2</c:v>
                </c:pt>
                <c:pt idx="36">
                  <c:v>1.17774E-2</c:v>
                </c:pt>
                <c:pt idx="37">
                  <c:v>1.1887200000000001E-2</c:v>
                </c:pt>
                <c:pt idx="38">
                  <c:v>1.19988E-2</c:v>
                </c:pt>
                <c:pt idx="39">
                  <c:v>1.2108799999999999E-2</c:v>
                </c:pt>
                <c:pt idx="40">
                  <c:v>1.22186E-2</c:v>
                </c:pt>
                <c:pt idx="41">
                  <c:v>1.2332000000000001E-2</c:v>
                </c:pt>
                <c:pt idx="42">
                  <c:v>1.2441800000000001E-2</c:v>
                </c:pt>
                <c:pt idx="43">
                  <c:v>1.25536E-2</c:v>
                </c:pt>
                <c:pt idx="44">
                  <c:v>1.2665200000000001E-2</c:v>
                </c:pt>
                <c:pt idx="45">
                  <c:v>1.27768E-2</c:v>
                </c:pt>
                <c:pt idx="46">
                  <c:v>1.2888599999999998E-2</c:v>
                </c:pt>
                <c:pt idx="47">
                  <c:v>1.29984E-2</c:v>
                </c:pt>
                <c:pt idx="48">
                  <c:v>1.311E-2</c:v>
                </c:pt>
                <c:pt idx="49">
                  <c:v>1.32216E-2</c:v>
                </c:pt>
                <c:pt idx="50">
                  <c:v>1.33334E-2</c:v>
                </c:pt>
                <c:pt idx="51">
                  <c:v>1.3443199999999999E-2</c:v>
                </c:pt>
                <c:pt idx="52">
                  <c:v>1.3554800000000001E-2</c:v>
                </c:pt>
                <c:pt idx="53">
                  <c:v>1.3664600000000001E-2</c:v>
                </c:pt>
                <c:pt idx="54">
                  <c:v>1.3774399999999999E-2</c:v>
                </c:pt>
                <c:pt idx="55">
                  <c:v>1.3888000000000001E-2</c:v>
                </c:pt>
                <c:pt idx="56">
                  <c:v>1.3997799999999999E-2</c:v>
                </c:pt>
                <c:pt idx="57">
                  <c:v>1.4109400000000001E-2</c:v>
                </c:pt>
                <c:pt idx="58">
                  <c:v>1.42212E-2</c:v>
                </c:pt>
                <c:pt idx="59">
                  <c:v>1.4332800000000001E-2</c:v>
                </c:pt>
                <c:pt idx="60">
                  <c:v>1.44706E-2</c:v>
                </c:pt>
                <c:pt idx="61">
                  <c:v>1.45822E-2</c:v>
                </c:pt>
                <c:pt idx="62">
                  <c:v>1.472E-2</c:v>
                </c:pt>
                <c:pt idx="63">
                  <c:v>1.4859599999999999E-2</c:v>
                </c:pt>
                <c:pt idx="64">
                  <c:v>1.4997199999999999E-2</c:v>
                </c:pt>
                <c:pt idx="65">
                  <c:v>1.5136799999999999E-2</c:v>
                </c:pt>
                <c:pt idx="66">
                  <c:v>1.5276400000000001E-2</c:v>
                </c:pt>
                <c:pt idx="67">
                  <c:v>1.5416000000000001E-2</c:v>
                </c:pt>
                <c:pt idx="68">
                  <c:v>1.55538E-2</c:v>
                </c:pt>
                <c:pt idx="69">
                  <c:v>1.56934E-2</c:v>
                </c:pt>
                <c:pt idx="70">
                  <c:v>1.5830999999999998E-2</c:v>
                </c:pt>
                <c:pt idx="71">
                  <c:v>1.5970599999999998E-2</c:v>
                </c:pt>
                <c:pt idx="72">
                  <c:v>1.6110199999999998E-2</c:v>
                </c:pt>
                <c:pt idx="73">
                  <c:v>1.6247999999999999E-2</c:v>
                </c:pt>
                <c:pt idx="74">
                  <c:v>1.6389400000000002E-2</c:v>
                </c:pt>
                <c:pt idx="75">
                  <c:v>1.6527199999999999E-2</c:v>
                </c:pt>
                <c:pt idx="76">
                  <c:v>1.66648E-2</c:v>
                </c:pt>
                <c:pt idx="77">
                  <c:v>1.6804400000000001E-2</c:v>
                </c:pt>
                <c:pt idx="78">
                  <c:v>1.6944000000000001E-2</c:v>
                </c:pt>
                <c:pt idx="79">
                  <c:v>1.7081800000000001E-2</c:v>
                </c:pt>
                <c:pt idx="80">
                  <c:v>1.7221400000000001E-2</c:v>
                </c:pt>
                <c:pt idx="81">
                  <c:v>1.7361000000000001E-2</c:v>
                </c:pt>
                <c:pt idx="82">
                  <c:v>1.74968E-2</c:v>
                </c:pt>
                <c:pt idx="83">
                  <c:v>1.76382E-2</c:v>
                </c:pt>
                <c:pt idx="84">
                  <c:v>1.7776E-2</c:v>
                </c:pt>
                <c:pt idx="85">
                  <c:v>1.79156E-2</c:v>
                </c:pt>
                <c:pt idx="86">
                  <c:v>1.80552E-2</c:v>
                </c:pt>
                <c:pt idx="87">
                  <c:v>1.8220799999999999E-2</c:v>
                </c:pt>
                <c:pt idx="88">
                  <c:v>1.8360399999999999E-2</c:v>
                </c:pt>
                <c:pt idx="89">
                  <c:v>1.8526000000000001E-2</c:v>
                </c:pt>
                <c:pt idx="90">
                  <c:v>1.8665600000000001E-2</c:v>
                </c:pt>
                <c:pt idx="91">
                  <c:v>1.8805200000000001E-2</c:v>
                </c:pt>
                <c:pt idx="92">
                  <c:v>1.8970799999999999E-2</c:v>
                </c:pt>
                <c:pt idx="93">
                  <c:v>1.91104E-2</c:v>
                </c:pt>
                <c:pt idx="94">
                  <c:v>1.92482E-2</c:v>
                </c:pt>
                <c:pt idx="95">
                  <c:v>1.93878E-2</c:v>
                </c:pt>
                <c:pt idx="96">
                  <c:v>1.9527200000000002E-2</c:v>
                </c:pt>
                <c:pt idx="97">
                  <c:v>1.9663200000000002E-2</c:v>
                </c:pt>
                <c:pt idx="98">
                  <c:v>1.9774799999999999E-2</c:v>
                </c:pt>
                <c:pt idx="99">
                  <c:v>1.9916199999999998E-2</c:v>
                </c:pt>
                <c:pt idx="100">
                  <c:v>2.0055999999999997E-2</c:v>
                </c:pt>
                <c:pt idx="101">
                  <c:v>2.0166E-2</c:v>
                </c:pt>
                <c:pt idx="102">
                  <c:v>2.0304000000000003E-2</c:v>
                </c:pt>
                <c:pt idx="103">
                  <c:v>2.0442000000000002E-2</c:v>
                </c:pt>
                <c:pt idx="104">
                  <c:v>2.0554000000000003E-2</c:v>
                </c:pt>
                <c:pt idx="105">
                  <c:v>2.0691999999999999E-2</c:v>
                </c:pt>
                <c:pt idx="106">
                  <c:v>2.0804E-2</c:v>
                </c:pt>
                <c:pt idx="107">
                  <c:v>2.0943999999999997E-2</c:v>
                </c:pt>
                <c:pt idx="108">
                  <c:v>2.1084000000000002E-2</c:v>
                </c:pt>
                <c:pt idx="109">
                  <c:v>2.1194000000000001E-2</c:v>
                </c:pt>
                <c:pt idx="110">
                  <c:v>2.1330000000000002E-2</c:v>
                </c:pt>
                <c:pt idx="111">
                  <c:v>2.1442000000000003E-2</c:v>
                </c:pt>
                <c:pt idx="112">
                  <c:v>2.1582E-2</c:v>
                </c:pt>
                <c:pt idx="113">
                  <c:v>2.1694000000000001E-2</c:v>
                </c:pt>
                <c:pt idx="114">
                  <c:v>2.1806000000000002E-2</c:v>
                </c:pt>
                <c:pt idx="115">
                  <c:v>2.1943999999999998E-2</c:v>
                </c:pt>
                <c:pt idx="116">
                  <c:v>2.2054000000000001E-2</c:v>
                </c:pt>
                <c:pt idx="117">
                  <c:v>2.2164000000000003E-2</c:v>
                </c:pt>
                <c:pt idx="118">
                  <c:v>2.2275999999999997E-2</c:v>
                </c:pt>
                <c:pt idx="119">
                  <c:v>2.2387999999999998E-2</c:v>
                </c:pt>
                <c:pt idx="120">
                  <c:v>2.2499999999999999E-2</c:v>
                </c:pt>
                <c:pt idx="121">
                  <c:v>2.2610000000000002E-2</c:v>
                </c:pt>
                <c:pt idx="122">
                  <c:v>2.2722000000000003E-2</c:v>
                </c:pt>
                <c:pt idx="123">
                  <c:v>2.2831999999999998E-2</c:v>
                </c:pt>
                <c:pt idx="124">
                  <c:v>2.2943999999999999E-2</c:v>
                </c:pt>
                <c:pt idx="125">
                  <c:v>2.3054000000000002E-2</c:v>
                </c:pt>
                <c:pt idx="126">
                  <c:v>2.3166000000000003E-2</c:v>
                </c:pt>
                <c:pt idx="127">
                  <c:v>2.3275999999999998E-2</c:v>
                </c:pt>
                <c:pt idx="128">
                  <c:v>2.3386000000000001E-2</c:v>
                </c:pt>
                <c:pt idx="129">
                  <c:v>2.3498000000000002E-2</c:v>
                </c:pt>
                <c:pt idx="130">
                  <c:v>2.3607999999999997E-2</c:v>
                </c:pt>
                <c:pt idx="131">
                  <c:v>2.3719999999999998E-2</c:v>
                </c:pt>
                <c:pt idx="132">
                  <c:v>2.3831999999999999E-2</c:v>
                </c:pt>
                <c:pt idx="133">
                  <c:v>2.3916E-2</c:v>
                </c:pt>
                <c:pt idx="134">
                  <c:v>2.4026000000000002E-2</c:v>
                </c:pt>
                <c:pt idx="135">
                  <c:v>2.4109999999999999E-2</c:v>
                </c:pt>
                <c:pt idx="136">
                  <c:v>2.4222E-2</c:v>
                </c:pt>
                <c:pt idx="137">
                  <c:v>2.4304000000000003E-2</c:v>
                </c:pt>
                <c:pt idx="138">
                  <c:v>2.4413999999999998E-2</c:v>
                </c:pt>
                <c:pt idx="139">
                  <c:v>2.4525999999999999E-2</c:v>
                </c:pt>
                <c:pt idx="140">
                  <c:v>2.4636000000000002E-2</c:v>
                </c:pt>
                <c:pt idx="141">
                  <c:v>2.4748000000000003E-2</c:v>
                </c:pt>
                <c:pt idx="142">
                  <c:v>2.4832E-2</c:v>
                </c:pt>
                <c:pt idx="143">
                  <c:v>2.4916000000000001E-2</c:v>
                </c:pt>
                <c:pt idx="144">
                  <c:v>2.5000000000000001E-2</c:v>
                </c:pt>
                <c:pt idx="145">
                  <c:v>2.5108000000000002E-2</c:v>
                </c:pt>
                <c:pt idx="146">
                  <c:v>2.5219999999999999E-2</c:v>
                </c:pt>
                <c:pt idx="147">
                  <c:v>2.5304000000000004E-2</c:v>
                </c:pt>
                <c:pt idx="148">
                  <c:v>2.5388000000000001E-2</c:v>
                </c:pt>
                <c:pt idx="149">
                  <c:v>2.5470000000000003E-2</c:v>
                </c:pt>
                <c:pt idx="150">
                  <c:v>2.5552000000000002E-2</c:v>
                </c:pt>
                <c:pt idx="151">
                  <c:v>2.5638000000000001E-2</c:v>
                </c:pt>
                <c:pt idx="152">
                  <c:v>2.5722000000000002E-2</c:v>
                </c:pt>
                <c:pt idx="153">
                  <c:v>2.5804000000000001E-2</c:v>
                </c:pt>
                <c:pt idx="154">
                  <c:v>2.5885999999999999E-2</c:v>
                </c:pt>
                <c:pt idx="155">
                  <c:v>2.597E-2</c:v>
                </c:pt>
                <c:pt idx="156">
                  <c:v>2.6054000000000001E-2</c:v>
                </c:pt>
                <c:pt idx="157">
                  <c:v>2.6137999999999998E-2</c:v>
                </c:pt>
                <c:pt idx="158">
                  <c:v>2.6221999999999999E-2</c:v>
                </c:pt>
                <c:pt idx="159">
                  <c:v>2.6303999999999998E-2</c:v>
                </c:pt>
                <c:pt idx="160">
                  <c:v>2.6387999999999998E-2</c:v>
                </c:pt>
                <c:pt idx="161">
                  <c:v>2.6472000000000002E-2</c:v>
                </c:pt>
                <c:pt idx="162">
                  <c:v>2.6556000000000003E-2</c:v>
                </c:pt>
                <c:pt idx="163">
                  <c:v>2.6636000000000003E-2</c:v>
                </c:pt>
                <c:pt idx="164">
                  <c:v>2.6720000000000001E-2</c:v>
                </c:pt>
                <c:pt idx="165">
                  <c:v>2.6802000000000003E-2</c:v>
                </c:pt>
                <c:pt idx="166">
                  <c:v>2.6888000000000002E-2</c:v>
                </c:pt>
                <c:pt idx="167">
                  <c:v>2.6971999999999999E-2</c:v>
                </c:pt>
                <c:pt idx="168">
                  <c:v>2.7054000000000002E-2</c:v>
                </c:pt>
                <c:pt idx="169">
                  <c:v>2.7137999999999999E-2</c:v>
                </c:pt>
                <c:pt idx="170">
                  <c:v>2.7220000000000001E-2</c:v>
                </c:pt>
                <c:pt idx="171">
                  <c:v>2.7306E-2</c:v>
                </c:pt>
                <c:pt idx="172">
                  <c:v>2.7387999999999999E-2</c:v>
                </c:pt>
                <c:pt idx="173">
                  <c:v>2.7469999999999998E-2</c:v>
                </c:pt>
                <c:pt idx="174">
                  <c:v>2.7553999999999999E-2</c:v>
                </c:pt>
                <c:pt idx="175">
                  <c:v>2.7637999999999999E-2</c:v>
                </c:pt>
                <c:pt idx="176">
                  <c:v>2.7719999999999998E-2</c:v>
                </c:pt>
                <c:pt idx="177">
                  <c:v>2.7806000000000001E-2</c:v>
                </c:pt>
                <c:pt idx="178">
                  <c:v>2.7888000000000003E-2</c:v>
                </c:pt>
                <c:pt idx="179">
                  <c:v>2.7972E-2</c:v>
                </c:pt>
                <c:pt idx="180">
                  <c:v>2.8054000000000003E-2</c:v>
                </c:pt>
                <c:pt idx="181">
                  <c:v>2.8138E-2</c:v>
                </c:pt>
                <c:pt idx="182">
                  <c:v>2.8220000000000002E-2</c:v>
                </c:pt>
                <c:pt idx="183">
                  <c:v>2.8303999999999999E-2</c:v>
                </c:pt>
                <c:pt idx="184">
                  <c:v>2.8388E-2</c:v>
                </c:pt>
                <c:pt idx="185">
                  <c:v>2.8469999999999999E-2</c:v>
                </c:pt>
                <c:pt idx="186">
                  <c:v>2.8554E-2</c:v>
                </c:pt>
                <c:pt idx="187">
                  <c:v>2.8638E-2</c:v>
                </c:pt>
                <c:pt idx="188">
                  <c:v>2.8721999999999998E-2</c:v>
                </c:pt>
                <c:pt idx="189">
                  <c:v>2.8804E-2</c:v>
                </c:pt>
                <c:pt idx="190">
                  <c:v>2.8887999999999997E-2</c:v>
                </c:pt>
                <c:pt idx="191">
                  <c:v>2.8942000000000002E-2</c:v>
                </c:pt>
                <c:pt idx="192">
                  <c:v>2.9026E-2</c:v>
                </c:pt>
                <c:pt idx="193">
                  <c:v>2.9079999999999998E-2</c:v>
                </c:pt>
                <c:pt idx="194">
                  <c:v>2.9163999999999999E-2</c:v>
                </c:pt>
                <c:pt idx="195">
                  <c:v>2.9222000000000001E-2</c:v>
                </c:pt>
                <c:pt idx="196">
                  <c:v>2.9304E-2</c:v>
                </c:pt>
                <c:pt idx="197">
                  <c:v>2.9360000000000001E-2</c:v>
                </c:pt>
                <c:pt idx="198">
                  <c:v>2.9443999999999998E-2</c:v>
                </c:pt>
                <c:pt idx="199">
                  <c:v>2.9527999999999999E-2</c:v>
                </c:pt>
                <c:pt idx="200">
                  <c:v>2.9582000000000001E-2</c:v>
                </c:pt>
                <c:pt idx="201">
                  <c:v>2.9666000000000001E-2</c:v>
                </c:pt>
                <c:pt idx="202">
                  <c:v>2.9748E-2</c:v>
                </c:pt>
                <c:pt idx="203">
                  <c:v>2.9832000000000001E-2</c:v>
                </c:pt>
                <c:pt idx="204">
                  <c:v>2.9914E-2</c:v>
                </c:pt>
                <c:pt idx="205">
                  <c:v>2.9998E-2</c:v>
                </c:pt>
                <c:pt idx="206">
                  <c:v>3.0082000000000001E-2</c:v>
                </c:pt>
                <c:pt idx="207">
                  <c:v>3.0165999999999998E-2</c:v>
                </c:pt>
                <c:pt idx="208">
                  <c:v>3.0248000000000001E-2</c:v>
                </c:pt>
                <c:pt idx="209">
                  <c:v>3.0331999999999998E-2</c:v>
                </c:pt>
                <c:pt idx="210">
                  <c:v>3.0415999999999999E-2</c:v>
                </c:pt>
                <c:pt idx="211">
                  <c:v>3.0497999999999997E-2</c:v>
                </c:pt>
                <c:pt idx="212">
                  <c:v>3.0554000000000001E-2</c:v>
                </c:pt>
                <c:pt idx="213">
                  <c:v>3.0636E-2</c:v>
                </c:pt>
                <c:pt idx="214">
                  <c:v>3.0720000000000001E-2</c:v>
                </c:pt>
                <c:pt idx="215">
                  <c:v>3.0804000000000002E-2</c:v>
                </c:pt>
                <c:pt idx="216">
                  <c:v>3.0887999999999999E-2</c:v>
                </c:pt>
                <c:pt idx="217">
                  <c:v>3.0941999999999997E-2</c:v>
                </c:pt>
                <c:pt idx="218">
                  <c:v>3.1025999999999998E-2</c:v>
                </c:pt>
                <c:pt idx="219">
                  <c:v>3.1110000000000002E-2</c:v>
                </c:pt>
                <c:pt idx="220">
                  <c:v>3.1194000000000003E-2</c:v>
                </c:pt>
                <c:pt idx="221">
                  <c:v>3.1275999999999998E-2</c:v>
                </c:pt>
                <c:pt idx="222">
                  <c:v>3.1359999999999999E-2</c:v>
                </c:pt>
                <c:pt idx="223">
                  <c:v>3.1415999999999999E-2</c:v>
                </c:pt>
                <c:pt idx="224">
                  <c:v>3.15E-2</c:v>
                </c:pt>
                <c:pt idx="225">
                  <c:v>3.1581999999999999E-2</c:v>
                </c:pt>
                <c:pt idx="226">
                  <c:v>3.1663999999999998E-2</c:v>
                </c:pt>
                <c:pt idx="227">
                  <c:v>3.1722E-2</c:v>
                </c:pt>
                <c:pt idx="228">
                  <c:v>3.1803999999999999E-2</c:v>
                </c:pt>
                <c:pt idx="229">
                  <c:v>3.1859999999999999E-2</c:v>
                </c:pt>
                <c:pt idx="230">
                  <c:v>3.1944E-2</c:v>
                </c:pt>
                <c:pt idx="231">
                  <c:v>3.1997999999999999E-2</c:v>
                </c:pt>
                <c:pt idx="232">
                  <c:v>3.2080000000000004E-2</c:v>
                </c:pt>
                <c:pt idx="233">
                  <c:v>3.2138E-2</c:v>
                </c:pt>
                <c:pt idx="234">
                  <c:v>3.2219999999999999E-2</c:v>
                </c:pt>
                <c:pt idx="235">
                  <c:v>3.2303999999999999E-2</c:v>
                </c:pt>
                <c:pt idx="236">
                  <c:v>3.236E-2</c:v>
                </c:pt>
                <c:pt idx="237">
                  <c:v>3.2444000000000001E-2</c:v>
                </c:pt>
                <c:pt idx="238">
                  <c:v>3.2525999999999999E-2</c:v>
                </c:pt>
                <c:pt idx="239">
                  <c:v>3.2582E-2</c:v>
                </c:pt>
                <c:pt idx="240">
                  <c:v>3.2666000000000001E-2</c:v>
                </c:pt>
                <c:pt idx="241">
                  <c:v>3.2722000000000001E-2</c:v>
                </c:pt>
                <c:pt idx="242">
                  <c:v>3.2832E-2</c:v>
                </c:pt>
                <c:pt idx="243">
                  <c:v>3.2944000000000001E-2</c:v>
                </c:pt>
                <c:pt idx="244">
                  <c:v>3.3054E-2</c:v>
                </c:pt>
                <c:pt idx="245">
                  <c:v>3.3138000000000001E-2</c:v>
                </c:pt>
                <c:pt idx="246">
                  <c:v>3.3250000000000002E-2</c:v>
                </c:pt>
                <c:pt idx="247">
                  <c:v>3.3361999999999996E-2</c:v>
                </c:pt>
                <c:pt idx="248">
                  <c:v>3.3444000000000002E-2</c:v>
                </c:pt>
                <c:pt idx="249">
                  <c:v>3.3554E-2</c:v>
                </c:pt>
                <c:pt idx="250">
                  <c:v>3.3663999999999999E-2</c:v>
                </c:pt>
                <c:pt idx="251">
                  <c:v>3.3748E-2</c:v>
                </c:pt>
                <c:pt idx="252">
                  <c:v>3.3860000000000001E-2</c:v>
                </c:pt>
                <c:pt idx="253">
                  <c:v>3.3942E-2</c:v>
                </c:pt>
                <c:pt idx="254">
                  <c:v>3.4026000000000001E-2</c:v>
                </c:pt>
                <c:pt idx="255">
                  <c:v>3.4138000000000002E-2</c:v>
                </c:pt>
                <c:pt idx="256">
                  <c:v>3.4222000000000002E-2</c:v>
                </c:pt>
                <c:pt idx="257">
                  <c:v>3.4304000000000001E-2</c:v>
                </c:pt>
                <c:pt idx="258">
                  <c:v>3.4386E-2</c:v>
                </c:pt>
                <c:pt idx="259">
                  <c:v>3.4470000000000001E-2</c:v>
                </c:pt>
                <c:pt idx="260">
                  <c:v>3.4582000000000002E-2</c:v>
                </c:pt>
                <c:pt idx="261">
                  <c:v>3.4664E-2</c:v>
                </c:pt>
                <c:pt idx="262">
                  <c:v>3.4748000000000001E-2</c:v>
                </c:pt>
                <c:pt idx="263">
                  <c:v>3.4834000000000004E-2</c:v>
                </c:pt>
                <c:pt idx="264">
                  <c:v>3.4916000000000003E-2</c:v>
                </c:pt>
                <c:pt idx="265">
                  <c:v>3.5000000000000003E-2</c:v>
                </c:pt>
                <c:pt idx="266">
                  <c:v>3.5082000000000002E-2</c:v>
                </c:pt>
                <c:pt idx="267">
                  <c:v>3.5164000000000001E-2</c:v>
                </c:pt>
                <c:pt idx="268">
                  <c:v>3.5249999999999997E-2</c:v>
                </c:pt>
                <c:pt idx="269">
                  <c:v>3.5332000000000002E-2</c:v>
                </c:pt>
                <c:pt idx="270">
                  <c:v>3.5415999999999996E-2</c:v>
                </c:pt>
                <c:pt idx="271">
                  <c:v>3.5498000000000002E-2</c:v>
                </c:pt>
                <c:pt idx="272">
                  <c:v>3.5581999999999996E-2</c:v>
                </c:pt>
                <c:pt idx="273">
                  <c:v>3.5666000000000003E-2</c:v>
                </c:pt>
                <c:pt idx="274">
                  <c:v>3.5750000000000004E-2</c:v>
                </c:pt>
                <c:pt idx="275">
                  <c:v>3.5832000000000003E-2</c:v>
                </c:pt>
                <c:pt idx="276">
                  <c:v>3.5914000000000001E-2</c:v>
                </c:pt>
                <c:pt idx="277">
                  <c:v>3.5998000000000002E-2</c:v>
                </c:pt>
                <c:pt idx="278">
                  <c:v>3.6082000000000003E-2</c:v>
                </c:pt>
                <c:pt idx="279">
                  <c:v>3.6166000000000004E-2</c:v>
                </c:pt>
                <c:pt idx="280">
                  <c:v>3.6248000000000002E-2</c:v>
                </c:pt>
                <c:pt idx="281">
                  <c:v>3.6332000000000003E-2</c:v>
                </c:pt>
                <c:pt idx="282">
                  <c:v>3.6414000000000002E-2</c:v>
                </c:pt>
                <c:pt idx="283">
                  <c:v>3.6526000000000003E-2</c:v>
                </c:pt>
                <c:pt idx="284">
                  <c:v>3.6636000000000002E-2</c:v>
                </c:pt>
                <c:pt idx="285">
                  <c:v>3.6747999999999996E-2</c:v>
                </c:pt>
                <c:pt idx="286">
                  <c:v>3.6859999999999997E-2</c:v>
                </c:pt>
                <c:pt idx="287">
                  <c:v>3.6971999999999998E-2</c:v>
                </c:pt>
                <c:pt idx="288">
                  <c:v>3.7083999999999999E-2</c:v>
                </c:pt>
                <c:pt idx="289">
                  <c:v>3.7193999999999998E-2</c:v>
                </c:pt>
                <c:pt idx="290">
                  <c:v>3.7305999999999999E-2</c:v>
                </c:pt>
                <c:pt idx="291">
                  <c:v>3.7415999999999998E-2</c:v>
                </c:pt>
                <c:pt idx="292">
                  <c:v>3.7526000000000004E-2</c:v>
                </c:pt>
                <c:pt idx="293">
                  <c:v>3.7635999999999996E-2</c:v>
                </c:pt>
                <c:pt idx="294">
                  <c:v>3.7747999999999997E-2</c:v>
                </c:pt>
                <c:pt idx="295">
                  <c:v>3.7859999999999998E-2</c:v>
                </c:pt>
                <c:pt idx="296">
                  <c:v>3.7970000000000004E-2</c:v>
                </c:pt>
                <c:pt idx="297">
                  <c:v>3.8081999999999998E-2</c:v>
                </c:pt>
                <c:pt idx="298">
                  <c:v>3.8191999999999997E-2</c:v>
                </c:pt>
                <c:pt idx="299">
                  <c:v>3.8303999999999998E-2</c:v>
                </c:pt>
                <c:pt idx="300">
                  <c:v>3.8415999999999999E-2</c:v>
                </c:pt>
                <c:pt idx="301">
                  <c:v>3.8528E-2</c:v>
                </c:pt>
                <c:pt idx="302">
                  <c:v>3.8610000000000005E-2</c:v>
                </c:pt>
                <c:pt idx="303">
                  <c:v>3.8721999999999999E-2</c:v>
                </c:pt>
                <c:pt idx="304">
                  <c:v>3.8834E-2</c:v>
                </c:pt>
                <c:pt idx="305">
                  <c:v>3.8942000000000004E-2</c:v>
                </c:pt>
                <c:pt idx="306">
                  <c:v>3.9054000000000005E-2</c:v>
                </c:pt>
                <c:pt idx="307">
                  <c:v>3.9165999999999999E-2</c:v>
                </c:pt>
                <c:pt idx="308">
                  <c:v>3.9278E-2</c:v>
                </c:pt>
                <c:pt idx="309">
                  <c:v>3.9359999999999999E-2</c:v>
                </c:pt>
                <c:pt idx="310">
                  <c:v>3.9472E-2</c:v>
                </c:pt>
                <c:pt idx="311">
                  <c:v>3.9584000000000001E-2</c:v>
                </c:pt>
                <c:pt idx="312">
                  <c:v>3.9691999999999998E-2</c:v>
                </c:pt>
                <c:pt idx="313">
                  <c:v>3.9803999999999999E-2</c:v>
                </c:pt>
                <c:pt idx="314">
                  <c:v>3.9916E-2</c:v>
                </c:pt>
                <c:pt idx="315">
                  <c:v>4.0025999999999999E-2</c:v>
                </c:pt>
                <c:pt idx="316">
                  <c:v>4.0136000000000005E-2</c:v>
                </c:pt>
                <c:pt idx="317">
                  <c:v>4.0247999999999999E-2</c:v>
                </c:pt>
                <c:pt idx="318">
                  <c:v>4.0359999999999993E-2</c:v>
                </c:pt>
                <c:pt idx="319">
                  <c:v>4.0469999999999999E-2</c:v>
                </c:pt>
                <c:pt idx="320">
                  <c:v>4.0582E-2</c:v>
                </c:pt>
                <c:pt idx="321">
                  <c:v>4.0694000000000001E-2</c:v>
                </c:pt>
                <c:pt idx="322">
                  <c:v>4.0804E-2</c:v>
                </c:pt>
                <c:pt idx="323">
                  <c:v>4.0915999999999994E-2</c:v>
                </c:pt>
                <c:pt idx="324">
                  <c:v>4.1028000000000002E-2</c:v>
                </c:pt>
                <c:pt idx="325">
                  <c:v>4.1139999999999996E-2</c:v>
                </c:pt>
                <c:pt idx="326">
                  <c:v>4.1247999999999993E-2</c:v>
                </c:pt>
                <c:pt idx="327">
                  <c:v>4.1360000000000001E-2</c:v>
                </c:pt>
                <c:pt idx="328">
                  <c:v>4.147E-2</c:v>
                </c:pt>
                <c:pt idx="329">
                  <c:v>4.1582000000000001E-2</c:v>
                </c:pt>
                <c:pt idx="330">
                  <c:v>4.1692E-2</c:v>
                </c:pt>
                <c:pt idx="331">
                  <c:v>4.1803999999999994E-2</c:v>
                </c:pt>
                <c:pt idx="332">
                  <c:v>4.1916000000000002E-2</c:v>
                </c:pt>
                <c:pt idx="333">
                  <c:v>4.2026000000000001E-2</c:v>
                </c:pt>
                <c:pt idx="334">
                  <c:v>4.2138000000000002E-2</c:v>
                </c:pt>
                <c:pt idx="335">
                  <c:v>4.2276000000000001E-2</c:v>
                </c:pt>
                <c:pt idx="336">
                  <c:v>4.2416000000000002E-2</c:v>
                </c:pt>
                <c:pt idx="337">
                  <c:v>4.2556000000000004E-2</c:v>
                </c:pt>
                <c:pt idx="338">
                  <c:v>4.2694000000000003E-2</c:v>
                </c:pt>
                <c:pt idx="339">
                  <c:v>4.2830000000000007E-2</c:v>
                </c:pt>
                <c:pt idx="340">
                  <c:v>4.2969999999999994E-2</c:v>
                </c:pt>
                <c:pt idx="341">
                  <c:v>4.3110000000000002E-2</c:v>
                </c:pt>
                <c:pt idx="342">
                  <c:v>4.3246E-2</c:v>
                </c:pt>
                <c:pt idx="343">
                  <c:v>4.3388000000000003E-2</c:v>
                </c:pt>
                <c:pt idx="344">
                  <c:v>4.3525999999999995E-2</c:v>
                </c:pt>
                <c:pt idx="345">
                  <c:v>4.3638000000000003E-2</c:v>
                </c:pt>
                <c:pt idx="346">
                  <c:v>4.3776000000000002E-2</c:v>
                </c:pt>
                <c:pt idx="347">
                  <c:v>4.3916000000000004E-2</c:v>
                </c:pt>
                <c:pt idx="348">
                  <c:v>4.4054000000000003E-2</c:v>
                </c:pt>
                <c:pt idx="349">
                  <c:v>4.4164000000000002E-2</c:v>
                </c:pt>
                <c:pt idx="350">
                  <c:v>4.4303999999999996E-2</c:v>
                </c:pt>
                <c:pt idx="351">
                  <c:v>4.4443999999999997E-2</c:v>
                </c:pt>
                <c:pt idx="352">
                  <c:v>4.4581999999999997E-2</c:v>
                </c:pt>
                <c:pt idx="353">
                  <c:v>4.4691999999999996E-2</c:v>
                </c:pt>
                <c:pt idx="354">
                  <c:v>4.4832000000000004E-2</c:v>
                </c:pt>
                <c:pt idx="355">
                  <c:v>4.4972000000000005E-2</c:v>
                </c:pt>
                <c:pt idx="356">
                  <c:v>4.5107999999999995E-2</c:v>
                </c:pt>
                <c:pt idx="357">
                  <c:v>4.5247999999999997E-2</c:v>
                </c:pt>
                <c:pt idx="358">
                  <c:v>4.5388000000000005E-2</c:v>
                </c:pt>
                <c:pt idx="359">
                  <c:v>4.5525999999999997E-2</c:v>
                </c:pt>
                <c:pt idx="360">
                  <c:v>4.5666000000000005E-2</c:v>
                </c:pt>
                <c:pt idx="361">
                  <c:v>4.5805999999999993E-2</c:v>
                </c:pt>
                <c:pt idx="362">
                  <c:v>4.5941999999999997E-2</c:v>
                </c:pt>
                <c:pt idx="363">
                  <c:v>4.6081999999999998E-2</c:v>
                </c:pt>
                <c:pt idx="364">
                  <c:v>4.6222000000000006E-2</c:v>
                </c:pt>
                <c:pt idx="365">
                  <c:v>4.6359999999999998E-2</c:v>
                </c:pt>
                <c:pt idx="366">
                  <c:v>4.6500000000000007E-2</c:v>
                </c:pt>
                <c:pt idx="367">
                  <c:v>4.6635999999999997E-2</c:v>
                </c:pt>
                <c:pt idx="368">
                  <c:v>4.6775999999999998E-2</c:v>
                </c:pt>
                <c:pt idx="369">
                  <c:v>4.6915999999999999E-2</c:v>
                </c:pt>
                <c:pt idx="370">
                  <c:v>4.7053999999999999E-2</c:v>
                </c:pt>
                <c:pt idx="371">
                  <c:v>4.7194E-2</c:v>
                </c:pt>
                <c:pt idx="372">
                  <c:v>4.7359999999999999E-2</c:v>
                </c:pt>
                <c:pt idx="373">
                  <c:v>4.7497999999999999E-2</c:v>
                </c:pt>
                <c:pt idx="374">
                  <c:v>4.7666000000000007E-2</c:v>
                </c:pt>
                <c:pt idx="375">
                  <c:v>4.7832E-2</c:v>
                </c:pt>
                <c:pt idx="376">
                  <c:v>4.7972000000000001E-2</c:v>
                </c:pt>
                <c:pt idx="377">
                  <c:v>4.8137999999999993E-2</c:v>
                </c:pt>
                <c:pt idx="378">
                  <c:v>4.8276000000000006E-2</c:v>
                </c:pt>
                <c:pt idx="379">
                  <c:v>4.8444000000000001E-2</c:v>
                </c:pt>
                <c:pt idx="380">
                  <c:v>4.8583999999999995E-2</c:v>
                </c:pt>
                <c:pt idx="381">
                  <c:v>4.8719999999999999E-2</c:v>
                </c:pt>
                <c:pt idx="382">
                  <c:v>4.8860000000000001E-2</c:v>
                </c:pt>
                <c:pt idx="383">
                  <c:v>4.8998E-2</c:v>
                </c:pt>
                <c:pt idx="384">
                  <c:v>4.9135999999999999E-2</c:v>
                </c:pt>
                <c:pt idx="385">
                  <c:v>4.9276E-2</c:v>
                </c:pt>
                <c:pt idx="386">
                  <c:v>4.9416000000000002E-2</c:v>
                </c:pt>
                <c:pt idx="387">
                  <c:v>4.9581999999999994E-2</c:v>
                </c:pt>
                <c:pt idx="388">
                  <c:v>4.9745999999999999E-2</c:v>
                </c:pt>
                <c:pt idx="389">
                  <c:v>4.9916000000000002E-2</c:v>
                </c:pt>
                <c:pt idx="390">
                  <c:v>5.0082000000000002E-2</c:v>
                </c:pt>
                <c:pt idx="391">
                  <c:v>5.0248000000000001E-2</c:v>
                </c:pt>
                <c:pt idx="392">
                  <c:v>5.0415999999999996E-2</c:v>
                </c:pt>
                <c:pt idx="393">
                  <c:v>5.058E-2</c:v>
                </c:pt>
                <c:pt idx="394">
                  <c:v>5.0720000000000001E-2</c:v>
                </c:pt>
                <c:pt idx="395">
                  <c:v>5.0888000000000003E-2</c:v>
                </c:pt>
                <c:pt idx="396">
                  <c:v>5.1025999999999995E-2</c:v>
                </c:pt>
                <c:pt idx="397">
                  <c:v>5.1193999999999996E-2</c:v>
                </c:pt>
                <c:pt idx="398">
                  <c:v>5.1360000000000003E-2</c:v>
                </c:pt>
                <c:pt idx="399">
                  <c:v>5.1525999999999995E-2</c:v>
                </c:pt>
                <c:pt idx="400">
                  <c:v>5.1694000000000004E-2</c:v>
                </c:pt>
                <c:pt idx="401">
                  <c:v>5.1862000000000005E-2</c:v>
                </c:pt>
                <c:pt idx="402">
                  <c:v>5.2026000000000003E-2</c:v>
                </c:pt>
                <c:pt idx="403">
                  <c:v>5.2191999999999995E-2</c:v>
                </c:pt>
                <c:pt idx="404">
                  <c:v>5.2359999999999997E-2</c:v>
                </c:pt>
                <c:pt idx="405">
                  <c:v>5.2526000000000003E-2</c:v>
                </c:pt>
                <c:pt idx="406">
                  <c:v>5.2693999999999998E-2</c:v>
                </c:pt>
                <c:pt idx="407">
                  <c:v>5.2858000000000002E-2</c:v>
                </c:pt>
                <c:pt idx="408">
                  <c:v>5.3025999999999997E-2</c:v>
                </c:pt>
                <c:pt idx="409">
                  <c:v>5.3192000000000003E-2</c:v>
                </c:pt>
                <c:pt idx="410">
                  <c:v>5.3360000000000005E-2</c:v>
                </c:pt>
                <c:pt idx="411">
                  <c:v>5.3525999999999997E-2</c:v>
                </c:pt>
                <c:pt idx="412">
                  <c:v>5.3722000000000006E-2</c:v>
                </c:pt>
                <c:pt idx="413">
                  <c:v>5.3916000000000006E-2</c:v>
                </c:pt>
                <c:pt idx="414">
                  <c:v>5.4108000000000003E-2</c:v>
                </c:pt>
                <c:pt idx="415">
                  <c:v>5.4303999999999998E-2</c:v>
                </c:pt>
                <c:pt idx="416">
                  <c:v>5.4469999999999998E-2</c:v>
                </c:pt>
                <c:pt idx="417">
                  <c:v>5.4665999999999999E-2</c:v>
                </c:pt>
                <c:pt idx="418">
                  <c:v>5.4831999999999999E-2</c:v>
                </c:pt>
                <c:pt idx="419">
                  <c:v>5.5025999999999999E-2</c:v>
                </c:pt>
                <c:pt idx="420">
                  <c:v>5.5220000000000005E-2</c:v>
                </c:pt>
                <c:pt idx="421">
                  <c:v>5.5388E-2</c:v>
                </c:pt>
                <c:pt idx="422">
                  <c:v>5.5583999999999995E-2</c:v>
                </c:pt>
                <c:pt idx="423">
                  <c:v>5.5776000000000006E-2</c:v>
                </c:pt>
                <c:pt idx="424">
                  <c:v>5.5967999999999997E-2</c:v>
                </c:pt>
                <c:pt idx="425">
                  <c:v>5.6163999999999999E-2</c:v>
                </c:pt>
                <c:pt idx="426">
                  <c:v>5.636E-2</c:v>
                </c:pt>
                <c:pt idx="427">
                  <c:v>5.6555999999999995E-2</c:v>
                </c:pt>
                <c:pt idx="428">
                  <c:v>5.6748E-2</c:v>
                </c:pt>
                <c:pt idx="429">
                  <c:v>5.6944000000000002E-2</c:v>
                </c:pt>
                <c:pt idx="430">
                  <c:v>5.7138000000000001E-2</c:v>
                </c:pt>
                <c:pt idx="431">
                  <c:v>5.7333999999999996E-2</c:v>
                </c:pt>
                <c:pt idx="432">
                  <c:v>5.7526000000000001E-2</c:v>
                </c:pt>
                <c:pt idx="433">
                  <c:v>5.772E-2</c:v>
                </c:pt>
                <c:pt idx="434">
                  <c:v>5.7915999999999995E-2</c:v>
                </c:pt>
                <c:pt idx="435">
                  <c:v>5.8110000000000002E-2</c:v>
                </c:pt>
                <c:pt idx="436">
                  <c:v>5.8304000000000002E-2</c:v>
                </c:pt>
                <c:pt idx="437">
                  <c:v>5.8499999999999996E-2</c:v>
                </c:pt>
                <c:pt idx="438">
                  <c:v>5.8693999999999996E-2</c:v>
                </c:pt>
                <c:pt idx="439">
                  <c:v>5.8887999999999996E-2</c:v>
                </c:pt>
                <c:pt idx="440">
                  <c:v>5.9080000000000001E-2</c:v>
                </c:pt>
                <c:pt idx="441">
                  <c:v>5.9276000000000002E-2</c:v>
                </c:pt>
                <c:pt idx="442">
                  <c:v>5.9470000000000002E-2</c:v>
                </c:pt>
                <c:pt idx="443">
                  <c:v>5.9691999999999995E-2</c:v>
                </c:pt>
                <c:pt idx="444">
                  <c:v>5.9886000000000002E-2</c:v>
                </c:pt>
                <c:pt idx="445">
                  <c:v>6.0110000000000004E-2</c:v>
                </c:pt>
                <c:pt idx="446">
                  <c:v>6.0334000000000006E-2</c:v>
                </c:pt>
                <c:pt idx="447">
                  <c:v>6.0525999999999996E-2</c:v>
                </c:pt>
                <c:pt idx="448">
                  <c:v>6.0747999999999996E-2</c:v>
                </c:pt>
                <c:pt idx="449">
                  <c:v>6.0971999999999998E-2</c:v>
                </c:pt>
                <c:pt idx="450">
                  <c:v>6.1193999999999998E-2</c:v>
                </c:pt>
                <c:pt idx="451">
                  <c:v>6.1413999999999996E-2</c:v>
                </c:pt>
                <c:pt idx="452">
                  <c:v>6.1637999999999998E-2</c:v>
                </c:pt>
                <c:pt idx="453">
                  <c:v>6.1858000000000003E-2</c:v>
                </c:pt>
                <c:pt idx="454">
                  <c:v>6.2081999999999998E-2</c:v>
                </c:pt>
                <c:pt idx="455">
                  <c:v>6.2304000000000005E-2</c:v>
                </c:pt>
                <c:pt idx="456">
                  <c:v>6.2528E-2</c:v>
                </c:pt>
                <c:pt idx="457">
                  <c:v>6.275E-2</c:v>
                </c:pt>
                <c:pt idx="458">
                  <c:v>6.2969999999999998E-2</c:v>
                </c:pt>
                <c:pt idx="459">
                  <c:v>6.3191999999999998E-2</c:v>
                </c:pt>
                <c:pt idx="460">
                  <c:v>6.3413999999999998E-2</c:v>
                </c:pt>
                <c:pt idx="461">
                  <c:v>6.3635999999999998E-2</c:v>
                </c:pt>
                <c:pt idx="462">
                  <c:v>6.386E-2</c:v>
                </c:pt>
                <c:pt idx="463">
                  <c:v>6.4084000000000002E-2</c:v>
                </c:pt>
                <c:pt idx="464">
                  <c:v>6.4304E-2</c:v>
                </c:pt>
                <c:pt idx="465">
                  <c:v>6.4526E-2</c:v>
                </c:pt>
                <c:pt idx="466">
                  <c:v>6.4750000000000002E-2</c:v>
                </c:pt>
                <c:pt idx="467">
                  <c:v>6.5000000000000002E-2</c:v>
                </c:pt>
                <c:pt idx="468">
                  <c:v>6.5248E-2</c:v>
                </c:pt>
                <c:pt idx="469">
                  <c:v>6.5498000000000001E-2</c:v>
                </c:pt>
                <c:pt idx="470">
                  <c:v>6.5750000000000003E-2</c:v>
                </c:pt>
                <c:pt idx="471">
                  <c:v>6.5998000000000001E-2</c:v>
                </c:pt>
                <c:pt idx="472">
                  <c:v>6.6250000000000003E-2</c:v>
                </c:pt>
                <c:pt idx="473">
                  <c:v>6.6498000000000002E-2</c:v>
                </c:pt>
                <c:pt idx="474">
                  <c:v>6.6748000000000002E-2</c:v>
                </c:pt>
                <c:pt idx="475">
                  <c:v>6.6998000000000002E-2</c:v>
                </c:pt>
                <c:pt idx="476">
                  <c:v>6.7248000000000002E-2</c:v>
                </c:pt>
                <c:pt idx="477">
                  <c:v>6.7526000000000003E-2</c:v>
                </c:pt>
                <c:pt idx="478">
                  <c:v>6.7776000000000003E-2</c:v>
                </c:pt>
                <c:pt idx="479">
                  <c:v>6.8028000000000005E-2</c:v>
                </c:pt>
                <c:pt idx="480">
                  <c:v>6.8276000000000003E-2</c:v>
                </c:pt>
                <c:pt idx="481">
                  <c:v>6.8528000000000006E-2</c:v>
                </c:pt>
                <c:pt idx="482">
                  <c:v>6.8804000000000004E-2</c:v>
                </c:pt>
                <c:pt idx="483">
                  <c:v>6.9082000000000005E-2</c:v>
                </c:pt>
                <c:pt idx="484">
                  <c:v>6.9360000000000005E-2</c:v>
                </c:pt>
                <c:pt idx="485">
                  <c:v>6.9610000000000005E-2</c:v>
                </c:pt>
                <c:pt idx="486">
                  <c:v>6.9888000000000006E-2</c:v>
                </c:pt>
                <c:pt idx="487">
                  <c:v>7.0166000000000006E-2</c:v>
                </c:pt>
                <c:pt idx="488">
                  <c:v>7.0444000000000007E-2</c:v>
                </c:pt>
                <c:pt idx="489">
                  <c:v>7.0720000000000005E-2</c:v>
                </c:pt>
                <c:pt idx="490">
                  <c:v>7.0999999999999994E-2</c:v>
                </c:pt>
                <c:pt idx="491">
                  <c:v>7.1276000000000006E-2</c:v>
                </c:pt>
                <c:pt idx="492">
                  <c:v>7.1554000000000006E-2</c:v>
                </c:pt>
                <c:pt idx="493">
                  <c:v>7.1833999999999995E-2</c:v>
                </c:pt>
                <c:pt idx="494">
                  <c:v>7.2108000000000005E-2</c:v>
                </c:pt>
                <c:pt idx="495">
                  <c:v>7.2388000000000008E-2</c:v>
                </c:pt>
                <c:pt idx="496">
                  <c:v>7.2666000000000008E-2</c:v>
                </c:pt>
                <c:pt idx="497">
                  <c:v>7.2942000000000007E-2</c:v>
                </c:pt>
                <c:pt idx="498">
                  <c:v>7.3220000000000007E-2</c:v>
                </c:pt>
                <c:pt idx="499">
                  <c:v>7.3499999999999996E-2</c:v>
                </c:pt>
                <c:pt idx="500">
                  <c:v>7.3803999999999995E-2</c:v>
                </c:pt>
                <c:pt idx="501">
                  <c:v>7.4109999999999995E-2</c:v>
                </c:pt>
                <c:pt idx="502">
                  <c:v>7.4413999999999994E-2</c:v>
                </c:pt>
                <c:pt idx="503">
                  <c:v>7.4720000000000009E-2</c:v>
                </c:pt>
                <c:pt idx="504">
                  <c:v>7.5027999999999997E-2</c:v>
                </c:pt>
                <c:pt idx="505">
                  <c:v>7.5331999999999996E-2</c:v>
                </c:pt>
                <c:pt idx="506">
                  <c:v>7.5637999999999997E-2</c:v>
                </c:pt>
                <c:pt idx="507">
                  <c:v>7.5943999999999998E-2</c:v>
                </c:pt>
                <c:pt idx="508">
                  <c:v>7.6275999999999997E-2</c:v>
                </c:pt>
                <c:pt idx="509">
                  <c:v>7.6609999999999998E-2</c:v>
                </c:pt>
                <c:pt idx="510">
                  <c:v>7.6915999999999998E-2</c:v>
                </c:pt>
                <c:pt idx="511">
                  <c:v>7.7247999999999997E-2</c:v>
                </c:pt>
                <c:pt idx="512">
                  <c:v>7.7579999999999996E-2</c:v>
                </c:pt>
                <c:pt idx="513">
                  <c:v>7.7915999999999999E-2</c:v>
                </c:pt>
                <c:pt idx="514">
                  <c:v>7.8247999999999998E-2</c:v>
                </c:pt>
                <c:pt idx="515">
                  <c:v>7.8581999999999999E-2</c:v>
                </c:pt>
                <c:pt idx="516">
                  <c:v>7.8913999999999998E-2</c:v>
                </c:pt>
                <c:pt idx="517">
                  <c:v>7.9247999999999999E-2</c:v>
                </c:pt>
                <c:pt idx="518">
                  <c:v>7.9584000000000002E-2</c:v>
                </c:pt>
                <c:pt idx="519">
                  <c:v>7.9916000000000001E-2</c:v>
                </c:pt>
                <c:pt idx="520">
                  <c:v>8.0248000000000014E-2</c:v>
                </c:pt>
                <c:pt idx="521">
                  <c:v>8.0579999999999999E-2</c:v>
                </c:pt>
                <c:pt idx="522">
                  <c:v>8.0916000000000002E-2</c:v>
                </c:pt>
                <c:pt idx="523">
                  <c:v>8.1248000000000001E-2</c:v>
                </c:pt>
                <c:pt idx="524">
                  <c:v>8.1582000000000002E-2</c:v>
                </c:pt>
                <c:pt idx="525">
                  <c:v>8.1915999999999989E-2</c:v>
                </c:pt>
                <c:pt idx="526">
                  <c:v>8.2276000000000002E-2</c:v>
                </c:pt>
                <c:pt idx="527">
                  <c:v>8.2636000000000001E-2</c:v>
                </c:pt>
                <c:pt idx="528">
                  <c:v>8.2997999999999988E-2</c:v>
                </c:pt>
                <c:pt idx="529">
                  <c:v>8.3360000000000004E-2</c:v>
                </c:pt>
                <c:pt idx="530">
                  <c:v>8.3720000000000003E-2</c:v>
                </c:pt>
                <c:pt idx="531">
                  <c:v>8.4082000000000004E-2</c:v>
                </c:pt>
                <c:pt idx="532">
                  <c:v>8.4444000000000005E-2</c:v>
                </c:pt>
                <c:pt idx="533">
                  <c:v>8.4802000000000002E-2</c:v>
                </c:pt>
                <c:pt idx="534">
                  <c:v>8.5164000000000004E-2</c:v>
                </c:pt>
                <c:pt idx="535">
                  <c:v>8.5554000000000005E-2</c:v>
                </c:pt>
                <c:pt idx="536">
                  <c:v>8.5942000000000005E-2</c:v>
                </c:pt>
                <c:pt idx="537">
                  <c:v>8.6332000000000006E-2</c:v>
                </c:pt>
                <c:pt idx="538">
                  <c:v>8.6720000000000005E-2</c:v>
                </c:pt>
                <c:pt idx="539">
                  <c:v>8.7110000000000007E-2</c:v>
                </c:pt>
                <c:pt idx="540">
                  <c:v>8.7498000000000006E-2</c:v>
                </c:pt>
                <c:pt idx="541">
                  <c:v>8.7888000000000008E-2</c:v>
                </c:pt>
                <c:pt idx="542">
                  <c:v>8.8276000000000007E-2</c:v>
                </c:pt>
                <c:pt idx="543">
                  <c:v>8.8665999999999995E-2</c:v>
                </c:pt>
                <c:pt idx="544">
                  <c:v>8.9054000000000008E-2</c:v>
                </c:pt>
                <c:pt idx="545">
                  <c:v>8.9469999999999994E-2</c:v>
                </c:pt>
                <c:pt idx="546">
                  <c:v>8.9860000000000009E-2</c:v>
                </c:pt>
                <c:pt idx="547">
                  <c:v>9.0249999999999997E-2</c:v>
                </c:pt>
                <c:pt idx="548">
                  <c:v>9.0665999999999997E-2</c:v>
                </c:pt>
                <c:pt idx="549">
                  <c:v>9.1083999999999998E-2</c:v>
                </c:pt>
                <c:pt idx="550">
                  <c:v>9.149800000000001E-2</c:v>
                </c:pt>
                <c:pt idx="551">
                  <c:v>9.1889999999999999E-2</c:v>
                </c:pt>
                <c:pt idx="552">
                  <c:v>9.2303999999999997E-2</c:v>
                </c:pt>
                <c:pt idx="553">
                  <c:v>9.2721999999999999E-2</c:v>
                </c:pt>
                <c:pt idx="554">
                  <c:v>9.3137999999999999E-2</c:v>
                </c:pt>
                <c:pt idx="555">
                  <c:v>9.3581999999999999E-2</c:v>
                </c:pt>
                <c:pt idx="556">
                  <c:v>9.4025999999999998E-2</c:v>
                </c:pt>
                <c:pt idx="557">
                  <c:v>9.4469999999999998E-2</c:v>
                </c:pt>
                <c:pt idx="558">
                  <c:v>9.4916E-2</c:v>
                </c:pt>
                <c:pt idx="559">
                  <c:v>9.5388000000000001E-2</c:v>
                </c:pt>
                <c:pt idx="560">
                  <c:v>9.5860000000000001E-2</c:v>
                </c:pt>
                <c:pt idx="561">
                  <c:v>9.6304000000000001E-2</c:v>
                </c:pt>
                <c:pt idx="562">
                  <c:v>9.6776000000000001E-2</c:v>
                </c:pt>
                <c:pt idx="563">
                  <c:v>9.7248000000000001E-2</c:v>
                </c:pt>
                <c:pt idx="564">
                  <c:v>9.7720000000000001E-2</c:v>
                </c:pt>
                <c:pt idx="565">
                  <c:v>9.8192000000000002E-2</c:v>
                </c:pt>
                <c:pt idx="566">
                  <c:v>9.8664000000000002E-2</c:v>
                </c:pt>
                <c:pt idx="567">
                  <c:v>9.9138000000000004E-2</c:v>
                </c:pt>
                <c:pt idx="568">
                  <c:v>9.9610000000000004E-2</c:v>
                </c:pt>
                <c:pt idx="569">
                  <c:v>0.100082</c:v>
                </c:pt>
                <c:pt idx="570">
                  <c:v>0.100554</c:v>
                </c:pt>
                <c:pt idx="571">
                  <c:v>0.10105399999999999</c:v>
                </c:pt>
                <c:pt idx="572">
                  <c:v>0.101552</c:v>
                </c:pt>
                <c:pt idx="573">
                  <c:v>0.10205399999999999</c:v>
                </c:pt>
                <c:pt idx="574">
                  <c:v>0.10255599999999999</c:v>
                </c:pt>
                <c:pt idx="575">
                  <c:v>0.10305400000000001</c:v>
                </c:pt>
                <c:pt idx="576">
                  <c:v>0.10358000000000001</c:v>
                </c:pt>
                <c:pt idx="577">
                  <c:v>0.104112</c:v>
                </c:pt>
                <c:pt idx="578">
                  <c:v>0.10463800000000001</c:v>
                </c:pt>
                <c:pt idx="579">
                  <c:v>0.10519199999999999</c:v>
                </c:pt>
                <c:pt idx="580">
                  <c:v>0.10575</c:v>
                </c:pt>
                <c:pt idx="581">
                  <c:v>0.106304</c:v>
                </c:pt>
                <c:pt idx="582">
                  <c:v>0.10688800000000001</c:v>
                </c:pt>
                <c:pt idx="583">
                  <c:v>0.10747</c:v>
                </c:pt>
                <c:pt idx="584">
                  <c:v>0.10805400000000001</c:v>
                </c:pt>
                <c:pt idx="585">
                  <c:v>0.108666</c:v>
                </c:pt>
                <c:pt idx="586">
                  <c:v>0.109276</c:v>
                </c:pt>
                <c:pt idx="587">
                  <c:v>0.109888</c:v>
                </c:pt>
                <c:pt idx="588">
                  <c:v>0.110498</c:v>
                </c:pt>
                <c:pt idx="589">
                  <c:v>0.11111</c:v>
                </c:pt>
                <c:pt idx="590">
                  <c:v>0.11175</c:v>
                </c:pt>
                <c:pt idx="591">
                  <c:v>0.112414</c:v>
                </c:pt>
                <c:pt idx="592">
                  <c:v>0.11311</c:v>
                </c:pt>
                <c:pt idx="593">
                  <c:v>0.113832</c:v>
                </c:pt>
                <c:pt idx="594">
                  <c:v>0.114608</c:v>
                </c:pt>
                <c:pt idx="595">
                  <c:v>0.11544399999999999</c:v>
                </c:pt>
                <c:pt idx="596">
                  <c:v>0.11627599999999999</c:v>
                </c:pt>
                <c:pt idx="597">
                  <c:v>0.11711199999999999</c:v>
                </c:pt>
                <c:pt idx="598">
                  <c:v>0.11794399999999999</c:v>
                </c:pt>
              </c:numCache>
            </c:numRef>
          </c:cat>
          <c:val>
            <c:numRef>
              <c:f>'A22-2'!$F$2:$F$600</c:f>
              <c:numCache>
                <c:formatCode>0.00</c:formatCode>
                <c:ptCount val="599"/>
                <c:pt idx="0">
                  <c:v>0</c:v>
                </c:pt>
                <c:pt idx="1">
                  <c:v>0.12052717352795295</c:v>
                </c:pt>
                <c:pt idx="2">
                  <c:v>0.12052717352795295</c:v>
                </c:pt>
                <c:pt idx="3">
                  <c:v>0.12052717352795295</c:v>
                </c:pt>
                <c:pt idx="4">
                  <c:v>0.12052717352795295</c:v>
                </c:pt>
                <c:pt idx="5">
                  <c:v>0.12454474597888474</c:v>
                </c:pt>
                <c:pt idx="6">
                  <c:v>0.12454474597888474</c:v>
                </c:pt>
                <c:pt idx="7">
                  <c:v>0.12454474597888474</c:v>
                </c:pt>
                <c:pt idx="8">
                  <c:v>0.12052717352795295</c:v>
                </c:pt>
                <c:pt idx="9">
                  <c:v>0.12052717352795295</c:v>
                </c:pt>
                <c:pt idx="10">
                  <c:v>0.12052717352795295</c:v>
                </c:pt>
                <c:pt idx="11">
                  <c:v>0.12052717352795295</c:v>
                </c:pt>
                <c:pt idx="12">
                  <c:v>0.12454474597888474</c:v>
                </c:pt>
                <c:pt idx="13">
                  <c:v>0.12454474597888474</c:v>
                </c:pt>
                <c:pt idx="14">
                  <c:v>0.1285623184298165</c:v>
                </c:pt>
                <c:pt idx="15">
                  <c:v>0.1285623184298165</c:v>
                </c:pt>
                <c:pt idx="16">
                  <c:v>0.1285623184298165</c:v>
                </c:pt>
                <c:pt idx="17">
                  <c:v>0.1285623184298165</c:v>
                </c:pt>
                <c:pt idx="18">
                  <c:v>0.13257989088074826</c:v>
                </c:pt>
                <c:pt idx="19">
                  <c:v>0.13257989088074826</c:v>
                </c:pt>
                <c:pt idx="20">
                  <c:v>0.13257989088074826</c:v>
                </c:pt>
                <c:pt idx="21">
                  <c:v>0.13659746333168005</c:v>
                </c:pt>
                <c:pt idx="22">
                  <c:v>0.1486501806844753</c:v>
                </c:pt>
                <c:pt idx="23">
                  <c:v>0.16070289803727061</c:v>
                </c:pt>
                <c:pt idx="24">
                  <c:v>0.17275325350149981</c:v>
                </c:pt>
                <c:pt idx="25">
                  <c:v>0.18078839840336333</c:v>
                </c:pt>
                <c:pt idx="26">
                  <c:v>0.18882354330522688</c:v>
                </c:pt>
                <c:pt idx="27">
                  <c:v>0.19284111575615864</c:v>
                </c:pt>
                <c:pt idx="28">
                  <c:v>0.1968586882070904</c:v>
                </c:pt>
                <c:pt idx="29">
                  <c:v>0.20087626065802217</c:v>
                </c:pt>
                <c:pt idx="30">
                  <c:v>0.20087626065802217</c:v>
                </c:pt>
                <c:pt idx="31">
                  <c:v>0.20087626065802217</c:v>
                </c:pt>
                <c:pt idx="32">
                  <c:v>0.20087626065802217</c:v>
                </c:pt>
                <c:pt idx="33">
                  <c:v>0.20087626065802217</c:v>
                </c:pt>
                <c:pt idx="34">
                  <c:v>0.20087626065802217</c:v>
                </c:pt>
                <c:pt idx="35">
                  <c:v>0.20087626065802217</c:v>
                </c:pt>
                <c:pt idx="36">
                  <c:v>0.20087626065802217</c:v>
                </c:pt>
                <c:pt idx="37">
                  <c:v>0.20087626065802217</c:v>
                </c:pt>
                <c:pt idx="38">
                  <c:v>0.20087626065802217</c:v>
                </c:pt>
                <c:pt idx="39">
                  <c:v>0.20087626065802217</c:v>
                </c:pt>
                <c:pt idx="40">
                  <c:v>0.20087626065802217</c:v>
                </c:pt>
                <c:pt idx="41">
                  <c:v>0.20489383310895395</c:v>
                </c:pt>
                <c:pt idx="42">
                  <c:v>0.20489383310895395</c:v>
                </c:pt>
                <c:pt idx="43">
                  <c:v>0.20489383310895395</c:v>
                </c:pt>
                <c:pt idx="44">
                  <c:v>0.20087626065802217</c:v>
                </c:pt>
                <c:pt idx="45">
                  <c:v>0.20489383310895395</c:v>
                </c:pt>
                <c:pt idx="46">
                  <c:v>0.20489383310895395</c:v>
                </c:pt>
                <c:pt idx="47">
                  <c:v>0.20489383310895395</c:v>
                </c:pt>
                <c:pt idx="48">
                  <c:v>0.20489383310895395</c:v>
                </c:pt>
                <c:pt idx="49">
                  <c:v>0.20891140555988572</c:v>
                </c:pt>
                <c:pt idx="50">
                  <c:v>0.21292897801081745</c:v>
                </c:pt>
                <c:pt idx="51">
                  <c:v>0.21694655046174924</c:v>
                </c:pt>
                <c:pt idx="52">
                  <c:v>0.22899926781454455</c:v>
                </c:pt>
                <c:pt idx="53">
                  <c:v>0.24105434705590589</c:v>
                </c:pt>
                <c:pt idx="54">
                  <c:v>0.24506955761827159</c:v>
                </c:pt>
                <c:pt idx="55">
                  <c:v>0.24908476818063724</c:v>
                </c:pt>
                <c:pt idx="56">
                  <c:v>0.24908476818063724</c:v>
                </c:pt>
                <c:pt idx="57">
                  <c:v>0.24908476818063724</c:v>
                </c:pt>
                <c:pt idx="58">
                  <c:v>0.24908476818063724</c:v>
                </c:pt>
                <c:pt idx="59">
                  <c:v>0.24908476818063724</c:v>
                </c:pt>
                <c:pt idx="60">
                  <c:v>0.24908476818063724</c:v>
                </c:pt>
                <c:pt idx="61">
                  <c:v>0.24908476818063724</c:v>
                </c:pt>
                <c:pt idx="62">
                  <c:v>0.25309997874300294</c:v>
                </c:pt>
                <c:pt idx="63">
                  <c:v>0.24908476818063724</c:v>
                </c:pt>
                <c:pt idx="64">
                  <c:v>0.25309997874300294</c:v>
                </c:pt>
                <c:pt idx="65">
                  <c:v>0.25309997874300294</c:v>
                </c:pt>
                <c:pt idx="66">
                  <c:v>0.25309997874300294</c:v>
                </c:pt>
                <c:pt idx="67">
                  <c:v>0.25309997874300294</c:v>
                </c:pt>
                <c:pt idx="68">
                  <c:v>0.25309997874300294</c:v>
                </c:pt>
                <c:pt idx="69">
                  <c:v>0.25309997874300294</c:v>
                </c:pt>
                <c:pt idx="70">
                  <c:v>0.25309997874300294</c:v>
                </c:pt>
                <c:pt idx="71">
                  <c:v>0.25309997874300294</c:v>
                </c:pt>
                <c:pt idx="72">
                  <c:v>0.25309997874300294</c:v>
                </c:pt>
                <c:pt idx="73">
                  <c:v>0.25309997874300294</c:v>
                </c:pt>
                <c:pt idx="74">
                  <c:v>0.25711518930536859</c:v>
                </c:pt>
                <c:pt idx="75">
                  <c:v>0.25711518930536859</c:v>
                </c:pt>
                <c:pt idx="76">
                  <c:v>0.25711518930536859</c:v>
                </c:pt>
                <c:pt idx="77">
                  <c:v>0.25711518930536859</c:v>
                </c:pt>
                <c:pt idx="78">
                  <c:v>0.25711518930536859</c:v>
                </c:pt>
                <c:pt idx="79">
                  <c:v>0.26113039986773429</c:v>
                </c:pt>
                <c:pt idx="80">
                  <c:v>0.26516922931576087</c:v>
                </c:pt>
                <c:pt idx="81">
                  <c:v>0.27319965044049227</c:v>
                </c:pt>
                <c:pt idx="82">
                  <c:v>0.28123007156522356</c:v>
                </c:pt>
                <c:pt idx="83">
                  <c:v>0.28524528212758921</c:v>
                </c:pt>
                <c:pt idx="84">
                  <c:v>0.29327570325232061</c:v>
                </c:pt>
                <c:pt idx="85">
                  <c:v>0.3013061243770519</c:v>
                </c:pt>
                <c:pt idx="86">
                  <c:v>0.31739058551217558</c:v>
                </c:pt>
                <c:pt idx="87">
                  <c:v>0.33345142776163822</c:v>
                </c:pt>
                <c:pt idx="88">
                  <c:v>0.34953588889676185</c:v>
                </c:pt>
                <c:pt idx="89">
                  <c:v>0.36559673114622454</c:v>
                </c:pt>
                <c:pt idx="90">
                  <c:v>0.38165757339568723</c:v>
                </c:pt>
                <c:pt idx="91">
                  <c:v>0.39774203453081092</c:v>
                </c:pt>
                <c:pt idx="92">
                  <c:v>0.41380287678027355</c:v>
                </c:pt>
                <c:pt idx="93">
                  <c:v>0.42988733791539718</c:v>
                </c:pt>
                <c:pt idx="94">
                  <c:v>0.44594818016485988</c:v>
                </c:pt>
                <c:pt idx="95">
                  <c:v>0.46200902241432251</c:v>
                </c:pt>
                <c:pt idx="96">
                  <c:v>0.4780934835494462</c:v>
                </c:pt>
                <c:pt idx="97">
                  <c:v>0.49816953636127448</c:v>
                </c:pt>
                <c:pt idx="98">
                  <c:v>0.51425399749639822</c:v>
                </c:pt>
                <c:pt idx="99">
                  <c:v>0.5303148397458608</c:v>
                </c:pt>
                <c:pt idx="100">
                  <c:v>0.54637568199532349</c:v>
                </c:pt>
                <c:pt idx="101">
                  <c:v>0.56246014313044712</c:v>
                </c:pt>
                <c:pt idx="102">
                  <c:v>0.57852098537990981</c:v>
                </c:pt>
                <c:pt idx="103">
                  <c:v>0.59460544651503344</c:v>
                </c:pt>
                <c:pt idx="104">
                  <c:v>0.61066628876449625</c:v>
                </c:pt>
                <c:pt idx="105">
                  <c:v>0.62672713101395883</c:v>
                </c:pt>
                <c:pt idx="106">
                  <c:v>0.64281159214908246</c:v>
                </c:pt>
                <c:pt idx="107">
                  <c:v>0.65887243439854515</c:v>
                </c:pt>
                <c:pt idx="108">
                  <c:v>0.67495689553366878</c:v>
                </c:pt>
                <c:pt idx="109">
                  <c:v>0.69101773778313158</c:v>
                </c:pt>
                <c:pt idx="110">
                  <c:v>0.70707858003259416</c:v>
                </c:pt>
                <c:pt idx="111">
                  <c:v>0.72316304116771779</c:v>
                </c:pt>
                <c:pt idx="112">
                  <c:v>0.73922388341718037</c:v>
                </c:pt>
                <c:pt idx="113">
                  <c:v>0.75530834455230411</c:v>
                </c:pt>
                <c:pt idx="114">
                  <c:v>0.77136918680176669</c:v>
                </c:pt>
                <c:pt idx="115">
                  <c:v>0.78743002905122939</c:v>
                </c:pt>
                <c:pt idx="116">
                  <c:v>0.80351449018635324</c:v>
                </c:pt>
                <c:pt idx="117">
                  <c:v>0.81957533243581582</c:v>
                </c:pt>
                <c:pt idx="118">
                  <c:v>0.83565979357093945</c:v>
                </c:pt>
                <c:pt idx="119">
                  <c:v>0.85172063582040203</c:v>
                </c:pt>
                <c:pt idx="120">
                  <c:v>0.86778147806986483</c:v>
                </c:pt>
                <c:pt idx="121">
                  <c:v>0.88386593920498835</c:v>
                </c:pt>
                <c:pt idx="122">
                  <c:v>0.89992678145445104</c:v>
                </c:pt>
                <c:pt idx="123">
                  <c:v>0.91601124258957478</c:v>
                </c:pt>
                <c:pt idx="124">
                  <c:v>0.93207208483903736</c:v>
                </c:pt>
                <c:pt idx="125">
                  <c:v>0.94813292708850017</c:v>
                </c:pt>
                <c:pt idx="126">
                  <c:v>0.96421738822362357</c:v>
                </c:pt>
                <c:pt idx="127">
                  <c:v>0.98027823047308638</c:v>
                </c:pt>
                <c:pt idx="128">
                  <c:v>0.99636269160821012</c:v>
                </c:pt>
                <c:pt idx="129">
                  <c:v>1.0124235338576728</c:v>
                </c:pt>
                <c:pt idx="130">
                  <c:v>1.0284843761071354</c:v>
                </c:pt>
                <c:pt idx="131">
                  <c:v>1.044568837242259</c:v>
                </c:pt>
                <c:pt idx="132">
                  <c:v>1.0646448900540875</c:v>
                </c:pt>
                <c:pt idx="133">
                  <c:v>1.0807293511892111</c:v>
                </c:pt>
                <c:pt idx="134">
                  <c:v>1.0967901934386737</c:v>
                </c:pt>
                <c:pt idx="135">
                  <c:v>1.1128510356881363</c:v>
                </c:pt>
                <c:pt idx="136">
                  <c:v>1.1289354968232601</c:v>
                </c:pt>
                <c:pt idx="137">
                  <c:v>1.1449963390727227</c:v>
                </c:pt>
                <c:pt idx="138">
                  <c:v>1.165096010770212</c:v>
                </c:pt>
                <c:pt idx="139">
                  <c:v>1.1811568530196748</c:v>
                </c:pt>
                <c:pt idx="140">
                  <c:v>1.1972176952691373</c:v>
                </c:pt>
                <c:pt idx="141">
                  <c:v>1.2173173669666266</c:v>
                </c:pt>
                <c:pt idx="142">
                  <c:v>1.2333782092160892</c:v>
                </c:pt>
                <c:pt idx="143">
                  <c:v>1.2494626703512131</c:v>
                </c:pt>
                <c:pt idx="144">
                  <c:v>1.2655235126006756</c:v>
                </c:pt>
                <c:pt idx="145">
                  <c:v>1.2856231842981649</c:v>
                </c:pt>
                <c:pt idx="146">
                  <c:v>1.3016840265476277</c:v>
                </c:pt>
                <c:pt idx="147">
                  <c:v>1.3177448687970903</c:v>
                </c:pt>
                <c:pt idx="148">
                  <c:v>1.3338293299322139</c:v>
                </c:pt>
                <c:pt idx="149">
                  <c:v>1.3498901721816765</c:v>
                </c:pt>
                <c:pt idx="150">
                  <c:v>1.3659746333168001</c:v>
                </c:pt>
                <c:pt idx="151">
                  <c:v>1.3820354755662632</c:v>
                </c:pt>
                <c:pt idx="152">
                  <c:v>1.3980963178157257</c:v>
                </c:pt>
                <c:pt idx="153">
                  <c:v>1.418195989513215</c:v>
                </c:pt>
                <c:pt idx="154">
                  <c:v>1.4382720423250432</c:v>
                </c:pt>
                <c:pt idx="155">
                  <c:v>1.4583717140225325</c:v>
                </c:pt>
                <c:pt idx="156">
                  <c:v>1.4744325562719951</c:v>
                </c:pt>
                <c:pt idx="157">
                  <c:v>1.4945322279694846</c:v>
                </c:pt>
                <c:pt idx="158">
                  <c:v>1.5105930702189472</c:v>
                </c:pt>
                <c:pt idx="159">
                  <c:v>1.526677531354071</c:v>
                </c:pt>
                <c:pt idx="160">
                  <c:v>1.5467535841658993</c:v>
                </c:pt>
                <c:pt idx="161">
                  <c:v>1.5628144264153618</c:v>
                </c:pt>
                <c:pt idx="162">
                  <c:v>1.5788988875504855</c:v>
                </c:pt>
                <c:pt idx="163">
                  <c:v>1.5949597297999483</c:v>
                </c:pt>
                <c:pt idx="164">
                  <c:v>1.6110441909350719</c:v>
                </c:pt>
                <c:pt idx="165">
                  <c:v>1.6271050331845347</c:v>
                </c:pt>
                <c:pt idx="166">
                  <c:v>1.6431658754339971</c:v>
                </c:pt>
                <c:pt idx="167">
                  <c:v>1.6592503365691209</c:v>
                </c:pt>
                <c:pt idx="168">
                  <c:v>1.6753111788185835</c:v>
                </c:pt>
                <c:pt idx="169">
                  <c:v>1.6913956399537071</c:v>
                </c:pt>
                <c:pt idx="170">
                  <c:v>1.7074564822031699</c:v>
                </c:pt>
                <c:pt idx="171">
                  <c:v>1.7275325350149981</c:v>
                </c:pt>
                <c:pt idx="172">
                  <c:v>1.7436169961501216</c:v>
                </c:pt>
                <c:pt idx="173">
                  <c:v>1.7596778383995844</c:v>
                </c:pt>
                <c:pt idx="174">
                  <c:v>1.775762299534708</c:v>
                </c:pt>
                <c:pt idx="175">
                  <c:v>1.7958383523465367</c:v>
                </c:pt>
                <c:pt idx="176">
                  <c:v>1.8119228134816601</c:v>
                </c:pt>
                <c:pt idx="177">
                  <c:v>1.8279836557311226</c:v>
                </c:pt>
                <c:pt idx="178">
                  <c:v>1.8480597085429511</c:v>
                </c:pt>
                <c:pt idx="179">
                  <c:v>1.8641441696780747</c:v>
                </c:pt>
                <c:pt idx="180">
                  <c:v>1.884220222489903</c:v>
                </c:pt>
                <c:pt idx="181">
                  <c:v>1.9003046836250266</c:v>
                </c:pt>
                <c:pt idx="182">
                  <c:v>1.9163655258744894</c:v>
                </c:pt>
                <c:pt idx="183">
                  <c:v>1.9364651975719787</c:v>
                </c:pt>
                <c:pt idx="184">
                  <c:v>1.9525260398214415</c:v>
                </c:pt>
                <c:pt idx="185">
                  <c:v>1.972625711518931</c:v>
                </c:pt>
                <c:pt idx="186">
                  <c:v>1.9886865537683933</c:v>
                </c:pt>
                <c:pt idx="187">
                  <c:v>2.008762606580222</c:v>
                </c:pt>
                <c:pt idx="188">
                  <c:v>2.0248470677153456</c:v>
                </c:pt>
                <c:pt idx="189">
                  <c:v>2.0449231205271738</c:v>
                </c:pt>
                <c:pt idx="190">
                  <c:v>2.0650227922246631</c:v>
                </c:pt>
                <c:pt idx="191">
                  <c:v>2.0810836344741261</c:v>
                </c:pt>
                <c:pt idx="192">
                  <c:v>2.101183306171615</c:v>
                </c:pt>
                <c:pt idx="193">
                  <c:v>2.1212593589834432</c:v>
                </c:pt>
                <c:pt idx="194">
                  <c:v>2.1373438201185668</c:v>
                </c:pt>
                <c:pt idx="195">
                  <c:v>2.1534046623680299</c:v>
                </c:pt>
                <c:pt idx="196">
                  <c:v>2.169465504617492</c:v>
                </c:pt>
                <c:pt idx="197">
                  <c:v>2.1855499657526161</c:v>
                </c:pt>
                <c:pt idx="198">
                  <c:v>2.2016108080020786</c:v>
                </c:pt>
                <c:pt idx="199">
                  <c:v>2.2176952691372023</c:v>
                </c:pt>
                <c:pt idx="200">
                  <c:v>2.2337561113866653</c:v>
                </c:pt>
                <c:pt idx="201">
                  <c:v>2.2498169536361274</c:v>
                </c:pt>
                <c:pt idx="202">
                  <c:v>2.2699166253336172</c:v>
                </c:pt>
                <c:pt idx="203">
                  <c:v>2.2859774675830797</c:v>
                </c:pt>
                <c:pt idx="204">
                  <c:v>2.3020619287182034</c:v>
                </c:pt>
                <c:pt idx="205">
                  <c:v>2.3221379815300316</c:v>
                </c:pt>
                <c:pt idx="206">
                  <c:v>2.3382224426651557</c:v>
                </c:pt>
                <c:pt idx="207">
                  <c:v>2.3542832849146178</c:v>
                </c:pt>
                <c:pt idx="208">
                  <c:v>2.3744065754977686</c:v>
                </c:pt>
                <c:pt idx="209">
                  <c:v>2.3904674177472307</c:v>
                </c:pt>
                <c:pt idx="210">
                  <c:v>2.4065282599966937</c:v>
                </c:pt>
                <c:pt idx="211">
                  <c:v>2.426604312808522</c:v>
                </c:pt>
                <c:pt idx="212">
                  <c:v>2.4466803656203506</c:v>
                </c:pt>
                <c:pt idx="213">
                  <c:v>2.4667564184321784</c:v>
                </c:pt>
                <c:pt idx="214">
                  <c:v>2.4868324712440071</c:v>
                </c:pt>
                <c:pt idx="215">
                  <c:v>2.5069085240558353</c:v>
                </c:pt>
                <c:pt idx="216">
                  <c:v>2.5269845768676631</c:v>
                </c:pt>
                <c:pt idx="217">
                  <c:v>2.5470606296794922</c:v>
                </c:pt>
                <c:pt idx="218">
                  <c:v>2.56713668249132</c:v>
                </c:pt>
                <c:pt idx="219">
                  <c:v>2.5872127353031487</c:v>
                </c:pt>
                <c:pt idx="220">
                  <c:v>2.6072887881149769</c:v>
                </c:pt>
                <c:pt idx="221">
                  <c:v>2.6233496303644395</c:v>
                </c:pt>
                <c:pt idx="222">
                  <c:v>2.6394104726139025</c:v>
                </c:pt>
                <c:pt idx="223">
                  <c:v>2.6557075037199747</c:v>
                </c:pt>
                <c:pt idx="224">
                  <c:v>2.6757835565318033</c:v>
                </c:pt>
                <c:pt idx="225">
                  <c:v>2.6958596093436316</c:v>
                </c:pt>
                <c:pt idx="226">
                  <c:v>2.7159356621554598</c:v>
                </c:pt>
                <c:pt idx="227">
                  <c:v>2.736011714967288</c:v>
                </c:pt>
                <c:pt idx="228">
                  <c:v>2.752072557216751</c:v>
                </c:pt>
                <c:pt idx="229">
                  <c:v>2.7721486100285793</c:v>
                </c:pt>
                <c:pt idx="230">
                  <c:v>2.7922246628404075</c:v>
                </c:pt>
                <c:pt idx="231">
                  <c:v>2.8123007156522357</c:v>
                </c:pt>
                <c:pt idx="232">
                  <c:v>2.8323767684640644</c:v>
                </c:pt>
                <c:pt idx="233">
                  <c:v>2.8484376107135265</c:v>
                </c:pt>
                <c:pt idx="234">
                  <c:v>2.8685136635253552</c:v>
                </c:pt>
                <c:pt idx="235">
                  <c:v>2.8885897163371834</c:v>
                </c:pt>
                <c:pt idx="236">
                  <c:v>2.9046505585866464</c:v>
                </c:pt>
                <c:pt idx="237">
                  <c:v>2.9247266113984742</c:v>
                </c:pt>
                <c:pt idx="238">
                  <c:v>2.9407874536479373</c:v>
                </c:pt>
                <c:pt idx="239">
                  <c:v>2.9608635064597655</c:v>
                </c:pt>
                <c:pt idx="240">
                  <c:v>2.9809395592715937</c:v>
                </c:pt>
                <c:pt idx="241">
                  <c:v>2.9970004015210563</c:v>
                </c:pt>
                <c:pt idx="242">
                  <c:v>3.017076454332885</c:v>
                </c:pt>
                <c:pt idx="243">
                  <c:v>3.0331372965823471</c:v>
                </c:pt>
                <c:pt idx="244">
                  <c:v>3.0534495382507858</c:v>
                </c:pt>
                <c:pt idx="245">
                  <c:v>3.0695103805002488</c:v>
                </c:pt>
                <c:pt idx="246">
                  <c:v>3.0895864333120766</c:v>
                </c:pt>
                <c:pt idx="247">
                  <c:v>3.1176929072486361</c:v>
                </c:pt>
                <c:pt idx="248">
                  <c:v>3.1417841706228309</c:v>
                </c:pt>
                <c:pt idx="249">
                  <c:v>3.1698906445593904</c:v>
                </c:pt>
                <c:pt idx="250">
                  <c:v>3.1939819079335838</c:v>
                </c:pt>
                <c:pt idx="251">
                  <c:v>3.2220883818701438</c:v>
                </c:pt>
                <c:pt idx="252">
                  <c:v>3.2461796452443377</c:v>
                </c:pt>
                <c:pt idx="253">
                  <c:v>3.2742861191808972</c:v>
                </c:pt>
                <c:pt idx="254">
                  <c:v>3.2983773825550919</c:v>
                </c:pt>
                <c:pt idx="255">
                  <c:v>3.326483856491651</c:v>
                </c:pt>
                <c:pt idx="256">
                  <c:v>3.3505751198658453</c:v>
                </c:pt>
                <c:pt idx="257">
                  <c:v>3.3746663832400392</c:v>
                </c:pt>
                <c:pt idx="258">
                  <c:v>3.3987576466142331</c:v>
                </c:pt>
                <c:pt idx="259">
                  <c:v>3.4268641205507926</c:v>
                </c:pt>
                <c:pt idx="260">
                  <c:v>3.4509553839249874</c:v>
                </c:pt>
                <c:pt idx="261">
                  <c:v>3.4752828361557904</c:v>
                </c:pt>
                <c:pt idx="262">
                  <c:v>3.4993740995299842</c:v>
                </c:pt>
                <c:pt idx="263">
                  <c:v>3.523465362904179</c:v>
                </c:pt>
                <c:pt idx="264">
                  <c:v>3.5515718368407385</c:v>
                </c:pt>
                <c:pt idx="265">
                  <c:v>3.5756631002149319</c:v>
                </c:pt>
                <c:pt idx="266">
                  <c:v>3.5997543635891263</c:v>
                </c:pt>
                <c:pt idx="267">
                  <c:v>3.6238456269633201</c:v>
                </c:pt>
                <c:pt idx="268">
                  <c:v>3.6519521008998796</c:v>
                </c:pt>
                <c:pt idx="269">
                  <c:v>3.6760433642740735</c:v>
                </c:pt>
                <c:pt idx="270">
                  <c:v>3.7001346276482678</c:v>
                </c:pt>
                <c:pt idx="271">
                  <c:v>3.7282411015848274</c:v>
                </c:pt>
                <c:pt idx="272">
                  <c:v>3.7523323649590217</c:v>
                </c:pt>
                <c:pt idx="273">
                  <c:v>3.7764236283332151</c:v>
                </c:pt>
                <c:pt idx="274">
                  <c:v>3.8005148917074099</c:v>
                </c:pt>
                <c:pt idx="275">
                  <c:v>3.8246061550816037</c:v>
                </c:pt>
                <c:pt idx="276">
                  <c:v>3.8486974184557972</c:v>
                </c:pt>
                <c:pt idx="277">
                  <c:v>3.8730248706866015</c:v>
                </c:pt>
                <c:pt idx="278">
                  <c:v>3.8971161340607954</c:v>
                </c:pt>
                <c:pt idx="279">
                  <c:v>3.9212073974349893</c:v>
                </c:pt>
                <c:pt idx="280">
                  <c:v>3.9452986608091831</c:v>
                </c:pt>
                <c:pt idx="281">
                  <c:v>3.9734051347457426</c:v>
                </c:pt>
                <c:pt idx="282">
                  <c:v>3.997496398119937</c:v>
                </c:pt>
                <c:pt idx="283">
                  <c:v>4.0215876614941308</c:v>
                </c:pt>
                <c:pt idx="284">
                  <c:v>4.0456789248683247</c:v>
                </c:pt>
                <c:pt idx="285">
                  <c:v>4.0697701882425195</c:v>
                </c:pt>
                <c:pt idx="286">
                  <c:v>4.097876662179079</c:v>
                </c:pt>
                <c:pt idx="287">
                  <c:v>4.1219679255532728</c:v>
                </c:pt>
                <c:pt idx="288">
                  <c:v>4.1581048206145645</c:v>
                </c:pt>
                <c:pt idx="289">
                  <c:v>4.1902265051134888</c:v>
                </c:pt>
                <c:pt idx="290">
                  <c:v>4.2223481896124149</c:v>
                </c:pt>
                <c:pt idx="291">
                  <c:v>4.2584850846737057</c:v>
                </c:pt>
                <c:pt idx="292">
                  <c:v>4.2948581685916061</c:v>
                </c:pt>
                <c:pt idx="293">
                  <c:v>4.3269798530905312</c:v>
                </c:pt>
                <c:pt idx="294">
                  <c:v>4.363116748151822</c:v>
                </c:pt>
                <c:pt idx="295">
                  <c:v>4.3992536432131137</c:v>
                </c:pt>
                <c:pt idx="296">
                  <c:v>4.4313753277120398</c:v>
                </c:pt>
                <c:pt idx="297">
                  <c:v>4.4675122227733306</c:v>
                </c:pt>
                <c:pt idx="298">
                  <c:v>4.5036491178346214</c:v>
                </c:pt>
                <c:pt idx="299">
                  <c:v>4.5397860128959122</c:v>
                </c:pt>
                <c:pt idx="300">
                  <c:v>4.5759229079572039</c:v>
                </c:pt>
                <c:pt idx="301">
                  <c:v>4.6120598030184947</c:v>
                </c:pt>
                <c:pt idx="302">
                  <c:v>4.6481966980797855</c:v>
                </c:pt>
                <c:pt idx="303">
                  <c:v>4.6845697819976859</c:v>
                </c:pt>
                <c:pt idx="304">
                  <c:v>4.7207066770589767</c:v>
                </c:pt>
                <c:pt idx="305">
                  <c:v>4.7568435721202675</c:v>
                </c:pt>
                <c:pt idx="306">
                  <c:v>4.7929804671815583</c:v>
                </c:pt>
                <c:pt idx="307">
                  <c:v>4.82911736224285</c:v>
                </c:pt>
                <c:pt idx="308">
                  <c:v>4.8652542573041417</c:v>
                </c:pt>
                <c:pt idx="309">
                  <c:v>4.9054063629277973</c:v>
                </c:pt>
                <c:pt idx="310">
                  <c:v>4.941543257989089</c:v>
                </c:pt>
                <c:pt idx="311">
                  <c:v>4.9776801530503798</c:v>
                </c:pt>
                <c:pt idx="312">
                  <c:v>5.0138170481116706</c:v>
                </c:pt>
                <c:pt idx="313">
                  <c:v>5.0459387326105958</c:v>
                </c:pt>
                <c:pt idx="314">
                  <c:v>5.0863270270908627</c:v>
                </c:pt>
                <c:pt idx="315">
                  <c:v>5.1224639221521535</c:v>
                </c:pt>
                <c:pt idx="316">
                  <c:v>5.1545856066510787</c:v>
                </c:pt>
                <c:pt idx="317">
                  <c:v>5.194737712274736</c:v>
                </c:pt>
                <c:pt idx="318">
                  <c:v>5.2429202390231229</c:v>
                </c:pt>
                <c:pt idx="319">
                  <c:v>5.2911027657715115</c:v>
                </c:pt>
                <c:pt idx="320">
                  <c:v>5.3392852925198993</c:v>
                </c:pt>
                <c:pt idx="321">
                  <c:v>5.387467819268287</c:v>
                </c:pt>
                <c:pt idx="322">
                  <c:v>5.4356503460166756</c:v>
                </c:pt>
                <c:pt idx="323">
                  <c:v>5.4758024516403321</c:v>
                </c:pt>
                <c:pt idx="324">
                  <c:v>5.5242211672453294</c:v>
                </c:pt>
                <c:pt idx="325">
                  <c:v>5.5643732728689859</c:v>
                </c:pt>
                <c:pt idx="326">
                  <c:v>5.6045253784926432</c:v>
                </c:pt>
                <c:pt idx="327">
                  <c:v>5.6446774841162997</c:v>
                </c:pt>
                <c:pt idx="328">
                  <c:v>5.6888448003023226</c:v>
                </c:pt>
                <c:pt idx="329">
                  <c:v>5.7289969059259791</c:v>
                </c:pt>
                <c:pt idx="330">
                  <c:v>5.7691490115496356</c:v>
                </c:pt>
                <c:pt idx="331">
                  <c:v>5.8093011171732929</c:v>
                </c:pt>
                <c:pt idx="332">
                  <c:v>5.8494532227969485</c:v>
                </c:pt>
                <c:pt idx="333">
                  <c:v>5.8896053284206067</c:v>
                </c:pt>
                <c:pt idx="334">
                  <c:v>5.9340088334632375</c:v>
                </c:pt>
                <c:pt idx="335">
                  <c:v>5.9741609390868948</c:v>
                </c:pt>
                <c:pt idx="336">
                  <c:v>6.0143130447105504</c:v>
                </c:pt>
                <c:pt idx="337">
                  <c:v>6.0544651503342077</c:v>
                </c:pt>
                <c:pt idx="338">
                  <c:v>6.0986324665202289</c:v>
                </c:pt>
                <c:pt idx="339">
                  <c:v>6.1387845721438872</c:v>
                </c:pt>
                <c:pt idx="340">
                  <c:v>6.1789366777675436</c:v>
                </c:pt>
                <c:pt idx="341">
                  <c:v>6.231134415078297</c:v>
                </c:pt>
                <c:pt idx="342">
                  <c:v>6.2833321523890504</c:v>
                </c:pt>
                <c:pt idx="343">
                  <c:v>6.3357660785564143</c:v>
                </c:pt>
                <c:pt idx="344">
                  <c:v>6.3919790264295342</c:v>
                </c:pt>
                <c:pt idx="345">
                  <c:v>6.4441767637402876</c:v>
                </c:pt>
                <c:pt idx="346">
                  <c:v>6.5003897116134075</c:v>
                </c:pt>
                <c:pt idx="347">
                  <c:v>6.5525874489241609</c:v>
                </c:pt>
                <c:pt idx="348">
                  <c:v>6.6088003967972799</c:v>
                </c:pt>
                <c:pt idx="349">
                  <c:v>6.6609981341080333</c:v>
                </c:pt>
                <c:pt idx="350">
                  <c:v>6.7174472708377637</c:v>
                </c:pt>
                <c:pt idx="351">
                  <c:v>6.7736602187108828</c:v>
                </c:pt>
                <c:pt idx="352">
                  <c:v>6.8258579560216361</c:v>
                </c:pt>
                <c:pt idx="353">
                  <c:v>6.8820709038947552</c:v>
                </c:pt>
                <c:pt idx="354">
                  <c:v>6.9382838517678742</c:v>
                </c:pt>
                <c:pt idx="355">
                  <c:v>6.9944967996409932</c:v>
                </c:pt>
                <c:pt idx="356">
                  <c:v>7.0466945369517475</c:v>
                </c:pt>
                <c:pt idx="357">
                  <c:v>7.1029074848248666</c:v>
                </c:pt>
                <c:pt idx="358">
                  <c:v>7.1593566215545961</c:v>
                </c:pt>
                <c:pt idx="359">
                  <c:v>7.2155695694277151</c:v>
                </c:pt>
                <c:pt idx="360">
                  <c:v>7.2717825173008341</c:v>
                </c:pt>
                <c:pt idx="361">
                  <c:v>7.3279954651739532</c:v>
                </c:pt>
                <c:pt idx="362">
                  <c:v>7.3882236236094387</c:v>
                </c:pt>
                <c:pt idx="363">
                  <c:v>7.4444365714825578</c:v>
                </c:pt>
                <c:pt idx="364">
                  <c:v>7.5006495193556768</c:v>
                </c:pt>
                <c:pt idx="365">
                  <c:v>7.5611138666477729</c:v>
                </c:pt>
                <c:pt idx="366">
                  <c:v>7.6173268145208919</c:v>
                </c:pt>
                <c:pt idx="367">
                  <c:v>7.6775549729563775</c:v>
                </c:pt>
                <c:pt idx="368">
                  <c:v>7.7337679208294965</c:v>
                </c:pt>
                <c:pt idx="369">
                  <c:v>7.7939960792649821</c:v>
                </c:pt>
                <c:pt idx="370">
                  <c:v>7.8502090271381011</c:v>
                </c:pt>
                <c:pt idx="371">
                  <c:v>7.9104371855735867</c:v>
                </c:pt>
                <c:pt idx="372">
                  <c:v>7.9668863223033144</c:v>
                </c:pt>
                <c:pt idx="373">
                  <c:v>8.0230992701764343</c:v>
                </c:pt>
                <c:pt idx="374">
                  <c:v>8.0833274286119199</c:v>
                </c:pt>
                <c:pt idx="375">
                  <c:v>8.1435555870474055</c:v>
                </c:pt>
                <c:pt idx="376">
                  <c:v>8.2037837454828875</c:v>
                </c:pt>
                <c:pt idx="377">
                  <c:v>8.2599966933560101</c:v>
                </c:pt>
                <c:pt idx="378">
                  <c:v>8.3322704834785899</c:v>
                </c:pt>
                <c:pt idx="379">
                  <c:v>8.4007652518954163</c:v>
                </c:pt>
                <c:pt idx="380">
                  <c:v>8.473039042017998</c:v>
                </c:pt>
                <c:pt idx="381">
                  <c:v>8.5412976215782148</c:v>
                </c:pt>
                <c:pt idx="382">
                  <c:v>8.6135714117007964</c:v>
                </c:pt>
                <c:pt idx="383">
                  <c:v>8.6818299912610133</c:v>
                </c:pt>
                <c:pt idx="384">
                  <c:v>8.7543399702402045</c:v>
                </c:pt>
                <c:pt idx="385">
                  <c:v>8.8266137603627879</c:v>
                </c:pt>
                <c:pt idx="386">
                  <c:v>8.8988875504853695</c:v>
                </c:pt>
                <c:pt idx="387">
                  <c:v>8.9711613406079511</c:v>
                </c:pt>
                <c:pt idx="388">
                  <c:v>9.0354047096058014</c:v>
                </c:pt>
                <c:pt idx="389">
                  <c:v>9.1116937102907478</c:v>
                </c:pt>
                <c:pt idx="390">
                  <c:v>9.1842036892699408</c:v>
                </c:pt>
                <c:pt idx="391">
                  <c:v>9.2484470582677911</c:v>
                </c:pt>
                <c:pt idx="392">
                  <c:v>9.3247360589527393</c:v>
                </c:pt>
                <c:pt idx="393">
                  <c:v>9.3970098490753209</c:v>
                </c:pt>
                <c:pt idx="394">
                  <c:v>9.4732988497602673</c:v>
                </c:pt>
                <c:pt idx="395">
                  <c:v>9.5455726398828507</c:v>
                </c:pt>
                <c:pt idx="396">
                  <c:v>9.6261130399867749</c:v>
                </c:pt>
                <c:pt idx="397">
                  <c:v>9.7024020406717231</c:v>
                </c:pt>
                <c:pt idx="398">
                  <c:v>9.7786910413566694</c:v>
                </c:pt>
                <c:pt idx="399">
                  <c:v>9.8589952526039841</c:v>
                </c:pt>
                <c:pt idx="400">
                  <c:v>9.9352842532889305</c:v>
                </c:pt>
                <c:pt idx="401">
                  <c:v>10.011809442830488</c:v>
                </c:pt>
                <c:pt idx="402">
                  <c:v>10.092113654077801</c:v>
                </c:pt>
                <c:pt idx="403">
                  <c:v>10.172417865325116</c:v>
                </c:pt>
                <c:pt idx="404">
                  <c:v>10.248706866010062</c:v>
                </c:pt>
                <c:pt idx="405">
                  <c:v>10.329011077257377</c:v>
                </c:pt>
                <c:pt idx="406">
                  <c:v>10.409551477361299</c:v>
                </c:pt>
                <c:pt idx="407">
                  <c:v>10.489855688608612</c:v>
                </c:pt>
                <c:pt idx="408">
                  <c:v>10.570159899855925</c:v>
                </c:pt>
                <c:pt idx="409">
                  <c:v>10.650464111103238</c:v>
                </c:pt>
                <c:pt idx="410">
                  <c:v>10.730768322350553</c:v>
                </c:pt>
                <c:pt idx="411">
                  <c:v>10.811308722454475</c:v>
                </c:pt>
                <c:pt idx="412">
                  <c:v>10.891612933701788</c:v>
                </c:pt>
                <c:pt idx="413">
                  <c:v>10.983962776636201</c:v>
                </c:pt>
                <c:pt idx="414">
                  <c:v>11.07631261957061</c:v>
                </c:pt>
                <c:pt idx="415">
                  <c:v>11.156616830817923</c:v>
                </c:pt>
                <c:pt idx="416">
                  <c:v>11.249202862608943</c:v>
                </c:pt>
                <c:pt idx="417">
                  <c:v>11.337537494980987</c:v>
                </c:pt>
                <c:pt idx="418">
                  <c:v>11.429887337915398</c:v>
                </c:pt>
                <c:pt idx="419">
                  <c:v>11.526252391412175</c:v>
                </c:pt>
                <c:pt idx="420">
                  <c:v>11.618838423203195</c:v>
                </c:pt>
                <c:pt idx="421">
                  <c:v>11.711188266137604</c:v>
                </c:pt>
                <c:pt idx="422">
                  <c:v>11.803538109072015</c:v>
                </c:pt>
                <c:pt idx="423">
                  <c:v>11.899903162568791</c:v>
                </c:pt>
                <c:pt idx="424">
                  <c:v>11.992253005503201</c:v>
                </c:pt>
                <c:pt idx="425">
                  <c:v>12.084839037294222</c:v>
                </c:pt>
                <c:pt idx="426">
                  <c:v>12.181204090790999</c:v>
                </c:pt>
                <c:pt idx="427">
                  <c:v>12.273553933725408</c:v>
                </c:pt>
                <c:pt idx="428">
                  <c:v>12.369918987222185</c:v>
                </c:pt>
                <c:pt idx="429">
                  <c:v>12.46652022957557</c:v>
                </c:pt>
                <c:pt idx="430">
                  <c:v>12.562885283072346</c:v>
                </c:pt>
                <c:pt idx="431">
                  <c:v>12.671295968256219</c:v>
                </c:pt>
                <c:pt idx="432">
                  <c:v>12.767661021752996</c:v>
                </c:pt>
                <c:pt idx="433">
                  <c:v>12.86426226410638</c:v>
                </c:pt>
                <c:pt idx="434">
                  <c:v>12.960627317603159</c:v>
                </c:pt>
                <c:pt idx="435">
                  <c:v>13.056992371099934</c:v>
                </c:pt>
                <c:pt idx="436">
                  <c:v>13.165403056283806</c:v>
                </c:pt>
                <c:pt idx="437">
                  <c:v>13.262004298637191</c:v>
                </c:pt>
                <c:pt idx="438">
                  <c:v>13.35836935213397</c:v>
                </c:pt>
                <c:pt idx="439">
                  <c:v>13.45874961619311</c:v>
                </c:pt>
                <c:pt idx="440">
                  <c:v>13.571175511939348</c:v>
                </c:pt>
                <c:pt idx="441">
                  <c:v>13.683837596542196</c:v>
                </c:pt>
                <c:pt idx="442">
                  <c:v>13.8002787028508</c:v>
                </c:pt>
                <c:pt idx="443">
                  <c:v>13.912704598597038</c:v>
                </c:pt>
                <c:pt idx="444">
                  <c:v>14.029381893762253</c:v>
                </c:pt>
                <c:pt idx="445">
                  <c:v>14.145823000070857</c:v>
                </c:pt>
                <c:pt idx="446">
                  <c:v>14.262264106379462</c:v>
                </c:pt>
                <c:pt idx="447">
                  <c:v>14.366659581000969</c:v>
                </c:pt>
                <c:pt idx="448">
                  <c:v>14.471291244479088</c:v>
                </c:pt>
                <c:pt idx="449">
                  <c:v>14.591747561350054</c:v>
                </c:pt>
                <c:pt idx="450">
                  <c:v>14.712203878221025</c:v>
                </c:pt>
                <c:pt idx="451">
                  <c:v>14.828644984529634</c:v>
                </c:pt>
                <c:pt idx="452">
                  <c:v>14.949337490257212</c:v>
                </c:pt>
                <c:pt idx="453">
                  <c:v>15.065778596565817</c:v>
                </c:pt>
                <c:pt idx="454">
                  <c:v>15.186234913436785</c:v>
                </c:pt>
                <c:pt idx="455">
                  <c:v>15.306927419164367</c:v>
                </c:pt>
                <c:pt idx="456">
                  <c:v>15.427383736035335</c:v>
                </c:pt>
                <c:pt idx="457">
                  <c:v>15.551855263468672</c:v>
                </c:pt>
                <c:pt idx="458">
                  <c:v>15.67254776919625</c:v>
                </c:pt>
                <c:pt idx="459">
                  <c:v>15.793004086067221</c:v>
                </c:pt>
                <c:pt idx="460">
                  <c:v>15.925506034625288</c:v>
                </c:pt>
                <c:pt idx="461">
                  <c:v>16.045962351496257</c:v>
                </c:pt>
                <c:pt idx="462">
                  <c:v>16.16665485722384</c:v>
                </c:pt>
                <c:pt idx="463">
                  <c:v>16.287111174094811</c:v>
                </c:pt>
                <c:pt idx="464">
                  <c:v>16.411582701528143</c:v>
                </c:pt>
                <c:pt idx="465">
                  <c:v>16.532275207255726</c:v>
                </c:pt>
                <c:pt idx="466">
                  <c:v>16.668792366376156</c:v>
                </c:pt>
                <c:pt idx="467">
                  <c:v>16.805309525496586</c:v>
                </c:pt>
                <c:pt idx="468">
                  <c:v>16.942062873473628</c:v>
                </c:pt>
                <c:pt idx="469">
                  <c:v>17.078580032594065</c:v>
                </c:pt>
                <c:pt idx="470">
                  <c:v>17.215097191714495</c:v>
                </c:pt>
                <c:pt idx="471">
                  <c:v>17.355865750253905</c:v>
                </c:pt>
                <c:pt idx="472">
                  <c:v>17.492382909374339</c:v>
                </c:pt>
                <c:pt idx="473">
                  <c:v>17.628900068494772</c:v>
                </c:pt>
                <c:pt idx="474">
                  <c:v>17.765653416471814</c:v>
                </c:pt>
                <c:pt idx="475">
                  <c:v>17.906185786154609</c:v>
                </c:pt>
                <c:pt idx="476">
                  <c:v>18.042702945275042</c:v>
                </c:pt>
                <c:pt idx="477">
                  <c:v>18.179456293252088</c:v>
                </c:pt>
                <c:pt idx="478">
                  <c:v>18.319988662934886</c:v>
                </c:pt>
                <c:pt idx="479">
                  <c:v>18.460521032617685</c:v>
                </c:pt>
                <c:pt idx="480">
                  <c:v>18.597274380594726</c:v>
                </c:pt>
                <c:pt idx="481">
                  <c:v>18.749852381964619</c:v>
                </c:pt>
                <c:pt idx="482">
                  <c:v>18.90644559389688</c:v>
                </c:pt>
                <c:pt idx="483">
                  <c:v>19.059259784123388</c:v>
                </c:pt>
                <c:pt idx="484">
                  <c:v>19.215852996055649</c:v>
                </c:pt>
                <c:pt idx="485">
                  <c:v>19.372682396844521</c:v>
                </c:pt>
                <c:pt idx="486">
                  <c:v>19.529275608776782</c:v>
                </c:pt>
                <c:pt idx="487">
                  <c:v>19.673823189021945</c:v>
                </c:pt>
                <c:pt idx="488">
                  <c:v>19.830652589810814</c:v>
                </c:pt>
                <c:pt idx="489">
                  <c:v>19.991261012305444</c:v>
                </c:pt>
                <c:pt idx="490">
                  <c:v>20.152105623656681</c:v>
                </c:pt>
                <c:pt idx="491">
                  <c:v>20.316729256713675</c:v>
                </c:pt>
                <c:pt idx="492">
                  <c:v>20.485368100333027</c:v>
                </c:pt>
                <c:pt idx="493">
                  <c:v>20.650227922246629</c:v>
                </c:pt>
                <c:pt idx="494">
                  <c:v>20.814851555303623</c:v>
                </c:pt>
                <c:pt idx="495">
                  <c:v>20.979711377217225</c:v>
                </c:pt>
                <c:pt idx="496">
                  <c:v>21.144335010274215</c:v>
                </c:pt>
                <c:pt idx="497">
                  <c:v>21.308958643331213</c:v>
                </c:pt>
                <c:pt idx="498">
                  <c:v>21.473818465244811</c:v>
                </c:pt>
                <c:pt idx="499">
                  <c:v>21.642457308864174</c:v>
                </c:pt>
                <c:pt idx="500">
                  <c:v>21.823377973027238</c:v>
                </c:pt>
                <c:pt idx="501">
                  <c:v>22.004062448333688</c:v>
                </c:pt>
                <c:pt idx="502">
                  <c:v>22.184983112496752</c:v>
                </c:pt>
                <c:pt idx="503">
                  <c:v>22.357637166678479</c:v>
                </c:pt>
                <c:pt idx="504">
                  <c:v>22.538321641984933</c:v>
                </c:pt>
                <c:pt idx="505">
                  <c:v>22.711211885023271</c:v>
                </c:pt>
                <c:pt idx="506">
                  <c:v>22.887881149767352</c:v>
                </c:pt>
                <c:pt idx="507">
                  <c:v>23.064786603368056</c:v>
                </c:pt>
                <c:pt idx="508">
                  <c:v>23.241455868112144</c:v>
                </c:pt>
                <c:pt idx="509">
                  <c:v>23.418361321712844</c:v>
                </c:pt>
                <c:pt idx="510">
                  <c:v>23.599045797019301</c:v>
                </c:pt>
                <c:pt idx="511">
                  <c:v>23.774770306336951</c:v>
                </c:pt>
                <c:pt idx="512">
                  <c:v>23.973168945889135</c:v>
                </c:pt>
                <c:pt idx="513">
                  <c:v>24.16920569687522</c:v>
                </c:pt>
                <c:pt idx="514">
                  <c:v>24.362880559295213</c:v>
                </c:pt>
                <c:pt idx="515">
                  <c:v>24.558917310281302</c:v>
                </c:pt>
                <c:pt idx="516">
                  <c:v>24.754954061267391</c:v>
                </c:pt>
                <c:pt idx="517">
                  <c:v>24.958076477951771</c:v>
                </c:pt>
                <c:pt idx="518">
                  <c:v>25.158837006070058</c:v>
                </c:pt>
                <c:pt idx="519">
                  <c:v>25.354873757056144</c:v>
                </c:pt>
                <c:pt idx="520">
                  <c:v>25.550910508042232</c:v>
                </c:pt>
                <c:pt idx="521">
                  <c:v>25.751671036160513</c:v>
                </c:pt>
                <c:pt idx="522">
                  <c:v>25.957155341410996</c:v>
                </c:pt>
                <c:pt idx="523">
                  <c:v>26.169725312359766</c:v>
                </c:pt>
                <c:pt idx="524">
                  <c:v>26.379933394742441</c:v>
                </c:pt>
                <c:pt idx="525">
                  <c:v>26.583055811426817</c:v>
                </c:pt>
                <c:pt idx="526">
                  <c:v>26.793263893809495</c:v>
                </c:pt>
                <c:pt idx="527">
                  <c:v>27.017643307588752</c:v>
                </c:pt>
                <c:pt idx="528">
                  <c:v>27.242022721368013</c:v>
                </c:pt>
                <c:pt idx="529">
                  <c:v>27.468764023713366</c:v>
                </c:pt>
                <c:pt idx="530">
                  <c:v>27.693143437492619</c:v>
                </c:pt>
                <c:pt idx="531">
                  <c:v>27.912799074139684</c:v>
                </c:pt>
                <c:pt idx="532">
                  <c:v>28.134816599352849</c:v>
                </c:pt>
                <c:pt idx="533">
                  <c:v>28.359196013132102</c:v>
                </c:pt>
                <c:pt idx="534">
                  <c:v>28.581213538345263</c:v>
                </c:pt>
                <c:pt idx="535">
                  <c:v>28.800869174992329</c:v>
                </c:pt>
                <c:pt idx="536">
                  <c:v>29.039419920168168</c:v>
                </c:pt>
                <c:pt idx="537">
                  <c:v>29.275608776777915</c:v>
                </c:pt>
                <c:pt idx="538">
                  <c:v>29.499988190557175</c:v>
                </c:pt>
                <c:pt idx="539">
                  <c:v>29.740900824299111</c:v>
                </c:pt>
                <c:pt idx="540">
                  <c:v>29.979451569474953</c:v>
                </c:pt>
                <c:pt idx="541">
                  <c:v>30.220364203216896</c:v>
                </c:pt>
                <c:pt idx="542">
                  <c:v>30.456553059826643</c:v>
                </c:pt>
                <c:pt idx="543">
                  <c:v>30.695103805002482</c:v>
                </c:pt>
                <c:pt idx="544">
                  <c:v>30.931292661612229</c:v>
                </c:pt>
                <c:pt idx="545">
                  <c:v>31.184014738184654</c:v>
                </c:pt>
                <c:pt idx="546">
                  <c:v>31.424927371926593</c:v>
                </c:pt>
                <c:pt idx="547">
                  <c:v>31.665840005668535</c:v>
                </c:pt>
                <c:pt idx="548">
                  <c:v>31.906752639410477</c:v>
                </c:pt>
                <c:pt idx="549">
                  <c:v>32.168922270247293</c:v>
                </c:pt>
                <c:pt idx="550">
                  <c:v>32.42873001251801</c:v>
                </c:pt>
                <c:pt idx="551">
                  <c:v>32.679090200524342</c:v>
                </c:pt>
                <c:pt idx="552">
                  <c:v>32.938897942795059</c:v>
                </c:pt>
                <c:pt idx="553">
                  <c:v>33.205791350764081</c:v>
                </c:pt>
                <c:pt idx="554">
                  <c:v>33.465599093034797</c:v>
                </c:pt>
                <c:pt idx="555">
                  <c:v>33.727768723871613</c:v>
                </c:pt>
                <c:pt idx="556">
                  <c:v>33.985214577576237</c:v>
                </c:pt>
                <c:pt idx="557">
                  <c:v>34.261555539809635</c:v>
                </c:pt>
                <c:pt idx="558">
                  <c:v>34.530810836344742</c:v>
                </c:pt>
                <c:pt idx="559">
                  <c:v>34.800066132879856</c:v>
                </c:pt>
                <c:pt idx="560">
                  <c:v>35.069321429414963</c:v>
                </c:pt>
                <c:pt idx="561">
                  <c:v>35.343300503082268</c:v>
                </c:pt>
                <c:pt idx="562">
                  <c:v>35.626727131013965</c:v>
                </c:pt>
                <c:pt idx="563">
                  <c:v>35.907791870379562</c:v>
                </c:pt>
                <c:pt idx="564">
                  <c:v>36.191218498311251</c:v>
                </c:pt>
                <c:pt idx="565">
                  <c:v>36.47464512624294</c:v>
                </c:pt>
                <c:pt idx="566">
                  <c:v>36.765157419872935</c:v>
                </c:pt>
                <c:pt idx="567">
                  <c:v>37.046222159238532</c:v>
                </c:pt>
                <c:pt idx="568">
                  <c:v>37.343820118566811</c:v>
                </c:pt>
                <c:pt idx="569">
                  <c:v>37.643779966461182</c:v>
                </c:pt>
                <c:pt idx="570">
                  <c:v>37.934292260091169</c:v>
                </c:pt>
                <c:pt idx="571">
                  <c:v>38.222442665155057</c:v>
                </c:pt>
                <c:pt idx="572">
                  <c:v>38.531850067313826</c:v>
                </c:pt>
                <c:pt idx="573">
                  <c:v>38.836533692340396</c:v>
                </c:pt>
                <c:pt idx="574">
                  <c:v>39.145941094499172</c:v>
                </c:pt>
                <c:pt idx="575">
                  <c:v>39.455348496657933</c:v>
                </c:pt>
                <c:pt idx="576">
                  <c:v>39.762394010250595</c:v>
                </c:pt>
                <c:pt idx="577">
                  <c:v>40.067077635277172</c:v>
                </c:pt>
                <c:pt idx="578">
                  <c:v>40.383570703134232</c:v>
                </c:pt>
                <c:pt idx="579">
                  <c:v>40.702425659557385</c:v>
                </c:pt>
                <c:pt idx="580">
                  <c:v>41.014194950282253</c:v>
                </c:pt>
                <c:pt idx="581">
                  <c:v>41.335411795271504</c:v>
                </c:pt>
                <c:pt idx="582">
                  <c:v>41.666076194525147</c:v>
                </c:pt>
                <c:pt idx="583">
                  <c:v>41.999102482344888</c:v>
                </c:pt>
                <c:pt idx="584">
                  <c:v>42.32976688159853</c:v>
                </c:pt>
                <c:pt idx="585">
                  <c:v>42.669878835116556</c:v>
                </c:pt>
                <c:pt idx="586">
                  <c:v>43.000543234370198</c:v>
                </c:pt>
                <c:pt idx="587">
                  <c:v>43.340655187888245</c:v>
                </c:pt>
                <c:pt idx="588">
                  <c:v>43.678405252840179</c:v>
                </c:pt>
                <c:pt idx="589">
                  <c:v>44.020879094924311</c:v>
                </c:pt>
                <c:pt idx="590">
                  <c:v>44.360991048442344</c:v>
                </c:pt>
                <c:pt idx="591">
                  <c:v>44.715274333356959</c:v>
                </c:pt>
                <c:pt idx="592">
                  <c:v>45.060110064007183</c:v>
                </c:pt>
                <c:pt idx="593">
                  <c:v>45.414393348921799</c:v>
                </c:pt>
                <c:pt idx="594">
                  <c:v>45.77103852240252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5E-4CB3-A004-2FA832C158F4}"/>
            </c:ext>
          </c:extLst>
        </c:ser>
        <c:ser>
          <c:idx val="5"/>
          <c:order val="2"/>
          <c:tx>
            <c:strRef>
              <c:f>{"A22-3"}</c:f>
              <c:strCache>
                <c:ptCount val="1"/>
                <c:pt idx="0">
                  <c:v>A22-3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'A22-3'!$C$2:$C$600</c:f>
              <c:numCache>
                <c:formatCode>0.00</c:formatCode>
                <c:ptCount val="599"/>
                <c:pt idx="0">
                  <c:v>1.0608599999999999E-4</c:v>
                </c:pt>
                <c:pt idx="1">
                  <c:v>8.6376000000000005E-3</c:v>
                </c:pt>
                <c:pt idx="2">
                  <c:v>8.7195999999999992E-3</c:v>
                </c:pt>
                <c:pt idx="3">
                  <c:v>8.8032000000000006E-3</c:v>
                </c:pt>
                <c:pt idx="4">
                  <c:v>8.8890000000000011E-3</c:v>
                </c:pt>
                <c:pt idx="5">
                  <c:v>8.972599999999999E-3</c:v>
                </c:pt>
                <c:pt idx="6">
                  <c:v>9.0546000000000012E-3</c:v>
                </c:pt>
                <c:pt idx="7">
                  <c:v>9.1363999999999994E-3</c:v>
                </c:pt>
                <c:pt idx="8">
                  <c:v>9.2201999999999996E-3</c:v>
                </c:pt>
                <c:pt idx="9">
                  <c:v>9.3039999999999998E-3</c:v>
                </c:pt>
                <c:pt idx="10">
                  <c:v>9.3876000000000012E-3</c:v>
                </c:pt>
                <c:pt idx="11">
                  <c:v>9.4713999999999996E-3</c:v>
                </c:pt>
                <c:pt idx="12">
                  <c:v>9.5534000000000001E-3</c:v>
                </c:pt>
                <c:pt idx="13">
                  <c:v>9.6369999999999997E-3</c:v>
                </c:pt>
                <c:pt idx="14">
                  <c:v>9.7207999999999999E-3</c:v>
                </c:pt>
                <c:pt idx="15">
                  <c:v>9.8046000000000001E-3</c:v>
                </c:pt>
                <c:pt idx="16">
                  <c:v>9.8884000000000003E-3</c:v>
                </c:pt>
                <c:pt idx="17">
                  <c:v>9.972E-3</c:v>
                </c:pt>
                <c:pt idx="18">
                  <c:v>1.0052200000000001E-2</c:v>
                </c:pt>
                <c:pt idx="19">
                  <c:v>1.0137799999999999E-2</c:v>
                </c:pt>
                <c:pt idx="20">
                  <c:v>1.02214E-2</c:v>
                </c:pt>
                <c:pt idx="21">
                  <c:v>1.03052E-2</c:v>
                </c:pt>
                <c:pt idx="22">
                  <c:v>1.0387200000000001E-2</c:v>
                </c:pt>
                <c:pt idx="23">
                  <c:v>1.0470800000000001E-2</c:v>
                </c:pt>
                <c:pt idx="24">
                  <c:v>1.0554600000000001E-2</c:v>
                </c:pt>
                <c:pt idx="25">
                  <c:v>1.0638399999999999E-2</c:v>
                </c:pt>
                <c:pt idx="26">
                  <c:v>1.0720199999999999E-2</c:v>
                </c:pt>
                <c:pt idx="27">
                  <c:v>1.0804000000000001E-2</c:v>
                </c:pt>
                <c:pt idx="28">
                  <c:v>1.0887800000000001E-2</c:v>
                </c:pt>
                <c:pt idx="29">
                  <c:v>1.0997600000000001E-2</c:v>
                </c:pt>
                <c:pt idx="30">
                  <c:v>1.11092E-2</c:v>
                </c:pt>
                <c:pt idx="31">
                  <c:v>1.1221000000000002E-2</c:v>
                </c:pt>
                <c:pt idx="32">
                  <c:v>1.13326E-2</c:v>
                </c:pt>
                <c:pt idx="33">
                  <c:v>1.1442399999999998E-2</c:v>
                </c:pt>
                <c:pt idx="34">
                  <c:v>1.1554E-2</c:v>
                </c:pt>
                <c:pt idx="35">
                  <c:v>1.1665799999999999E-2</c:v>
                </c:pt>
                <c:pt idx="36">
                  <c:v>1.17774E-2</c:v>
                </c:pt>
                <c:pt idx="37">
                  <c:v>1.1887200000000001E-2</c:v>
                </c:pt>
                <c:pt idx="38">
                  <c:v>1.19988E-2</c:v>
                </c:pt>
                <c:pt idx="39">
                  <c:v>1.2108799999999999E-2</c:v>
                </c:pt>
                <c:pt idx="40">
                  <c:v>1.22186E-2</c:v>
                </c:pt>
                <c:pt idx="41">
                  <c:v>1.2332000000000001E-2</c:v>
                </c:pt>
                <c:pt idx="42">
                  <c:v>1.2441800000000001E-2</c:v>
                </c:pt>
                <c:pt idx="43">
                  <c:v>1.25536E-2</c:v>
                </c:pt>
                <c:pt idx="44">
                  <c:v>1.2665200000000001E-2</c:v>
                </c:pt>
                <c:pt idx="45">
                  <c:v>1.27768E-2</c:v>
                </c:pt>
                <c:pt idx="46">
                  <c:v>1.2888599999999998E-2</c:v>
                </c:pt>
                <c:pt idx="47">
                  <c:v>1.29984E-2</c:v>
                </c:pt>
                <c:pt idx="48">
                  <c:v>1.311E-2</c:v>
                </c:pt>
                <c:pt idx="49">
                  <c:v>1.32216E-2</c:v>
                </c:pt>
                <c:pt idx="50">
                  <c:v>1.33334E-2</c:v>
                </c:pt>
                <c:pt idx="51">
                  <c:v>1.3443199999999999E-2</c:v>
                </c:pt>
                <c:pt idx="52">
                  <c:v>1.3554800000000001E-2</c:v>
                </c:pt>
                <c:pt idx="53">
                  <c:v>1.3664600000000001E-2</c:v>
                </c:pt>
                <c:pt idx="54">
                  <c:v>1.3774399999999999E-2</c:v>
                </c:pt>
                <c:pt idx="55">
                  <c:v>1.3888000000000001E-2</c:v>
                </c:pt>
                <c:pt idx="56">
                  <c:v>1.3997799999999999E-2</c:v>
                </c:pt>
                <c:pt idx="57">
                  <c:v>1.4109400000000001E-2</c:v>
                </c:pt>
                <c:pt idx="58">
                  <c:v>1.42212E-2</c:v>
                </c:pt>
                <c:pt idx="59">
                  <c:v>1.4332800000000001E-2</c:v>
                </c:pt>
                <c:pt idx="60">
                  <c:v>1.44706E-2</c:v>
                </c:pt>
                <c:pt idx="61">
                  <c:v>1.45822E-2</c:v>
                </c:pt>
                <c:pt idx="62">
                  <c:v>1.472E-2</c:v>
                </c:pt>
                <c:pt idx="63">
                  <c:v>1.4859599999999999E-2</c:v>
                </c:pt>
                <c:pt idx="64">
                  <c:v>1.4997199999999999E-2</c:v>
                </c:pt>
                <c:pt idx="65">
                  <c:v>1.5136799999999999E-2</c:v>
                </c:pt>
                <c:pt idx="66">
                  <c:v>1.5276400000000001E-2</c:v>
                </c:pt>
                <c:pt idx="67">
                  <c:v>1.5416000000000001E-2</c:v>
                </c:pt>
                <c:pt idx="68">
                  <c:v>1.55538E-2</c:v>
                </c:pt>
                <c:pt idx="69">
                  <c:v>1.56934E-2</c:v>
                </c:pt>
                <c:pt idx="70">
                  <c:v>1.5830999999999998E-2</c:v>
                </c:pt>
                <c:pt idx="71">
                  <c:v>1.5970599999999998E-2</c:v>
                </c:pt>
                <c:pt idx="72">
                  <c:v>1.6110199999999998E-2</c:v>
                </c:pt>
                <c:pt idx="73">
                  <c:v>1.6247999999999999E-2</c:v>
                </c:pt>
                <c:pt idx="74">
                  <c:v>1.6389400000000002E-2</c:v>
                </c:pt>
                <c:pt idx="75">
                  <c:v>1.6527199999999999E-2</c:v>
                </c:pt>
                <c:pt idx="76">
                  <c:v>1.66648E-2</c:v>
                </c:pt>
                <c:pt idx="77">
                  <c:v>1.6804400000000001E-2</c:v>
                </c:pt>
                <c:pt idx="78">
                  <c:v>1.6944000000000001E-2</c:v>
                </c:pt>
                <c:pt idx="79">
                  <c:v>1.7081800000000001E-2</c:v>
                </c:pt>
                <c:pt idx="80">
                  <c:v>1.7221400000000001E-2</c:v>
                </c:pt>
                <c:pt idx="81">
                  <c:v>1.7361000000000001E-2</c:v>
                </c:pt>
                <c:pt idx="82">
                  <c:v>1.74968E-2</c:v>
                </c:pt>
                <c:pt idx="83">
                  <c:v>1.76382E-2</c:v>
                </c:pt>
                <c:pt idx="84">
                  <c:v>1.7776E-2</c:v>
                </c:pt>
                <c:pt idx="85">
                  <c:v>1.79156E-2</c:v>
                </c:pt>
                <c:pt idx="86">
                  <c:v>1.80552E-2</c:v>
                </c:pt>
                <c:pt idx="87">
                  <c:v>1.8220799999999999E-2</c:v>
                </c:pt>
                <c:pt idx="88">
                  <c:v>1.8360399999999999E-2</c:v>
                </c:pt>
                <c:pt idx="89">
                  <c:v>1.8526000000000001E-2</c:v>
                </c:pt>
                <c:pt idx="90">
                  <c:v>1.8665600000000001E-2</c:v>
                </c:pt>
                <c:pt idx="91">
                  <c:v>1.8805200000000001E-2</c:v>
                </c:pt>
                <c:pt idx="92">
                  <c:v>1.8970799999999999E-2</c:v>
                </c:pt>
                <c:pt idx="93">
                  <c:v>1.91104E-2</c:v>
                </c:pt>
                <c:pt idx="94">
                  <c:v>1.92482E-2</c:v>
                </c:pt>
                <c:pt idx="95">
                  <c:v>1.93878E-2</c:v>
                </c:pt>
                <c:pt idx="96">
                  <c:v>1.9527200000000002E-2</c:v>
                </c:pt>
                <c:pt idx="97">
                  <c:v>1.9663200000000002E-2</c:v>
                </c:pt>
                <c:pt idx="98">
                  <c:v>1.9774799999999999E-2</c:v>
                </c:pt>
                <c:pt idx="99">
                  <c:v>1.9916199999999998E-2</c:v>
                </c:pt>
                <c:pt idx="100">
                  <c:v>2.0055999999999997E-2</c:v>
                </c:pt>
                <c:pt idx="101">
                  <c:v>2.0166E-2</c:v>
                </c:pt>
                <c:pt idx="102">
                  <c:v>2.0304000000000003E-2</c:v>
                </c:pt>
                <c:pt idx="103">
                  <c:v>2.0442000000000002E-2</c:v>
                </c:pt>
                <c:pt idx="104">
                  <c:v>2.0554000000000003E-2</c:v>
                </c:pt>
                <c:pt idx="105">
                  <c:v>2.0691999999999999E-2</c:v>
                </c:pt>
                <c:pt idx="106">
                  <c:v>2.0804E-2</c:v>
                </c:pt>
                <c:pt idx="107">
                  <c:v>2.0943999999999997E-2</c:v>
                </c:pt>
                <c:pt idx="108">
                  <c:v>2.1084000000000002E-2</c:v>
                </c:pt>
                <c:pt idx="109">
                  <c:v>2.1194000000000001E-2</c:v>
                </c:pt>
                <c:pt idx="110">
                  <c:v>2.1330000000000002E-2</c:v>
                </c:pt>
                <c:pt idx="111">
                  <c:v>2.1442000000000003E-2</c:v>
                </c:pt>
                <c:pt idx="112">
                  <c:v>2.1582E-2</c:v>
                </c:pt>
                <c:pt idx="113">
                  <c:v>2.1694000000000001E-2</c:v>
                </c:pt>
                <c:pt idx="114">
                  <c:v>2.1806000000000002E-2</c:v>
                </c:pt>
                <c:pt idx="115">
                  <c:v>2.1943999999999998E-2</c:v>
                </c:pt>
                <c:pt idx="116">
                  <c:v>2.2054000000000001E-2</c:v>
                </c:pt>
                <c:pt idx="117">
                  <c:v>2.2164000000000003E-2</c:v>
                </c:pt>
                <c:pt idx="118">
                  <c:v>2.2275999999999997E-2</c:v>
                </c:pt>
                <c:pt idx="119">
                  <c:v>2.2387999999999998E-2</c:v>
                </c:pt>
                <c:pt idx="120">
                  <c:v>2.2499999999999999E-2</c:v>
                </c:pt>
                <c:pt idx="121">
                  <c:v>2.2610000000000002E-2</c:v>
                </c:pt>
                <c:pt idx="122">
                  <c:v>2.2722000000000003E-2</c:v>
                </c:pt>
                <c:pt idx="123">
                  <c:v>2.2831999999999998E-2</c:v>
                </c:pt>
                <c:pt idx="124">
                  <c:v>2.2943999999999999E-2</c:v>
                </c:pt>
                <c:pt idx="125">
                  <c:v>2.3054000000000002E-2</c:v>
                </c:pt>
                <c:pt idx="126">
                  <c:v>2.3166000000000003E-2</c:v>
                </c:pt>
                <c:pt idx="127">
                  <c:v>2.3275999999999998E-2</c:v>
                </c:pt>
                <c:pt idx="128">
                  <c:v>2.3386000000000001E-2</c:v>
                </c:pt>
                <c:pt idx="129">
                  <c:v>2.3498000000000002E-2</c:v>
                </c:pt>
                <c:pt idx="130">
                  <c:v>2.3607999999999997E-2</c:v>
                </c:pt>
                <c:pt idx="131">
                  <c:v>2.3719999999999998E-2</c:v>
                </c:pt>
                <c:pt idx="132">
                  <c:v>2.3831999999999999E-2</c:v>
                </c:pt>
                <c:pt idx="133">
                  <c:v>2.3916E-2</c:v>
                </c:pt>
                <c:pt idx="134">
                  <c:v>2.4026000000000002E-2</c:v>
                </c:pt>
                <c:pt idx="135">
                  <c:v>2.4109999999999999E-2</c:v>
                </c:pt>
                <c:pt idx="136">
                  <c:v>2.4222E-2</c:v>
                </c:pt>
                <c:pt idx="137">
                  <c:v>2.4304000000000003E-2</c:v>
                </c:pt>
                <c:pt idx="138">
                  <c:v>2.4413999999999998E-2</c:v>
                </c:pt>
                <c:pt idx="139">
                  <c:v>2.4525999999999999E-2</c:v>
                </c:pt>
                <c:pt idx="140">
                  <c:v>2.4636000000000002E-2</c:v>
                </c:pt>
                <c:pt idx="141">
                  <c:v>2.4748000000000003E-2</c:v>
                </c:pt>
                <c:pt idx="142">
                  <c:v>2.4832E-2</c:v>
                </c:pt>
                <c:pt idx="143">
                  <c:v>2.4916000000000001E-2</c:v>
                </c:pt>
                <c:pt idx="144">
                  <c:v>2.5000000000000001E-2</c:v>
                </c:pt>
                <c:pt idx="145">
                  <c:v>2.5108000000000002E-2</c:v>
                </c:pt>
                <c:pt idx="146">
                  <c:v>2.5219999999999999E-2</c:v>
                </c:pt>
                <c:pt idx="147">
                  <c:v>2.5304000000000004E-2</c:v>
                </c:pt>
                <c:pt idx="148">
                  <c:v>2.5388000000000001E-2</c:v>
                </c:pt>
                <c:pt idx="149">
                  <c:v>2.5470000000000003E-2</c:v>
                </c:pt>
                <c:pt idx="150">
                  <c:v>2.5552000000000002E-2</c:v>
                </c:pt>
                <c:pt idx="151">
                  <c:v>2.5638000000000001E-2</c:v>
                </c:pt>
                <c:pt idx="152">
                  <c:v>2.5722000000000002E-2</c:v>
                </c:pt>
                <c:pt idx="153">
                  <c:v>2.5804000000000001E-2</c:v>
                </c:pt>
                <c:pt idx="154">
                  <c:v>2.5885999999999999E-2</c:v>
                </c:pt>
                <c:pt idx="155">
                  <c:v>2.597E-2</c:v>
                </c:pt>
                <c:pt idx="156">
                  <c:v>2.6054000000000001E-2</c:v>
                </c:pt>
                <c:pt idx="157">
                  <c:v>2.6137999999999998E-2</c:v>
                </c:pt>
                <c:pt idx="158">
                  <c:v>2.6221999999999999E-2</c:v>
                </c:pt>
                <c:pt idx="159">
                  <c:v>2.6303999999999998E-2</c:v>
                </c:pt>
                <c:pt idx="160">
                  <c:v>2.6387999999999998E-2</c:v>
                </c:pt>
                <c:pt idx="161">
                  <c:v>2.6472000000000002E-2</c:v>
                </c:pt>
                <c:pt idx="162">
                  <c:v>2.6556000000000003E-2</c:v>
                </c:pt>
                <c:pt idx="163">
                  <c:v>2.6636000000000003E-2</c:v>
                </c:pt>
                <c:pt idx="164">
                  <c:v>2.6720000000000001E-2</c:v>
                </c:pt>
                <c:pt idx="165">
                  <c:v>2.6802000000000003E-2</c:v>
                </c:pt>
                <c:pt idx="166">
                  <c:v>2.6888000000000002E-2</c:v>
                </c:pt>
                <c:pt idx="167">
                  <c:v>2.6971999999999999E-2</c:v>
                </c:pt>
                <c:pt idx="168">
                  <c:v>2.7054000000000002E-2</c:v>
                </c:pt>
                <c:pt idx="169">
                  <c:v>2.7137999999999999E-2</c:v>
                </c:pt>
                <c:pt idx="170">
                  <c:v>2.7220000000000001E-2</c:v>
                </c:pt>
                <c:pt idx="171">
                  <c:v>2.7306E-2</c:v>
                </c:pt>
                <c:pt idx="172">
                  <c:v>2.7387999999999999E-2</c:v>
                </c:pt>
                <c:pt idx="173">
                  <c:v>2.7469999999999998E-2</c:v>
                </c:pt>
                <c:pt idx="174">
                  <c:v>2.7553999999999999E-2</c:v>
                </c:pt>
                <c:pt idx="175">
                  <c:v>2.7637999999999999E-2</c:v>
                </c:pt>
                <c:pt idx="176">
                  <c:v>2.7719999999999998E-2</c:v>
                </c:pt>
                <c:pt idx="177">
                  <c:v>2.7806000000000001E-2</c:v>
                </c:pt>
                <c:pt idx="178">
                  <c:v>2.7888000000000003E-2</c:v>
                </c:pt>
                <c:pt idx="179">
                  <c:v>2.7972E-2</c:v>
                </c:pt>
                <c:pt idx="180">
                  <c:v>2.8054000000000003E-2</c:v>
                </c:pt>
                <c:pt idx="181">
                  <c:v>2.8138E-2</c:v>
                </c:pt>
                <c:pt idx="182">
                  <c:v>2.8220000000000002E-2</c:v>
                </c:pt>
                <c:pt idx="183">
                  <c:v>2.8303999999999999E-2</c:v>
                </c:pt>
                <c:pt idx="184">
                  <c:v>2.8388E-2</c:v>
                </c:pt>
                <c:pt idx="185">
                  <c:v>2.8469999999999999E-2</c:v>
                </c:pt>
                <c:pt idx="186">
                  <c:v>2.8554E-2</c:v>
                </c:pt>
                <c:pt idx="187">
                  <c:v>2.8638E-2</c:v>
                </c:pt>
                <c:pt idx="188">
                  <c:v>2.8721999999999998E-2</c:v>
                </c:pt>
                <c:pt idx="189">
                  <c:v>2.8804E-2</c:v>
                </c:pt>
                <c:pt idx="190">
                  <c:v>2.8887999999999997E-2</c:v>
                </c:pt>
                <c:pt idx="191">
                  <c:v>2.8942000000000002E-2</c:v>
                </c:pt>
                <c:pt idx="192">
                  <c:v>2.9026E-2</c:v>
                </c:pt>
                <c:pt idx="193">
                  <c:v>2.9079999999999998E-2</c:v>
                </c:pt>
                <c:pt idx="194">
                  <c:v>2.9163999999999999E-2</c:v>
                </c:pt>
                <c:pt idx="195">
                  <c:v>2.9222000000000001E-2</c:v>
                </c:pt>
                <c:pt idx="196">
                  <c:v>2.9304E-2</c:v>
                </c:pt>
                <c:pt idx="197">
                  <c:v>2.9360000000000001E-2</c:v>
                </c:pt>
                <c:pt idx="198">
                  <c:v>2.9443999999999998E-2</c:v>
                </c:pt>
                <c:pt idx="199">
                  <c:v>2.9527999999999999E-2</c:v>
                </c:pt>
                <c:pt idx="200">
                  <c:v>2.9582000000000001E-2</c:v>
                </c:pt>
                <c:pt idx="201">
                  <c:v>2.9666000000000001E-2</c:v>
                </c:pt>
                <c:pt idx="202">
                  <c:v>2.9748E-2</c:v>
                </c:pt>
                <c:pt idx="203">
                  <c:v>2.9832000000000001E-2</c:v>
                </c:pt>
                <c:pt idx="204">
                  <c:v>2.9914E-2</c:v>
                </c:pt>
                <c:pt idx="205">
                  <c:v>2.9998E-2</c:v>
                </c:pt>
                <c:pt idx="206">
                  <c:v>3.0082000000000001E-2</c:v>
                </c:pt>
                <c:pt idx="207">
                  <c:v>3.0165999999999998E-2</c:v>
                </c:pt>
                <c:pt idx="208">
                  <c:v>3.0248000000000001E-2</c:v>
                </c:pt>
                <c:pt idx="209">
                  <c:v>3.0331999999999998E-2</c:v>
                </c:pt>
                <c:pt idx="210">
                  <c:v>3.0415999999999999E-2</c:v>
                </c:pt>
                <c:pt idx="211">
                  <c:v>3.0497999999999997E-2</c:v>
                </c:pt>
                <c:pt idx="212">
                  <c:v>3.0554000000000001E-2</c:v>
                </c:pt>
                <c:pt idx="213">
                  <c:v>3.0636E-2</c:v>
                </c:pt>
                <c:pt idx="214">
                  <c:v>3.0720000000000001E-2</c:v>
                </c:pt>
                <c:pt idx="215">
                  <c:v>3.0804000000000002E-2</c:v>
                </c:pt>
                <c:pt idx="216">
                  <c:v>3.0887999999999999E-2</c:v>
                </c:pt>
                <c:pt idx="217">
                  <c:v>3.0941999999999997E-2</c:v>
                </c:pt>
                <c:pt idx="218">
                  <c:v>3.1025999999999998E-2</c:v>
                </c:pt>
                <c:pt idx="219">
                  <c:v>3.1110000000000002E-2</c:v>
                </c:pt>
                <c:pt idx="220">
                  <c:v>3.1194000000000003E-2</c:v>
                </c:pt>
                <c:pt idx="221">
                  <c:v>3.1275999999999998E-2</c:v>
                </c:pt>
                <c:pt idx="222">
                  <c:v>3.1359999999999999E-2</c:v>
                </c:pt>
                <c:pt idx="223">
                  <c:v>3.1415999999999999E-2</c:v>
                </c:pt>
                <c:pt idx="224">
                  <c:v>3.15E-2</c:v>
                </c:pt>
                <c:pt idx="225">
                  <c:v>3.1581999999999999E-2</c:v>
                </c:pt>
                <c:pt idx="226">
                  <c:v>3.1663999999999998E-2</c:v>
                </c:pt>
                <c:pt idx="227">
                  <c:v>3.1722E-2</c:v>
                </c:pt>
                <c:pt idx="228">
                  <c:v>3.1803999999999999E-2</c:v>
                </c:pt>
                <c:pt idx="229">
                  <c:v>3.1859999999999999E-2</c:v>
                </c:pt>
                <c:pt idx="230">
                  <c:v>3.1944E-2</c:v>
                </c:pt>
                <c:pt idx="231">
                  <c:v>3.1997999999999999E-2</c:v>
                </c:pt>
                <c:pt idx="232">
                  <c:v>3.2080000000000004E-2</c:v>
                </c:pt>
                <c:pt idx="233">
                  <c:v>3.2138E-2</c:v>
                </c:pt>
                <c:pt idx="234">
                  <c:v>3.2219999999999999E-2</c:v>
                </c:pt>
                <c:pt idx="235">
                  <c:v>3.2303999999999999E-2</c:v>
                </c:pt>
                <c:pt idx="236">
                  <c:v>3.236E-2</c:v>
                </c:pt>
                <c:pt idx="237">
                  <c:v>3.2444000000000001E-2</c:v>
                </c:pt>
                <c:pt idx="238">
                  <c:v>3.2525999999999999E-2</c:v>
                </c:pt>
                <c:pt idx="239">
                  <c:v>3.2582E-2</c:v>
                </c:pt>
                <c:pt idx="240">
                  <c:v>3.2666000000000001E-2</c:v>
                </c:pt>
                <c:pt idx="241">
                  <c:v>3.2722000000000001E-2</c:v>
                </c:pt>
                <c:pt idx="242">
                  <c:v>3.2832E-2</c:v>
                </c:pt>
                <c:pt idx="243">
                  <c:v>3.2944000000000001E-2</c:v>
                </c:pt>
                <c:pt idx="244">
                  <c:v>3.3054E-2</c:v>
                </c:pt>
                <c:pt idx="245">
                  <c:v>3.3138000000000001E-2</c:v>
                </c:pt>
                <c:pt idx="246">
                  <c:v>3.3250000000000002E-2</c:v>
                </c:pt>
                <c:pt idx="247">
                  <c:v>3.3361999999999996E-2</c:v>
                </c:pt>
                <c:pt idx="248">
                  <c:v>3.3444000000000002E-2</c:v>
                </c:pt>
                <c:pt idx="249">
                  <c:v>3.3554E-2</c:v>
                </c:pt>
                <c:pt idx="250">
                  <c:v>3.3663999999999999E-2</c:v>
                </c:pt>
                <c:pt idx="251">
                  <c:v>3.3748E-2</c:v>
                </c:pt>
                <c:pt idx="252">
                  <c:v>3.3860000000000001E-2</c:v>
                </c:pt>
                <c:pt idx="253">
                  <c:v>3.3942E-2</c:v>
                </c:pt>
                <c:pt idx="254">
                  <c:v>3.4026000000000001E-2</c:v>
                </c:pt>
                <c:pt idx="255">
                  <c:v>3.4138000000000002E-2</c:v>
                </c:pt>
                <c:pt idx="256">
                  <c:v>3.4222000000000002E-2</c:v>
                </c:pt>
                <c:pt idx="257">
                  <c:v>3.4304000000000001E-2</c:v>
                </c:pt>
                <c:pt idx="258">
                  <c:v>3.4386E-2</c:v>
                </c:pt>
                <c:pt idx="259">
                  <c:v>3.4470000000000001E-2</c:v>
                </c:pt>
                <c:pt idx="260">
                  <c:v>3.4582000000000002E-2</c:v>
                </c:pt>
                <c:pt idx="261">
                  <c:v>3.4664E-2</c:v>
                </c:pt>
                <c:pt idx="262">
                  <c:v>3.4748000000000001E-2</c:v>
                </c:pt>
                <c:pt idx="263">
                  <c:v>3.4834000000000004E-2</c:v>
                </c:pt>
                <c:pt idx="264">
                  <c:v>3.4916000000000003E-2</c:v>
                </c:pt>
                <c:pt idx="265">
                  <c:v>3.5000000000000003E-2</c:v>
                </c:pt>
                <c:pt idx="266">
                  <c:v>3.5082000000000002E-2</c:v>
                </c:pt>
                <c:pt idx="267">
                  <c:v>3.5164000000000001E-2</c:v>
                </c:pt>
                <c:pt idx="268">
                  <c:v>3.5249999999999997E-2</c:v>
                </c:pt>
                <c:pt idx="269">
                  <c:v>3.5332000000000002E-2</c:v>
                </c:pt>
                <c:pt idx="270">
                  <c:v>3.5415999999999996E-2</c:v>
                </c:pt>
                <c:pt idx="271">
                  <c:v>3.5498000000000002E-2</c:v>
                </c:pt>
                <c:pt idx="272">
                  <c:v>3.5581999999999996E-2</c:v>
                </c:pt>
                <c:pt idx="273">
                  <c:v>3.5666000000000003E-2</c:v>
                </c:pt>
                <c:pt idx="274">
                  <c:v>3.5750000000000004E-2</c:v>
                </c:pt>
                <c:pt idx="275">
                  <c:v>3.5832000000000003E-2</c:v>
                </c:pt>
                <c:pt idx="276">
                  <c:v>3.5914000000000001E-2</c:v>
                </c:pt>
                <c:pt idx="277">
                  <c:v>3.5998000000000002E-2</c:v>
                </c:pt>
                <c:pt idx="278">
                  <c:v>3.6082000000000003E-2</c:v>
                </c:pt>
                <c:pt idx="279">
                  <c:v>3.6166000000000004E-2</c:v>
                </c:pt>
                <c:pt idx="280">
                  <c:v>3.6248000000000002E-2</c:v>
                </c:pt>
                <c:pt idx="281">
                  <c:v>3.6332000000000003E-2</c:v>
                </c:pt>
                <c:pt idx="282">
                  <c:v>3.6414000000000002E-2</c:v>
                </c:pt>
                <c:pt idx="283">
                  <c:v>3.6526000000000003E-2</c:v>
                </c:pt>
                <c:pt idx="284">
                  <c:v>3.6636000000000002E-2</c:v>
                </c:pt>
                <c:pt idx="285">
                  <c:v>3.6747999999999996E-2</c:v>
                </c:pt>
                <c:pt idx="286">
                  <c:v>3.6859999999999997E-2</c:v>
                </c:pt>
                <c:pt idx="287">
                  <c:v>3.6971999999999998E-2</c:v>
                </c:pt>
                <c:pt idx="288">
                  <c:v>3.7083999999999999E-2</c:v>
                </c:pt>
                <c:pt idx="289">
                  <c:v>3.7193999999999998E-2</c:v>
                </c:pt>
                <c:pt idx="290">
                  <c:v>3.7305999999999999E-2</c:v>
                </c:pt>
                <c:pt idx="291">
                  <c:v>3.7415999999999998E-2</c:v>
                </c:pt>
                <c:pt idx="292">
                  <c:v>3.7526000000000004E-2</c:v>
                </c:pt>
                <c:pt idx="293">
                  <c:v>3.7635999999999996E-2</c:v>
                </c:pt>
                <c:pt idx="294">
                  <c:v>3.7747999999999997E-2</c:v>
                </c:pt>
                <c:pt idx="295">
                  <c:v>3.7859999999999998E-2</c:v>
                </c:pt>
                <c:pt idx="296">
                  <c:v>3.7970000000000004E-2</c:v>
                </c:pt>
                <c:pt idx="297">
                  <c:v>3.8081999999999998E-2</c:v>
                </c:pt>
                <c:pt idx="298">
                  <c:v>3.8191999999999997E-2</c:v>
                </c:pt>
                <c:pt idx="299">
                  <c:v>3.8303999999999998E-2</c:v>
                </c:pt>
                <c:pt idx="300">
                  <c:v>3.8415999999999999E-2</c:v>
                </c:pt>
                <c:pt idx="301">
                  <c:v>3.8528E-2</c:v>
                </c:pt>
                <c:pt idx="302">
                  <c:v>3.8610000000000005E-2</c:v>
                </c:pt>
                <c:pt idx="303">
                  <c:v>3.8721999999999999E-2</c:v>
                </c:pt>
                <c:pt idx="304">
                  <c:v>3.8834E-2</c:v>
                </c:pt>
                <c:pt idx="305">
                  <c:v>3.8942000000000004E-2</c:v>
                </c:pt>
                <c:pt idx="306">
                  <c:v>3.9054000000000005E-2</c:v>
                </c:pt>
                <c:pt idx="307">
                  <c:v>3.9165999999999999E-2</c:v>
                </c:pt>
                <c:pt idx="308">
                  <c:v>3.9278E-2</c:v>
                </c:pt>
                <c:pt idx="309">
                  <c:v>3.9359999999999999E-2</c:v>
                </c:pt>
                <c:pt idx="310">
                  <c:v>3.9472E-2</c:v>
                </c:pt>
                <c:pt idx="311">
                  <c:v>3.9584000000000001E-2</c:v>
                </c:pt>
                <c:pt idx="312">
                  <c:v>3.9691999999999998E-2</c:v>
                </c:pt>
                <c:pt idx="313">
                  <c:v>3.9803999999999999E-2</c:v>
                </c:pt>
                <c:pt idx="314">
                  <c:v>3.9916E-2</c:v>
                </c:pt>
                <c:pt idx="315">
                  <c:v>4.0025999999999999E-2</c:v>
                </c:pt>
                <c:pt idx="316">
                  <c:v>4.0136000000000005E-2</c:v>
                </c:pt>
                <c:pt idx="317">
                  <c:v>4.0247999999999999E-2</c:v>
                </c:pt>
                <c:pt idx="318">
                  <c:v>4.0359999999999993E-2</c:v>
                </c:pt>
                <c:pt idx="319">
                  <c:v>4.0469999999999999E-2</c:v>
                </c:pt>
                <c:pt idx="320">
                  <c:v>4.0582E-2</c:v>
                </c:pt>
                <c:pt idx="321">
                  <c:v>4.0694000000000001E-2</c:v>
                </c:pt>
                <c:pt idx="322">
                  <c:v>4.0804E-2</c:v>
                </c:pt>
                <c:pt idx="323">
                  <c:v>4.0915999999999994E-2</c:v>
                </c:pt>
                <c:pt idx="324">
                  <c:v>4.1028000000000002E-2</c:v>
                </c:pt>
                <c:pt idx="325">
                  <c:v>4.1139999999999996E-2</c:v>
                </c:pt>
                <c:pt idx="326">
                  <c:v>4.1247999999999993E-2</c:v>
                </c:pt>
                <c:pt idx="327">
                  <c:v>4.1360000000000001E-2</c:v>
                </c:pt>
                <c:pt idx="328">
                  <c:v>4.147E-2</c:v>
                </c:pt>
                <c:pt idx="329">
                  <c:v>4.1582000000000001E-2</c:v>
                </c:pt>
                <c:pt idx="330">
                  <c:v>4.1692E-2</c:v>
                </c:pt>
                <c:pt idx="331">
                  <c:v>4.1803999999999994E-2</c:v>
                </c:pt>
                <c:pt idx="332">
                  <c:v>4.1916000000000002E-2</c:v>
                </c:pt>
                <c:pt idx="333">
                  <c:v>4.2026000000000001E-2</c:v>
                </c:pt>
                <c:pt idx="334">
                  <c:v>4.2138000000000002E-2</c:v>
                </c:pt>
                <c:pt idx="335">
                  <c:v>4.2276000000000001E-2</c:v>
                </c:pt>
                <c:pt idx="336">
                  <c:v>4.2416000000000002E-2</c:v>
                </c:pt>
                <c:pt idx="337">
                  <c:v>4.2556000000000004E-2</c:v>
                </c:pt>
                <c:pt idx="338">
                  <c:v>4.2694000000000003E-2</c:v>
                </c:pt>
                <c:pt idx="339">
                  <c:v>4.2830000000000007E-2</c:v>
                </c:pt>
                <c:pt idx="340">
                  <c:v>4.2969999999999994E-2</c:v>
                </c:pt>
                <c:pt idx="341">
                  <c:v>4.3110000000000002E-2</c:v>
                </c:pt>
                <c:pt idx="342">
                  <c:v>4.3246E-2</c:v>
                </c:pt>
                <c:pt idx="343">
                  <c:v>4.3388000000000003E-2</c:v>
                </c:pt>
                <c:pt idx="344">
                  <c:v>4.3525999999999995E-2</c:v>
                </c:pt>
                <c:pt idx="345">
                  <c:v>4.3638000000000003E-2</c:v>
                </c:pt>
                <c:pt idx="346">
                  <c:v>4.3776000000000002E-2</c:v>
                </c:pt>
                <c:pt idx="347">
                  <c:v>4.3916000000000004E-2</c:v>
                </c:pt>
                <c:pt idx="348">
                  <c:v>4.4054000000000003E-2</c:v>
                </c:pt>
                <c:pt idx="349">
                  <c:v>4.4164000000000002E-2</c:v>
                </c:pt>
                <c:pt idx="350">
                  <c:v>4.4303999999999996E-2</c:v>
                </c:pt>
                <c:pt idx="351">
                  <c:v>4.4443999999999997E-2</c:v>
                </c:pt>
                <c:pt idx="352">
                  <c:v>4.4581999999999997E-2</c:v>
                </c:pt>
                <c:pt idx="353">
                  <c:v>4.4691999999999996E-2</c:v>
                </c:pt>
                <c:pt idx="354">
                  <c:v>4.4832000000000004E-2</c:v>
                </c:pt>
                <c:pt idx="355">
                  <c:v>4.4972000000000005E-2</c:v>
                </c:pt>
                <c:pt idx="356">
                  <c:v>4.5107999999999995E-2</c:v>
                </c:pt>
                <c:pt idx="357">
                  <c:v>4.5247999999999997E-2</c:v>
                </c:pt>
                <c:pt idx="358">
                  <c:v>4.5388000000000005E-2</c:v>
                </c:pt>
                <c:pt idx="359">
                  <c:v>4.5525999999999997E-2</c:v>
                </c:pt>
                <c:pt idx="360">
                  <c:v>4.5666000000000005E-2</c:v>
                </c:pt>
                <c:pt idx="361">
                  <c:v>4.5805999999999993E-2</c:v>
                </c:pt>
                <c:pt idx="362">
                  <c:v>4.5941999999999997E-2</c:v>
                </c:pt>
                <c:pt idx="363">
                  <c:v>4.6081999999999998E-2</c:v>
                </c:pt>
                <c:pt idx="364">
                  <c:v>4.6222000000000006E-2</c:v>
                </c:pt>
                <c:pt idx="365">
                  <c:v>4.6359999999999998E-2</c:v>
                </c:pt>
                <c:pt idx="366">
                  <c:v>4.6500000000000007E-2</c:v>
                </c:pt>
                <c:pt idx="367">
                  <c:v>4.6635999999999997E-2</c:v>
                </c:pt>
                <c:pt idx="368">
                  <c:v>4.6775999999999998E-2</c:v>
                </c:pt>
                <c:pt idx="369">
                  <c:v>4.6915999999999999E-2</c:v>
                </c:pt>
                <c:pt idx="370">
                  <c:v>4.7053999999999999E-2</c:v>
                </c:pt>
                <c:pt idx="371">
                  <c:v>4.7194E-2</c:v>
                </c:pt>
                <c:pt idx="372">
                  <c:v>4.7359999999999999E-2</c:v>
                </c:pt>
                <c:pt idx="373">
                  <c:v>4.7497999999999999E-2</c:v>
                </c:pt>
                <c:pt idx="374">
                  <c:v>4.7666000000000007E-2</c:v>
                </c:pt>
                <c:pt idx="375">
                  <c:v>4.7832E-2</c:v>
                </c:pt>
                <c:pt idx="376">
                  <c:v>4.7972000000000001E-2</c:v>
                </c:pt>
                <c:pt idx="377">
                  <c:v>4.8137999999999993E-2</c:v>
                </c:pt>
                <c:pt idx="378">
                  <c:v>4.8276000000000006E-2</c:v>
                </c:pt>
                <c:pt idx="379">
                  <c:v>4.8444000000000001E-2</c:v>
                </c:pt>
                <c:pt idx="380">
                  <c:v>4.8583999999999995E-2</c:v>
                </c:pt>
                <c:pt idx="381">
                  <c:v>4.8719999999999999E-2</c:v>
                </c:pt>
                <c:pt idx="382">
                  <c:v>4.8860000000000001E-2</c:v>
                </c:pt>
                <c:pt idx="383">
                  <c:v>4.8998E-2</c:v>
                </c:pt>
                <c:pt idx="384">
                  <c:v>4.9135999999999999E-2</c:v>
                </c:pt>
                <c:pt idx="385">
                  <c:v>4.9276E-2</c:v>
                </c:pt>
                <c:pt idx="386">
                  <c:v>4.9416000000000002E-2</c:v>
                </c:pt>
                <c:pt idx="387">
                  <c:v>4.9581999999999994E-2</c:v>
                </c:pt>
                <c:pt idx="388">
                  <c:v>4.9745999999999999E-2</c:v>
                </c:pt>
                <c:pt idx="389">
                  <c:v>4.9916000000000002E-2</c:v>
                </c:pt>
                <c:pt idx="390">
                  <c:v>5.0082000000000002E-2</c:v>
                </c:pt>
                <c:pt idx="391">
                  <c:v>5.0248000000000001E-2</c:v>
                </c:pt>
                <c:pt idx="392">
                  <c:v>5.0415999999999996E-2</c:v>
                </c:pt>
                <c:pt idx="393">
                  <c:v>5.058E-2</c:v>
                </c:pt>
                <c:pt idx="394">
                  <c:v>5.0720000000000001E-2</c:v>
                </c:pt>
                <c:pt idx="395">
                  <c:v>5.0888000000000003E-2</c:v>
                </c:pt>
                <c:pt idx="396">
                  <c:v>5.1025999999999995E-2</c:v>
                </c:pt>
                <c:pt idx="397">
                  <c:v>5.1193999999999996E-2</c:v>
                </c:pt>
                <c:pt idx="398">
                  <c:v>5.1360000000000003E-2</c:v>
                </c:pt>
                <c:pt idx="399">
                  <c:v>5.1525999999999995E-2</c:v>
                </c:pt>
                <c:pt idx="400">
                  <c:v>5.1694000000000004E-2</c:v>
                </c:pt>
                <c:pt idx="401">
                  <c:v>5.1862000000000005E-2</c:v>
                </c:pt>
                <c:pt idx="402">
                  <c:v>5.2026000000000003E-2</c:v>
                </c:pt>
                <c:pt idx="403">
                  <c:v>5.2191999999999995E-2</c:v>
                </c:pt>
                <c:pt idx="404">
                  <c:v>5.2359999999999997E-2</c:v>
                </c:pt>
                <c:pt idx="405">
                  <c:v>5.2526000000000003E-2</c:v>
                </c:pt>
                <c:pt idx="406">
                  <c:v>5.2693999999999998E-2</c:v>
                </c:pt>
                <c:pt idx="407">
                  <c:v>5.2858000000000002E-2</c:v>
                </c:pt>
                <c:pt idx="408">
                  <c:v>5.3025999999999997E-2</c:v>
                </c:pt>
                <c:pt idx="409">
                  <c:v>5.3192000000000003E-2</c:v>
                </c:pt>
                <c:pt idx="410">
                  <c:v>5.3360000000000005E-2</c:v>
                </c:pt>
                <c:pt idx="411">
                  <c:v>5.3525999999999997E-2</c:v>
                </c:pt>
                <c:pt idx="412">
                  <c:v>5.3722000000000006E-2</c:v>
                </c:pt>
                <c:pt idx="413">
                  <c:v>5.3916000000000006E-2</c:v>
                </c:pt>
                <c:pt idx="414">
                  <c:v>5.4108000000000003E-2</c:v>
                </c:pt>
                <c:pt idx="415">
                  <c:v>5.4303999999999998E-2</c:v>
                </c:pt>
                <c:pt idx="416">
                  <c:v>5.4469999999999998E-2</c:v>
                </c:pt>
                <c:pt idx="417">
                  <c:v>5.4665999999999999E-2</c:v>
                </c:pt>
                <c:pt idx="418">
                  <c:v>5.4831999999999999E-2</c:v>
                </c:pt>
                <c:pt idx="419">
                  <c:v>5.5025999999999999E-2</c:v>
                </c:pt>
                <c:pt idx="420">
                  <c:v>5.5220000000000005E-2</c:v>
                </c:pt>
                <c:pt idx="421">
                  <c:v>5.5388E-2</c:v>
                </c:pt>
                <c:pt idx="422">
                  <c:v>5.5583999999999995E-2</c:v>
                </c:pt>
                <c:pt idx="423">
                  <c:v>5.5776000000000006E-2</c:v>
                </c:pt>
                <c:pt idx="424">
                  <c:v>5.5967999999999997E-2</c:v>
                </c:pt>
                <c:pt idx="425">
                  <c:v>5.6163999999999999E-2</c:v>
                </c:pt>
                <c:pt idx="426">
                  <c:v>5.636E-2</c:v>
                </c:pt>
                <c:pt idx="427">
                  <c:v>5.6555999999999995E-2</c:v>
                </c:pt>
                <c:pt idx="428">
                  <c:v>5.6748E-2</c:v>
                </c:pt>
                <c:pt idx="429">
                  <c:v>5.6944000000000002E-2</c:v>
                </c:pt>
                <c:pt idx="430">
                  <c:v>5.7138000000000001E-2</c:v>
                </c:pt>
                <c:pt idx="431">
                  <c:v>5.7333999999999996E-2</c:v>
                </c:pt>
                <c:pt idx="432">
                  <c:v>5.7526000000000001E-2</c:v>
                </c:pt>
                <c:pt idx="433">
                  <c:v>5.772E-2</c:v>
                </c:pt>
                <c:pt idx="434">
                  <c:v>5.7915999999999995E-2</c:v>
                </c:pt>
                <c:pt idx="435">
                  <c:v>5.8110000000000002E-2</c:v>
                </c:pt>
                <c:pt idx="436">
                  <c:v>5.8304000000000002E-2</c:v>
                </c:pt>
                <c:pt idx="437">
                  <c:v>5.8499999999999996E-2</c:v>
                </c:pt>
                <c:pt idx="438">
                  <c:v>5.8693999999999996E-2</c:v>
                </c:pt>
                <c:pt idx="439">
                  <c:v>5.8887999999999996E-2</c:v>
                </c:pt>
                <c:pt idx="440">
                  <c:v>5.9080000000000001E-2</c:v>
                </c:pt>
                <c:pt idx="441">
                  <c:v>5.9276000000000002E-2</c:v>
                </c:pt>
                <c:pt idx="442">
                  <c:v>5.9470000000000002E-2</c:v>
                </c:pt>
                <c:pt idx="443">
                  <c:v>5.9691999999999995E-2</c:v>
                </c:pt>
                <c:pt idx="444">
                  <c:v>5.9886000000000002E-2</c:v>
                </c:pt>
                <c:pt idx="445">
                  <c:v>6.0110000000000004E-2</c:v>
                </c:pt>
                <c:pt idx="446">
                  <c:v>6.0334000000000006E-2</c:v>
                </c:pt>
                <c:pt idx="447">
                  <c:v>6.0525999999999996E-2</c:v>
                </c:pt>
                <c:pt idx="448">
                  <c:v>6.0747999999999996E-2</c:v>
                </c:pt>
                <c:pt idx="449">
                  <c:v>6.0971999999999998E-2</c:v>
                </c:pt>
                <c:pt idx="450">
                  <c:v>6.1193999999999998E-2</c:v>
                </c:pt>
                <c:pt idx="451">
                  <c:v>6.1413999999999996E-2</c:v>
                </c:pt>
                <c:pt idx="452">
                  <c:v>6.1637999999999998E-2</c:v>
                </c:pt>
                <c:pt idx="453">
                  <c:v>6.1858000000000003E-2</c:v>
                </c:pt>
                <c:pt idx="454">
                  <c:v>6.2081999999999998E-2</c:v>
                </c:pt>
                <c:pt idx="455">
                  <c:v>6.2304000000000005E-2</c:v>
                </c:pt>
                <c:pt idx="456">
                  <c:v>6.2528E-2</c:v>
                </c:pt>
                <c:pt idx="457">
                  <c:v>6.275E-2</c:v>
                </c:pt>
                <c:pt idx="458">
                  <c:v>6.2969999999999998E-2</c:v>
                </c:pt>
                <c:pt idx="459">
                  <c:v>6.3191999999999998E-2</c:v>
                </c:pt>
                <c:pt idx="460">
                  <c:v>6.3413999999999998E-2</c:v>
                </c:pt>
                <c:pt idx="461">
                  <c:v>6.3635999999999998E-2</c:v>
                </c:pt>
                <c:pt idx="462">
                  <c:v>6.386E-2</c:v>
                </c:pt>
                <c:pt idx="463">
                  <c:v>6.4084000000000002E-2</c:v>
                </c:pt>
                <c:pt idx="464">
                  <c:v>6.4304E-2</c:v>
                </c:pt>
                <c:pt idx="465">
                  <c:v>6.4526E-2</c:v>
                </c:pt>
                <c:pt idx="466">
                  <c:v>6.4750000000000002E-2</c:v>
                </c:pt>
                <c:pt idx="467">
                  <c:v>6.5000000000000002E-2</c:v>
                </c:pt>
                <c:pt idx="468">
                  <c:v>6.5248E-2</c:v>
                </c:pt>
                <c:pt idx="469">
                  <c:v>6.5498000000000001E-2</c:v>
                </c:pt>
                <c:pt idx="470">
                  <c:v>6.5750000000000003E-2</c:v>
                </c:pt>
                <c:pt idx="471">
                  <c:v>6.5998000000000001E-2</c:v>
                </c:pt>
                <c:pt idx="472">
                  <c:v>6.6250000000000003E-2</c:v>
                </c:pt>
                <c:pt idx="473">
                  <c:v>6.6498000000000002E-2</c:v>
                </c:pt>
                <c:pt idx="474">
                  <c:v>6.6748000000000002E-2</c:v>
                </c:pt>
                <c:pt idx="475">
                  <c:v>6.6998000000000002E-2</c:v>
                </c:pt>
                <c:pt idx="476">
                  <c:v>6.7248000000000002E-2</c:v>
                </c:pt>
                <c:pt idx="477">
                  <c:v>6.7526000000000003E-2</c:v>
                </c:pt>
                <c:pt idx="478">
                  <c:v>6.7776000000000003E-2</c:v>
                </c:pt>
                <c:pt idx="479">
                  <c:v>6.8028000000000005E-2</c:v>
                </c:pt>
                <c:pt idx="480">
                  <c:v>6.8276000000000003E-2</c:v>
                </c:pt>
                <c:pt idx="481">
                  <c:v>6.8528000000000006E-2</c:v>
                </c:pt>
                <c:pt idx="482">
                  <c:v>6.8804000000000004E-2</c:v>
                </c:pt>
                <c:pt idx="483">
                  <c:v>6.9082000000000005E-2</c:v>
                </c:pt>
                <c:pt idx="484">
                  <c:v>6.9360000000000005E-2</c:v>
                </c:pt>
                <c:pt idx="485">
                  <c:v>6.9610000000000005E-2</c:v>
                </c:pt>
                <c:pt idx="486">
                  <c:v>6.9888000000000006E-2</c:v>
                </c:pt>
                <c:pt idx="487">
                  <c:v>7.0166000000000006E-2</c:v>
                </c:pt>
                <c:pt idx="488">
                  <c:v>7.0444000000000007E-2</c:v>
                </c:pt>
                <c:pt idx="489">
                  <c:v>7.0720000000000005E-2</c:v>
                </c:pt>
                <c:pt idx="490">
                  <c:v>7.0999999999999994E-2</c:v>
                </c:pt>
                <c:pt idx="491">
                  <c:v>7.1276000000000006E-2</c:v>
                </c:pt>
                <c:pt idx="492">
                  <c:v>7.1554000000000006E-2</c:v>
                </c:pt>
                <c:pt idx="493">
                  <c:v>7.1833999999999995E-2</c:v>
                </c:pt>
                <c:pt idx="494">
                  <c:v>7.2108000000000005E-2</c:v>
                </c:pt>
                <c:pt idx="495">
                  <c:v>7.2388000000000008E-2</c:v>
                </c:pt>
                <c:pt idx="496">
                  <c:v>7.2666000000000008E-2</c:v>
                </c:pt>
                <c:pt idx="497">
                  <c:v>7.2942000000000007E-2</c:v>
                </c:pt>
                <c:pt idx="498">
                  <c:v>7.3220000000000007E-2</c:v>
                </c:pt>
                <c:pt idx="499">
                  <c:v>7.3499999999999996E-2</c:v>
                </c:pt>
                <c:pt idx="500">
                  <c:v>7.3803999999999995E-2</c:v>
                </c:pt>
                <c:pt idx="501">
                  <c:v>7.4109999999999995E-2</c:v>
                </c:pt>
                <c:pt idx="502">
                  <c:v>7.4413999999999994E-2</c:v>
                </c:pt>
                <c:pt idx="503">
                  <c:v>7.4720000000000009E-2</c:v>
                </c:pt>
                <c:pt idx="504">
                  <c:v>7.5027999999999997E-2</c:v>
                </c:pt>
                <c:pt idx="505">
                  <c:v>7.5331999999999996E-2</c:v>
                </c:pt>
                <c:pt idx="506">
                  <c:v>7.5637999999999997E-2</c:v>
                </c:pt>
                <c:pt idx="507">
                  <c:v>7.5943999999999998E-2</c:v>
                </c:pt>
                <c:pt idx="508">
                  <c:v>7.6275999999999997E-2</c:v>
                </c:pt>
                <c:pt idx="509">
                  <c:v>7.6609999999999998E-2</c:v>
                </c:pt>
                <c:pt idx="510">
                  <c:v>7.6915999999999998E-2</c:v>
                </c:pt>
                <c:pt idx="511">
                  <c:v>7.7247999999999997E-2</c:v>
                </c:pt>
                <c:pt idx="512">
                  <c:v>7.7579999999999996E-2</c:v>
                </c:pt>
                <c:pt idx="513">
                  <c:v>7.7915999999999999E-2</c:v>
                </c:pt>
                <c:pt idx="514">
                  <c:v>7.8247999999999998E-2</c:v>
                </c:pt>
                <c:pt idx="515">
                  <c:v>7.8581999999999999E-2</c:v>
                </c:pt>
                <c:pt idx="516">
                  <c:v>7.8913999999999998E-2</c:v>
                </c:pt>
                <c:pt idx="517">
                  <c:v>7.9247999999999999E-2</c:v>
                </c:pt>
                <c:pt idx="518">
                  <c:v>7.9584000000000002E-2</c:v>
                </c:pt>
                <c:pt idx="519">
                  <c:v>7.9916000000000001E-2</c:v>
                </c:pt>
                <c:pt idx="520">
                  <c:v>8.0248000000000014E-2</c:v>
                </c:pt>
                <c:pt idx="521">
                  <c:v>8.0579999999999999E-2</c:v>
                </c:pt>
                <c:pt idx="522">
                  <c:v>8.0916000000000002E-2</c:v>
                </c:pt>
                <c:pt idx="523">
                  <c:v>8.1248000000000001E-2</c:v>
                </c:pt>
                <c:pt idx="524">
                  <c:v>8.1582000000000002E-2</c:v>
                </c:pt>
                <c:pt idx="525">
                  <c:v>8.1915999999999989E-2</c:v>
                </c:pt>
                <c:pt idx="526">
                  <c:v>8.2276000000000002E-2</c:v>
                </c:pt>
                <c:pt idx="527">
                  <c:v>8.2636000000000001E-2</c:v>
                </c:pt>
                <c:pt idx="528">
                  <c:v>8.2997999999999988E-2</c:v>
                </c:pt>
                <c:pt idx="529">
                  <c:v>8.3360000000000004E-2</c:v>
                </c:pt>
                <c:pt idx="530">
                  <c:v>8.3720000000000003E-2</c:v>
                </c:pt>
                <c:pt idx="531">
                  <c:v>8.4082000000000004E-2</c:v>
                </c:pt>
                <c:pt idx="532">
                  <c:v>8.4444000000000005E-2</c:v>
                </c:pt>
                <c:pt idx="533">
                  <c:v>8.4802000000000002E-2</c:v>
                </c:pt>
                <c:pt idx="534">
                  <c:v>8.5164000000000004E-2</c:v>
                </c:pt>
                <c:pt idx="535">
                  <c:v>8.5554000000000005E-2</c:v>
                </c:pt>
                <c:pt idx="536">
                  <c:v>8.5942000000000005E-2</c:v>
                </c:pt>
                <c:pt idx="537">
                  <c:v>8.6332000000000006E-2</c:v>
                </c:pt>
                <c:pt idx="538">
                  <c:v>8.6720000000000005E-2</c:v>
                </c:pt>
                <c:pt idx="539">
                  <c:v>8.7110000000000007E-2</c:v>
                </c:pt>
                <c:pt idx="540">
                  <c:v>8.7498000000000006E-2</c:v>
                </c:pt>
                <c:pt idx="541">
                  <c:v>8.7888000000000008E-2</c:v>
                </c:pt>
                <c:pt idx="542">
                  <c:v>8.8276000000000007E-2</c:v>
                </c:pt>
                <c:pt idx="543">
                  <c:v>8.8665999999999995E-2</c:v>
                </c:pt>
                <c:pt idx="544">
                  <c:v>8.9054000000000008E-2</c:v>
                </c:pt>
                <c:pt idx="545">
                  <c:v>8.9469999999999994E-2</c:v>
                </c:pt>
                <c:pt idx="546">
                  <c:v>8.9860000000000009E-2</c:v>
                </c:pt>
                <c:pt idx="547">
                  <c:v>9.0249999999999997E-2</c:v>
                </c:pt>
                <c:pt idx="548">
                  <c:v>9.0665999999999997E-2</c:v>
                </c:pt>
                <c:pt idx="549">
                  <c:v>9.1083999999999998E-2</c:v>
                </c:pt>
                <c:pt idx="550">
                  <c:v>9.149800000000001E-2</c:v>
                </c:pt>
                <c:pt idx="551">
                  <c:v>9.1889999999999999E-2</c:v>
                </c:pt>
                <c:pt idx="552">
                  <c:v>9.2303999999999997E-2</c:v>
                </c:pt>
                <c:pt idx="553">
                  <c:v>9.2721999999999999E-2</c:v>
                </c:pt>
                <c:pt idx="554">
                  <c:v>9.3137999999999999E-2</c:v>
                </c:pt>
                <c:pt idx="555">
                  <c:v>9.3581999999999999E-2</c:v>
                </c:pt>
                <c:pt idx="556">
                  <c:v>9.4025999999999998E-2</c:v>
                </c:pt>
                <c:pt idx="557">
                  <c:v>9.4469999999999998E-2</c:v>
                </c:pt>
                <c:pt idx="558">
                  <c:v>9.4916E-2</c:v>
                </c:pt>
                <c:pt idx="559">
                  <c:v>9.5388000000000001E-2</c:v>
                </c:pt>
                <c:pt idx="560">
                  <c:v>9.5860000000000001E-2</c:v>
                </c:pt>
                <c:pt idx="561">
                  <c:v>9.6304000000000001E-2</c:v>
                </c:pt>
                <c:pt idx="562">
                  <c:v>9.6776000000000001E-2</c:v>
                </c:pt>
                <c:pt idx="563">
                  <c:v>9.7248000000000001E-2</c:v>
                </c:pt>
                <c:pt idx="564">
                  <c:v>9.7720000000000001E-2</c:v>
                </c:pt>
                <c:pt idx="565">
                  <c:v>9.8192000000000002E-2</c:v>
                </c:pt>
                <c:pt idx="566">
                  <c:v>9.8664000000000002E-2</c:v>
                </c:pt>
                <c:pt idx="567">
                  <c:v>9.9138000000000004E-2</c:v>
                </c:pt>
                <c:pt idx="568">
                  <c:v>9.9610000000000004E-2</c:v>
                </c:pt>
                <c:pt idx="569">
                  <c:v>0.100082</c:v>
                </c:pt>
                <c:pt idx="570">
                  <c:v>0.100554</c:v>
                </c:pt>
                <c:pt idx="571">
                  <c:v>0.10105399999999999</c:v>
                </c:pt>
                <c:pt idx="572">
                  <c:v>0.101552</c:v>
                </c:pt>
                <c:pt idx="573">
                  <c:v>0.10205399999999999</c:v>
                </c:pt>
                <c:pt idx="574">
                  <c:v>0.10255599999999999</c:v>
                </c:pt>
                <c:pt idx="575">
                  <c:v>0.10305400000000001</c:v>
                </c:pt>
                <c:pt idx="576">
                  <c:v>0.10358000000000001</c:v>
                </c:pt>
                <c:pt idx="577">
                  <c:v>0.104112</c:v>
                </c:pt>
                <c:pt idx="578">
                  <c:v>0.10463800000000001</c:v>
                </c:pt>
                <c:pt idx="579">
                  <c:v>0.10519199999999999</c:v>
                </c:pt>
                <c:pt idx="580">
                  <c:v>0.10575</c:v>
                </c:pt>
                <c:pt idx="581">
                  <c:v>0.106304</c:v>
                </c:pt>
                <c:pt idx="582">
                  <c:v>0.10688800000000001</c:v>
                </c:pt>
                <c:pt idx="583">
                  <c:v>0.10747</c:v>
                </c:pt>
                <c:pt idx="584">
                  <c:v>0.10805400000000001</c:v>
                </c:pt>
                <c:pt idx="585">
                  <c:v>0.108666</c:v>
                </c:pt>
                <c:pt idx="586">
                  <c:v>0.109276</c:v>
                </c:pt>
                <c:pt idx="587">
                  <c:v>0.109888</c:v>
                </c:pt>
                <c:pt idx="588">
                  <c:v>0.110498</c:v>
                </c:pt>
                <c:pt idx="589">
                  <c:v>0.11111</c:v>
                </c:pt>
                <c:pt idx="590">
                  <c:v>0.11175</c:v>
                </c:pt>
                <c:pt idx="591">
                  <c:v>0.112414</c:v>
                </c:pt>
                <c:pt idx="592">
                  <c:v>0.11311</c:v>
                </c:pt>
                <c:pt idx="593">
                  <c:v>0.113832</c:v>
                </c:pt>
                <c:pt idx="594">
                  <c:v>0.114608</c:v>
                </c:pt>
                <c:pt idx="595">
                  <c:v>0.11544399999999999</c:v>
                </c:pt>
                <c:pt idx="596">
                  <c:v>0.11627599999999999</c:v>
                </c:pt>
                <c:pt idx="597">
                  <c:v>0.11711199999999999</c:v>
                </c:pt>
                <c:pt idx="598">
                  <c:v>0.11794399999999999</c:v>
                </c:pt>
              </c:numCache>
            </c:numRef>
          </c:cat>
          <c:val>
            <c:numRef>
              <c:f>'A22-3'!$F$2:$F$600</c:f>
              <c:numCache>
                <c:formatCode>0.00</c:formatCode>
                <c:ptCount val="599"/>
                <c:pt idx="0">
                  <c:v>0</c:v>
                </c:pt>
                <c:pt idx="1">
                  <c:v>7.5933218051613627E-2</c:v>
                </c:pt>
                <c:pt idx="2">
                  <c:v>7.5933218051613627E-2</c:v>
                </c:pt>
                <c:pt idx="3">
                  <c:v>7.5933218051613627E-2</c:v>
                </c:pt>
                <c:pt idx="4">
                  <c:v>7.5933218051613627E-2</c:v>
                </c:pt>
                <c:pt idx="5">
                  <c:v>7.5933218051613627E-2</c:v>
                </c:pt>
                <c:pt idx="6">
                  <c:v>7.5933218051613627E-2</c:v>
                </c:pt>
                <c:pt idx="7">
                  <c:v>7.5933218051613627E-2</c:v>
                </c:pt>
                <c:pt idx="8">
                  <c:v>7.5933218051613627E-2</c:v>
                </c:pt>
                <c:pt idx="9">
                  <c:v>7.5933218051613627E-2</c:v>
                </c:pt>
                <c:pt idx="10">
                  <c:v>7.5933218051613627E-2</c:v>
                </c:pt>
                <c:pt idx="11">
                  <c:v>7.5933218051613627E-2</c:v>
                </c:pt>
                <c:pt idx="12">
                  <c:v>7.5933218051613627E-2</c:v>
                </c:pt>
                <c:pt idx="13">
                  <c:v>7.5933218051613627E-2</c:v>
                </c:pt>
                <c:pt idx="14">
                  <c:v>7.5933218051613627E-2</c:v>
                </c:pt>
                <c:pt idx="15">
                  <c:v>7.5933218051613627E-2</c:v>
                </c:pt>
                <c:pt idx="16">
                  <c:v>7.5933218051613627E-2</c:v>
                </c:pt>
                <c:pt idx="17">
                  <c:v>7.5933218051613627E-2</c:v>
                </c:pt>
                <c:pt idx="18">
                  <c:v>7.5933218051613627E-2</c:v>
                </c:pt>
                <c:pt idx="19">
                  <c:v>7.5933218051613627E-2</c:v>
                </c:pt>
                <c:pt idx="20">
                  <c:v>7.5933218051613627E-2</c:v>
                </c:pt>
                <c:pt idx="21">
                  <c:v>7.5933218051613627E-2</c:v>
                </c:pt>
                <c:pt idx="22">
                  <c:v>7.9929703212224881E-2</c:v>
                </c:pt>
                <c:pt idx="23">
                  <c:v>7.5933218051613627E-2</c:v>
                </c:pt>
                <c:pt idx="24">
                  <c:v>7.5933218051613627E-2</c:v>
                </c:pt>
                <c:pt idx="25">
                  <c:v>7.5933218051613627E-2</c:v>
                </c:pt>
                <c:pt idx="26">
                  <c:v>7.5933218051613627E-2</c:v>
                </c:pt>
                <c:pt idx="27">
                  <c:v>7.5933218051613627E-2</c:v>
                </c:pt>
                <c:pt idx="28">
                  <c:v>7.5933218051613627E-2</c:v>
                </c:pt>
                <c:pt idx="29">
                  <c:v>7.5933218051613627E-2</c:v>
                </c:pt>
                <c:pt idx="30">
                  <c:v>7.5933218051613627E-2</c:v>
                </c:pt>
                <c:pt idx="31">
                  <c:v>7.5933218051613627E-2</c:v>
                </c:pt>
                <c:pt idx="32">
                  <c:v>7.9929703212224881E-2</c:v>
                </c:pt>
                <c:pt idx="33">
                  <c:v>7.5933218051613627E-2</c:v>
                </c:pt>
                <c:pt idx="34">
                  <c:v>7.5933218051613627E-2</c:v>
                </c:pt>
                <c:pt idx="35">
                  <c:v>7.5933218051613627E-2</c:v>
                </c:pt>
                <c:pt idx="36">
                  <c:v>7.9929703212224881E-2</c:v>
                </c:pt>
                <c:pt idx="37">
                  <c:v>7.9929703212224881E-2</c:v>
                </c:pt>
                <c:pt idx="38">
                  <c:v>7.9929703212224881E-2</c:v>
                </c:pt>
                <c:pt idx="39">
                  <c:v>7.9929703212224881E-2</c:v>
                </c:pt>
                <c:pt idx="40">
                  <c:v>7.9929703212224881E-2</c:v>
                </c:pt>
                <c:pt idx="41">
                  <c:v>7.9929703212224881E-2</c:v>
                </c:pt>
                <c:pt idx="42">
                  <c:v>7.9929703212224881E-2</c:v>
                </c:pt>
                <c:pt idx="43">
                  <c:v>8.3926188372836108E-2</c:v>
                </c:pt>
                <c:pt idx="44">
                  <c:v>8.3926188372836108E-2</c:v>
                </c:pt>
                <c:pt idx="45">
                  <c:v>8.3926188372836108E-2</c:v>
                </c:pt>
                <c:pt idx="46">
                  <c:v>8.7922673533447362E-2</c:v>
                </c:pt>
                <c:pt idx="47">
                  <c:v>8.7922673533447362E-2</c:v>
                </c:pt>
                <c:pt idx="48">
                  <c:v>9.1919158694058617E-2</c:v>
                </c:pt>
                <c:pt idx="49">
                  <c:v>9.5915643854669844E-2</c:v>
                </c:pt>
                <c:pt idx="50">
                  <c:v>9.9912129015281112E-2</c:v>
                </c:pt>
                <c:pt idx="51">
                  <c:v>9.9912129015281112E-2</c:v>
                </c:pt>
                <c:pt idx="52">
                  <c:v>0.10390861417589235</c:v>
                </c:pt>
                <c:pt idx="53">
                  <c:v>0.10790509933650358</c:v>
                </c:pt>
                <c:pt idx="54">
                  <c:v>0.11190158449711483</c:v>
                </c:pt>
                <c:pt idx="55">
                  <c:v>0.11589806965772609</c:v>
                </c:pt>
                <c:pt idx="56">
                  <c:v>0.11989455481833731</c:v>
                </c:pt>
                <c:pt idx="57">
                  <c:v>0.12389103997894857</c:v>
                </c:pt>
                <c:pt idx="58">
                  <c:v>0.12788752513955981</c:v>
                </c:pt>
                <c:pt idx="59">
                  <c:v>0.13188401030017105</c:v>
                </c:pt>
                <c:pt idx="60">
                  <c:v>0.13588049546078229</c:v>
                </c:pt>
                <c:pt idx="61">
                  <c:v>0.1438734657820048</c:v>
                </c:pt>
                <c:pt idx="62">
                  <c:v>0.15186643610322725</c:v>
                </c:pt>
                <c:pt idx="63">
                  <c:v>0.15186643610322725</c:v>
                </c:pt>
                <c:pt idx="64">
                  <c:v>0.15586292126383849</c:v>
                </c:pt>
                <c:pt idx="65">
                  <c:v>0.15985940642444976</c:v>
                </c:pt>
                <c:pt idx="66">
                  <c:v>0.163855891585061</c:v>
                </c:pt>
                <c:pt idx="67">
                  <c:v>0.17184651241471344</c:v>
                </c:pt>
                <c:pt idx="68">
                  <c:v>0.17983948273593595</c:v>
                </c:pt>
                <c:pt idx="69">
                  <c:v>0.19182893821776967</c:v>
                </c:pt>
                <c:pt idx="70">
                  <c:v>0.20381839369960345</c:v>
                </c:pt>
                <c:pt idx="71">
                  <c:v>0.21181136402082593</c:v>
                </c:pt>
                <c:pt idx="72">
                  <c:v>0.21580784918143714</c:v>
                </c:pt>
                <c:pt idx="73">
                  <c:v>0.23179378982388213</c:v>
                </c:pt>
                <c:pt idx="74">
                  <c:v>0.23978910963667463</c:v>
                </c:pt>
                <c:pt idx="75">
                  <c:v>0.24777738097475704</c:v>
                </c:pt>
                <c:pt idx="76">
                  <c:v>0.26377741856662218</c:v>
                </c:pt>
                <c:pt idx="77">
                  <c:v>0.27176568990470462</c:v>
                </c:pt>
                <c:pt idx="78">
                  <c:v>0.28374809691182828</c:v>
                </c:pt>
                <c:pt idx="79">
                  <c:v>0.29573050391895195</c:v>
                </c:pt>
                <c:pt idx="80">
                  <c:v>0.30773640584177586</c:v>
                </c:pt>
                <c:pt idx="81">
                  <c:v>0.32371294851794075</c:v>
                </c:pt>
                <c:pt idx="82">
                  <c:v>0.33968949119410558</c:v>
                </c:pt>
                <c:pt idx="83">
                  <c:v>0.35169539311692949</c:v>
                </c:pt>
                <c:pt idx="84">
                  <c:v>0.36767193579309437</c:v>
                </c:pt>
                <c:pt idx="85">
                  <c:v>0.37965434280021804</c:v>
                </c:pt>
                <c:pt idx="86">
                  <c:v>0.39565438039208323</c:v>
                </c:pt>
                <c:pt idx="87">
                  <c:v>0.411630923068248</c:v>
                </c:pt>
                <c:pt idx="88">
                  <c:v>0.42763096066011319</c:v>
                </c:pt>
                <c:pt idx="89">
                  <c:v>0.44360750333627808</c:v>
                </c:pt>
                <c:pt idx="90">
                  <c:v>0.4595840460124429</c:v>
                </c:pt>
                <c:pt idx="91">
                  <c:v>0.47558408360430809</c:v>
                </c:pt>
                <c:pt idx="92">
                  <c:v>0.49156062628047298</c:v>
                </c:pt>
                <c:pt idx="93">
                  <c:v>0.50756066387233811</c:v>
                </c:pt>
                <c:pt idx="94">
                  <c:v>0.523537206548503</c:v>
                </c:pt>
                <c:pt idx="95">
                  <c:v>0.53951374922466777</c:v>
                </c:pt>
                <c:pt idx="96">
                  <c:v>0.55551378681653285</c:v>
                </c:pt>
                <c:pt idx="97">
                  <c:v>0.57149032949269785</c:v>
                </c:pt>
                <c:pt idx="98">
                  <c:v>0.58749036708456293</c:v>
                </c:pt>
                <c:pt idx="99">
                  <c:v>0.60346690976072781</c:v>
                </c:pt>
                <c:pt idx="100">
                  <c:v>0.61944345243689269</c:v>
                </c:pt>
                <c:pt idx="101">
                  <c:v>0.63544349002875788</c:v>
                </c:pt>
                <c:pt idx="102">
                  <c:v>0.65142003270492277</c:v>
                </c:pt>
                <c:pt idx="103">
                  <c:v>0.66742007029678774</c:v>
                </c:pt>
                <c:pt idx="104">
                  <c:v>0.68339661297295262</c:v>
                </c:pt>
                <c:pt idx="105">
                  <c:v>0.69937315564911751</c:v>
                </c:pt>
                <c:pt idx="106">
                  <c:v>0.7153731932409827</c:v>
                </c:pt>
                <c:pt idx="107">
                  <c:v>0.73134973591714758</c:v>
                </c:pt>
                <c:pt idx="108">
                  <c:v>0.74732627859331247</c:v>
                </c:pt>
                <c:pt idx="109">
                  <c:v>0.76332631618517754</c:v>
                </c:pt>
                <c:pt idx="110">
                  <c:v>0.77930285886134243</c:v>
                </c:pt>
                <c:pt idx="111">
                  <c:v>0.79530289645320762</c:v>
                </c:pt>
                <c:pt idx="112">
                  <c:v>0.8112794391293725</c:v>
                </c:pt>
                <c:pt idx="113">
                  <c:v>0.82725598180553739</c:v>
                </c:pt>
                <c:pt idx="114">
                  <c:v>0.84325601939740247</c:v>
                </c:pt>
                <c:pt idx="115">
                  <c:v>0.85923256207356735</c:v>
                </c:pt>
                <c:pt idx="116">
                  <c:v>0.87523259966543243</c:v>
                </c:pt>
                <c:pt idx="117">
                  <c:v>0.89120914234159732</c:v>
                </c:pt>
                <c:pt idx="118">
                  <c:v>0.91120331560250367</c:v>
                </c:pt>
                <c:pt idx="119">
                  <c:v>0.92717985827866856</c:v>
                </c:pt>
                <c:pt idx="120">
                  <c:v>0.94315640095483344</c:v>
                </c:pt>
                <c:pt idx="121">
                  <c:v>0.95915643854669852</c:v>
                </c:pt>
                <c:pt idx="122">
                  <c:v>0.9751329812228634</c:v>
                </c:pt>
                <c:pt idx="123">
                  <c:v>0.99113301881472859</c:v>
                </c:pt>
                <c:pt idx="124">
                  <c:v>1.0111036971599345</c:v>
                </c:pt>
                <c:pt idx="125">
                  <c:v>1.0270802398360996</c:v>
                </c:pt>
                <c:pt idx="126">
                  <c:v>1.0430802774279646</c:v>
                </c:pt>
                <c:pt idx="127">
                  <c:v>1.0590568201041297</c:v>
                </c:pt>
                <c:pt idx="128">
                  <c:v>1.0790509933650358</c:v>
                </c:pt>
                <c:pt idx="129">
                  <c:v>1.0950275360412007</c:v>
                </c:pt>
                <c:pt idx="130">
                  <c:v>1.1110040787173656</c:v>
                </c:pt>
                <c:pt idx="131">
                  <c:v>1.1270041163092308</c:v>
                </c:pt>
                <c:pt idx="132">
                  <c:v>1.1429806589853957</c:v>
                </c:pt>
                <c:pt idx="133">
                  <c:v>1.1589806965772607</c:v>
                </c:pt>
                <c:pt idx="134">
                  <c:v>1.1749572392534258</c:v>
                </c:pt>
                <c:pt idx="135">
                  <c:v>1.1909337819295904</c:v>
                </c:pt>
                <c:pt idx="136">
                  <c:v>1.2069338195214556</c:v>
                </c:pt>
                <c:pt idx="137">
                  <c:v>1.2229103621976203</c:v>
                </c:pt>
                <c:pt idx="138">
                  <c:v>1.2429045354585271</c:v>
                </c:pt>
                <c:pt idx="139">
                  <c:v>1.2628752138037329</c:v>
                </c:pt>
                <c:pt idx="140">
                  <c:v>1.2828693870646393</c:v>
                </c:pt>
                <c:pt idx="141">
                  <c:v>1.2988459297408039</c:v>
                </c:pt>
                <c:pt idx="142">
                  <c:v>1.3148459673326693</c:v>
                </c:pt>
                <c:pt idx="143">
                  <c:v>1.330822510008834</c:v>
                </c:pt>
                <c:pt idx="144">
                  <c:v>1.3467990526849991</c:v>
                </c:pt>
                <c:pt idx="145">
                  <c:v>1.3667932259459052</c:v>
                </c:pt>
                <c:pt idx="146">
                  <c:v>1.3827697686220703</c:v>
                </c:pt>
                <c:pt idx="147">
                  <c:v>1.3987698062139353</c:v>
                </c:pt>
                <c:pt idx="148">
                  <c:v>1.4147463488901004</c:v>
                </c:pt>
                <c:pt idx="149">
                  <c:v>1.4307228915662651</c:v>
                </c:pt>
                <c:pt idx="150">
                  <c:v>1.4467229291581303</c:v>
                </c:pt>
                <c:pt idx="151">
                  <c:v>1.4626994718342952</c:v>
                </c:pt>
                <c:pt idx="152">
                  <c:v>1.4786995094261604</c:v>
                </c:pt>
                <c:pt idx="153">
                  <c:v>1.494676052102325</c:v>
                </c:pt>
                <c:pt idx="154">
                  <c:v>1.5106525947784901</c:v>
                </c:pt>
                <c:pt idx="155">
                  <c:v>1.5266526323703551</c:v>
                </c:pt>
                <c:pt idx="156">
                  <c:v>1.54262917504652</c:v>
                </c:pt>
                <c:pt idx="157">
                  <c:v>1.5586292126383852</c:v>
                </c:pt>
                <c:pt idx="158">
                  <c:v>1.57460575531455</c:v>
                </c:pt>
                <c:pt idx="159">
                  <c:v>1.5905822979907149</c:v>
                </c:pt>
                <c:pt idx="160">
                  <c:v>1.6065823355825799</c:v>
                </c:pt>
                <c:pt idx="161">
                  <c:v>1.622558878258745</c:v>
                </c:pt>
                <c:pt idx="162">
                  <c:v>1.63855891585061</c:v>
                </c:pt>
                <c:pt idx="163">
                  <c:v>1.658529594195816</c:v>
                </c:pt>
                <c:pt idx="164">
                  <c:v>1.6745061368719809</c:v>
                </c:pt>
                <c:pt idx="165">
                  <c:v>1.6905061744638461</c:v>
                </c:pt>
                <c:pt idx="166">
                  <c:v>1.706482717140011</c:v>
                </c:pt>
                <c:pt idx="167">
                  <c:v>1.7224827547318762</c:v>
                </c:pt>
                <c:pt idx="168">
                  <c:v>1.7384592974080408</c:v>
                </c:pt>
                <c:pt idx="169">
                  <c:v>1.7584299757532473</c:v>
                </c:pt>
                <c:pt idx="170">
                  <c:v>1.7744300133451123</c:v>
                </c:pt>
                <c:pt idx="171">
                  <c:v>1.790406556021277</c:v>
                </c:pt>
                <c:pt idx="172">
                  <c:v>1.8064065936131424</c:v>
                </c:pt>
                <c:pt idx="173">
                  <c:v>1.8263772719583484</c:v>
                </c:pt>
                <c:pt idx="174">
                  <c:v>1.8423773095502134</c:v>
                </c:pt>
                <c:pt idx="175">
                  <c:v>1.8583538522263785</c:v>
                </c:pt>
                <c:pt idx="176">
                  <c:v>1.8783245305715843</c:v>
                </c:pt>
                <c:pt idx="177">
                  <c:v>1.8943245681634495</c:v>
                </c:pt>
                <c:pt idx="178">
                  <c:v>1.9103011108396144</c:v>
                </c:pt>
                <c:pt idx="179">
                  <c:v>1.930295284100521</c:v>
                </c:pt>
                <c:pt idx="180">
                  <c:v>1.9462718267766854</c:v>
                </c:pt>
                <c:pt idx="181">
                  <c:v>1.966266000037592</c:v>
                </c:pt>
                <c:pt idx="182">
                  <c:v>1.9822425427137569</c:v>
                </c:pt>
                <c:pt idx="183">
                  <c:v>2.002236715974663</c:v>
                </c:pt>
                <c:pt idx="184">
                  <c:v>2.0182132586508281</c:v>
                </c:pt>
                <c:pt idx="185">
                  <c:v>2.0381839369960342</c:v>
                </c:pt>
                <c:pt idx="186">
                  <c:v>2.0581781102569408</c:v>
                </c:pt>
                <c:pt idx="187">
                  <c:v>2.0741546529331054</c:v>
                </c:pt>
                <c:pt idx="188">
                  <c:v>2.094148826194012</c:v>
                </c:pt>
                <c:pt idx="189">
                  <c:v>2.1141195045392176</c:v>
                </c:pt>
                <c:pt idx="190">
                  <c:v>2.1301195421310832</c:v>
                </c:pt>
                <c:pt idx="191">
                  <c:v>2.1460960848072479</c:v>
                </c:pt>
                <c:pt idx="192">
                  <c:v>2.1620726274834126</c:v>
                </c:pt>
                <c:pt idx="193">
                  <c:v>2.1780726650752777</c:v>
                </c:pt>
                <c:pt idx="194">
                  <c:v>2.1940492077514429</c:v>
                </c:pt>
                <c:pt idx="195">
                  <c:v>2.210049245343308</c:v>
                </c:pt>
                <c:pt idx="196">
                  <c:v>2.2260257880194727</c:v>
                </c:pt>
                <c:pt idx="197">
                  <c:v>2.2420023306956374</c:v>
                </c:pt>
                <c:pt idx="198">
                  <c:v>2.2619965039565439</c:v>
                </c:pt>
                <c:pt idx="199">
                  <c:v>2.2779730466327091</c:v>
                </c:pt>
                <c:pt idx="200">
                  <c:v>2.2939730842245738</c:v>
                </c:pt>
                <c:pt idx="201">
                  <c:v>2.3139437625697798</c:v>
                </c:pt>
                <c:pt idx="202">
                  <c:v>2.3339379358306864</c:v>
                </c:pt>
                <c:pt idx="203">
                  <c:v>2.3539556040072931</c:v>
                </c:pt>
                <c:pt idx="204">
                  <c:v>2.3739262823524991</c:v>
                </c:pt>
                <c:pt idx="205">
                  <c:v>2.3938969606977052</c:v>
                </c:pt>
                <c:pt idx="206">
                  <c:v>2.4138676390429112</c:v>
                </c:pt>
                <c:pt idx="207">
                  <c:v>2.4338383173881173</c:v>
                </c:pt>
                <c:pt idx="208">
                  <c:v>2.4538089957333233</c:v>
                </c:pt>
                <c:pt idx="209">
                  <c:v>2.4737796740785298</c:v>
                </c:pt>
                <c:pt idx="210">
                  <c:v>2.4937503524237354</c:v>
                </c:pt>
                <c:pt idx="211">
                  <c:v>2.5137210307689415</c:v>
                </c:pt>
                <c:pt idx="212">
                  <c:v>2.529697573445107</c:v>
                </c:pt>
                <c:pt idx="213">
                  <c:v>2.5496682517903126</c:v>
                </c:pt>
                <c:pt idx="214">
                  <c:v>2.5696389301355187</c:v>
                </c:pt>
                <c:pt idx="215">
                  <c:v>2.5896096084807252</c:v>
                </c:pt>
                <c:pt idx="216">
                  <c:v>2.6095802868259308</c:v>
                </c:pt>
                <c:pt idx="217">
                  <c:v>2.6255568295020959</c:v>
                </c:pt>
                <c:pt idx="218">
                  <c:v>2.6457624570043046</c:v>
                </c:pt>
                <c:pt idx="219">
                  <c:v>2.6657331353495102</c:v>
                </c:pt>
                <c:pt idx="220">
                  <c:v>2.6857038136947171</c:v>
                </c:pt>
                <c:pt idx="221">
                  <c:v>2.7056744920399227</c:v>
                </c:pt>
                <c:pt idx="222">
                  <c:v>2.7256451703851288</c:v>
                </c:pt>
                <c:pt idx="223">
                  <c:v>2.7416217130612934</c:v>
                </c:pt>
                <c:pt idx="224">
                  <c:v>2.7615923914064999</c:v>
                </c:pt>
                <c:pt idx="225">
                  <c:v>2.781563069751706</c:v>
                </c:pt>
                <c:pt idx="226">
                  <c:v>2.8015337480969116</c:v>
                </c:pt>
                <c:pt idx="227">
                  <c:v>2.8175102907730771</c:v>
                </c:pt>
                <c:pt idx="228">
                  <c:v>2.8374809691182827</c:v>
                </c:pt>
                <c:pt idx="229">
                  <c:v>2.8534575117944478</c:v>
                </c:pt>
                <c:pt idx="230">
                  <c:v>2.8734281901396539</c:v>
                </c:pt>
                <c:pt idx="231">
                  <c:v>2.889404732815819</c:v>
                </c:pt>
                <c:pt idx="232">
                  <c:v>2.909375411161025</c:v>
                </c:pt>
                <c:pt idx="233">
                  <c:v>2.9253519538371897</c:v>
                </c:pt>
                <c:pt idx="234">
                  <c:v>2.9453226321823962</c:v>
                </c:pt>
                <c:pt idx="235">
                  <c:v>2.9652933105276018</c:v>
                </c:pt>
                <c:pt idx="236">
                  <c:v>2.9812698532037669</c:v>
                </c:pt>
                <c:pt idx="237">
                  <c:v>3.0012405315489725</c:v>
                </c:pt>
                <c:pt idx="238">
                  <c:v>3.0212112098941795</c:v>
                </c:pt>
                <c:pt idx="239">
                  <c:v>3.0374227017273463</c:v>
                </c:pt>
                <c:pt idx="240">
                  <c:v>3.0573933800725523</c:v>
                </c:pt>
                <c:pt idx="241">
                  <c:v>3.0733699227487175</c:v>
                </c:pt>
                <c:pt idx="242">
                  <c:v>3.1013288724320063</c:v>
                </c:pt>
                <c:pt idx="243">
                  <c:v>3.1292878221152942</c:v>
                </c:pt>
                <c:pt idx="244">
                  <c:v>3.1572467717985826</c:v>
                </c:pt>
                <c:pt idx="245">
                  <c:v>3.1812115858128305</c:v>
                </c:pt>
                <c:pt idx="246">
                  <c:v>3.2091705354961189</c:v>
                </c:pt>
                <c:pt idx="247">
                  <c:v>3.2371294851794077</c:v>
                </c:pt>
                <c:pt idx="248">
                  <c:v>3.2610942991936551</c:v>
                </c:pt>
                <c:pt idx="249">
                  <c:v>3.2890532488769431</c:v>
                </c:pt>
                <c:pt idx="250">
                  <c:v>3.3170121985602319</c:v>
                </c:pt>
                <c:pt idx="251">
                  <c:v>3.3409770125744789</c:v>
                </c:pt>
                <c:pt idx="252">
                  <c:v>3.3689359622577673</c:v>
                </c:pt>
                <c:pt idx="253">
                  <c:v>3.3929007762720147</c:v>
                </c:pt>
                <c:pt idx="254">
                  <c:v>3.4168655902862621</c:v>
                </c:pt>
                <c:pt idx="255">
                  <c:v>3.4450594891265531</c:v>
                </c:pt>
                <c:pt idx="256">
                  <c:v>3.4690243031408006</c:v>
                </c:pt>
                <c:pt idx="257">
                  <c:v>3.4929891171550476</c:v>
                </c:pt>
                <c:pt idx="258">
                  <c:v>3.516953931169295</c:v>
                </c:pt>
                <c:pt idx="259">
                  <c:v>3.5409187451835429</c:v>
                </c:pt>
                <c:pt idx="260">
                  <c:v>3.5688776948668308</c:v>
                </c:pt>
                <c:pt idx="261">
                  <c:v>3.5928425088810783</c:v>
                </c:pt>
                <c:pt idx="262">
                  <c:v>3.6168073228953257</c:v>
                </c:pt>
                <c:pt idx="263">
                  <c:v>3.6407721369095731</c:v>
                </c:pt>
                <c:pt idx="264">
                  <c:v>3.6647369509238201</c:v>
                </c:pt>
                <c:pt idx="265">
                  <c:v>3.6887017649380676</c:v>
                </c:pt>
                <c:pt idx="266">
                  <c:v>3.7126665789523154</c:v>
                </c:pt>
                <c:pt idx="267">
                  <c:v>3.736631392966562</c:v>
                </c:pt>
                <c:pt idx="268">
                  <c:v>3.7605962069808094</c:v>
                </c:pt>
                <c:pt idx="269">
                  <c:v>3.7845610209950573</c:v>
                </c:pt>
                <c:pt idx="270">
                  <c:v>3.8085258350093039</c:v>
                </c:pt>
                <c:pt idx="271">
                  <c:v>3.8324906490235513</c:v>
                </c:pt>
                <c:pt idx="272">
                  <c:v>3.8566904121948014</c:v>
                </c:pt>
                <c:pt idx="273">
                  <c:v>3.8806552262090483</c:v>
                </c:pt>
                <c:pt idx="274">
                  <c:v>3.9046200402232958</c:v>
                </c:pt>
                <c:pt idx="275">
                  <c:v>3.9325789899065842</c:v>
                </c:pt>
                <c:pt idx="276">
                  <c:v>3.956543803920832</c:v>
                </c:pt>
                <c:pt idx="277">
                  <c:v>3.9845027536041204</c:v>
                </c:pt>
                <c:pt idx="278">
                  <c:v>4.0084675676183679</c:v>
                </c:pt>
                <c:pt idx="279">
                  <c:v>4.0364265173016562</c:v>
                </c:pt>
                <c:pt idx="280">
                  <c:v>4.0603913313159037</c:v>
                </c:pt>
                <c:pt idx="281">
                  <c:v>4.0843561453301511</c:v>
                </c:pt>
                <c:pt idx="282">
                  <c:v>4.1123150950134395</c:v>
                </c:pt>
                <c:pt idx="283">
                  <c:v>4.1442681803657688</c:v>
                </c:pt>
                <c:pt idx="284">
                  <c:v>4.18021540138714</c:v>
                </c:pt>
                <c:pt idx="285">
                  <c:v>4.2161626224085111</c:v>
                </c:pt>
                <c:pt idx="286">
                  <c:v>4.2483506569178431</c:v>
                </c:pt>
                <c:pt idx="287">
                  <c:v>4.2842978779392142</c:v>
                </c:pt>
                <c:pt idx="288">
                  <c:v>4.3202450989605854</c:v>
                </c:pt>
                <c:pt idx="289">
                  <c:v>4.3561923199819557</c:v>
                </c:pt>
                <c:pt idx="290">
                  <c:v>4.3921395410033268</c:v>
                </c:pt>
                <c:pt idx="291">
                  <c:v>4.428086762024698</c:v>
                </c:pt>
                <c:pt idx="292">
                  <c:v>4.4640339830460691</c:v>
                </c:pt>
                <c:pt idx="293">
                  <c:v>4.4999812040674394</c:v>
                </c:pt>
                <c:pt idx="294">
                  <c:v>4.5359284250888106</c:v>
                </c:pt>
                <c:pt idx="295">
                  <c:v>4.5718756461101817</c:v>
                </c:pt>
                <c:pt idx="296">
                  <c:v>4.6118170028005938</c:v>
                </c:pt>
                <c:pt idx="297">
                  <c:v>4.647764223821965</c:v>
                </c:pt>
                <c:pt idx="298">
                  <c:v>4.6839463940003396</c:v>
                </c:pt>
                <c:pt idx="299">
                  <c:v>4.7238877506907508</c:v>
                </c:pt>
                <c:pt idx="300">
                  <c:v>4.7638291073811629</c:v>
                </c:pt>
                <c:pt idx="301">
                  <c:v>4.7997763284025341</c:v>
                </c:pt>
                <c:pt idx="302">
                  <c:v>4.8317294137548634</c:v>
                </c:pt>
                <c:pt idx="303">
                  <c:v>4.8676766347762346</c:v>
                </c:pt>
                <c:pt idx="304">
                  <c:v>4.9036238557976057</c:v>
                </c:pt>
                <c:pt idx="305">
                  <c:v>4.9435652124880178</c:v>
                </c:pt>
                <c:pt idx="306">
                  <c:v>4.979512433509389</c:v>
                </c:pt>
                <c:pt idx="307">
                  <c:v>5.0194537901998002</c:v>
                </c:pt>
                <c:pt idx="308">
                  <c:v>5.0556359603781749</c:v>
                </c:pt>
                <c:pt idx="309">
                  <c:v>5.0875890457305042</c:v>
                </c:pt>
                <c:pt idx="310">
                  <c:v>5.1275304024209163</c:v>
                </c:pt>
                <c:pt idx="311">
                  <c:v>5.1674717591113293</c:v>
                </c:pt>
                <c:pt idx="312">
                  <c:v>5.2114072514707814</c:v>
                </c:pt>
                <c:pt idx="313">
                  <c:v>5.2553427438302354</c:v>
                </c:pt>
                <c:pt idx="314">
                  <c:v>5.2952841005206475</c:v>
                </c:pt>
                <c:pt idx="315">
                  <c:v>5.3352254572110605</c:v>
                </c:pt>
                <c:pt idx="316">
                  <c:v>5.3791609495705135</c:v>
                </c:pt>
                <c:pt idx="317">
                  <c:v>5.4191023062609256</c:v>
                </c:pt>
                <c:pt idx="318">
                  <c:v>5.4590436629513368</c:v>
                </c:pt>
                <c:pt idx="319">
                  <c:v>5.5032141044677934</c:v>
                </c:pt>
                <c:pt idx="320">
                  <c:v>5.5431554611582055</c:v>
                </c:pt>
                <c:pt idx="321">
                  <c:v>5.5870909535176594</c:v>
                </c:pt>
                <c:pt idx="322">
                  <c:v>5.6270323102080706</c:v>
                </c:pt>
                <c:pt idx="323">
                  <c:v>5.6709678025675245</c:v>
                </c:pt>
                <c:pt idx="324">
                  <c:v>5.7109091592579366</c:v>
                </c:pt>
                <c:pt idx="325">
                  <c:v>5.7548446516173897</c:v>
                </c:pt>
                <c:pt idx="326">
                  <c:v>5.7947860083078027</c:v>
                </c:pt>
                <c:pt idx="327">
                  <c:v>5.8387215006672557</c:v>
                </c:pt>
                <c:pt idx="328">
                  <c:v>5.8788978065146704</c:v>
                </c:pt>
                <c:pt idx="329">
                  <c:v>5.9228332988741244</c:v>
                </c:pt>
                <c:pt idx="330">
                  <c:v>5.9667687912335774</c:v>
                </c:pt>
                <c:pt idx="331">
                  <c:v>6.0107042835930304</c:v>
                </c:pt>
                <c:pt idx="332">
                  <c:v>6.0546397759524835</c:v>
                </c:pt>
                <c:pt idx="333">
                  <c:v>6.0945811326428956</c:v>
                </c:pt>
                <c:pt idx="334">
                  <c:v>6.1385166250023495</c:v>
                </c:pt>
                <c:pt idx="335">
                  <c:v>6.1944345243689263</c:v>
                </c:pt>
                <c:pt idx="336">
                  <c:v>6.2463582880664639</c:v>
                </c:pt>
                <c:pt idx="337">
                  <c:v>6.3025111365900424</c:v>
                </c:pt>
                <c:pt idx="338">
                  <c:v>6.3544349002875782</c:v>
                </c:pt>
                <c:pt idx="339">
                  <c:v>6.4063586639851149</c:v>
                </c:pt>
                <c:pt idx="340">
                  <c:v>6.4622765633516916</c:v>
                </c:pt>
                <c:pt idx="341">
                  <c:v>6.5142003270492266</c:v>
                </c:pt>
                <c:pt idx="342">
                  <c:v>6.5701182264158033</c:v>
                </c:pt>
                <c:pt idx="343">
                  <c:v>6.626036125782381</c:v>
                </c:pt>
                <c:pt idx="344">
                  <c:v>6.6821889743059613</c:v>
                </c:pt>
                <c:pt idx="345">
                  <c:v>6.7301186023344544</c:v>
                </c:pt>
                <c:pt idx="346">
                  <c:v>6.786036501701032</c:v>
                </c:pt>
                <c:pt idx="347">
                  <c:v>6.8419544010676088</c:v>
                </c:pt>
                <c:pt idx="348">
                  <c:v>6.8978723004341864</c:v>
                </c:pt>
                <c:pt idx="349">
                  <c:v>6.9458019284626813</c:v>
                </c:pt>
                <c:pt idx="350">
                  <c:v>7.0017198278292572</c:v>
                </c:pt>
                <c:pt idx="351">
                  <c:v>7.0576377271958348</c:v>
                </c:pt>
                <c:pt idx="352">
                  <c:v>7.1137905757194142</c:v>
                </c:pt>
                <c:pt idx="353">
                  <c:v>7.1617202037479091</c:v>
                </c:pt>
                <c:pt idx="354">
                  <c:v>7.2176381031144858</c:v>
                </c:pt>
                <c:pt idx="355">
                  <c:v>7.2735560024810626</c:v>
                </c:pt>
                <c:pt idx="356">
                  <c:v>7.3334680375166812</c:v>
                </c:pt>
                <c:pt idx="357">
                  <c:v>7.3893859368832588</c:v>
                </c:pt>
                <c:pt idx="358">
                  <c:v>7.4492979719188774</c:v>
                </c:pt>
                <c:pt idx="359">
                  <c:v>7.5094449561114978</c:v>
                </c:pt>
                <c:pt idx="360">
                  <c:v>7.5653628554780754</c:v>
                </c:pt>
                <c:pt idx="361">
                  <c:v>7.625274890513694</c:v>
                </c:pt>
                <c:pt idx="362">
                  <c:v>7.6851869255493126</c:v>
                </c:pt>
                <c:pt idx="363">
                  <c:v>7.7450989605849294</c:v>
                </c:pt>
                <c:pt idx="364">
                  <c:v>7.8010168599515062</c:v>
                </c:pt>
                <c:pt idx="365">
                  <c:v>7.8609288949871248</c:v>
                </c:pt>
                <c:pt idx="366">
                  <c:v>7.921075879179746</c:v>
                </c:pt>
                <c:pt idx="367">
                  <c:v>7.9809879142153646</c:v>
                </c:pt>
                <c:pt idx="368">
                  <c:v>8.0408999492509832</c:v>
                </c:pt>
                <c:pt idx="369">
                  <c:v>8.1008119842866009</c:v>
                </c:pt>
                <c:pt idx="370">
                  <c:v>8.1607240193222186</c:v>
                </c:pt>
                <c:pt idx="371">
                  <c:v>8.2206360543578363</c:v>
                </c:pt>
                <c:pt idx="372">
                  <c:v>8.2927654455575812</c:v>
                </c:pt>
                <c:pt idx="373">
                  <c:v>8.3566716162622416</c:v>
                </c:pt>
                <c:pt idx="374">
                  <c:v>8.428566058304984</c:v>
                </c:pt>
                <c:pt idx="375">
                  <c:v>8.5004605003477263</c:v>
                </c:pt>
                <c:pt idx="376">
                  <c:v>8.5643666710523849</c:v>
                </c:pt>
                <c:pt idx="377">
                  <c:v>8.6362611130951272</c:v>
                </c:pt>
                <c:pt idx="378">
                  <c:v>8.7004022329567903</c:v>
                </c:pt>
                <c:pt idx="379">
                  <c:v>8.7722966749995308</c:v>
                </c:pt>
                <c:pt idx="380">
                  <c:v>8.8362028457041912</c:v>
                </c:pt>
                <c:pt idx="381">
                  <c:v>8.9041031520778908</c:v>
                </c:pt>
                <c:pt idx="382">
                  <c:v>8.9680093227825495</c:v>
                </c:pt>
                <c:pt idx="383">
                  <c:v>9.0319154934872117</c:v>
                </c:pt>
                <c:pt idx="384">
                  <c:v>9.0958216641918685</c:v>
                </c:pt>
                <c:pt idx="385">
                  <c:v>9.1599627840535298</c:v>
                </c:pt>
                <c:pt idx="386">
                  <c:v>9.2278630904272312</c:v>
                </c:pt>
                <c:pt idx="387">
                  <c:v>9.3037516681390162</c:v>
                </c:pt>
                <c:pt idx="388">
                  <c:v>9.3836343815198386</c:v>
                </c:pt>
                <c:pt idx="389">
                  <c:v>9.4635170949006646</c:v>
                </c:pt>
                <c:pt idx="390">
                  <c:v>9.5436347574384897</c:v>
                </c:pt>
                <c:pt idx="391">
                  <c:v>9.6235174708193156</c:v>
                </c:pt>
                <c:pt idx="392">
                  <c:v>9.7034001842001398</c:v>
                </c:pt>
                <c:pt idx="393">
                  <c:v>9.7832828975809623</c:v>
                </c:pt>
                <c:pt idx="394">
                  <c:v>9.8551773396237063</c:v>
                </c:pt>
                <c:pt idx="395">
                  <c:v>9.9352950021615332</c:v>
                </c:pt>
                <c:pt idx="396">
                  <c:v>10.007189444204274</c:v>
                </c:pt>
                <c:pt idx="397">
                  <c:v>10.0870721575851</c:v>
                </c:pt>
                <c:pt idx="398">
                  <c:v>10.170949006634963</c:v>
                </c:pt>
                <c:pt idx="399">
                  <c:v>10.254825855684832</c:v>
                </c:pt>
                <c:pt idx="400">
                  <c:v>10.334943518222659</c:v>
                </c:pt>
                <c:pt idx="401">
                  <c:v>10.422814502941563</c:v>
                </c:pt>
                <c:pt idx="402">
                  <c:v>10.502697216322389</c:v>
                </c:pt>
                <c:pt idx="403">
                  <c:v>10.590568201041295</c:v>
                </c:pt>
                <c:pt idx="404">
                  <c:v>10.67444505009116</c:v>
                </c:pt>
                <c:pt idx="405">
                  <c:v>10.75855684829803</c:v>
                </c:pt>
                <c:pt idx="406">
                  <c:v>10.842433697347895</c:v>
                </c:pt>
                <c:pt idx="407">
                  <c:v>10.930304682066803</c:v>
                </c:pt>
                <c:pt idx="408">
                  <c:v>11.014181531116668</c:v>
                </c:pt>
                <c:pt idx="409">
                  <c:v>11.098058380166533</c:v>
                </c:pt>
                <c:pt idx="410">
                  <c:v>11.182170178373401</c:v>
                </c:pt>
                <c:pt idx="411">
                  <c:v>11.266047027423266</c:v>
                </c:pt>
                <c:pt idx="412">
                  <c:v>11.365900419149296</c:v>
                </c:pt>
                <c:pt idx="413">
                  <c:v>11.461759675206284</c:v>
                </c:pt>
                <c:pt idx="414">
                  <c:v>11.56184801608932</c:v>
                </c:pt>
                <c:pt idx="415">
                  <c:v>11.657707272146309</c:v>
                </c:pt>
                <c:pt idx="416">
                  <c:v>11.745578256865215</c:v>
                </c:pt>
                <c:pt idx="417">
                  <c:v>11.845431648591246</c:v>
                </c:pt>
                <c:pt idx="418">
                  <c:v>11.933537582467155</c:v>
                </c:pt>
                <c:pt idx="419">
                  <c:v>12.033390974193184</c:v>
                </c:pt>
                <c:pt idx="420">
                  <c:v>12.133244365919216</c:v>
                </c:pt>
                <c:pt idx="421">
                  <c:v>12.22111535063812</c:v>
                </c:pt>
                <c:pt idx="422">
                  <c:v>12.320968742364153</c:v>
                </c:pt>
                <c:pt idx="423">
                  <c:v>12.421057083247184</c:v>
                </c:pt>
                <c:pt idx="424">
                  <c:v>12.520910474973215</c:v>
                </c:pt>
                <c:pt idx="425">
                  <c:v>12.624758002368289</c:v>
                </c:pt>
                <c:pt idx="426">
                  <c:v>12.724611394094319</c:v>
                </c:pt>
                <c:pt idx="427">
                  <c:v>12.824699734977351</c:v>
                </c:pt>
                <c:pt idx="428">
                  <c:v>12.928547262372422</c:v>
                </c:pt>
                <c:pt idx="429">
                  <c:v>13.028400654098453</c:v>
                </c:pt>
                <c:pt idx="430">
                  <c:v>13.132248181493527</c:v>
                </c:pt>
                <c:pt idx="431">
                  <c:v>13.23233652237656</c:v>
                </c:pt>
                <c:pt idx="432">
                  <c:v>13.332189914102591</c:v>
                </c:pt>
                <c:pt idx="433">
                  <c:v>13.43603744149766</c:v>
                </c:pt>
                <c:pt idx="434">
                  <c:v>13.53988496889273</c:v>
                </c:pt>
                <c:pt idx="435">
                  <c:v>13.643967445444808</c:v>
                </c:pt>
                <c:pt idx="436">
                  <c:v>13.751809108508919</c:v>
                </c:pt>
                <c:pt idx="437">
                  <c:v>13.859650771573031</c:v>
                </c:pt>
                <c:pt idx="438">
                  <c:v>13.963733248125108</c:v>
                </c:pt>
                <c:pt idx="439">
                  <c:v>14.071574911189218</c:v>
                </c:pt>
                <c:pt idx="440">
                  <c:v>14.175422438584292</c:v>
                </c:pt>
                <c:pt idx="441">
                  <c:v>14.279269965979362</c:v>
                </c:pt>
                <c:pt idx="442">
                  <c:v>14.387346578200479</c:v>
                </c:pt>
                <c:pt idx="443">
                  <c:v>14.511164783940757</c:v>
                </c:pt>
                <c:pt idx="444">
                  <c:v>14.623000582673908</c:v>
                </c:pt>
                <c:pt idx="445">
                  <c:v>14.746818788414188</c:v>
                </c:pt>
                <c:pt idx="446">
                  <c:v>14.870871943311469</c:v>
                </c:pt>
                <c:pt idx="447">
                  <c:v>14.982707742044624</c:v>
                </c:pt>
                <c:pt idx="448">
                  <c:v>15.106525947784901</c:v>
                </c:pt>
                <c:pt idx="449">
                  <c:v>15.230579102682182</c:v>
                </c:pt>
                <c:pt idx="450">
                  <c:v>15.354397308422458</c:v>
                </c:pt>
                <c:pt idx="451">
                  <c:v>15.478215514162736</c:v>
                </c:pt>
                <c:pt idx="452">
                  <c:v>15.602268669060019</c:v>
                </c:pt>
                <c:pt idx="453">
                  <c:v>15.730081010469334</c:v>
                </c:pt>
                <c:pt idx="454">
                  <c:v>15.853899216209612</c:v>
                </c:pt>
                <c:pt idx="455">
                  <c:v>15.981946506775934</c:v>
                </c:pt>
                <c:pt idx="456">
                  <c:v>16.105764712516212</c:v>
                </c:pt>
                <c:pt idx="457">
                  <c:v>16.233577053925533</c:v>
                </c:pt>
                <c:pt idx="458">
                  <c:v>16.36138939533485</c:v>
                </c:pt>
                <c:pt idx="459">
                  <c:v>16.489436685901172</c:v>
                </c:pt>
                <c:pt idx="460">
                  <c:v>16.617249027310489</c:v>
                </c:pt>
                <c:pt idx="461">
                  <c:v>16.74506136871981</c:v>
                </c:pt>
                <c:pt idx="462">
                  <c:v>16.873108659286132</c:v>
                </c:pt>
                <c:pt idx="463">
                  <c:v>17.000921000695453</c:v>
                </c:pt>
                <c:pt idx="464">
                  <c:v>17.12873334210477</c:v>
                </c:pt>
                <c:pt idx="465">
                  <c:v>17.256780632671092</c:v>
                </c:pt>
                <c:pt idx="466">
                  <c:v>17.384592974080409</c:v>
                </c:pt>
                <c:pt idx="467">
                  <c:v>17.524387722496851</c:v>
                </c:pt>
                <c:pt idx="468">
                  <c:v>17.664417420070297</c:v>
                </c:pt>
                <c:pt idx="469">
                  <c:v>17.808206304155782</c:v>
                </c:pt>
                <c:pt idx="470">
                  <c:v>17.951995188241266</c:v>
                </c:pt>
                <c:pt idx="471">
                  <c:v>18.100013157152794</c:v>
                </c:pt>
                <c:pt idx="472">
                  <c:v>18.243802041238279</c:v>
                </c:pt>
                <c:pt idx="473">
                  <c:v>18.391585060992799</c:v>
                </c:pt>
                <c:pt idx="474">
                  <c:v>18.535608894235288</c:v>
                </c:pt>
                <c:pt idx="475">
                  <c:v>18.679397778320769</c:v>
                </c:pt>
                <c:pt idx="476">
                  <c:v>18.823421611563258</c:v>
                </c:pt>
                <c:pt idx="477">
                  <c:v>18.979192902655868</c:v>
                </c:pt>
                <c:pt idx="478">
                  <c:v>19.122981786741349</c:v>
                </c:pt>
                <c:pt idx="479">
                  <c:v>19.270999755652877</c:v>
                </c:pt>
                <c:pt idx="480">
                  <c:v>19.418782775407404</c:v>
                </c:pt>
                <c:pt idx="481">
                  <c:v>19.566565795161925</c:v>
                </c:pt>
                <c:pt idx="482">
                  <c:v>19.726566171080577</c:v>
                </c:pt>
                <c:pt idx="483">
                  <c:v>19.894319869180311</c:v>
                </c:pt>
                <c:pt idx="484">
                  <c:v>20.058314380768003</c:v>
                </c:pt>
                <c:pt idx="485">
                  <c:v>20.210091536191573</c:v>
                </c:pt>
                <c:pt idx="486">
                  <c:v>20.3778452342913</c:v>
                </c:pt>
                <c:pt idx="487">
                  <c:v>20.541839745878992</c:v>
                </c:pt>
                <c:pt idx="488">
                  <c:v>20.709593443978726</c:v>
                </c:pt>
                <c:pt idx="489">
                  <c:v>20.87758209123546</c:v>
                </c:pt>
                <c:pt idx="490">
                  <c:v>21.04932992500423</c:v>
                </c:pt>
                <c:pt idx="491">
                  <c:v>21.21708362310396</c:v>
                </c:pt>
                <c:pt idx="492">
                  <c:v>21.385072270360698</c:v>
                </c:pt>
                <c:pt idx="493">
                  <c:v>21.556820104129468</c:v>
                </c:pt>
                <c:pt idx="494">
                  <c:v>21.724808751386199</c:v>
                </c:pt>
                <c:pt idx="495">
                  <c:v>21.892562449485933</c:v>
                </c:pt>
                <c:pt idx="496">
                  <c:v>22.060551096742667</c:v>
                </c:pt>
                <c:pt idx="497">
                  <c:v>22.228304794842401</c:v>
                </c:pt>
                <c:pt idx="498">
                  <c:v>22.396058492942128</c:v>
                </c:pt>
                <c:pt idx="499">
                  <c:v>22.564047140198859</c:v>
                </c:pt>
                <c:pt idx="500">
                  <c:v>22.747777380974757</c:v>
                </c:pt>
                <c:pt idx="501">
                  <c:v>22.931742570907655</c:v>
                </c:pt>
                <c:pt idx="502">
                  <c:v>23.115472811683553</c:v>
                </c:pt>
                <c:pt idx="503">
                  <c:v>23.291449730278369</c:v>
                </c:pt>
                <c:pt idx="504">
                  <c:v>23.471185835385224</c:v>
                </c:pt>
                <c:pt idx="505">
                  <c:v>23.654681127004118</c:v>
                </c:pt>
                <c:pt idx="506">
                  <c:v>23.83794146946601</c:v>
                </c:pt>
                <c:pt idx="507">
                  <c:v>24.023551303497925</c:v>
                </c:pt>
                <c:pt idx="508">
                  <c:v>24.218559103809934</c:v>
                </c:pt>
                <c:pt idx="509">
                  <c:v>24.413566904121947</c:v>
                </c:pt>
                <c:pt idx="510">
                  <c:v>24.599176738153865</c:v>
                </c:pt>
                <c:pt idx="511">
                  <c:v>24.798883521605926</c:v>
                </c:pt>
                <c:pt idx="512">
                  <c:v>24.998590305057988</c:v>
                </c:pt>
                <c:pt idx="513">
                  <c:v>25.198297088510049</c:v>
                </c:pt>
                <c:pt idx="514">
                  <c:v>25.398003871962107</c:v>
                </c:pt>
                <c:pt idx="515">
                  <c:v>25.597710655414172</c:v>
                </c:pt>
                <c:pt idx="516">
                  <c:v>25.809164896716354</c:v>
                </c:pt>
                <c:pt idx="517">
                  <c:v>26.013570663308464</c:v>
                </c:pt>
                <c:pt idx="518">
                  <c:v>26.215626938330544</c:v>
                </c:pt>
                <c:pt idx="519">
                  <c:v>26.424731688062707</c:v>
                </c:pt>
                <c:pt idx="520">
                  <c:v>26.640884912504937</c:v>
                </c:pt>
                <c:pt idx="521">
                  <c:v>26.84764017066707</c:v>
                </c:pt>
                <c:pt idx="522">
                  <c:v>27.059094411969252</c:v>
                </c:pt>
                <c:pt idx="523">
                  <c:v>27.268199161701407</c:v>
                </c:pt>
                <c:pt idx="524">
                  <c:v>27.479653403003589</c:v>
                </c:pt>
                <c:pt idx="525">
                  <c:v>27.686408661165729</c:v>
                </c:pt>
                <c:pt idx="526">
                  <c:v>27.919008326598128</c:v>
                </c:pt>
                <c:pt idx="527">
                  <c:v>28.146909008890475</c:v>
                </c:pt>
                <c:pt idx="528">
                  <c:v>28.379508674322881</c:v>
                </c:pt>
                <c:pt idx="529">
                  <c:v>28.602710373475183</c:v>
                </c:pt>
                <c:pt idx="530">
                  <c:v>28.830611055767534</c:v>
                </c:pt>
                <c:pt idx="531">
                  <c:v>29.053812754919836</c:v>
                </c:pt>
                <c:pt idx="532">
                  <c:v>29.281713437212186</c:v>
                </c:pt>
                <c:pt idx="533">
                  <c:v>29.504915136364488</c:v>
                </c:pt>
                <c:pt idx="534">
                  <c:v>29.732815818656842</c:v>
                </c:pt>
                <c:pt idx="535">
                  <c:v>29.977162941939369</c:v>
                </c:pt>
                <c:pt idx="536">
                  <c:v>30.221510065221889</c:v>
                </c:pt>
                <c:pt idx="537">
                  <c:v>30.465857188504408</c:v>
                </c:pt>
                <c:pt idx="538">
                  <c:v>30.707854820216905</c:v>
                </c:pt>
                <c:pt idx="539">
                  <c:v>30.952201943499432</c:v>
                </c:pt>
                <c:pt idx="540">
                  <c:v>31.196549066781948</c:v>
                </c:pt>
                <c:pt idx="541">
                  <c:v>31.436197206924422</c:v>
                </c:pt>
                <c:pt idx="542">
                  <c:v>31.675845347066897</c:v>
                </c:pt>
                <c:pt idx="543">
                  <c:v>31.922541961919443</c:v>
                </c:pt>
                <c:pt idx="544">
                  <c:v>32.171588068342011</c:v>
                </c:pt>
                <c:pt idx="545">
                  <c:v>32.432381632614707</c:v>
                </c:pt>
                <c:pt idx="546">
                  <c:v>32.679078247467253</c:v>
                </c:pt>
                <c:pt idx="547">
                  <c:v>32.925774862319798</c:v>
                </c:pt>
                <c:pt idx="548">
                  <c:v>33.193616901302555</c:v>
                </c:pt>
                <c:pt idx="549">
                  <c:v>33.466157923425378</c:v>
                </c:pt>
                <c:pt idx="550">
                  <c:v>33.733999962408134</c:v>
                </c:pt>
                <c:pt idx="551">
                  <c:v>33.990094543540785</c:v>
                </c:pt>
                <c:pt idx="552">
                  <c:v>34.262635565663594</c:v>
                </c:pt>
                <c:pt idx="553">
                  <c:v>34.530477604646357</c:v>
                </c:pt>
                <c:pt idx="554">
                  <c:v>34.793620660489076</c:v>
                </c:pt>
                <c:pt idx="555">
                  <c:v>35.068511174181907</c:v>
                </c:pt>
                <c:pt idx="556">
                  <c:v>35.345751179444775</c:v>
                </c:pt>
                <c:pt idx="557">
                  <c:v>35.620641693137607</c:v>
                </c:pt>
                <c:pt idx="558">
                  <c:v>35.900231189970491</c:v>
                </c:pt>
                <c:pt idx="559">
                  <c:v>36.19626712779354</c:v>
                </c:pt>
                <c:pt idx="560">
                  <c:v>36.492303065616603</c:v>
                </c:pt>
                <c:pt idx="561">
                  <c:v>36.771892562449487</c:v>
                </c:pt>
                <c:pt idx="562">
                  <c:v>37.063229517132498</c:v>
                </c:pt>
                <c:pt idx="563">
                  <c:v>37.359265454955548</c:v>
                </c:pt>
                <c:pt idx="564">
                  <c:v>37.650602409638552</c:v>
                </c:pt>
                <c:pt idx="565">
                  <c:v>37.95133733060166</c:v>
                </c:pt>
                <c:pt idx="566">
                  <c:v>38.245023776854687</c:v>
                </c:pt>
                <c:pt idx="567">
                  <c:v>38.54105971467775</c:v>
                </c:pt>
                <c:pt idx="568">
                  <c:v>38.846493618780904</c:v>
                </c:pt>
                <c:pt idx="569">
                  <c:v>39.149578031314022</c:v>
                </c:pt>
                <c:pt idx="570">
                  <c:v>39.45266244384716</c:v>
                </c:pt>
                <c:pt idx="571">
                  <c:v>39.77219329737045</c:v>
                </c:pt>
                <c:pt idx="572">
                  <c:v>40.091724150893747</c:v>
                </c:pt>
                <c:pt idx="573">
                  <c:v>40.408905512847021</c:v>
                </c:pt>
                <c:pt idx="574">
                  <c:v>40.71903840009022</c:v>
                </c:pt>
                <c:pt idx="575">
                  <c:v>41.031520778903449</c:v>
                </c:pt>
                <c:pt idx="576">
                  <c:v>41.360449598706843</c:v>
                </c:pt>
                <c:pt idx="577">
                  <c:v>41.682329943800156</c:v>
                </c:pt>
                <c:pt idx="578">
                  <c:v>42.006559780463512</c:v>
                </c:pt>
                <c:pt idx="579">
                  <c:v>42.347236058117026</c:v>
                </c:pt>
                <c:pt idx="580">
                  <c:v>42.685562844200511</c:v>
                </c:pt>
                <c:pt idx="581">
                  <c:v>43.014491664003906</c:v>
                </c:pt>
                <c:pt idx="582">
                  <c:v>43.362216416367502</c:v>
                </c:pt>
                <c:pt idx="583">
                  <c:v>43.70524218559104</c:v>
                </c:pt>
                <c:pt idx="584">
                  <c:v>44.041219480104509</c:v>
                </c:pt>
                <c:pt idx="585">
                  <c:v>44.395992707178166</c:v>
                </c:pt>
                <c:pt idx="586">
                  <c:v>44.748416442681801</c:v>
                </c:pt>
                <c:pt idx="587">
                  <c:v>45.096141195045398</c:v>
                </c:pt>
                <c:pt idx="588">
                  <c:v>45.450914422119055</c:v>
                </c:pt>
                <c:pt idx="589">
                  <c:v>45.803338157622697</c:v>
                </c:pt>
                <c:pt idx="590">
                  <c:v>46.1628103678364</c:v>
                </c:pt>
                <c:pt idx="591">
                  <c:v>46.531680544330207</c:v>
                </c:pt>
                <c:pt idx="592">
                  <c:v>46.898201229253992</c:v>
                </c:pt>
                <c:pt idx="593">
                  <c:v>47.257673439467709</c:v>
                </c:pt>
                <c:pt idx="594">
                  <c:v>47.628893107531532</c:v>
                </c:pt>
                <c:pt idx="595">
                  <c:v>48.004811758735414</c:v>
                </c:pt>
                <c:pt idx="596">
                  <c:v>48.364283968949124</c:v>
                </c:pt>
                <c:pt idx="597">
                  <c:v>48.683814822472414</c:v>
                </c:pt>
                <c:pt idx="598">
                  <c:v>48.784842959983465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5E-4CB3-A004-2FA832C158F4}"/>
            </c:ext>
          </c:extLst>
        </c:ser>
        <c:ser>
          <c:idx val="3"/>
          <c:order val="3"/>
          <c:tx>
            <c:strRef>
              <c:f>{"A22-4"}</c:f>
              <c:strCache>
                <c:ptCount val="1"/>
                <c:pt idx="0">
                  <c:v>A22-4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'A22-3'!$C$2:$C$600</c:f>
              <c:numCache>
                <c:formatCode>0.00</c:formatCode>
                <c:ptCount val="599"/>
                <c:pt idx="0">
                  <c:v>1.0608599999999999E-4</c:v>
                </c:pt>
                <c:pt idx="1">
                  <c:v>8.6376000000000005E-3</c:v>
                </c:pt>
                <c:pt idx="2">
                  <c:v>8.7195999999999992E-3</c:v>
                </c:pt>
                <c:pt idx="3">
                  <c:v>8.8032000000000006E-3</c:v>
                </c:pt>
                <c:pt idx="4">
                  <c:v>8.8890000000000011E-3</c:v>
                </c:pt>
                <c:pt idx="5">
                  <c:v>8.972599999999999E-3</c:v>
                </c:pt>
                <c:pt idx="6">
                  <c:v>9.0546000000000012E-3</c:v>
                </c:pt>
                <c:pt idx="7">
                  <c:v>9.1363999999999994E-3</c:v>
                </c:pt>
                <c:pt idx="8">
                  <c:v>9.2201999999999996E-3</c:v>
                </c:pt>
                <c:pt idx="9">
                  <c:v>9.3039999999999998E-3</c:v>
                </c:pt>
                <c:pt idx="10">
                  <c:v>9.3876000000000012E-3</c:v>
                </c:pt>
                <c:pt idx="11">
                  <c:v>9.4713999999999996E-3</c:v>
                </c:pt>
                <c:pt idx="12">
                  <c:v>9.5534000000000001E-3</c:v>
                </c:pt>
                <c:pt idx="13">
                  <c:v>9.6369999999999997E-3</c:v>
                </c:pt>
                <c:pt idx="14">
                  <c:v>9.7207999999999999E-3</c:v>
                </c:pt>
                <c:pt idx="15">
                  <c:v>9.8046000000000001E-3</c:v>
                </c:pt>
                <c:pt idx="16">
                  <c:v>9.8884000000000003E-3</c:v>
                </c:pt>
                <c:pt idx="17">
                  <c:v>9.972E-3</c:v>
                </c:pt>
                <c:pt idx="18">
                  <c:v>1.0052200000000001E-2</c:v>
                </c:pt>
                <c:pt idx="19">
                  <c:v>1.0137799999999999E-2</c:v>
                </c:pt>
                <c:pt idx="20">
                  <c:v>1.02214E-2</c:v>
                </c:pt>
                <c:pt idx="21">
                  <c:v>1.03052E-2</c:v>
                </c:pt>
                <c:pt idx="22">
                  <c:v>1.0387200000000001E-2</c:v>
                </c:pt>
                <c:pt idx="23">
                  <c:v>1.0470800000000001E-2</c:v>
                </c:pt>
                <c:pt idx="24">
                  <c:v>1.0554600000000001E-2</c:v>
                </c:pt>
                <c:pt idx="25">
                  <c:v>1.0638399999999999E-2</c:v>
                </c:pt>
                <c:pt idx="26">
                  <c:v>1.0720199999999999E-2</c:v>
                </c:pt>
                <c:pt idx="27">
                  <c:v>1.0804000000000001E-2</c:v>
                </c:pt>
                <c:pt idx="28">
                  <c:v>1.0887800000000001E-2</c:v>
                </c:pt>
                <c:pt idx="29">
                  <c:v>1.0997600000000001E-2</c:v>
                </c:pt>
                <c:pt idx="30">
                  <c:v>1.11092E-2</c:v>
                </c:pt>
                <c:pt idx="31">
                  <c:v>1.1221000000000002E-2</c:v>
                </c:pt>
                <c:pt idx="32">
                  <c:v>1.13326E-2</c:v>
                </c:pt>
                <c:pt idx="33">
                  <c:v>1.1442399999999998E-2</c:v>
                </c:pt>
                <c:pt idx="34">
                  <c:v>1.1554E-2</c:v>
                </c:pt>
                <c:pt idx="35">
                  <c:v>1.1665799999999999E-2</c:v>
                </c:pt>
                <c:pt idx="36">
                  <c:v>1.17774E-2</c:v>
                </c:pt>
                <c:pt idx="37">
                  <c:v>1.1887200000000001E-2</c:v>
                </c:pt>
                <c:pt idx="38">
                  <c:v>1.19988E-2</c:v>
                </c:pt>
                <c:pt idx="39">
                  <c:v>1.2108799999999999E-2</c:v>
                </c:pt>
                <c:pt idx="40">
                  <c:v>1.22186E-2</c:v>
                </c:pt>
                <c:pt idx="41">
                  <c:v>1.2332000000000001E-2</c:v>
                </c:pt>
                <c:pt idx="42">
                  <c:v>1.2441800000000001E-2</c:v>
                </c:pt>
                <c:pt idx="43">
                  <c:v>1.25536E-2</c:v>
                </c:pt>
                <c:pt idx="44">
                  <c:v>1.2665200000000001E-2</c:v>
                </c:pt>
                <c:pt idx="45">
                  <c:v>1.27768E-2</c:v>
                </c:pt>
                <c:pt idx="46">
                  <c:v>1.2888599999999998E-2</c:v>
                </c:pt>
                <c:pt idx="47">
                  <c:v>1.29984E-2</c:v>
                </c:pt>
                <c:pt idx="48">
                  <c:v>1.311E-2</c:v>
                </c:pt>
                <c:pt idx="49">
                  <c:v>1.32216E-2</c:v>
                </c:pt>
                <c:pt idx="50">
                  <c:v>1.33334E-2</c:v>
                </c:pt>
                <c:pt idx="51">
                  <c:v>1.3443199999999999E-2</c:v>
                </c:pt>
                <c:pt idx="52">
                  <c:v>1.3554800000000001E-2</c:v>
                </c:pt>
                <c:pt idx="53">
                  <c:v>1.3664600000000001E-2</c:v>
                </c:pt>
                <c:pt idx="54">
                  <c:v>1.3774399999999999E-2</c:v>
                </c:pt>
                <c:pt idx="55">
                  <c:v>1.3888000000000001E-2</c:v>
                </c:pt>
                <c:pt idx="56">
                  <c:v>1.3997799999999999E-2</c:v>
                </c:pt>
                <c:pt idx="57">
                  <c:v>1.4109400000000001E-2</c:v>
                </c:pt>
                <c:pt idx="58">
                  <c:v>1.42212E-2</c:v>
                </c:pt>
                <c:pt idx="59">
                  <c:v>1.4332800000000001E-2</c:v>
                </c:pt>
                <c:pt idx="60">
                  <c:v>1.44706E-2</c:v>
                </c:pt>
                <c:pt idx="61">
                  <c:v>1.45822E-2</c:v>
                </c:pt>
                <c:pt idx="62">
                  <c:v>1.472E-2</c:v>
                </c:pt>
                <c:pt idx="63">
                  <c:v>1.4859599999999999E-2</c:v>
                </c:pt>
                <c:pt idx="64">
                  <c:v>1.4997199999999999E-2</c:v>
                </c:pt>
                <c:pt idx="65">
                  <c:v>1.5136799999999999E-2</c:v>
                </c:pt>
                <c:pt idx="66">
                  <c:v>1.5276400000000001E-2</c:v>
                </c:pt>
                <c:pt idx="67">
                  <c:v>1.5416000000000001E-2</c:v>
                </c:pt>
                <c:pt idx="68">
                  <c:v>1.55538E-2</c:v>
                </c:pt>
                <c:pt idx="69">
                  <c:v>1.56934E-2</c:v>
                </c:pt>
                <c:pt idx="70">
                  <c:v>1.5830999999999998E-2</c:v>
                </c:pt>
                <c:pt idx="71">
                  <c:v>1.5970599999999998E-2</c:v>
                </c:pt>
                <c:pt idx="72">
                  <c:v>1.6110199999999998E-2</c:v>
                </c:pt>
                <c:pt idx="73">
                  <c:v>1.6247999999999999E-2</c:v>
                </c:pt>
                <c:pt idx="74">
                  <c:v>1.6389400000000002E-2</c:v>
                </c:pt>
                <c:pt idx="75">
                  <c:v>1.6527199999999999E-2</c:v>
                </c:pt>
                <c:pt idx="76">
                  <c:v>1.66648E-2</c:v>
                </c:pt>
                <c:pt idx="77">
                  <c:v>1.6804400000000001E-2</c:v>
                </c:pt>
                <c:pt idx="78">
                  <c:v>1.6944000000000001E-2</c:v>
                </c:pt>
                <c:pt idx="79">
                  <c:v>1.7081800000000001E-2</c:v>
                </c:pt>
                <c:pt idx="80">
                  <c:v>1.7221400000000001E-2</c:v>
                </c:pt>
                <c:pt idx="81">
                  <c:v>1.7361000000000001E-2</c:v>
                </c:pt>
                <c:pt idx="82">
                  <c:v>1.74968E-2</c:v>
                </c:pt>
                <c:pt idx="83">
                  <c:v>1.76382E-2</c:v>
                </c:pt>
                <c:pt idx="84">
                  <c:v>1.7776E-2</c:v>
                </c:pt>
                <c:pt idx="85">
                  <c:v>1.79156E-2</c:v>
                </c:pt>
                <c:pt idx="86">
                  <c:v>1.80552E-2</c:v>
                </c:pt>
                <c:pt idx="87">
                  <c:v>1.8220799999999999E-2</c:v>
                </c:pt>
                <c:pt idx="88">
                  <c:v>1.8360399999999999E-2</c:v>
                </c:pt>
                <c:pt idx="89">
                  <c:v>1.8526000000000001E-2</c:v>
                </c:pt>
                <c:pt idx="90">
                  <c:v>1.8665600000000001E-2</c:v>
                </c:pt>
                <c:pt idx="91">
                  <c:v>1.8805200000000001E-2</c:v>
                </c:pt>
                <c:pt idx="92">
                  <c:v>1.8970799999999999E-2</c:v>
                </c:pt>
                <c:pt idx="93">
                  <c:v>1.91104E-2</c:v>
                </c:pt>
                <c:pt idx="94">
                  <c:v>1.92482E-2</c:v>
                </c:pt>
                <c:pt idx="95">
                  <c:v>1.93878E-2</c:v>
                </c:pt>
                <c:pt idx="96">
                  <c:v>1.9527200000000002E-2</c:v>
                </c:pt>
                <c:pt idx="97">
                  <c:v>1.9663200000000002E-2</c:v>
                </c:pt>
                <c:pt idx="98">
                  <c:v>1.9774799999999999E-2</c:v>
                </c:pt>
                <c:pt idx="99">
                  <c:v>1.9916199999999998E-2</c:v>
                </c:pt>
                <c:pt idx="100">
                  <c:v>2.0055999999999997E-2</c:v>
                </c:pt>
                <c:pt idx="101">
                  <c:v>2.0166E-2</c:v>
                </c:pt>
                <c:pt idx="102">
                  <c:v>2.0304000000000003E-2</c:v>
                </c:pt>
                <c:pt idx="103">
                  <c:v>2.0442000000000002E-2</c:v>
                </c:pt>
                <c:pt idx="104">
                  <c:v>2.0554000000000003E-2</c:v>
                </c:pt>
                <c:pt idx="105">
                  <c:v>2.0691999999999999E-2</c:v>
                </c:pt>
                <c:pt idx="106">
                  <c:v>2.0804E-2</c:v>
                </c:pt>
                <c:pt idx="107">
                  <c:v>2.0943999999999997E-2</c:v>
                </c:pt>
                <c:pt idx="108">
                  <c:v>2.1084000000000002E-2</c:v>
                </c:pt>
                <c:pt idx="109">
                  <c:v>2.1194000000000001E-2</c:v>
                </c:pt>
                <c:pt idx="110">
                  <c:v>2.1330000000000002E-2</c:v>
                </c:pt>
                <c:pt idx="111">
                  <c:v>2.1442000000000003E-2</c:v>
                </c:pt>
                <c:pt idx="112">
                  <c:v>2.1582E-2</c:v>
                </c:pt>
                <c:pt idx="113">
                  <c:v>2.1694000000000001E-2</c:v>
                </c:pt>
                <c:pt idx="114">
                  <c:v>2.1806000000000002E-2</c:v>
                </c:pt>
                <c:pt idx="115">
                  <c:v>2.1943999999999998E-2</c:v>
                </c:pt>
                <c:pt idx="116">
                  <c:v>2.2054000000000001E-2</c:v>
                </c:pt>
                <c:pt idx="117">
                  <c:v>2.2164000000000003E-2</c:v>
                </c:pt>
                <c:pt idx="118">
                  <c:v>2.2275999999999997E-2</c:v>
                </c:pt>
                <c:pt idx="119">
                  <c:v>2.2387999999999998E-2</c:v>
                </c:pt>
                <c:pt idx="120">
                  <c:v>2.2499999999999999E-2</c:v>
                </c:pt>
                <c:pt idx="121">
                  <c:v>2.2610000000000002E-2</c:v>
                </c:pt>
                <c:pt idx="122">
                  <c:v>2.2722000000000003E-2</c:v>
                </c:pt>
                <c:pt idx="123">
                  <c:v>2.2831999999999998E-2</c:v>
                </c:pt>
                <c:pt idx="124">
                  <c:v>2.2943999999999999E-2</c:v>
                </c:pt>
                <c:pt idx="125">
                  <c:v>2.3054000000000002E-2</c:v>
                </c:pt>
                <c:pt idx="126">
                  <c:v>2.3166000000000003E-2</c:v>
                </c:pt>
                <c:pt idx="127">
                  <c:v>2.3275999999999998E-2</c:v>
                </c:pt>
                <c:pt idx="128">
                  <c:v>2.3386000000000001E-2</c:v>
                </c:pt>
                <c:pt idx="129">
                  <c:v>2.3498000000000002E-2</c:v>
                </c:pt>
                <c:pt idx="130">
                  <c:v>2.3607999999999997E-2</c:v>
                </c:pt>
                <c:pt idx="131">
                  <c:v>2.3719999999999998E-2</c:v>
                </c:pt>
                <c:pt idx="132">
                  <c:v>2.3831999999999999E-2</c:v>
                </c:pt>
                <c:pt idx="133">
                  <c:v>2.3916E-2</c:v>
                </c:pt>
                <c:pt idx="134">
                  <c:v>2.4026000000000002E-2</c:v>
                </c:pt>
                <c:pt idx="135">
                  <c:v>2.4109999999999999E-2</c:v>
                </c:pt>
                <c:pt idx="136">
                  <c:v>2.4222E-2</c:v>
                </c:pt>
                <c:pt idx="137">
                  <c:v>2.4304000000000003E-2</c:v>
                </c:pt>
                <c:pt idx="138">
                  <c:v>2.4413999999999998E-2</c:v>
                </c:pt>
                <c:pt idx="139">
                  <c:v>2.4525999999999999E-2</c:v>
                </c:pt>
                <c:pt idx="140">
                  <c:v>2.4636000000000002E-2</c:v>
                </c:pt>
                <c:pt idx="141">
                  <c:v>2.4748000000000003E-2</c:v>
                </c:pt>
                <c:pt idx="142">
                  <c:v>2.4832E-2</c:v>
                </c:pt>
                <c:pt idx="143">
                  <c:v>2.4916000000000001E-2</c:v>
                </c:pt>
                <c:pt idx="144">
                  <c:v>2.5000000000000001E-2</c:v>
                </c:pt>
                <c:pt idx="145">
                  <c:v>2.5108000000000002E-2</c:v>
                </c:pt>
                <c:pt idx="146">
                  <c:v>2.5219999999999999E-2</c:v>
                </c:pt>
                <c:pt idx="147">
                  <c:v>2.5304000000000004E-2</c:v>
                </c:pt>
                <c:pt idx="148">
                  <c:v>2.5388000000000001E-2</c:v>
                </c:pt>
                <c:pt idx="149">
                  <c:v>2.5470000000000003E-2</c:v>
                </c:pt>
                <c:pt idx="150">
                  <c:v>2.5552000000000002E-2</c:v>
                </c:pt>
                <c:pt idx="151">
                  <c:v>2.5638000000000001E-2</c:v>
                </c:pt>
                <c:pt idx="152">
                  <c:v>2.5722000000000002E-2</c:v>
                </c:pt>
                <c:pt idx="153">
                  <c:v>2.5804000000000001E-2</c:v>
                </c:pt>
                <c:pt idx="154">
                  <c:v>2.5885999999999999E-2</c:v>
                </c:pt>
                <c:pt idx="155">
                  <c:v>2.597E-2</c:v>
                </c:pt>
                <c:pt idx="156">
                  <c:v>2.6054000000000001E-2</c:v>
                </c:pt>
                <c:pt idx="157">
                  <c:v>2.6137999999999998E-2</c:v>
                </c:pt>
                <c:pt idx="158">
                  <c:v>2.6221999999999999E-2</c:v>
                </c:pt>
                <c:pt idx="159">
                  <c:v>2.6303999999999998E-2</c:v>
                </c:pt>
                <c:pt idx="160">
                  <c:v>2.6387999999999998E-2</c:v>
                </c:pt>
                <c:pt idx="161">
                  <c:v>2.6472000000000002E-2</c:v>
                </c:pt>
                <c:pt idx="162">
                  <c:v>2.6556000000000003E-2</c:v>
                </c:pt>
                <c:pt idx="163">
                  <c:v>2.6636000000000003E-2</c:v>
                </c:pt>
                <c:pt idx="164">
                  <c:v>2.6720000000000001E-2</c:v>
                </c:pt>
                <c:pt idx="165">
                  <c:v>2.6802000000000003E-2</c:v>
                </c:pt>
                <c:pt idx="166">
                  <c:v>2.6888000000000002E-2</c:v>
                </c:pt>
                <c:pt idx="167">
                  <c:v>2.6971999999999999E-2</c:v>
                </c:pt>
                <c:pt idx="168">
                  <c:v>2.7054000000000002E-2</c:v>
                </c:pt>
                <c:pt idx="169">
                  <c:v>2.7137999999999999E-2</c:v>
                </c:pt>
                <c:pt idx="170">
                  <c:v>2.7220000000000001E-2</c:v>
                </c:pt>
                <c:pt idx="171">
                  <c:v>2.7306E-2</c:v>
                </c:pt>
                <c:pt idx="172">
                  <c:v>2.7387999999999999E-2</c:v>
                </c:pt>
                <c:pt idx="173">
                  <c:v>2.7469999999999998E-2</c:v>
                </c:pt>
                <c:pt idx="174">
                  <c:v>2.7553999999999999E-2</c:v>
                </c:pt>
                <c:pt idx="175">
                  <c:v>2.7637999999999999E-2</c:v>
                </c:pt>
                <c:pt idx="176">
                  <c:v>2.7719999999999998E-2</c:v>
                </c:pt>
                <c:pt idx="177">
                  <c:v>2.7806000000000001E-2</c:v>
                </c:pt>
                <c:pt idx="178">
                  <c:v>2.7888000000000003E-2</c:v>
                </c:pt>
                <c:pt idx="179">
                  <c:v>2.7972E-2</c:v>
                </c:pt>
                <c:pt idx="180">
                  <c:v>2.8054000000000003E-2</c:v>
                </c:pt>
                <c:pt idx="181">
                  <c:v>2.8138E-2</c:v>
                </c:pt>
                <c:pt idx="182">
                  <c:v>2.8220000000000002E-2</c:v>
                </c:pt>
                <c:pt idx="183">
                  <c:v>2.8303999999999999E-2</c:v>
                </c:pt>
                <c:pt idx="184">
                  <c:v>2.8388E-2</c:v>
                </c:pt>
                <c:pt idx="185">
                  <c:v>2.8469999999999999E-2</c:v>
                </c:pt>
                <c:pt idx="186">
                  <c:v>2.8554E-2</c:v>
                </c:pt>
                <c:pt idx="187">
                  <c:v>2.8638E-2</c:v>
                </c:pt>
                <c:pt idx="188">
                  <c:v>2.8721999999999998E-2</c:v>
                </c:pt>
                <c:pt idx="189">
                  <c:v>2.8804E-2</c:v>
                </c:pt>
                <c:pt idx="190">
                  <c:v>2.8887999999999997E-2</c:v>
                </c:pt>
                <c:pt idx="191">
                  <c:v>2.8942000000000002E-2</c:v>
                </c:pt>
                <c:pt idx="192">
                  <c:v>2.9026E-2</c:v>
                </c:pt>
                <c:pt idx="193">
                  <c:v>2.9079999999999998E-2</c:v>
                </c:pt>
                <c:pt idx="194">
                  <c:v>2.9163999999999999E-2</c:v>
                </c:pt>
                <c:pt idx="195">
                  <c:v>2.9222000000000001E-2</c:v>
                </c:pt>
                <c:pt idx="196">
                  <c:v>2.9304E-2</c:v>
                </c:pt>
                <c:pt idx="197">
                  <c:v>2.9360000000000001E-2</c:v>
                </c:pt>
                <c:pt idx="198">
                  <c:v>2.9443999999999998E-2</c:v>
                </c:pt>
                <c:pt idx="199">
                  <c:v>2.9527999999999999E-2</c:v>
                </c:pt>
                <c:pt idx="200">
                  <c:v>2.9582000000000001E-2</c:v>
                </c:pt>
                <c:pt idx="201">
                  <c:v>2.9666000000000001E-2</c:v>
                </c:pt>
                <c:pt idx="202">
                  <c:v>2.9748E-2</c:v>
                </c:pt>
                <c:pt idx="203">
                  <c:v>2.9832000000000001E-2</c:v>
                </c:pt>
                <c:pt idx="204">
                  <c:v>2.9914E-2</c:v>
                </c:pt>
                <c:pt idx="205">
                  <c:v>2.9998E-2</c:v>
                </c:pt>
                <c:pt idx="206">
                  <c:v>3.0082000000000001E-2</c:v>
                </c:pt>
                <c:pt idx="207">
                  <c:v>3.0165999999999998E-2</c:v>
                </c:pt>
                <c:pt idx="208">
                  <c:v>3.0248000000000001E-2</c:v>
                </c:pt>
                <c:pt idx="209">
                  <c:v>3.0331999999999998E-2</c:v>
                </c:pt>
                <c:pt idx="210">
                  <c:v>3.0415999999999999E-2</c:v>
                </c:pt>
                <c:pt idx="211">
                  <c:v>3.0497999999999997E-2</c:v>
                </c:pt>
                <c:pt idx="212">
                  <c:v>3.0554000000000001E-2</c:v>
                </c:pt>
                <c:pt idx="213">
                  <c:v>3.0636E-2</c:v>
                </c:pt>
                <c:pt idx="214">
                  <c:v>3.0720000000000001E-2</c:v>
                </c:pt>
                <c:pt idx="215">
                  <c:v>3.0804000000000002E-2</c:v>
                </c:pt>
                <c:pt idx="216">
                  <c:v>3.0887999999999999E-2</c:v>
                </c:pt>
                <c:pt idx="217">
                  <c:v>3.0941999999999997E-2</c:v>
                </c:pt>
                <c:pt idx="218">
                  <c:v>3.1025999999999998E-2</c:v>
                </c:pt>
                <c:pt idx="219">
                  <c:v>3.1110000000000002E-2</c:v>
                </c:pt>
                <c:pt idx="220">
                  <c:v>3.1194000000000003E-2</c:v>
                </c:pt>
                <c:pt idx="221">
                  <c:v>3.1275999999999998E-2</c:v>
                </c:pt>
                <c:pt idx="222">
                  <c:v>3.1359999999999999E-2</c:v>
                </c:pt>
                <c:pt idx="223">
                  <c:v>3.1415999999999999E-2</c:v>
                </c:pt>
                <c:pt idx="224">
                  <c:v>3.15E-2</c:v>
                </c:pt>
                <c:pt idx="225">
                  <c:v>3.1581999999999999E-2</c:v>
                </c:pt>
                <c:pt idx="226">
                  <c:v>3.1663999999999998E-2</c:v>
                </c:pt>
                <c:pt idx="227">
                  <c:v>3.1722E-2</c:v>
                </c:pt>
                <c:pt idx="228">
                  <c:v>3.1803999999999999E-2</c:v>
                </c:pt>
                <c:pt idx="229">
                  <c:v>3.1859999999999999E-2</c:v>
                </c:pt>
                <c:pt idx="230">
                  <c:v>3.1944E-2</c:v>
                </c:pt>
                <c:pt idx="231">
                  <c:v>3.1997999999999999E-2</c:v>
                </c:pt>
                <c:pt idx="232">
                  <c:v>3.2080000000000004E-2</c:v>
                </c:pt>
                <c:pt idx="233">
                  <c:v>3.2138E-2</c:v>
                </c:pt>
                <c:pt idx="234">
                  <c:v>3.2219999999999999E-2</c:v>
                </c:pt>
                <c:pt idx="235">
                  <c:v>3.2303999999999999E-2</c:v>
                </c:pt>
                <c:pt idx="236">
                  <c:v>3.236E-2</c:v>
                </c:pt>
                <c:pt idx="237">
                  <c:v>3.2444000000000001E-2</c:v>
                </c:pt>
                <c:pt idx="238">
                  <c:v>3.2525999999999999E-2</c:v>
                </c:pt>
                <c:pt idx="239">
                  <c:v>3.2582E-2</c:v>
                </c:pt>
                <c:pt idx="240">
                  <c:v>3.2666000000000001E-2</c:v>
                </c:pt>
                <c:pt idx="241">
                  <c:v>3.2722000000000001E-2</c:v>
                </c:pt>
                <c:pt idx="242">
                  <c:v>3.2832E-2</c:v>
                </c:pt>
                <c:pt idx="243">
                  <c:v>3.2944000000000001E-2</c:v>
                </c:pt>
                <c:pt idx="244">
                  <c:v>3.3054E-2</c:v>
                </c:pt>
                <c:pt idx="245">
                  <c:v>3.3138000000000001E-2</c:v>
                </c:pt>
                <c:pt idx="246">
                  <c:v>3.3250000000000002E-2</c:v>
                </c:pt>
                <c:pt idx="247">
                  <c:v>3.3361999999999996E-2</c:v>
                </c:pt>
                <c:pt idx="248">
                  <c:v>3.3444000000000002E-2</c:v>
                </c:pt>
                <c:pt idx="249">
                  <c:v>3.3554E-2</c:v>
                </c:pt>
                <c:pt idx="250">
                  <c:v>3.3663999999999999E-2</c:v>
                </c:pt>
                <c:pt idx="251">
                  <c:v>3.3748E-2</c:v>
                </c:pt>
                <c:pt idx="252">
                  <c:v>3.3860000000000001E-2</c:v>
                </c:pt>
                <c:pt idx="253">
                  <c:v>3.3942E-2</c:v>
                </c:pt>
                <c:pt idx="254">
                  <c:v>3.4026000000000001E-2</c:v>
                </c:pt>
                <c:pt idx="255">
                  <c:v>3.4138000000000002E-2</c:v>
                </c:pt>
                <c:pt idx="256">
                  <c:v>3.4222000000000002E-2</c:v>
                </c:pt>
                <c:pt idx="257">
                  <c:v>3.4304000000000001E-2</c:v>
                </c:pt>
                <c:pt idx="258">
                  <c:v>3.4386E-2</c:v>
                </c:pt>
                <c:pt idx="259">
                  <c:v>3.4470000000000001E-2</c:v>
                </c:pt>
                <c:pt idx="260">
                  <c:v>3.4582000000000002E-2</c:v>
                </c:pt>
                <c:pt idx="261">
                  <c:v>3.4664E-2</c:v>
                </c:pt>
                <c:pt idx="262">
                  <c:v>3.4748000000000001E-2</c:v>
                </c:pt>
                <c:pt idx="263">
                  <c:v>3.4834000000000004E-2</c:v>
                </c:pt>
                <c:pt idx="264">
                  <c:v>3.4916000000000003E-2</c:v>
                </c:pt>
                <c:pt idx="265">
                  <c:v>3.5000000000000003E-2</c:v>
                </c:pt>
                <c:pt idx="266">
                  <c:v>3.5082000000000002E-2</c:v>
                </c:pt>
                <c:pt idx="267">
                  <c:v>3.5164000000000001E-2</c:v>
                </c:pt>
                <c:pt idx="268">
                  <c:v>3.5249999999999997E-2</c:v>
                </c:pt>
                <c:pt idx="269">
                  <c:v>3.5332000000000002E-2</c:v>
                </c:pt>
                <c:pt idx="270">
                  <c:v>3.5415999999999996E-2</c:v>
                </c:pt>
                <c:pt idx="271">
                  <c:v>3.5498000000000002E-2</c:v>
                </c:pt>
                <c:pt idx="272">
                  <c:v>3.5581999999999996E-2</c:v>
                </c:pt>
                <c:pt idx="273">
                  <c:v>3.5666000000000003E-2</c:v>
                </c:pt>
                <c:pt idx="274">
                  <c:v>3.5750000000000004E-2</c:v>
                </c:pt>
                <c:pt idx="275">
                  <c:v>3.5832000000000003E-2</c:v>
                </c:pt>
                <c:pt idx="276">
                  <c:v>3.5914000000000001E-2</c:v>
                </c:pt>
                <c:pt idx="277">
                  <c:v>3.5998000000000002E-2</c:v>
                </c:pt>
                <c:pt idx="278">
                  <c:v>3.6082000000000003E-2</c:v>
                </c:pt>
                <c:pt idx="279">
                  <c:v>3.6166000000000004E-2</c:v>
                </c:pt>
                <c:pt idx="280">
                  <c:v>3.6248000000000002E-2</c:v>
                </c:pt>
                <c:pt idx="281">
                  <c:v>3.6332000000000003E-2</c:v>
                </c:pt>
                <c:pt idx="282">
                  <c:v>3.6414000000000002E-2</c:v>
                </c:pt>
                <c:pt idx="283">
                  <c:v>3.6526000000000003E-2</c:v>
                </c:pt>
                <c:pt idx="284">
                  <c:v>3.6636000000000002E-2</c:v>
                </c:pt>
                <c:pt idx="285">
                  <c:v>3.6747999999999996E-2</c:v>
                </c:pt>
                <c:pt idx="286">
                  <c:v>3.6859999999999997E-2</c:v>
                </c:pt>
                <c:pt idx="287">
                  <c:v>3.6971999999999998E-2</c:v>
                </c:pt>
                <c:pt idx="288">
                  <c:v>3.7083999999999999E-2</c:v>
                </c:pt>
                <c:pt idx="289">
                  <c:v>3.7193999999999998E-2</c:v>
                </c:pt>
                <c:pt idx="290">
                  <c:v>3.7305999999999999E-2</c:v>
                </c:pt>
                <c:pt idx="291">
                  <c:v>3.7415999999999998E-2</c:v>
                </c:pt>
                <c:pt idx="292">
                  <c:v>3.7526000000000004E-2</c:v>
                </c:pt>
                <c:pt idx="293">
                  <c:v>3.7635999999999996E-2</c:v>
                </c:pt>
                <c:pt idx="294">
                  <c:v>3.7747999999999997E-2</c:v>
                </c:pt>
                <c:pt idx="295">
                  <c:v>3.7859999999999998E-2</c:v>
                </c:pt>
                <c:pt idx="296">
                  <c:v>3.7970000000000004E-2</c:v>
                </c:pt>
                <c:pt idx="297">
                  <c:v>3.8081999999999998E-2</c:v>
                </c:pt>
                <c:pt idx="298">
                  <c:v>3.8191999999999997E-2</c:v>
                </c:pt>
                <c:pt idx="299">
                  <c:v>3.8303999999999998E-2</c:v>
                </c:pt>
                <c:pt idx="300">
                  <c:v>3.8415999999999999E-2</c:v>
                </c:pt>
                <c:pt idx="301">
                  <c:v>3.8528E-2</c:v>
                </c:pt>
                <c:pt idx="302">
                  <c:v>3.8610000000000005E-2</c:v>
                </c:pt>
                <c:pt idx="303">
                  <c:v>3.8721999999999999E-2</c:v>
                </c:pt>
                <c:pt idx="304">
                  <c:v>3.8834E-2</c:v>
                </c:pt>
                <c:pt idx="305">
                  <c:v>3.8942000000000004E-2</c:v>
                </c:pt>
                <c:pt idx="306">
                  <c:v>3.9054000000000005E-2</c:v>
                </c:pt>
                <c:pt idx="307">
                  <c:v>3.9165999999999999E-2</c:v>
                </c:pt>
                <c:pt idx="308">
                  <c:v>3.9278E-2</c:v>
                </c:pt>
                <c:pt idx="309">
                  <c:v>3.9359999999999999E-2</c:v>
                </c:pt>
                <c:pt idx="310">
                  <c:v>3.9472E-2</c:v>
                </c:pt>
                <c:pt idx="311">
                  <c:v>3.9584000000000001E-2</c:v>
                </c:pt>
                <c:pt idx="312">
                  <c:v>3.9691999999999998E-2</c:v>
                </c:pt>
                <c:pt idx="313">
                  <c:v>3.9803999999999999E-2</c:v>
                </c:pt>
                <c:pt idx="314">
                  <c:v>3.9916E-2</c:v>
                </c:pt>
                <c:pt idx="315">
                  <c:v>4.0025999999999999E-2</c:v>
                </c:pt>
                <c:pt idx="316">
                  <c:v>4.0136000000000005E-2</c:v>
                </c:pt>
                <c:pt idx="317">
                  <c:v>4.0247999999999999E-2</c:v>
                </c:pt>
                <c:pt idx="318">
                  <c:v>4.0359999999999993E-2</c:v>
                </c:pt>
                <c:pt idx="319">
                  <c:v>4.0469999999999999E-2</c:v>
                </c:pt>
                <c:pt idx="320">
                  <c:v>4.0582E-2</c:v>
                </c:pt>
                <c:pt idx="321">
                  <c:v>4.0694000000000001E-2</c:v>
                </c:pt>
                <c:pt idx="322">
                  <c:v>4.0804E-2</c:v>
                </c:pt>
                <c:pt idx="323">
                  <c:v>4.0915999999999994E-2</c:v>
                </c:pt>
                <c:pt idx="324">
                  <c:v>4.1028000000000002E-2</c:v>
                </c:pt>
                <c:pt idx="325">
                  <c:v>4.1139999999999996E-2</c:v>
                </c:pt>
                <c:pt idx="326">
                  <c:v>4.1247999999999993E-2</c:v>
                </c:pt>
                <c:pt idx="327">
                  <c:v>4.1360000000000001E-2</c:v>
                </c:pt>
                <c:pt idx="328">
                  <c:v>4.147E-2</c:v>
                </c:pt>
                <c:pt idx="329">
                  <c:v>4.1582000000000001E-2</c:v>
                </c:pt>
                <c:pt idx="330">
                  <c:v>4.1692E-2</c:v>
                </c:pt>
                <c:pt idx="331">
                  <c:v>4.1803999999999994E-2</c:v>
                </c:pt>
                <c:pt idx="332">
                  <c:v>4.1916000000000002E-2</c:v>
                </c:pt>
                <c:pt idx="333">
                  <c:v>4.2026000000000001E-2</c:v>
                </c:pt>
                <c:pt idx="334">
                  <c:v>4.2138000000000002E-2</c:v>
                </c:pt>
                <c:pt idx="335">
                  <c:v>4.2276000000000001E-2</c:v>
                </c:pt>
                <c:pt idx="336">
                  <c:v>4.2416000000000002E-2</c:v>
                </c:pt>
                <c:pt idx="337">
                  <c:v>4.2556000000000004E-2</c:v>
                </c:pt>
                <c:pt idx="338">
                  <c:v>4.2694000000000003E-2</c:v>
                </c:pt>
                <c:pt idx="339">
                  <c:v>4.2830000000000007E-2</c:v>
                </c:pt>
                <c:pt idx="340">
                  <c:v>4.2969999999999994E-2</c:v>
                </c:pt>
                <c:pt idx="341">
                  <c:v>4.3110000000000002E-2</c:v>
                </c:pt>
                <c:pt idx="342">
                  <c:v>4.3246E-2</c:v>
                </c:pt>
                <c:pt idx="343">
                  <c:v>4.3388000000000003E-2</c:v>
                </c:pt>
                <c:pt idx="344">
                  <c:v>4.3525999999999995E-2</c:v>
                </c:pt>
                <c:pt idx="345">
                  <c:v>4.3638000000000003E-2</c:v>
                </c:pt>
                <c:pt idx="346">
                  <c:v>4.3776000000000002E-2</c:v>
                </c:pt>
                <c:pt idx="347">
                  <c:v>4.3916000000000004E-2</c:v>
                </c:pt>
                <c:pt idx="348">
                  <c:v>4.4054000000000003E-2</c:v>
                </c:pt>
                <c:pt idx="349">
                  <c:v>4.4164000000000002E-2</c:v>
                </c:pt>
                <c:pt idx="350">
                  <c:v>4.4303999999999996E-2</c:v>
                </c:pt>
                <c:pt idx="351">
                  <c:v>4.4443999999999997E-2</c:v>
                </c:pt>
                <c:pt idx="352">
                  <c:v>4.4581999999999997E-2</c:v>
                </c:pt>
                <c:pt idx="353">
                  <c:v>4.4691999999999996E-2</c:v>
                </c:pt>
                <c:pt idx="354">
                  <c:v>4.4832000000000004E-2</c:v>
                </c:pt>
                <c:pt idx="355">
                  <c:v>4.4972000000000005E-2</c:v>
                </c:pt>
                <c:pt idx="356">
                  <c:v>4.5107999999999995E-2</c:v>
                </c:pt>
                <c:pt idx="357">
                  <c:v>4.5247999999999997E-2</c:v>
                </c:pt>
                <c:pt idx="358">
                  <c:v>4.5388000000000005E-2</c:v>
                </c:pt>
                <c:pt idx="359">
                  <c:v>4.5525999999999997E-2</c:v>
                </c:pt>
                <c:pt idx="360">
                  <c:v>4.5666000000000005E-2</c:v>
                </c:pt>
                <c:pt idx="361">
                  <c:v>4.5805999999999993E-2</c:v>
                </c:pt>
                <c:pt idx="362">
                  <c:v>4.5941999999999997E-2</c:v>
                </c:pt>
                <c:pt idx="363">
                  <c:v>4.6081999999999998E-2</c:v>
                </c:pt>
                <c:pt idx="364">
                  <c:v>4.6222000000000006E-2</c:v>
                </c:pt>
                <c:pt idx="365">
                  <c:v>4.6359999999999998E-2</c:v>
                </c:pt>
                <c:pt idx="366">
                  <c:v>4.6500000000000007E-2</c:v>
                </c:pt>
                <c:pt idx="367">
                  <c:v>4.6635999999999997E-2</c:v>
                </c:pt>
                <c:pt idx="368">
                  <c:v>4.6775999999999998E-2</c:v>
                </c:pt>
                <c:pt idx="369">
                  <c:v>4.6915999999999999E-2</c:v>
                </c:pt>
                <c:pt idx="370">
                  <c:v>4.7053999999999999E-2</c:v>
                </c:pt>
                <c:pt idx="371">
                  <c:v>4.7194E-2</c:v>
                </c:pt>
                <c:pt idx="372">
                  <c:v>4.7359999999999999E-2</c:v>
                </c:pt>
                <c:pt idx="373">
                  <c:v>4.7497999999999999E-2</c:v>
                </c:pt>
                <c:pt idx="374">
                  <c:v>4.7666000000000007E-2</c:v>
                </c:pt>
                <c:pt idx="375">
                  <c:v>4.7832E-2</c:v>
                </c:pt>
                <c:pt idx="376">
                  <c:v>4.7972000000000001E-2</c:v>
                </c:pt>
                <c:pt idx="377">
                  <c:v>4.8137999999999993E-2</c:v>
                </c:pt>
                <c:pt idx="378">
                  <c:v>4.8276000000000006E-2</c:v>
                </c:pt>
                <c:pt idx="379">
                  <c:v>4.8444000000000001E-2</c:v>
                </c:pt>
                <c:pt idx="380">
                  <c:v>4.8583999999999995E-2</c:v>
                </c:pt>
                <c:pt idx="381">
                  <c:v>4.8719999999999999E-2</c:v>
                </c:pt>
                <c:pt idx="382">
                  <c:v>4.8860000000000001E-2</c:v>
                </c:pt>
                <c:pt idx="383">
                  <c:v>4.8998E-2</c:v>
                </c:pt>
                <c:pt idx="384">
                  <c:v>4.9135999999999999E-2</c:v>
                </c:pt>
                <c:pt idx="385">
                  <c:v>4.9276E-2</c:v>
                </c:pt>
                <c:pt idx="386">
                  <c:v>4.9416000000000002E-2</c:v>
                </c:pt>
                <c:pt idx="387">
                  <c:v>4.9581999999999994E-2</c:v>
                </c:pt>
                <c:pt idx="388">
                  <c:v>4.9745999999999999E-2</c:v>
                </c:pt>
                <c:pt idx="389">
                  <c:v>4.9916000000000002E-2</c:v>
                </c:pt>
                <c:pt idx="390">
                  <c:v>5.0082000000000002E-2</c:v>
                </c:pt>
                <c:pt idx="391">
                  <c:v>5.0248000000000001E-2</c:v>
                </c:pt>
                <c:pt idx="392">
                  <c:v>5.0415999999999996E-2</c:v>
                </c:pt>
                <c:pt idx="393">
                  <c:v>5.058E-2</c:v>
                </c:pt>
                <c:pt idx="394">
                  <c:v>5.0720000000000001E-2</c:v>
                </c:pt>
                <c:pt idx="395">
                  <c:v>5.0888000000000003E-2</c:v>
                </c:pt>
                <c:pt idx="396">
                  <c:v>5.1025999999999995E-2</c:v>
                </c:pt>
                <c:pt idx="397">
                  <c:v>5.1193999999999996E-2</c:v>
                </c:pt>
                <c:pt idx="398">
                  <c:v>5.1360000000000003E-2</c:v>
                </c:pt>
                <c:pt idx="399">
                  <c:v>5.1525999999999995E-2</c:v>
                </c:pt>
                <c:pt idx="400">
                  <c:v>5.1694000000000004E-2</c:v>
                </c:pt>
                <c:pt idx="401">
                  <c:v>5.1862000000000005E-2</c:v>
                </c:pt>
                <c:pt idx="402">
                  <c:v>5.2026000000000003E-2</c:v>
                </c:pt>
                <c:pt idx="403">
                  <c:v>5.2191999999999995E-2</c:v>
                </c:pt>
                <c:pt idx="404">
                  <c:v>5.2359999999999997E-2</c:v>
                </c:pt>
                <c:pt idx="405">
                  <c:v>5.2526000000000003E-2</c:v>
                </c:pt>
                <c:pt idx="406">
                  <c:v>5.2693999999999998E-2</c:v>
                </c:pt>
                <c:pt idx="407">
                  <c:v>5.2858000000000002E-2</c:v>
                </c:pt>
                <c:pt idx="408">
                  <c:v>5.3025999999999997E-2</c:v>
                </c:pt>
                <c:pt idx="409">
                  <c:v>5.3192000000000003E-2</c:v>
                </c:pt>
                <c:pt idx="410">
                  <c:v>5.3360000000000005E-2</c:v>
                </c:pt>
                <c:pt idx="411">
                  <c:v>5.3525999999999997E-2</c:v>
                </c:pt>
                <c:pt idx="412">
                  <c:v>5.3722000000000006E-2</c:v>
                </c:pt>
                <c:pt idx="413">
                  <c:v>5.3916000000000006E-2</c:v>
                </c:pt>
                <c:pt idx="414">
                  <c:v>5.4108000000000003E-2</c:v>
                </c:pt>
                <c:pt idx="415">
                  <c:v>5.4303999999999998E-2</c:v>
                </c:pt>
                <c:pt idx="416">
                  <c:v>5.4469999999999998E-2</c:v>
                </c:pt>
                <c:pt idx="417">
                  <c:v>5.4665999999999999E-2</c:v>
                </c:pt>
                <c:pt idx="418">
                  <c:v>5.4831999999999999E-2</c:v>
                </c:pt>
                <c:pt idx="419">
                  <c:v>5.5025999999999999E-2</c:v>
                </c:pt>
                <c:pt idx="420">
                  <c:v>5.5220000000000005E-2</c:v>
                </c:pt>
                <c:pt idx="421">
                  <c:v>5.5388E-2</c:v>
                </c:pt>
                <c:pt idx="422">
                  <c:v>5.5583999999999995E-2</c:v>
                </c:pt>
                <c:pt idx="423">
                  <c:v>5.5776000000000006E-2</c:v>
                </c:pt>
                <c:pt idx="424">
                  <c:v>5.5967999999999997E-2</c:v>
                </c:pt>
                <c:pt idx="425">
                  <c:v>5.6163999999999999E-2</c:v>
                </c:pt>
                <c:pt idx="426">
                  <c:v>5.636E-2</c:v>
                </c:pt>
                <c:pt idx="427">
                  <c:v>5.6555999999999995E-2</c:v>
                </c:pt>
                <c:pt idx="428">
                  <c:v>5.6748E-2</c:v>
                </c:pt>
                <c:pt idx="429">
                  <c:v>5.6944000000000002E-2</c:v>
                </c:pt>
                <c:pt idx="430">
                  <c:v>5.7138000000000001E-2</c:v>
                </c:pt>
                <c:pt idx="431">
                  <c:v>5.7333999999999996E-2</c:v>
                </c:pt>
                <c:pt idx="432">
                  <c:v>5.7526000000000001E-2</c:v>
                </c:pt>
                <c:pt idx="433">
                  <c:v>5.772E-2</c:v>
                </c:pt>
                <c:pt idx="434">
                  <c:v>5.7915999999999995E-2</c:v>
                </c:pt>
                <c:pt idx="435">
                  <c:v>5.8110000000000002E-2</c:v>
                </c:pt>
                <c:pt idx="436">
                  <c:v>5.8304000000000002E-2</c:v>
                </c:pt>
                <c:pt idx="437">
                  <c:v>5.8499999999999996E-2</c:v>
                </c:pt>
                <c:pt idx="438">
                  <c:v>5.8693999999999996E-2</c:v>
                </c:pt>
                <c:pt idx="439">
                  <c:v>5.8887999999999996E-2</c:v>
                </c:pt>
                <c:pt idx="440">
                  <c:v>5.9080000000000001E-2</c:v>
                </c:pt>
                <c:pt idx="441">
                  <c:v>5.9276000000000002E-2</c:v>
                </c:pt>
                <c:pt idx="442">
                  <c:v>5.9470000000000002E-2</c:v>
                </c:pt>
                <c:pt idx="443">
                  <c:v>5.9691999999999995E-2</c:v>
                </c:pt>
                <c:pt idx="444">
                  <c:v>5.9886000000000002E-2</c:v>
                </c:pt>
                <c:pt idx="445">
                  <c:v>6.0110000000000004E-2</c:v>
                </c:pt>
                <c:pt idx="446">
                  <c:v>6.0334000000000006E-2</c:v>
                </c:pt>
                <c:pt idx="447">
                  <c:v>6.0525999999999996E-2</c:v>
                </c:pt>
                <c:pt idx="448">
                  <c:v>6.0747999999999996E-2</c:v>
                </c:pt>
                <c:pt idx="449">
                  <c:v>6.0971999999999998E-2</c:v>
                </c:pt>
                <c:pt idx="450">
                  <c:v>6.1193999999999998E-2</c:v>
                </c:pt>
                <c:pt idx="451">
                  <c:v>6.1413999999999996E-2</c:v>
                </c:pt>
                <c:pt idx="452">
                  <c:v>6.1637999999999998E-2</c:v>
                </c:pt>
                <c:pt idx="453">
                  <c:v>6.1858000000000003E-2</c:v>
                </c:pt>
                <c:pt idx="454">
                  <c:v>6.2081999999999998E-2</c:v>
                </c:pt>
                <c:pt idx="455">
                  <c:v>6.2304000000000005E-2</c:v>
                </c:pt>
                <c:pt idx="456">
                  <c:v>6.2528E-2</c:v>
                </c:pt>
                <c:pt idx="457">
                  <c:v>6.275E-2</c:v>
                </c:pt>
                <c:pt idx="458">
                  <c:v>6.2969999999999998E-2</c:v>
                </c:pt>
                <c:pt idx="459">
                  <c:v>6.3191999999999998E-2</c:v>
                </c:pt>
                <c:pt idx="460">
                  <c:v>6.3413999999999998E-2</c:v>
                </c:pt>
                <c:pt idx="461">
                  <c:v>6.3635999999999998E-2</c:v>
                </c:pt>
                <c:pt idx="462">
                  <c:v>6.386E-2</c:v>
                </c:pt>
                <c:pt idx="463">
                  <c:v>6.4084000000000002E-2</c:v>
                </c:pt>
                <c:pt idx="464">
                  <c:v>6.4304E-2</c:v>
                </c:pt>
                <c:pt idx="465">
                  <c:v>6.4526E-2</c:v>
                </c:pt>
                <c:pt idx="466">
                  <c:v>6.4750000000000002E-2</c:v>
                </c:pt>
                <c:pt idx="467">
                  <c:v>6.5000000000000002E-2</c:v>
                </c:pt>
                <c:pt idx="468">
                  <c:v>6.5248E-2</c:v>
                </c:pt>
                <c:pt idx="469">
                  <c:v>6.5498000000000001E-2</c:v>
                </c:pt>
                <c:pt idx="470">
                  <c:v>6.5750000000000003E-2</c:v>
                </c:pt>
                <c:pt idx="471">
                  <c:v>6.5998000000000001E-2</c:v>
                </c:pt>
                <c:pt idx="472">
                  <c:v>6.6250000000000003E-2</c:v>
                </c:pt>
                <c:pt idx="473">
                  <c:v>6.6498000000000002E-2</c:v>
                </c:pt>
                <c:pt idx="474">
                  <c:v>6.6748000000000002E-2</c:v>
                </c:pt>
                <c:pt idx="475">
                  <c:v>6.6998000000000002E-2</c:v>
                </c:pt>
                <c:pt idx="476">
                  <c:v>6.7248000000000002E-2</c:v>
                </c:pt>
                <c:pt idx="477">
                  <c:v>6.7526000000000003E-2</c:v>
                </c:pt>
                <c:pt idx="478">
                  <c:v>6.7776000000000003E-2</c:v>
                </c:pt>
                <c:pt idx="479">
                  <c:v>6.8028000000000005E-2</c:v>
                </c:pt>
                <c:pt idx="480">
                  <c:v>6.8276000000000003E-2</c:v>
                </c:pt>
                <c:pt idx="481">
                  <c:v>6.8528000000000006E-2</c:v>
                </c:pt>
                <c:pt idx="482">
                  <c:v>6.8804000000000004E-2</c:v>
                </c:pt>
                <c:pt idx="483">
                  <c:v>6.9082000000000005E-2</c:v>
                </c:pt>
                <c:pt idx="484">
                  <c:v>6.9360000000000005E-2</c:v>
                </c:pt>
                <c:pt idx="485">
                  <c:v>6.9610000000000005E-2</c:v>
                </c:pt>
                <c:pt idx="486">
                  <c:v>6.9888000000000006E-2</c:v>
                </c:pt>
                <c:pt idx="487">
                  <c:v>7.0166000000000006E-2</c:v>
                </c:pt>
                <c:pt idx="488">
                  <c:v>7.0444000000000007E-2</c:v>
                </c:pt>
                <c:pt idx="489">
                  <c:v>7.0720000000000005E-2</c:v>
                </c:pt>
                <c:pt idx="490">
                  <c:v>7.0999999999999994E-2</c:v>
                </c:pt>
                <c:pt idx="491">
                  <c:v>7.1276000000000006E-2</c:v>
                </c:pt>
                <c:pt idx="492">
                  <c:v>7.1554000000000006E-2</c:v>
                </c:pt>
                <c:pt idx="493">
                  <c:v>7.1833999999999995E-2</c:v>
                </c:pt>
                <c:pt idx="494">
                  <c:v>7.2108000000000005E-2</c:v>
                </c:pt>
                <c:pt idx="495">
                  <c:v>7.2388000000000008E-2</c:v>
                </c:pt>
                <c:pt idx="496">
                  <c:v>7.2666000000000008E-2</c:v>
                </c:pt>
                <c:pt idx="497">
                  <c:v>7.2942000000000007E-2</c:v>
                </c:pt>
                <c:pt idx="498">
                  <c:v>7.3220000000000007E-2</c:v>
                </c:pt>
                <c:pt idx="499">
                  <c:v>7.3499999999999996E-2</c:v>
                </c:pt>
                <c:pt idx="500">
                  <c:v>7.3803999999999995E-2</c:v>
                </c:pt>
                <c:pt idx="501">
                  <c:v>7.4109999999999995E-2</c:v>
                </c:pt>
                <c:pt idx="502">
                  <c:v>7.4413999999999994E-2</c:v>
                </c:pt>
                <c:pt idx="503">
                  <c:v>7.4720000000000009E-2</c:v>
                </c:pt>
                <c:pt idx="504">
                  <c:v>7.5027999999999997E-2</c:v>
                </c:pt>
                <c:pt idx="505">
                  <c:v>7.5331999999999996E-2</c:v>
                </c:pt>
                <c:pt idx="506">
                  <c:v>7.5637999999999997E-2</c:v>
                </c:pt>
                <c:pt idx="507">
                  <c:v>7.5943999999999998E-2</c:v>
                </c:pt>
                <c:pt idx="508">
                  <c:v>7.6275999999999997E-2</c:v>
                </c:pt>
                <c:pt idx="509">
                  <c:v>7.6609999999999998E-2</c:v>
                </c:pt>
                <c:pt idx="510">
                  <c:v>7.6915999999999998E-2</c:v>
                </c:pt>
                <c:pt idx="511">
                  <c:v>7.7247999999999997E-2</c:v>
                </c:pt>
                <c:pt idx="512">
                  <c:v>7.7579999999999996E-2</c:v>
                </c:pt>
                <c:pt idx="513">
                  <c:v>7.7915999999999999E-2</c:v>
                </c:pt>
                <c:pt idx="514">
                  <c:v>7.8247999999999998E-2</c:v>
                </c:pt>
                <c:pt idx="515">
                  <c:v>7.8581999999999999E-2</c:v>
                </c:pt>
                <c:pt idx="516">
                  <c:v>7.8913999999999998E-2</c:v>
                </c:pt>
                <c:pt idx="517">
                  <c:v>7.9247999999999999E-2</c:v>
                </c:pt>
                <c:pt idx="518">
                  <c:v>7.9584000000000002E-2</c:v>
                </c:pt>
                <c:pt idx="519">
                  <c:v>7.9916000000000001E-2</c:v>
                </c:pt>
                <c:pt idx="520">
                  <c:v>8.0248000000000014E-2</c:v>
                </c:pt>
                <c:pt idx="521">
                  <c:v>8.0579999999999999E-2</c:v>
                </c:pt>
                <c:pt idx="522">
                  <c:v>8.0916000000000002E-2</c:v>
                </c:pt>
                <c:pt idx="523">
                  <c:v>8.1248000000000001E-2</c:v>
                </c:pt>
                <c:pt idx="524">
                  <c:v>8.1582000000000002E-2</c:v>
                </c:pt>
                <c:pt idx="525">
                  <c:v>8.1915999999999989E-2</c:v>
                </c:pt>
                <c:pt idx="526">
                  <c:v>8.2276000000000002E-2</c:v>
                </c:pt>
                <c:pt idx="527">
                  <c:v>8.2636000000000001E-2</c:v>
                </c:pt>
                <c:pt idx="528">
                  <c:v>8.2997999999999988E-2</c:v>
                </c:pt>
                <c:pt idx="529">
                  <c:v>8.3360000000000004E-2</c:v>
                </c:pt>
                <c:pt idx="530">
                  <c:v>8.3720000000000003E-2</c:v>
                </c:pt>
                <c:pt idx="531">
                  <c:v>8.4082000000000004E-2</c:v>
                </c:pt>
                <c:pt idx="532">
                  <c:v>8.4444000000000005E-2</c:v>
                </c:pt>
                <c:pt idx="533">
                  <c:v>8.4802000000000002E-2</c:v>
                </c:pt>
                <c:pt idx="534">
                  <c:v>8.5164000000000004E-2</c:v>
                </c:pt>
                <c:pt idx="535">
                  <c:v>8.5554000000000005E-2</c:v>
                </c:pt>
                <c:pt idx="536">
                  <c:v>8.5942000000000005E-2</c:v>
                </c:pt>
                <c:pt idx="537">
                  <c:v>8.6332000000000006E-2</c:v>
                </c:pt>
                <c:pt idx="538">
                  <c:v>8.6720000000000005E-2</c:v>
                </c:pt>
                <c:pt idx="539">
                  <c:v>8.7110000000000007E-2</c:v>
                </c:pt>
                <c:pt idx="540">
                  <c:v>8.7498000000000006E-2</c:v>
                </c:pt>
                <c:pt idx="541">
                  <c:v>8.7888000000000008E-2</c:v>
                </c:pt>
                <c:pt idx="542">
                  <c:v>8.8276000000000007E-2</c:v>
                </c:pt>
                <c:pt idx="543">
                  <c:v>8.8665999999999995E-2</c:v>
                </c:pt>
                <c:pt idx="544">
                  <c:v>8.9054000000000008E-2</c:v>
                </c:pt>
                <c:pt idx="545">
                  <c:v>8.9469999999999994E-2</c:v>
                </c:pt>
                <c:pt idx="546">
                  <c:v>8.9860000000000009E-2</c:v>
                </c:pt>
                <c:pt idx="547">
                  <c:v>9.0249999999999997E-2</c:v>
                </c:pt>
                <c:pt idx="548">
                  <c:v>9.0665999999999997E-2</c:v>
                </c:pt>
                <c:pt idx="549">
                  <c:v>9.1083999999999998E-2</c:v>
                </c:pt>
                <c:pt idx="550">
                  <c:v>9.149800000000001E-2</c:v>
                </c:pt>
                <c:pt idx="551">
                  <c:v>9.1889999999999999E-2</c:v>
                </c:pt>
                <c:pt idx="552">
                  <c:v>9.2303999999999997E-2</c:v>
                </c:pt>
                <c:pt idx="553">
                  <c:v>9.2721999999999999E-2</c:v>
                </c:pt>
                <c:pt idx="554">
                  <c:v>9.3137999999999999E-2</c:v>
                </c:pt>
                <c:pt idx="555">
                  <c:v>9.3581999999999999E-2</c:v>
                </c:pt>
                <c:pt idx="556">
                  <c:v>9.4025999999999998E-2</c:v>
                </c:pt>
                <c:pt idx="557">
                  <c:v>9.4469999999999998E-2</c:v>
                </c:pt>
                <c:pt idx="558">
                  <c:v>9.4916E-2</c:v>
                </c:pt>
                <c:pt idx="559">
                  <c:v>9.5388000000000001E-2</c:v>
                </c:pt>
                <c:pt idx="560">
                  <c:v>9.5860000000000001E-2</c:v>
                </c:pt>
                <c:pt idx="561">
                  <c:v>9.6304000000000001E-2</c:v>
                </c:pt>
                <c:pt idx="562">
                  <c:v>9.6776000000000001E-2</c:v>
                </c:pt>
                <c:pt idx="563">
                  <c:v>9.7248000000000001E-2</c:v>
                </c:pt>
                <c:pt idx="564">
                  <c:v>9.7720000000000001E-2</c:v>
                </c:pt>
                <c:pt idx="565">
                  <c:v>9.8192000000000002E-2</c:v>
                </c:pt>
                <c:pt idx="566">
                  <c:v>9.8664000000000002E-2</c:v>
                </c:pt>
                <c:pt idx="567">
                  <c:v>9.9138000000000004E-2</c:v>
                </c:pt>
                <c:pt idx="568">
                  <c:v>9.9610000000000004E-2</c:v>
                </c:pt>
                <c:pt idx="569">
                  <c:v>0.100082</c:v>
                </c:pt>
                <c:pt idx="570">
                  <c:v>0.100554</c:v>
                </c:pt>
                <c:pt idx="571">
                  <c:v>0.10105399999999999</c:v>
                </c:pt>
                <c:pt idx="572">
                  <c:v>0.101552</c:v>
                </c:pt>
                <c:pt idx="573">
                  <c:v>0.10205399999999999</c:v>
                </c:pt>
                <c:pt idx="574">
                  <c:v>0.10255599999999999</c:v>
                </c:pt>
                <c:pt idx="575">
                  <c:v>0.10305400000000001</c:v>
                </c:pt>
                <c:pt idx="576">
                  <c:v>0.10358000000000001</c:v>
                </c:pt>
                <c:pt idx="577">
                  <c:v>0.104112</c:v>
                </c:pt>
                <c:pt idx="578">
                  <c:v>0.10463800000000001</c:v>
                </c:pt>
                <c:pt idx="579">
                  <c:v>0.10519199999999999</c:v>
                </c:pt>
                <c:pt idx="580">
                  <c:v>0.10575</c:v>
                </c:pt>
                <c:pt idx="581">
                  <c:v>0.106304</c:v>
                </c:pt>
                <c:pt idx="582">
                  <c:v>0.10688800000000001</c:v>
                </c:pt>
                <c:pt idx="583">
                  <c:v>0.10747</c:v>
                </c:pt>
                <c:pt idx="584">
                  <c:v>0.10805400000000001</c:v>
                </c:pt>
                <c:pt idx="585">
                  <c:v>0.108666</c:v>
                </c:pt>
                <c:pt idx="586">
                  <c:v>0.109276</c:v>
                </c:pt>
                <c:pt idx="587">
                  <c:v>0.109888</c:v>
                </c:pt>
                <c:pt idx="588">
                  <c:v>0.110498</c:v>
                </c:pt>
                <c:pt idx="589">
                  <c:v>0.11111</c:v>
                </c:pt>
                <c:pt idx="590">
                  <c:v>0.11175</c:v>
                </c:pt>
                <c:pt idx="591">
                  <c:v>0.112414</c:v>
                </c:pt>
                <c:pt idx="592">
                  <c:v>0.11311</c:v>
                </c:pt>
                <c:pt idx="593">
                  <c:v>0.113832</c:v>
                </c:pt>
                <c:pt idx="594">
                  <c:v>0.114608</c:v>
                </c:pt>
                <c:pt idx="595">
                  <c:v>0.11544399999999999</c:v>
                </c:pt>
                <c:pt idx="596">
                  <c:v>0.11627599999999999</c:v>
                </c:pt>
                <c:pt idx="597">
                  <c:v>0.11711199999999999</c:v>
                </c:pt>
                <c:pt idx="598">
                  <c:v>0.11794399999999999</c:v>
                </c:pt>
              </c:numCache>
            </c:numRef>
          </c:cat>
          <c:val>
            <c:numRef>
              <c:f>'A22-4'!$F$2:$F$600</c:f>
              <c:numCache>
                <c:formatCode>0.00</c:formatCode>
                <c:ptCount val="599"/>
                <c:pt idx="0">
                  <c:v>0</c:v>
                </c:pt>
                <c:pt idx="1">
                  <c:v>0.15656329651656753</c:v>
                </c:pt>
                <c:pt idx="2">
                  <c:v>0.15656329651656753</c:v>
                </c:pt>
                <c:pt idx="3">
                  <c:v>0.15656329651656753</c:v>
                </c:pt>
                <c:pt idx="4">
                  <c:v>0.15656329651656753</c:v>
                </c:pt>
                <c:pt idx="5">
                  <c:v>0.15656329651656753</c:v>
                </c:pt>
                <c:pt idx="6">
                  <c:v>0.15656329651656753</c:v>
                </c:pt>
                <c:pt idx="7">
                  <c:v>0.15656329651656753</c:v>
                </c:pt>
                <c:pt idx="8">
                  <c:v>0.15656329651656753</c:v>
                </c:pt>
                <c:pt idx="9">
                  <c:v>0.15656329651656753</c:v>
                </c:pt>
                <c:pt idx="10">
                  <c:v>0.16057774001699235</c:v>
                </c:pt>
                <c:pt idx="11">
                  <c:v>0.16057774001699235</c:v>
                </c:pt>
                <c:pt idx="12">
                  <c:v>0.16057774001699235</c:v>
                </c:pt>
                <c:pt idx="13">
                  <c:v>0.16057774001699235</c:v>
                </c:pt>
                <c:pt idx="14">
                  <c:v>0.16057774001699235</c:v>
                </c:pt>
                <c:pt idx="15">
                  <c:v>0.16459218351741717</c:v>
                </c:pt>
                <c:pt idx="16">
                  <c:v>0.16860662701784196</c:v>
                </c:pt>
                <c:pt idx="17">
                  <c:v>0.16860662701784196</c:v>
                </c:pt>
                <c:pt idx="18">
                  <c:v>0.16860662701784196</c:v>
                </c:pt>
                <c:pt idx="19">
                  <c:v>0.16860662701784196</c:v>
                </c:pt>
                <c:pt idx="20">
                  <c:v>0.16860662701784196</c:v>
                </c:pt>
                <c:pt idx="21">
                  <c:v>0.17663315396960258</c:v>
                </c:pt>
                <c:pt idx="22">
                  <c:v>0.17663315396960258</c:v>
                </c:pt>
                <c:pt idx="23">
                  <c:v>0.18064759747002737</c:v>
                </c:pt>
                <c:pt idx="24">
                  <c:v>0.18466204097045219</c:v>
                </c:pt>
                <c:pt idx="25">
                  <c:v>0.19670537147172659</c:v>
                </c:pt>
                <c:pt idx="26">
                  <c:v>0.20473425847257623</c:v>
                </c:pt>
                <c:pt idx="27">
                  <c:v>0.20874870197300105</c:v>
                </c:pt>
                <c:pt idx="28">
                  <c:v>0.1926909279713018</c:v>
                </c:pt>
                <c:pt idx="29">
                  <c:v>0.18867648447087701</c:v>
                </c:pt>
                <c:pt idx="30">
                  <c:v>0.18466204097045219</c:v>
                </c:pt>
                <c:pt idx="31">
                  <c:v>0.18466204097045219</c:v>
                </c:pt>
                <c:pt idx="32">
                  <c:v>0.18867648447087701</c:v>
                </c:pt>
                <c:pt idx="33">
                  <c:v>0.19670537147172659</c:v>
                </c:pt>
                <c:pt idx="34">
                  <c:v>0.20874870197300105</c:v>
                </c:pt>
                <c:pt idx="35">
                  <c:v>0.22079203247427545</c:v>
                </c:pt>
                <c:pt idx="36">
                  <c:v>0.22480647597470024</c:v>
                </c:pt>
                <c:pt idx="37">
                  <c:v>0.23283536297554991</c:v>
                </c:pt>
                <c:pt idx="38">
                  <c:v>0.23685452657415274</c:v>
                </c:pt>
                <c:pt idx="39">
                  <c:v>0.24086661002548851</c:v>
                </c:pt>
                <c:pt idx="40">
                  <c:v>0.24086661002548851</c:v>
                </c:pt>
                <c:pt idx="41">
                  <c:v>0.24086661002548851</c:v>
                </c:pt>
                <c:pt idx="42">
                  <c:v>0.24086661002548851</c:v>
                </c:pt>
                <c:pt idx="43">
                  <c:v>0.24086661002548851</c:v>
                </c:pt>
                <c:pt idx="44">
                  <c:v>0.24086661002548851</c:v>
                </c:pt>
                <c:pt idx="45">
                  <c:v>0.24086661002548851</c:v>
                </c:pt>
                <c:pt idx="46">
                  <c:v>0.24086661002548851</c:v>
                </c:pt>
                <c:pt idx="47">
                  <c:v>0.24487869347682428</c:v>
                </c:pt>
                <c:pt idx="48">
                  <c:v>0.24487869347682428</c:v>
                </c:pt>
                <c:pt idx="49">
                  <c:v>0.24487869347682428</c:v>
                </c:pt>
                <c:pt idx="50">
                  <c:v>0.24889077692816008</c:v>
                </c:pt>
                <c:pt idx="51">
                  <c:v>0.25691494383083169</c:v>
                </c:pt>
                <c:pt idx="52">
                  <c:v>0.27298687812706501</c:v>
                </c:pt>
                <c:pt idx="53">
                  <c:v>0.28101104502973662</c:v>
                </c:pt>
                <c:pt idx="54">
                  <c:v>0.28502312848107242</c:v>
                </c:pt>
                <c:pt idx="55">
                  <c:v>0.28903521193240822</c:v>
                </c:pt>
                <c:pt idx="56">
                  <c:v>0.29304729538374402</c:v>
                </c:pt>
                <c:pt idx="57">
                  <c:v>0.29705937883507977</c:v>
                </c:pt>
                <c:pt idx="58">
                  <c:v>0.29705937883507977</c:v>
                </c:pt>
                <c:pt idx="59">
                  <c:v>0.29705937883507977</c:v>
                </c:pt>
                <c:pt idx="60">
                  <c:v>0.29705937883507977</c:v>
                </c:pt>
                <c:pt idx="61">
                  <c:v>0.29705937883507977</c:v>
                </c:pt>
                <c:pt idx="62">
                  <c:v>0.29705937883507977</c:v>
                </c:pt>
                <c:pt idx="63">
                  <c:v>0.29705937883507977</c:v>
                </c:pt>
                <c:pt idx="64">
                  <c:v>0.29705937883507977</c:v>
                </c:pt>
                <c:pt idx="65">
                  <c:v>0.29705937883507977</c:v>
                </c:pt>
                <c:pt idx="66">
                  <c:v>0.30107146228641557</c:v>
                </c:pt>
                <c:pt idx="67">
                  <c:v>0.30107146228641557</c:v>
                </c:pt>
                <c:pt idx="68">
                  <c:v>0.30107146228641557</c:v>
                </c:pt>
                <c:pt idx="69">
                  <c:v>0.30107146228641557</c:v>
                </c:pt>
                <c:pt idx="70">
                  <c:v>0.30107146228641557</c:v>
                </c:pt>
                <c:pt idx="71">
                  <c:v>0.30107146228641557</c:v>
                </c:pt>
                <c:pt idx="72">
                  <c:v>0.30510714622864155</c:v>
                </c:pt>
                <c:pt idx="73">
                  <c:v>0.30107146228641557</c:v>
                </c:pt>
                <c:pt idx="74">
                  <c:v>0.30107146228641557</c:v>
                </c:pt>
                <c:pt idx="75">
                  <c:v>0.30510714622864155</c:v>
                </c:pt>
                <c:pt idx="76">
                  <c:v>0.30510714622864155</c:v>
                </c:pt>
                <c:pt idx="77">
                  <c:v>0.30911922967997735</c:v>
                </c:pt>
                <c:pt idx="78">
                  <c:v>0.30510714622864155</c:v>
                </c:pt>
                <c:pt idx="79">
                  <c:v>0.30911922967997735</c:v>
                </c:pt>
                <c:pt idx="80">
                  <c:v>0.30911922967997735</c:v>
                </c:pt>
                <c:pt idx="81">
                  <c:v>0.31313131313131315</c:v>
                </c:pt>
                <c:pt idx="82">
                  <c:v>0.31313131313131315</c:v>
                </c:pt>
                <c:pt idx="83">
                  <c:v>0.3171433965826489</c:v>
                </c:pt>
                <c:pt idx="84">
                  <c:v>0.3251675634853205</c:v>
                </c:pt>
                <c:pt idx="85">
                  <c:v>0.34121589729066365</c:v>
                </c:pt>
                <c:pt idx="86">
                  <c:v>0.34522798074199945</c:v>
                </c:pt>
                <c:pt idx="87">
                  <c:v>0.36129991503823278</c:v>
                </c:pt>
                <c:pt idx="88">
                  <c:v>0.37734824884357593</c:v>
                </c:pt>
                <c:pt idx="89">
                  <c:v>0.39342018313980937</c:v>
                </c:pt>
                <c:pt idx="90">
                  <c:v>0.40946851694515246</c:v>
                </c:pt>
                <c:pt idx="91">
                  <c:v>0.42551685075049561</c:v>
                </c:pt>
                <c:pt idx="92">
                  <c:v>0.44158878504672888</c:v>
                </c:pt>
                <c:pt idx="93">
                  <c:v>0.46164920230340789</c:v>
                </c:pt>
                <c:pt idx="94">
                  <c:v>0.47772113659964127</c:v>
                </c:pt>
                <c:pt idx="95">
                  <c:v>0.49376947040498442</c:v>
                </c:pt>
                <c:pt idx="96">
                  <c:v>0.50984140470121786</c:v>
                </c:pt>
                <c:pt idx="97">
                  <c:v>0.52588973850656096</c:v>
                </c:pt>
                <c:pt idx="98">
                  <c:v>0.54193807231190416</c:v>
                </c:pt>
                <c:pt idx="99">
                  <c:v>0.55801000660813738</c:v>
                </c:pt>
                <c:pt idx="100">
                  <c:v>0.57405834041348069</c:v>
                </c:pt>
                <c:pt idx="101">
                  <c:v>0.59414235816104977</c:v>
                </c:pt>
                <c:pt idx="102">
                  <c:v>0.61019069196639286</c:v>
                </c:pt>
                <c:pt idx="103">
                  <c:v>0.62623902577173607</c:v>
                </c:pt>
                <c:pt idx="104">
                  <c:v>0.64231096006796939</c:v>
                </c:pt>
                <c:pt idx="105">
                  <c:v>0.65835929387331249</c:v>
                </c:pt>
                <c:pt idx="106">
                  <c:v>0.67443122816954604</c:v>
                </c:pt>
                <c:pt idx="107">
                  <c:v>0.69047956197488913</c:v>
                </c:pt>
                <c:pt idx="108">
                  <c:v>0.70652789578023223</c:v>
                </c:pt>
                <c:pt idx="109">
                  <c:v>0.72259983007646555</c:v>
                </c:pt>
                <c:pt idx="110">
                  <c:v>0.73864816388180876</c:v>
                </c:pt>
                <c:pt idx="111">
                  <c:v>0.75472009817804209</c:v>
                </c:pt>
                <c:pt idx="112">
                  <c:v>0.77076843198338518</c:v>
                </c:pt>
                <c:pt idx="113">
                  <c:v>0.78681676578872839</c:v>
                </c:pt>
                <c:pt idx="114">
                  <c:v>0.80288870008496183</c:v>
                </c:pt>
                <c:pt idx="115">
                  <c:v>0.81893703389030492</c:v>
                </c:pt>
                <c:pt idx="116">
                  <c:v>0.83500896818653836</c:v>
                </c:pt>
                <c:pt idx="117">
                  <c:v>0.85105730199188145</c:v>
                </c:pt>
                <c:pt idx="118">
                  <c:v>0.86710563579722455</c:v>
                </c:pt>
                <c:pt idx="119">
                  <c:v>0.88317757009345776</c:v>
                </c:pt>
                <c:pt idx="120">
                  <c:v>0.89922590389880097</c:v>
                </c:pt>
                <c:pt idx="121">
                  <c:v>0.91529783819503452</c:v>
                </c:pt>
                <c:pt idx="122">
                  <c:v>0.93134617200037773</c:v>
                </c:pt>
                <c:pt idx="123">
                  <c:v>0.94739450580572082</c:v>
                </c:pt>
                <c:pt idx="124">
                  <c:v>0.96346644010195404</c:v>
                </c:pt>
                <c:pt idx="125">
                  <c:v>0.97951477390729713</c:v>
                </c:pt>
                <c:pt idx="126">
                  <c:v>0.99558670820353068</c:v>
                </c:pt>
                <c:pt idx="127">
                  <c:v>1.0116350420088738</c:v>
                </c:pt>
                <c:pt idx="128">
                  <c:v>1.027683375814217</c:v>
                </c:pt>
                <c:pt idx="129">
                  <c:v>1.0437553101104502</c:v>
                </c:pt>
                <c:pt idx="130">
                  <c:v>1.0598036439157934</c:v>
                </c:pt>
                <c:pt idx="131">
                  <c:v>1.0758519777211366</c:v>
                </c:pt>
                <c:pt idx="132">
                  <c:v>1.09192391201737</c:v>
                </c:pt>
                <c:pt idx="133">
                  <c:v>1.1079722458227133</c:v>
                </c:pt>
                <c:pt idx="134">
                  <c:v>1.1240441801189465</c:v>
                </c:pt>
                <c:pt idx="135">
                  <c:v>1.1400925139242897</c:v>
                </c:pt>
                <c:pt idx="136">
                  <c:v>1.1561408477296329</c:v>
                </c:pt>
                <c:pt idx="137">
                  <c:v>1.1722127820258659</c:v>
                </c:pt>
                <c:pt idx="138">
                  <c:v>1.1882611158312091</c:v>
                </c:pt>
                <c:pt idx="139">
                  <c:v>1.2043330501274427</c:v>
                </c:pt>
                <c:pt idx="140">
                  <c:v>1.2203813839327857</c:v>
                </c:pt>
                <c:pt idx="141">
                  <c:v>1.2364297177381289</c:v>
                </c:pt>
                <c:pt idx="142">
                  <c:v>1.2525016520343624</c:v>
                </c:pt>
                <c:pt idx="143">
                  <c:v>1.2685499858397054</c:v>
                </c:pt>
                <c:pt idx="144">
                  <c:v>1.2846219201359388</c:v>
                </c:pt>
                <c:pt idx="145">
                  <c:v>1.300670253941282</c:v>
                </c:pt>
                <c:pt idx="146">
                  <c:v>1.316718587746625</c:v>
                </c:pt>
                <c:pt idx="147">
                  <c:v>1.3327905220428584</c:v>
                </c:pt>
                <c:pt idx="148">
                  <c:v>1.3488388558482016</c:v>
                </c:pt>
                <c:pt idx="149">
                  <c:v>1.3649107901444351</c:v>
                </c:pt>
                <c:pt idx="150">
                  <c:v>1.3809591239497783</c:v>
                </c:pt>
                <c:pt idx="151">
                  <c:v>1.3970074577551215</c:v>
                </c:pt>
                <c:pt idx="152">
                  <c:v>1.4130793920513547</c:v>
                </c:pt>
                <c:pt idx="153">
                  <c:v>1.4291277258566979</c:v>
                </c:pt>
                <c:pt idx="154">
                  <c:v>1.4451996601529311</c:v>
                </c:pt>
                <c:pt idx="155">
                  <c:v>1.4612479939582741</c:v>
                </c:pt>
                <c:pt idx="156">
                  <c:v>1.4772963277636175</c:v>
                </c:pt>
                <c:pt idx="157">
                  <c:v>1.493368262059851</c:v>
                </c:pt>
                <c:pt idx="158">
                  <c:v>1.5094165958651939</c:v>
                </c:pt>
                <c:pt idx="159">
                  <c:v>1.5254885301614276</c:v>
                </c:pt>
                <c:pt idx="160">
                  <c:v>1.5415368639667704</c:v>
                </c:pt>
                <c:pt idx="161">
                  <c:v>1.5575851977721138</c:v>
                </c:pt>
                <c:pt idx="162">
                  <c:v>1.577669215519683</c:v>
                </c:pt>
                <c:pt idx="163">
                  <c:v>1.593717549325026</c:v>
                </c:pt>
                <c:pt idx="164">
                  <c:v>1.6097894836212592</c:v>
                </c:pt>
                <c:pt idx="165">
                  <c:v>1.6258378174266026</c:v>
                </c:pt>
                <c:pt idx="166">
                  <c:v>1.6418861512319456</c:v>
                </c:pt>
                <c:pt idx="167">
                  <c:v>1.6619701689795148</c:v>
                </c:pt>
                <c:pt idx="168">
                  <c:v>1.678018502784858</c:v>
                </c:pt>
                <c:pt idx="169">
                  <c:v>1.6940904370810912</c:v>
                </c:pt>
                <c:pt idx="170">
                  <c:v>1.7101387708864344</c:v>
                </c:pt>
                <c:pt idx="171">
                  <c:v>1.7261871046917774</c:v>
                </c:pt>
                <c:pt idx="172">
                  <c:v>1.7422590389880108</c:v>
                </c:pt>
                <c:pt idx="173">
                  <c:v>1.758307372793354</c:v>
                </c:pt>
                <c:pt idx="174">
                  <c:v>1.7743793070895875</c:v>
                </c:pt>
                <c:pt idx="175">
                  <c:v>1.7904276408949309</c:v>
                </c:pt>
                <c:pt idx="176">
                  <c:v>1.8064759747002737</c:v>
                </c:pt>
                <c:pt idx="177">
                  <c:v>1.8225479089965071</c:v>
                </c:pt>
                <c:pt idx="178">
                  <c:v>1.8385962428018503</c:v>
                </c:pt>
                <c:pt idx="179">
                  <c:v>1.8546681770980835</c:v>
                </c:pt>
                <c:pt idx="180">
                  <c:v>1.8707165109034269</c:v>
                </c:pt>
                <c:pt idx="181">
                  <c:v>1.8867648447087697</c:v>
                </c:pt>
                <c:pt idx="182">
                  <c:v>1.9068488624563389</c:v>
                </c:pt>
                <c:pt idx="183">
                  <c:v>1.9228971962616823</c:v>
                </c:pt>
                <c:pt idx="184">
                  <c:v>1.9389691305579158</c:v>
                </c:pt>
                <c:pt idx="185">
                  <c:v>1.9590295478145943</c:v>
                </c:pt>
                <c:pt idx="186">
                  <c:v>1.9751014821108277</c:v>
                </c:pt>
                <c:pt idx="187">
                  <c:v>1.9911498159161711</c:v>
                </c:pt>
                <c:pt idx="188">
                  <c:v>2.0071981497215146</c:v>
                </c:pt>
                <c:pt idx="189">
                  <c:v>2.0232700840177475</c:v>
                </c:pt>
                <c:pt idx="190">
                  <c:v>2.0393184178230905</c:v>
                </c:pt>
                <c:pt idx="191">
                  <c:v>2.055390352119324</c:v>
                </c:pt>
                <c:pt idx="192">
                  <c:v>2.071438685924667</c:v>
                </c:pt>
                <c:pt idx="193">
                  <c:v>2.0874870197300104</c:v>
                </c:pt>
                <c:pt idx="194">
                  <c:v>2.1035589540262438</c:v>
                </c:pt>
                <c:pt idx="195">
                  <c:v>2.1236193712829228</c:v>
                </c:pt>
                <c:pt idx="196">
                  <c:v>2.1396913055791562</c:v>
                </c:pt>
                <c:pt idx="197">
                  <c:v>2.1557396393844992</c:v>
                </c:pt>
                <c:pt idx="198">
                  <c:v>2.1717879731898426</c:v>
                </c:pt>
                <c:pt idx="199">
                  <c:v>2.1878599074860756</c:v>
                </c:pt>
                <c:pt idx="200">
                  <c:v>2.2039082412914186</c:v>
                </c:pt>
                <c:pt idx="201">
                  <c:v>2.219980175587652</c:v>
                </c:pt>
                <c:pt idx="202">
                  <c:v>2.2360285093929955</c:v>
                </c:pt>
                <c:pt idx="203">
                  <c:v>2.2520768431983385</c:v>
                </c:pt>
                <c:pt idx="204">
                  <c:v>2.2681487774945714</c:v>
                </c:pt>
                <c:pt idx="205">
                  <c:v>2.2841971112999153</c:v>
                </c:pt>
                <c:pt idx="206">
                  <c:v>2.3002690455961483</c:v>
                </c:pt>
                <c:pt idx="207">
                  <c:v>2.3203294628528273</c:v>
                </c:pt>
                <c:pt idx="208">
                  <c:v>2.3404134806003967</c:v>
                </c:pt>
                <c:pt idx="209">
                  <c:v>2.3564618144057397</c:v>
                </c:pt>
                <c:pt idx="210">
                  <c:v>2.3725573491928635</c:v>
                </c:pt>
                <c:pt idx="211">
                  <c:v>2.3886056829982061</c:v>
                </c:pt>
                <c:pt idx="212">
                  <c:v>2.4046540168035495</c:v>
                </c:pt>
                <c:pt idx="213">
                  <c:v>2.4247144340602285</c:v>
                </c:pt>
                <c:pt idx="214">
                  <c:v>2.4407627678655714</c:v>
                </c:pt>
                <c:pt idx="215">
                  <c:v>2.4568111016709149</c:v>
                </c:pt>
                <c:pt idx="216">
                  <c:v>2.4768715189275938</c:v>
                </c:pt>
                <c:pt idx="217">
                  <c:v>2.4929198527329368</c:v>
                </c:pt>
                <c:pt idx="218">
                  <c:v>2.5129802699896158</c:v>
                </c:pt>
                <c:pt idx="219">
                  <c:v>2.5290286037949588</c:v>
                </c:pt>
                <c:pt idx="220">
                  <c:v>2.5450769376003022</c:v>
                </c:pt>
                <c:pt idx="221">
                  <c:v>2.5611252714056452</c:v>
                </c:pt>
                <c:pt idx="222">
                  <c:v>2.5811856886623241</c:v>
                </c:pt>
                <c:pt idx="223">
                  <c:v>2.5972340224676671</c:v>
                </c:pt>
                <c:pt idx="224">
                  <c:v>2.6132823562730105</c:v>
                </c:pt>
                <c:pt idx="225">
                  <c:v>2.6293306900783535</c:v>
                </c:pt>
                <c:pt idx="226">
                  <c:v>2.6496271122439343</c:v>
                </c:pt>
                <c:pt idx="227">
                  <c:v>2.6656754460492778</c:v>
                </c:pt>
                <c:pt idx="228">
                  <c:v>2.6817237798546207</c:v>
                </c:pt>
                <c:pt idx="229">
                  <c:v>2.7017841971113001</c:v>
                </c:pt>
                <c:pt idx="230">
                  <c:v>2.7178325309166427</c:v>
                </c:pt>
                <c:pt idx="231">
                  <c:v>2.7338808647219865</c:v>
                </c:pt>
                <c:pt idx="232">
                  <c:v>2.7539412819786651</c:v>
                </c:pt>
                <c:pt idx="233">
                  <c:v>2.7740016992353445</c:v>
                </c:pt>
                <c:pt idx="234">
                  <c:v>2.790050033040687</c:v>
                </c:pt>
                <c:pt idx="235">
                  <c:v>2.8060983668460304</c:v>
                </c:pt>
                <c:pt idx="236">
                  <c:v>2.8261587841027094</c:v>
                </c:pt>
                <c:pt idx="237">
                  <c:v>2.8462192013593879</c:v>
                </c:pt>
                <c:pt idx="238">
                  <c:v>2.8622675351647318</c:v>
                </c:pt>
                <c:pt idx="239">
                  <c:v>2.8823279524214103</c:v>
                </c:pt>
                <c:pt idx="240">
                  <c:v>2.8983762862267537</c:v>
                </c:pt>
                <c:pt idx="241">
                  <c:v>2.9144246200320967</c:v>
                </c:pt>
                <c:pt idx="242">
                  <c:v>2.9344850372887756</c:v>
                </c:pt>
                <c:pt idx="243">
                  <c:v>2.9505333710941186</c:v>
                </c:pt>
                <c:pt idx="244">
                  <c:v>2.966581704899462</c:v>
                </c:pt>
                <c:pt idx="245">
                  <c:v>2.986642122156141</c:v>
                </c:pt>
                <c:pt idx="246">
                  <c:v>3.002690455961484</c:v>
                </c:pt>
                <c:pt idx="247">
                  <c:v>3.0227508732181634</c:v>
                </c:pt>
                <c:pt idx="248">
                  <c:v>3.0387992070235059</c:v>
                </c:pt>
                <c:pt idx="249">
                  <c:v>3.0590956291890872</c:v>
                </c:pt>
                <c:pt idx="250">
                  <c:v>3.0751439629944306</c:v>
                </c:pt>
                <c:pt idx="251">
                  <c:v>3.0911922967997731</c:v>
                </c:pt>
                <c:pt idx="252">
                  <c:v>3.119276880959124</c:v>
                </c:pt>
                <c:pt idx="253">
                  <c:v>3.1433493816671385</c:v>
                </c:pt>
                <c:pt idx="254">
                  <c:v>3.1674218823751539</c:v>
                </c:pt>
                <c:pt idx="255">
                  <c:v>3.1955064665345043</c:v>
                </c:pt>
                <c:pt idx="256">
                  <c:v>3.2195789672425184</c:v>
                </c:pt>
                <c:pt idx="257">
                  <c:v>3.2476635514018692</c:v>
                </c:pt>
                <c:pt idx="258">
                  <c:v>3.2717360521098837</c:v>
                </c:pt>
                <c:pt idx="259">
                  <c:v>3.2998206362692342</c:v>
                </c:pt>
                <c:pt idx="260">
                  <c:v>3.3238931369772491</c:v>
                </c:pt>
                <c:pt idx="261">
                  <c:v>3.3519777211366</c:v>
                </c:pt>
                <c:pt idx="262">
                  <c:v>3.3800623052959504</c:v>
                </c:pt>
                <c:pt idx="263">
                  <c:v>3.4081468894553009</c:v>
                </c:pt>
                <c:pt idx="264">
                  <c:v>3.4322193901633153</c:v>
                </c:pt>
                <c:pt idx="265">
                  <c:v>3.4565278957802321</c:v>
                </c:pt>
                <c:pt idx="266">
                  <c:v>3.4806003964882466</c:v>
                </c:pt>
                <c:pt idx="267">
                  <c:v>3.5046728971962615</c:v>
                </c:pt>
                <c:pt idx="268">
                  <c:v>3.532757481355612</c:v>
                </c:pt>
                <c:pt idx="269">
                  <c:v>3.5608420655149629</c:v>
                </c:pt>
                <c:pt idx="270">
                  <c:v>3.5889266496743133</c:v>
                </c:pt>
                <c:pt idx="271">
                  <c:v>3.6170112338336637</c:v>
                </c:pt>
                <c:pt idx="272">
                  <c:v>3.6410837345416782</c:v>
                </c:pt>
                <c:pt idx="273">
                  <c:v>3.6691683187010287</c:v>
                </c:pt>
                <c:pt idx="274">
                  <c:v>3.693240819409044</c:v>
                </c:pt>
                <c:pt idx="275">
                  <c:v>3.7213254035683945</c:v>
                </c:pt>
                <c:pt idx="276">
                  <c:v>3.7453979042764085</c:v>
                </c:pt>
                <c:pt idx="277">
                  <c:v>3.7734824884357594</c:v>
                </c:pt>
                <c:pt idx="278">
                  <c:v>3.7975549891437739</c:v>
                </c:pt>
                <c:pt idx="279">
                  <c:v>3.8256395733031243</c:v>
                </c:pt>
                <c:pt idx="280">
                  <c:v>3.8497120740111397</c:v>
                </c:pt>
                <c:pt idx="281">
                  <c:v>3.8780326630793915</c:v>
                </c:pt>
                <c:pt idx="282">
                  <c:v>3.9021051637874069</c:v>
                </c:pt>
                <c:pt idx="283">
                  <c:v>3.9261776644954218</c:v>
                </c:pt>
                <c:pt idx="284">
                  <c:v>3.9542622486547723</c:v>
                </c:pt>
                <c:pt idx="285">
                  <c:v>3.9783347493627867</c:v>
                </c:pt>
                <c:pt idx="286">
                  <c:v>4.0064193335221372</c:v>
                </c:pt>
                <c:pt idx="287">
                  <c:v>4.0304918342301521</c:v>
                </c:pt>
                <c:pt idx="288">
                  <c:v>4.054564334938167</c:v>
                </c:pt>
                <c:pt idx="289">
                  <c:v>4.0786368356461811</c:v>
                </c:pt>
                <c:pt idx="290">
                  <c:v>4.106721419805532</c:v>
                </c:pt>
                <c:pt idx="291">
                  <c:v>4.134806003964882</c:v>
                </c:pt>
                <c:pt idx="292">
                  <c:v>4.1709147550269048</c:v>
                </c:pt>
                <c:pt idx="293">
                  <c:v>4.2070235060889267</c:v>
                </c:pt>
                <c:pt idx="294">
                  <c:v>4.2391201736996127</c:v>
                </c:pt>
                <c:pt idx="295">
                  <c:v>4.2714528462192014</c:v>
                </c:pt>
                <c:pt idx="296">
                  <c:v>4.3075615972812242</c:v>
                </c:pt>
                <c:pt idx="297">
                  <c:v>4.3396582648919093</c:v>
                </c:pt>
                <c:pt idx="298">
                  <c:v>4.3717549325025971</c:v>
                </c:pt>
                <c:pt idx="299">
                  <c:v>4.4038516001132821</c:v>
                </c:pt>
                <c:pt idx="300">
                  <c:v>4.435948267723969</c:v>
                </c:pt>
                <c:pt idx="301">
                  <c:v>4.468044935334655</c:v>
                </c:pt>
                <c:pt idx="302">
                  <c:v>4.5001416029453418</c:v>
                </c:pt>
                <c:pt idx="303">
                  <c:v>4.5322382705560269</c:v>
                </c:pt>
                <c:pt idx="304">
                  <c:v>4.5643349381667147</c:v>
                </c:pt>
                <c:pt idx="305">
                  <c:v>4.5964316057773997</c:v>
                </c:pt>
                <c:pt idx="306">
                  <c:v>4.6285282733880866</c:v>
                </c:pt>
                <c:pt idx="307">
                  <c:v>4.6646370244501085</c:v>
                </c:pt>
                <c:pt idx="308">
                  <c:v>4.6969696969696972</c:v>
                </c:pt>
                <c:pt idx="309">
                  <c:v>4.7290663645803832</c:v>
                </c:pt>
                <c:pt idx="310">
                  <c:v>4.7651751156424051</c:v>
                </c:pt>
                <c:pt idx="311">
                  <c:v>4.801283866704428</c:v>
                </c:pt>
                <c:pt idx="312">
                  <c:v>4.837392617766449</c:v>
                </c:pt>
                <c:pt idx="313">
                  <c:v>4.8735013688284718</c:v>
                </c:pt>
                <c:pt idx="314">
                  <c:v>4.9096101198904938</c:v>
                </c:pt>
                <c:pt idx="315">
                  <c:v>4.9417067875011798</c:v>
                </c:pt>
                <c:pt idx="316">
                  <c:v>4.9778155385632017</c:v>
                </c:pt>
                <c:pt idx="317">
                  <c:v>5.0139242896252236</c:v>
                </c:pt>
                <c:pt idx="318">
                  <c:v>5.0500330406872465</c:v>
                </c:pt>
                <c:pt idx="319">
                  <c:v>5.0863777966581702</c:v>
                </c:pt>
                <c:pt idx="320">
                  <c:v>5.1224865477201931</c:v>
                </c:pt>
                <c:pt idx="321">
                  <c:v>5.1585952987822141</c:v>
                </c:pt>
                <c:pt idx="322">
                  <c:v>5.202728216746908</c:v>
                </c:pt>
                <c:pt idx="323">
                  <c:v>5.2468611347116019</c:v>
                </c:pt>
                <c:pt idx="324">
                  <c:v>5.2909940526762957</c:v>
                </c:pt>
                <c:pt idx="325">
                  <c:v>5.3351269706409887</c:v>
                </c:pt>
                <c:pt idx="326">
                  <c:v>5.3752478051543466</c:v>
                </c:pt>
                <c:pt idx="327">
                  <c:v>5.4233928065703774</c:v>
                </c:pt>
                <c:pt idx="328">
                  <c:v>5.4675257245350704</c:v>
                </c:pt>
                <c:pt idx="329">
                  <c:v>5.5118946474086661</c:v>
                </c:pt>
                <c:pt idx="330">
                  <c:v>5.552015481922024</c:v>
                </c:pt>
                <c:pt idx="331">
                  <c:v>5.5961483998867179</c:v>
                </c:pt>
                <c:pt idx="332">
                  <c:v>5.6442934013027477</c:v>
                </c:pt>
                <c:pt idx="333">
                  <c:v>5.6924384027187758</c:v>
                </c:pt>
                <c:pt idx="334">
                  <c:v>5.7365713206834696</c:v>
                </c:pt>
                <c:pt idx="335">
                  <c:v>5.7766921551968284</c:v>
                </c:pt>
                <c:pt idx="336">
                  <c:v>5.8208250731615214</c:v>
                </c:pt>
                <c:pt idx="337">
                  <c:v>5.8609459076748793</c:v>
                </c:pt>
                <c:pt idx="338">
                  <c:v>5.909326913999811</c:v>
                </c:pt>
                <c:pt idx="339">
                  <c:v>5.9534598319645049</c:v>
                </c:pt>
                <c:pt idx="340">
                  <c:v>5.9935806664778628</c:v>
                </c:pt>
                <c:pt idx="341">
                  <c:v>6.0337015009912207</c:v>
                </c:pt>
                <c:pt idx="342">
                  <c:v>6.0738223355045786</c:v>
                </c:pt>
                <c:pt idx="343">
                  <c:v>6.1219673369206076</c:v>
                </c:pt>
                <c:pt idx="344">
                  <c:v>6.1620881714339664</c:v>
                </c:pt>
                <c:pt idx="345">
                  <c:v>6.2102331728499953</c:v>
                </c:pt>
                <c:pt idx="346">
                  <c:v>6.2583781742660243</c:v>
                </c:pt>
                <c:pt idx="347">
                  <c:v>6.3107712640422919</c:v>
                </c:pt>
                <c:pt idx="348">
                  <c:v>6.3629283489096577</c:v>
                </c:pt>
                <c:pt idx="349">
                  <c:v>6.4110733503256858</c:v>
                </c:pt>
                <c:pt idx="350">
                  <c:v>6.4632304351930525</c:v>
                </c:pt>
                <c:pt idx="351">
                  <c:v>6.5113754366090806</c:v>
                </c:pt>
                <c:pt idx="352">
                  <c:v>6.5635325214764464</c:v>
                </c:pt>
                <c:pt idx="353">
                  <c:v>6.6197016897951473</c:v>
                </c:pt>
                <c:pt idx="354">
                  <c:v>6.6718587746625122</c:v>
                </c:pt>
                <c:pt idx="355">
                  <c:v>6.7242518644387808</c:v>
                </c:pt>
                <c:pt idx="356">
                  <c:v>6.7764089493061457</c:v>
                </c:pt>
                <c:pt idx="357">
                  <c:v>6.8285660341735097</c:v>
                </c:pt>
                <c:pt idx="358">
                  <c:v>6.8847352024922133</c:v>
                </c:pt>
                <c:pt idx="359">
                  <c:v>6.9409043708109133</c:v>
                </c:pt>
                <c:pt idx="360">
                  <c:v>6.9930614556782782</c:v>
                </c:pt>
                <c:pt idx="361">
                  <c:v>7.0492306239969782</c:v>
                </c:pt>
                <c:pt idx="362">
                  <c:v>7.10539979231568</c:v>
                </c:pt>
                <c:pt idx="363">
                  <c:v>7.1618049655432827</c:v>
                </c:pt>
                <c:pt idx="364">
                  <c:v>7.2179741338619845</c:v>
                </c:pt>
                <c:pt idx="365">
                  <c:v>7.2741433021806863</c:v>
                </c:pt>
                <c:pt idx="366">
                  <c:v>7.3303124704993872</c:v>
                </c:pt>
                <c:pt idx="367">
                  <c:v>7.3864816388180881</c:v>
                </c:pt>
                <c:pt idx="368">
                  <c:v>7.4426508071367889</c:v>
                </c:pt>
                <c:pt idx="369">
                  <c:v>7.4988199754554898</c:v>
                </c:pt>
                <c:pt idx="370">
                  <c:v>7.5552251486830926</c:v>
                </c:pt>
                <c:pt idx="371">
                  <c:v>7.6113943170017935</c:v>
                </c:pt>
                <c:pt idx="372">
                  <c:v>7.6715755687718303</c:v>
                </c:pt>
                <c:pt idx="373">
                  <c:v>7.7277447370905321</c:v>
                </c:pt>
                <c:pt idx="374">
                  <c:v>7.7879259888605681</c:v>
                </c:pt>
                <c:pt idx="375">
                  <c:v>7.8481072406306049</c:v>
                </c:pt>
                <c:pt idx="376">
                  <c:v>7.9042764089493058</c:v>
                </c:pt>
                <c:pt idx="377">
                  <c:v>7.9646936656282454</c:v>
                </c:pt>
                <c:pt idx="378">
                  <c:v>8.0248749173982805</c:v>
                </c:pt>
                <c:pt idx="379">
                  <c:v>8.0850561691683183</c:v>
                </c:pt>
                <c:pt idx="380">
                  <c:v>8.1452374209383542</c:v>
                </c:pt>
                <c:pt idx="381">
                  <c:v>8.2094307561597279</c:v>
                </c:pt>
                <c:pt idx="382">
                  <c:v>8.2696120079297639</c:v>
                </c:pt>
                <c:pt idx="383">
                  <c:v>8.3460775984140465</c:v>
                </c:pt>
                <c:pt idx="384">
                  <c:v>8.4182951005380922</c:v>
                </c:pt>
                <c:pt idx="385">
                  <c:v>8.4824884357594641</c:v>
                </c:pt>
                <c:pt idx="386">
                  <c:v>8.554705937883508</c:v>
                </c:pt>
                <c:pt idx="387">
                  <c:v>8.6188992731048799</c:v>
                </c:pt>
                <c:pt idx="388">
                  <c:v>8.6830926083262536</c:v>
                </c:pt>
                <c:pt idx="389">
                  <c:v>8.7475219484565283</c:v>
                </c:pt>
                <c:pt idx="390">
                  <c:v>8.8197394505805704</c:v>
                </c:pt>
                <c:pt idx="391">
                  <c:v>8.8879448692532819</c:v>
                </c:pt>
                <c:pt idx="392">
                  <c:v>8.952138204474652</c:v>
                </c:pt>
                <c:pt idx="393">
                  <c:v>9.0163315396960257</c:v>
                </c:pt>
                <c:pt idx="394">
                  <c:v>9.0805248749173977</c:v>
                </c:pt>
                <c:pt idx="395">
                  <c:v>9.1449542150476724</c:v>
                </c:pt>
                <c:pt idx="396">
                  <c:v>9.213159633720382</c:v>
                </c:pt>
                <c:pt idx="397">
                  <c:v>9.277352968941754</c:v>
                </c:pt>
                <c:pt idx="398">
                  <c:v>9.3575946379684698</c:v>
                </c:pt>
                <c:pt idx="399">
                  <c:v>9.4338242235438514</c:v>
                </c:pt>
                <c:pt idx="400">
                  <c:v>9.5140658925705637</c:v>
                </c:pt>
                <c:pt idx="401">
                  <c:v>9.594543566506184</c:v>
                </c:pt>
                <c:pt idx="402">
                  <c:v>9.674785235532898</c:v>
                </c:pt>
                <c:pt idx="403">
                  <c:v>9.7510148211082797</c:v>
                </c:pt>
                <c:pt idx="404">
                  <c:v>9.8312564901349955</c:v>
                </c:pt>
                <c:pt idx="405">
                  <c:v>9.9074860757103753</c:v>
                </c:pt>
                <c:pt idx="406">
                  <c:v>9.9879637496459921</c:v>
                </c:pt>
                <c:pt idx="407">
                  <c:v>10.068205418672708</c:v>
                </c:pt>
                <c:pt idx="408">
                  <c:v>10.144435004248088</c:v>
                </c:pt>
                <c:pt idx="409">
                  <c:v>10.224676673274804</c:v>
                </c:pt>
                <c:pt idx="410">
                  <c:v>10.300906258850185</c:v>
                </c:pt>
                <c:pt idx="411">
                  <c:v>10.381383932785802</c:v>
                </c:pt>
                <c:pt idx="412">
                  <c:v>10.461625601812518</c:v>
                </c:pt>
                <c:pt idx="413">
                  <c:v>10.541867270839234</c:v>
                </c:pt>
                <c:pt idx="414">
                  <c:v>10.634145190219956</c:v>
                </c:pt>
                <c:pt idx="415">
                  <c:v>10.722411026149343</c:v>
                </c:pt>
                <c:pt idx="416">
                  <c:v>10.802888700084962</c:v>
                </c:pt>
                <c:pt idx="417">
                  <c:v>10.883130369111678</c:v>
                </c:pt>
                <c:pt idx="418">
                  <c:v>10.967384121589728</c:v>
                </c:pt>
                <c:pt idx="419">
                  <c:v>11.047625790616445</c:v>
                </c:pt>
                <c:pt idx="420">
                  <c:v>11.127867459643161</c:v>
                </c:pt>
                <c:pt idx="421">
                  <c:v>11.20834513357878</c:v>
                </c:pt>
                <c:pt idx="422">
                  <c:v>11.29259888605683</c:v>
                </c:pt>
                <c:pt idx="423">
                  <c:v>11.372840555083545</c:v>
                </c:pt>
                <c:pt idx="424">
                  <c:v>11.465118474464269</c:v>
                </c:pt>
                <c:pt idx="425">
                  <c:v>11.561408477296329</c:v>
                </c:pt>
                <c:pt idx="426">
                  <c:v>11.657934485037289</c:v>
                </c:pt>
                <c:pt idx="427">
                  <c:v>11.750212404418011</c:v>
                </c:pt>
                <c:pt idx="428">
                  <c:v>11.846502407250071</c:v>
                </c:pt>
                <c:pt idx="429">
                  <c:v>11.942792410082129</c:v>
                </c:pt>
                <c:pt idx="430">
                  <c:v>12.039318417823091</c:v>
                </c:pt>
                <c:pt idx="431">
                  <c:v>12.135608420655149</c:v>
                </c:pt>
                <c:pt idx="432">
                  <c:v>12.223874256584539</c:v>
                </c:pt>
                <c:pt idx="433">
                  <c:v>12.320164259416595</c:v>
                </c:pt>
                <c:pt idx="434">
                  <c:v>12.416690267157556</c:v>
                </c:pt>
                <c:pt idx="435">
                  <c:v>12.516992353440951</c:v>
                </c:pt>
                <c:pt idx="436">
                  <c:v>12.613282356273013</c:v>
                </c:pt>
                <c:pt idx="437">
                  <c:v>12.713584442556405</c:v>
                </c:pt>
                <c:pt idx="438">
                  <c:v>12.810110450297366</c:v>
                </c:pt>
                <c:pt idx="439">
                  <c:v>12.910412536580759</c:v>
                </c:pt>
                <c:pt idx="440">
                  <c:v>13.010714622864155</c:v>
                </c:pt>
                <c:pt idx="441">
                  <c:v>13.115028792598887</c:v>
                </c:pt>
                <c:pt idx="442">
                  <c:v>13.215566883791183</c:v>
                </c:pt>
                <c:pt idx="443">
                  <c:v>13.315868970074577</c:v>
                </c:pt>
                <c:pt idx="444">
                  <c:v>13.420183139809309</c:v>
                </c:pt>
                <c:pt idx="445">
                  <c:v>13.536533559898047</c:v>
                </c:pt>
                <c:pt idx="446">
                  <c:v>13.641083734541679</c:v>
                </c:pt>
                <c:pt idx="447">
                  <c:v>13.745397904276409</c:v>
                </c:pt>
                <c:pt idx="448">
                  <c:v>13.849712074011139</c:v>
                </c:pt>
                <c:pt idx="449">
                  <c:v>13.966062494099877</c:v>
                </c:pt>
                <c:pt idx="450">
                  <c:v>14.070612668743511</c:v>
                </c:pt>
                <c:pt idx="451">
                  <c:v>14.174926838478241</c:v>
                </c:pt>
                <c:pt idx="452">
                  <c:v>14.291277258566977</c:v>
                </c:pt>
                <c:pt idx="453">
                  <c:v>14.395591428301708</c:v>
                </c:pt>
                <c:pt idx="454">
                  <c:v>14.512177853299347</c:v>
                </c:pt>
                <c:pt idx="455">
                  <c:v>14.632540356839423</c:v>
                </c:pt>
                <c:pt idx="456">
                  <c:v>14.752902860379496</c:v>
                </c:pt>
                <c:pt idx="457">
                  <c:v>14.869489285377135</c:v>
                </c:pt>
                <c:pt idx="458">
                  <c:v>14.989851788917209</c:v>
                </c:pt>
                <c:pt idx="459">
                  <c:v>15.106202209005948</c:v>
                </c:pt>
                <c:pt idx="460">
                  <c:v>15.222552629094684</c:v>
                </c:pt>
                <c:pt idx="461">
                  <c:v>15.343151137543661</c:v>
                </c:pt>
                <c:pt idx="462">
                  <c:v>15.459501557632398</c:v>
                </c:pt>
                <c:pt idx="463">
                  <c:v>15.579864061172472</c:v>
                </c:pt>
                <c:pt idx="464">
                  <c:v>15.700462569621447</c:v>
                </c:pt>
                <c:pt idx="465">
                  <c:v>15.820825073161522</c:v>
                </c:pt>
                <c:pt idx="466">
                  <c:v>15.941187576701596</c:v>
                </c:pt>
                <c:pt idx="467">
                  <c:v>16.061786085150572</c:v>
                </c:pt>
                <c:pt idx="468">
                  <c:v>16.182148588690644</c:v>
                </c:pt>
                <c:pt idx="469">
                  <c:v>16.30251109223072</c:v>
                </c:pt>
                <c:pt idx="470">
                  <c:v>16.422873595770792</c:v>
                </c:pt>
                <c:pt idx="471">
                  <c:v>16.547484187671103</c:v>
                </c:pt>
                <c:pt idx="472">
                  <c:v>16.683895025016518</c:v>
                </c:pt>
                <c:pt idx="473">
                  <c:v>16.820305862361938</c:v>
                </c:pt>
                <c:pt idx="474">
                  <c:v>16.956952704616256</c:v>
                </c:pt>
                <c:pt idx="475">
                  <c:v>17.093363541961672</c:v>
                </c:pt>
                <c:pt idx="476">
                  <c:v>17.233786462758424</c:v>
                </c:pt>
                <c:pt idx="477">
                  <c:v>17.370433305012742</c:v>
                </c:pt>
                <c:pt idx="478">
                  <c:v>17.506844142358162</c:v>
                </c:pt>
                <c:pt idx="479">
                  <c:v>17.647267063154914</c:v>
                </c:pt>
                <c:pt idx="480">
                  <c:v>17.787925988860572</c:v>
                </c:pt>
                <c:pt idx="481">
                  <c:v>17.928348909657323</c:v>
                </c:pt>
                <c:pt idx="482">
                  <c:v>18.068771830454075</c:v>
                </c:pt>
                <c:pt idx="483">
                  <c:v>18.213442839611066</c:v>
                </c:pt>
                <c:pt idx="484">
                  <c:v>18.35787784385915</c:v>
                </c:pt>
                <c:pt idx="485">
                  <c:v>18.498536769564808</c:v>
                </c:pt>
                <c:pt idx="486">
                  <c:v>18.642971773812899</c:v>
                </c:pt>
                <c:pt idx="487">
                  <c:v>18.791418861512319</c:v>
                </c:pt>
                <c:pt idx="488">
                  <c:v>18.93608987066931</c:v>
                </c:pt>
                <c:pt idx="489">
                  <c:v>19.084536958368734</c:v>
                </c:pt>
                <c:pt idx="490">
                  <c:v>19.232984046068157</c:v>
                </c:pt>
                <c:pt idx="491">
                  <c:v>19.377655055225148</c:v>
                </c:pt>
                <c:pt idx="492">
                  <c:v>19.526102142924572</c:v>
                </c:pt>
                <c:pt idx="493">
                  <c:v>19.678561314075331</c:v>
                </c:pt>
                <c:pt idx="494">
                  <c:v>19.843292740489002</c:v>
                </c:pt>
                <c:pt idx="495">
                  <c:v>20.007788161993769</c:v>
                </c:pt>
                <c:pt idx="496">
                  <c:v>20.176531671858772</c:v>
                </c:pt>
                <c:pt idx="497">
                  <c:v>20.341027093363543</c:v>
                </c:pt>
                <c:pt idx="498">
                  <c:v>20.505522514868307</c:v>
                </c:pt>
                <c:pt idx="499">
                  <c:v>20.670253941281977</c:v>
                </c:pt>
                <c:pt idx="500">
                  <c:v>20.834749362786745</c:v>
                </c:pt>
                <c:pt idx="501">
                  <c:v>21.003492872651751</c:v>
                </c:pt>
                <c:pt idx="502">
                  <c:v>21.167988294156519</c:v>
                </c:pt>
                <c:pt idx="503">
                  <c:v>21.328471632209951</c:v>
                </c:pt>
                <c:pt idx="504">
                  <c:v>21.497215142074953</c:v>
                </c:pt>
                <c:pt idx="505">
                  <c:v>21.661710563579724</c:v>
                </c:pt>
                <c:pt idx="506">
                  <c:v>21.838478240347399</c:v>
                </c:pt>
                <c:pt idx="507">
                  <c:v>22.015009912206178</c:v>
                </c:pt>
                <c:pt idx="508">
                  <c:v>22.195789672425189</c:v>
                </c:pt>
                <c:pt idx="509">
                  <c:v>22.376333427735297</c:v>
                </c:pt>
                <c:pt idx="510">
                  <c:v>22.553101104502971</c:v>
                </c:pt>
                <c:pt idx="511">
                  <c:v>22.733644859813083</c:v>
                </c:pt>
                <c:pt idx="512">
                  <c:v>22.91820069857453</c:v>
                </c:pt>
                <c:pt idx="513">
                  <c:v>23.094968375342209</c:v>
                </c:pt>
                <c:pt idx="514">
                  <c:v>23.279524214103652</c:v>
                </c:pt>
                <c:pt idx="515">
                  <c:v>23.460303974322667</c:v>
                </c:pt>
                <c:pt idx="516">
                  <c:v>23.640611724723875</c:v>
                </c:pt>
                <c:pt idx="517">
                  <c:v>23.824695553667514</c:v>
                </c:pt>
                <c:pt idx="518">
                  <c:v>24.011139431700176</c:v>
                </c:pt>
                <c:pt idx="519">
                  <c:v>24.207023506088927</c:v>
                </c:pt>
                <c:pt idx="520">
                  <c:v>24.391107335032569</c:v>
                </c:pt>
                <c:pt idx="521">
                  <c:v>24.575191163976211</c:v>
                </c:pt>
                <c:pt idx="522">
                  <c:v>24.763995091097897</c:v>
                </c:pt>
                <c:pt idx="523">
                  <c:v>24.969319361842725</c:v>
                </c:pt>
                <c:pt idx="524">
                  <c:v>25.174643632587561</c:v>
                </c:pt>
                <c:pt idx="525">
                  <c:v>25.382327952421413</c:v>
                </c:pt>
                <c:pt idx="526">
                  <c:v>25.587652223166241</c:v>
                </c:pt>
                <c:pt idx="527">
                  <c:v>25.781176248465972</c:v>
                </c:pt>
                <c:pt idx="528">
                  <c:v>25.98414047012178</c:v>
                </c:pt>
                <c:pt idx="529">
                  <c:v>26.194184839044652</c:v>
                </c:pt>
                <c:pt idx="530">
                  <c:v>26.399509109789481</c:v>
                </c:pt>
                <c:pt idx="531">
                  <c:v>26.602473331445296</c:v>
                </c:pt>
                <c:pt idx="532">
                  <c:v>26.807797602190124</c:v>
                </c:pt>
                <c:pt idx="533">
                  <c:v>27.032002265647129</c:v>
                </c:pt>
                <c:pt idx="534">
                  <c:v>27.2538468800151</c:v>
                </c:pt>
                <c:pt idx="535">
                  <c:v>27.475691494383085</c:v>
                </c:pt>
                <c:pt idx="536">
                  <c:v>27.695176059662039</c:v>
                </c:pt>
                <c:pt idx="537">
                  <c:v>27.91702067403002</c:v>
                </c:pt>
                <c:pt idx="538">
                  <c:v>28.136505239308978</c:v>
                </c:pt>
                <c:pt idx="539">
                  <c:v>28.358349853676952</c:v>
                </c:pt>
                <c:pt idx="540">
                  <c:v>28.577834418955916</c:v>
                </c:pt>
                <c:pt idx="541">
                  <c:v>28.799679033323891</c:v>
                </c:pt>
                <c:pt idx="542">
                  <c:v>29.040404040404042</c:v>
                </c:pt>
                <c:pt idx="543">
                  <c:v>29.276408949306145</c:v>
                </c:pt>
                <c:pt idx="544">
                  <c:v>29.510053809119231</c:v>
                </c:pt>
                <c:pt idx="545">
                  <c:v>29.746058718021338</c:v>
                </c:pt>
                <c:pt idx="546">
                  <c:v>29.972623430567353</c:v>
                </c:pt>
                <c:pt idx="547">
                  <c:v>30.213348437647504</c:v>
                </c:pt>
                <c:pt idx="548">
                  <c:v>30.454073444727651</c:v>
                </c:pt>
                <c:pt idx="549">
                  <c:v>30.697158500896819</c:v>
                </c:pt>
                <c:pt idx="550">
                  <c:v>30.940243557065987</c:v>
                </c:pt>
                <c:pt idx="551">
                  <c:v>31.188048711413199</c:v>
                </c:pt>
                <c:pt idx="552">
                  <c:v>31.435853865760407</c:v>
                </c:pt>
                <c:pt idx="553">
                  <c:v>31.681298971018599</c:v>
                </c:pt>
                <c:pt idx="554">
                  <c:v>31.926744076276787</c:v>
                </c:pt>
                <c:pt idx="555">
                  <c:v>32.191069574247145</c:v>
                </c:pt>
                <c:pt idx="556">
                  <c:v>32.441234777683377</c:v>
                </c:pt>
                <c:pt idx="557">
                  <c:v>32.689039932030582</c:v>
                </c:pt>
                <c:pt idx="558">
                  <c:v>32.951005380911923</c:v>
                </c:pt>
                <c:pt idx="559">
                  <c:v>33.210610780704243</c:v>
                </c:pt>
                <c:pt idx="560">
                  <c:v>33.47257622958557</c:v>
                </c:pt>
                <c:pt idx="561">
                  <c:v>33.729821580288871</c:v>
                </c:pt>
                <c:pt idx="562">
                  <c:v>33.989426980081184</c:v>
                </c:pt>
                <c:pt idx="563">
                  <c:v>34.267912772585667</c:v>
                </c:pt>
                <c:pt idx="564">
                  <c:v>34.544038516001137</c:v>
                </c:pt>
                <c:pt idx="565">
                  <c:v>34.820164259416593</c:v>
                </c:pt>
                <c:pt idx="566">
                  <c:v>35.098650051921084</c:v>
                </c:pt>
                <c:pt idx="567">
                  <c:v>35.374775795336546</c:v>
                </c:pt>
                <c:pt idx="568">
                  <c:v>35.648541489662982</c:v>
                </c:pt>
                <c:pt idx="569">
                  <c:v>35.919947134900404</c:v>
                </c:pt>
                <c:pt idx="570">
                  <c:v>36.193712829226847</c:v>
                </c:pt>
                <c:pt idx="571">
                  <c:v>36.4910790144435</c:v>
                </c:pt>
                <c:pt idx="572">
                  <c:v>36.776644954215051</c:v>
                </c:pt>
                <c:pt idx="573">
                  <c:v>37.074011139431697</c:v>
                </c:pt>
                <c:pt idx="574">
                  <c:v>37.369017275559337</c:v>
                </c:pt>
                <c:pt idx="575">
                  <c:v>37.66638346077599</c:v>
                </c:pt>
                <c:pt idx="576">
                  <c:v>37.963749645992635</c:v>
                </c:pt>
                <c:pt idx="577">
                  <c:v>38.261115831209288</c:v>
                </c:pt>
                <c:pt idx="578">
                  <c:v>38.57028226187105</c:v>
                </c:pt>
                <c:pt idx="579">
                  <c:v>38.879448692532804</c:v>
                </c:pt>
                <c:pt idx="580">
                  <c:v>39.188615123194559</c:v>
                </c:pt>
                <c:pt idx="581">
                  <c:v>39.49306145567828</c:v>
                </c:pt>
                <c:pt idx="582">
                  <c:v>39.799867837251014</c:v>
                </c:pt>
                <c:pt idx="583">
                  <c:v>40.111394317001789</c:v>
                </c:pt>
                <c:pt idx="584">
                  <c:v>40.425280845841591</c:v>
                </c:pt>
                <c:pt idx="585">
                  <c:v>40.739167374681394</c:v>
                </c:pt>
                <c:pt idx="586">
                  <c:v>41.062494099877284</c:v>
                </c:pt>
                <c:pt idx="587">
                  <c:v>41.381100726895127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5E-4CB3-A004-2FA832C158F4}"/>
            </c:ext>
          </c:extLst>
        </c:ser>
        <c:ser>
          <c:idx val="4"/>
          <c:order val="4"/>
          <c:tx>
            <c:strRef>
              <c:f>{"A22-5"}</c:f>
              <c:strCache>
                <c:ptCount val="1"/>
                <c:pt idx="0">
                  <c:v>A22-5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'A22-3'!$C$2:$C$600</c:f>
              <c:numCache>
                <c:formatCode>0.00</c:formatCode>
                <c:ptCount val="599"/>
                <c:pt idx="0">
                  <c:v>1.0608599999999999E-4</c:v>
                </c:pt>
                <c:pt idx="1">
                  <c:v>8.6376000000000005E-3</c:v>
                </c:pt>
                <c:pt idx="2">
                  <c:v>8.7195999999999992E-3</c:v>
                </c:pt>
                <c:pt idx="3">
                  <c:v>8.8032000000000006E-3</c:v>
                </c:pt>
                <c:pt idx="4">
                  <c:v>8.8890000000000011E-3</c:v>
                </c:pt>
                <c:pt idx="5">
                  <c:v>8.972599999999999E-3</c:v>
                </c:pt>
                <c:pt idx="6">
                  <c:v>9.0546000000000012E-3</c:v>
                </c:pt>
                <c:pt idx="7">
                  <c:v>9.1363999999999994E-3</c:v>
                </c:pt>
                <c:pt idx="8">
                  <c:v>9.2201999999999996E-3</c:v>
                </c:pt>
                <c:pt idx="9">
                  <c:v>9.3039999999999998E-3</c:v>
                </c:pt>
                <c:pt idx="10">
                  <c:v>9.3876000000000012E-3</c:v>
                </c:pt>
                <c:pt idx="11">
                  <c:v>9.4713999999999996E-3</c:v>
                </c:pt>
                <c:pt idx="12">
                  <c:v>9.5534000000000001E-3</c:v>
                </c:pt>
                <c:pt idx="13">
                  <c:v>9.6369999999999997E-3</c:v>
                </c:pt>
                <c:pt idx="14">
                  <c:v>9.7207999999999999E-3</c:v>
                </c:pt>
                <c:pt idx="15">
                  <c:v>9.8046000000000001E-3</c:v>
                </c:pt>
                <c:pt idx="16">
                  <c:v>9.8884000000000003E-3</c:v>
                </c:pt>
                <c:pt idx="17">
                  <c:v>9.972E-3</c:v>
                </c:pt>
                <c:pt idx="18">
                  <c:v>1.0052200000000001E-2</c:v>
                </c:pt>
                <c:pt idx="19">
                  <c:v>1.0137799999999999E-2</c:v>
                </c:pt>
                <c:pt idx="20">
                  <c:v>1.02214E-2</c:v>
                </c:pt>
                <c:pt idx="21">
                  <c:v>1.03052E-2</c:v>
                </c:pt>
                <c:pt idx="22">
                  <c:v>1.0387200000000001E-2</c:v>
                </c:pt>
                <c:pt idx="23">
                  <c:v>1.0470800000000001E-2</c:v>
                </c:pt>
                <c:pt idx="24">
                  <c:v>1.0554600000000001E-2</c:v>
                </c:pt>
                <c:pt idx="25">
                  <c:v>1.0638399999999999E-2</c:v>
                </c:pt>
                <c:pt idx="26">
                  <c:v>1.0720199999999999E-2</c:v>
                </c:pt>
                <c:pt idx="27">
                  <c:v>1.0804000000000001E-2</c:v>
                </c:pt>
                <c:pt idx="28">
                  <c:v>1.0887800000000001E-2</c:v>
                </c:pt>
                <c:pt idx="29">
                  <c:v>1.0997600000000001E-2</c:v>
                </c:pt>
                <c:pt idx="30">
                  <c:v>1.11092E-2</c:v>
                </c:pt>
                <c:pt idx="31">
                  <c:v>1.1221000000000002E-2</c:v>
                </c:pt>
                <c:pt idx="32">
                  <c:v>1.13326E-2</c:v>
                </c:pt>
                <c:pt idx="33">
                  <c:v>1.1442399999999998E-2</c:v>
                </c:pt>
                <c:pt idx="34">
                  <c:v>1.1554E-2</c:v>
                </c:pt>
                <c:pt idx="35">
                  <c:v>1.1665799999999999E-2</c:v>
                </c:pt>
                <c:pt idx="36">
                  <c:v>1.17774E-2</c:v>
                </c:pt>
                <c:pt idx="37">
                  <c:v>1.1887200000000001E-2</c:v>
                </c:pt>
                <c:pt idx="38">
                  <c:v>1.19988E-2</c:v>
                </c:pt>
                <c:pt idx="39">
                  <c:v>1.2108799999999999E-2</c:v>
                </c:pt>
                <c:pt idx="40">
                  <c:v>1.22186E-2</c:v>
                </c:pt>
                <c:pt idx="41">
                  <c:v>1.2332000000000001E-2</c:v>
                </c:pt>
                <c:pt idx="42">
                  <c:v>1.2441800000000001E-2</c:v>
                </c:pt>
                <c:pt idx="43">
                  <c:v>1.25536E-2</c:v>
                </c:pt>
                <c:pt idx="44">
                  <c:v>1.2665200000000001E-2</c:v>
                </c:pt>
                <c:pt idx="45">
                  <c:v>1.27768E-2</c:v>
                </c:pt>
                <c:pt idx="46">
                  <c:v>1.2888599999999998E-2</c:v>
                </c:pt>
                <c:pt idx="47">
                  <c:v>1.29984E-2</c:v>
                </c:pt>
                <c:pt idx="48">
                  <c:v>1.311E-2</c:v>
                </c:pt>
                <c:pt idx="49">
                  <c:v>1.32216E-2</c:v>
                </c:pt>
                <c:pt idx="50">
                  <c:v>1.33334E-2</c:v>
                </c:pt>
                <c:pt idx="51">
                  <c:v>1.3443199999999999E-2</c:v>
                </c:pt>
                <c:pt idx="52">
                  <c:v>1.3554800000000001E-2</c:v>
                </c:pt>
                <c:pt idx="53">
                  <c:v>1.3664600000000001E-2</c:v>
                </c:pt>
                <c:pt idx="54">
                  <c:v>1.3774399999999999E-2</c:v>
                </c:pt>
                <c:pt idx="55">
                  <c:v>1.3888000000000001E-2</c:v>
                </c:pt>
                <c:pt idx="56">
                  <c:v>1.3997799999999999E-2</c:v>
                </c:pt>
                <c:pt idx="57">
                  <c:v>1.4109400000000001E-2</c:v>
                </c:pt>
                <c:pt idx="58">
                  <c:v>1.42212E-2</c:v>
                </c:pt>
                <c:pt idx="59">
                  <c:v>1.4332800000000001E-2</c:v>
                </c:pt>
                <c:pt idx="60">
                  <c:v>1.44706E-2</c:v>
                </c:pt>
                <c:pt idx="61">
                  <c:v>1.45822E-2</c:v>
                </c:pt>
                <c:pt idx="62">
                  <c:v>1.472E-2</c:v>
                </c:pt>
                <c:pt idx="63">
                  <c:v>1.4859599999999999E-2</c:v>
                </c:pt>
                <c:pt idx="64">
                  <c:v>1.4997199999999999E-2</c:v>
                </c:pt>
                <c:pt idx="65">
                  <c:v>1.5136799999999999E-2</c:v>
                </c:pt>
                <c:pt idx="66">
                  <c:v>1.5276400000000001E-2</c:v>
                </c:pt>
                <c:pt idx="67">
                  <c:v>1.5416000000000001E-2</c:v>
                </c:pt>
                <c:pt idx="68">
                  <c:v>1.55538E-2</c:v>
                </c:pt>
                <c:pt idx="69">
                  <c:v>1.56934E-2</c:v>
                </c:pt>
                <c:pt idx="70">
                  <c:v>1.5830999999999998E-2</c:v>
                </c:pt>
                <c:pt idx="71">
                  <c:v>1.5970599999999998E-2</c:v>
                </c:pt>
                <c:pt idx="72">
                  <c:v>1.6110199999999998E-2</c:v>
                </c:pt>
                <c:pt idx="73">
                  <c:v>1.6247999999999999E-2</c:v>
                </c:pt>
                <c:pt idx="74">
                  <c:v>1.6389400000000002E-2</c:v>
                </c:pt>
                <c:pt idx="75">
                  <c:v>1.6527199999999999E-2</c:v>
                </c:pt>
                <c:pt idx="76">
                  <c:v>1.66648E-2</c:v>
                </c:pt>
                <c:pt idx="77">
                  <c:v>1.6804400000000001E-2</c:v>
                </c:pt>
                <c:pt idx="78">
                  <c:v>1.6944000000000001E-2</c:v>
                </c:pt>
                <c:pt idx="79">
                  <c:v>1.7081800000000001E-2</c:v>
                </c:pt>
                <c:pt idx="80">
                  <c:v>1.7221400000000001E-2</c:v>
                </c:pt>
                <c:pt idx="81">
                  <c:v>1.7361000000000001E-2</c:v>
                </c:pt>
                <c:pt idx="82">
                  <c:v>1.74968E-2</c:v>
                </c:pt>
                <c:pt idx="83">
                  <c:v>1.76382E-2</c:v>
                </c:pt>
                <c:pt idx="84">
                  <c:v>1.7776E-2</c:v>
                </c:pt>
                <c:pt idx="85">
                  <c:v>1.79156E-2</c:v>
                </c:pt>
                <c:pt idx="86">
                  <c:v>1.80552E-2</c:v>
                </c:pt>
                <c:pt idx="87">
                  <c:v>1.8220799999999999E-2</c:v>
                </c:pt>
                <c:pt idx="88">
                  <c:v>1.8360399999999999E-2</c:v>
                </c:pt>
                <c:pt idx="89">
                  <c:v>1.8526000000000001E-2</c:v>
                </c:pt>
                <c:pt idx="90">
                  <c:v>1.8665600000000001E-2</c:v>
                </c:pt>
                <c:pt idx="91">
                  <c:v>1.8805200000000001E-2</c:v>
                </c:pt>
                <c:pt idx="92">
                  <c:v>1.8970799999999999E-2</c:v>
                </c:pt>
                <c:pt idx="93">
                  <c:v>1.91104E-2</c:v>
                </c:pt>
                <c:pt idx="94">
                  <c:v>1.92482E-2</c:v>
                </c:pt>
                <c:pt idx="95">
                  <c:v>1.93878E-2</c:v>
                </c:pt>
                <c:pt idx="96">
                  <c:v>1.9527200000000002E-2</c:v>
                </c:pt>
                <c:pt idx="97">
                  <c:v>1.9663200000000002E-2</c:v>
                </c:pt>
                <c:pt idx="98">
                  <c:v>1.9774799999999999E-2</c:v>
                </c:pt>
                <c:pt idx="99">
                  <c:v>1.9916199999999998E-2</c:v>
                </c:pt>
                <c:pt idx="100">
                  <c:v>2.0055999999999997E-2</c:v>
                </c:pt>
                <c:pt idx="101">
                  <c:v>2.0166E-2</c:v>
                </c:pt>
                <c:pt idx="102">
                  <c:v>2.0304000000000003E-2</c:v>
                </c:pt>
                <c:pt idx="103">
                  <c:v>2.0442000000000002E-2</c:v>
                </c:pt>
                <c:pt idx="104">
                  <c:v>2.0554000000000003E-2</c:v>
                </c:pt>
                <c:pt idx="105">
                  <c:v>2.0691999999999999E-2</c:v>
                </c:pt>
                <c:pt idx="106">
                  <c:v>2.0804E-2</c:v>
                </c:pt>
                <c:pt idx="107">
                  <c:v>2.0943999999999997E-2</c:v>
                </c:pt>
                <c:pt idx="108">
                  <c:v>2.1084000000000002E-2</c:v>
                </c:pt>
                <c:pt idx="109">
                  <c:v>2.1194000000000001E-2</c:v>
                </c:pt>
                <c:pt idx="110">
                  <c:v>2.1330000000000002E-2</c:v>
                </c:pt>
                <c:pt idx="111">
                  <c:v>2.1442000000000003E-2</c:v>
                </c:pt>
                <c:pt idx="112">
                  <c:v>2.1582E-2</c:v>
                </c:pt>
                <c:pt idx="113">
                  <c:v>2.1694000000000001E-2</c:v>
                </c:pt>
                <c:pt idx="114">
                  <c:v>2.1806000000000002E-2</c:v>
                </c:pt>
                <c:pt idx="115">
                  <c:v>2.1943999999999998E-2</c:v>
                </c:pt>
                <c:pt idx="116">
                  <c:v>2.2054000000000001E-2</c:v>
                </c:pt>
                <c:pt idx="117">
                  <c:v>2.2164000000000003E-2</c:v>
                </c:pt>
                <c:pt idx="118">
                  <c:v>2.2275999999999997E-2</c:v>
                </c:pt>
                <c:pt idx="119">
                  <c:v>2.2387999999999998E-2</c:v>
                </c:pt>
                <c:pt idx="120">
                  <c:v>2.2499999999999999E-2</c:v>
                </c:pt>
                <c:pt idx="121">
                  <c:v>2.2610000000000002E-2</c:v>
                </c:pt>
                <c:pt idx="122">
                  <c:v>2.2722000000000003E-2</c:v>
                </c:pt>
                <c:pt idx="123">
                  <c:v>2.2831999999999998E-2</c:v>
                </c:pt>
                <c:pt idx="124">
                  <c:v>2.2943999999999999E-2</c:v>
                </c:pt>
                <c:pt idx="125">
                  <c:v>2.3054000000000002E-2</c:v>
                </c:pt>
                <c:pt idx="126">
                  <c:v>2.3166000000000003E-2</c:v>
                </c:pt>
                <c:pt idx="127">
                  <c:v>2.3275999999999998E-2</c:v>
                </c:pt>
                <c:pt idx="128">
                  <c:v>2.3386000000000001E-2</c:v>
                </c:pt>
                <c:pt idx="129">
                  <c:v>2.3498000000000002E-2</c:v>
                </c:pt>
                <c:pt idx="130">
                  <c:v>2.3607999999999997E-2</c:v>
                </c:pt>
                <c:pt idx="131">
                  <c:v>2.3719999999999998E-2</c:v>
                </c:pt>
                <c:pt idx="132">
                  <c:v>2.3831999999999999E-2</c:v>
                </c:pt>
                <c:pt idx="133">
                  <c:v>2.3916E-2</c:v>
                </c:pt>
                <c:pt idx="134">
                  <c:v>2.4026000000000002E-2</c:v>
                </c:pt>
                <c:pt idx="135">
                  <c:v>2.4109999999999999E-2</c:v>
                </c:pt>
                <c:pt idx="136">
                  <c:v>2.4222E-2</c:v>
                </c:pt>
                <c:pt idx="137">
                  <c:v>2.4304000000000003E-2</c:v>
                </c:pt>
                <c:pt idx="138">
                  <c:v>2.4413999999999998E-2</c:v>
                </c:pt>
                <c:pt idx="139">
                  <c:v>2.4525999999999999E-2</c:v>
                </c:pt>
                <c:pt idx="140">
                  <c:v>2.4636000000000002E-2</c:v>
                </c:pt>
                <c:pt idx="141">
                  <c:v>2.4748000000000003E-2</c:v>
                </c:pt>
                <c:pt idx="142">
                  <c:v>2.4832E-2</c:v>
                </c:pt>
                <c:pt idx="143">
                  <c:v>2.4916000000000001E-2</c:v>
                </c:pt>
                <c:pt idx="144">
                  <c:v>2.5000000000000001E-2</c:v>
                </c:pt>
                <c:pt idx="145">
                  <c:v>2.5108000000000002E-2</c:v>
                </c:pt>
                <c:pt idx="146">
                  <c:v>2.5219999999999999E-2</c:v>
                </c:pt>
                <c:pt idx="147">
                  <c:v>2.5304000000000004E-2</c:v>
                </c:pt>
                <c:pt idx="148">
                  <c:v>2.5388000000000001E-2</c:v>
                </c:pt>
                <c:pt idx="149">
                  <c:v>2.5470000000000003E-2</c:v>
                </c:pt>
                <c:pt idx="150">
                  <c:v>2.5552000000000002E-2</c:v>
                </c:pt>
                <c:pt idx="151">
                  <c:v>2.5638000000000001E-2</c:v>
                </c:pt>
                <c:pt idx="152">
                  <c:v>2.5722000000000002E-2</c:v>
                </c:pt>
                <c:pt idx="153">
                  <c:v>2.5804000000000001E-2</c:v>
                </c:pt>
                <c:pt idx="154">
                  <c:v>2.5885999999999999E-2</c:v>
                </c:pt>
                <c:pt idx="155">
                  <c:v>2.597E-2</c:v>
                </c:pt>
                <c:pt idx="156">
                  <c:v>2.6054000000000001E-2</c:v>
                </c:pt>
                <c:pt idx="157">
                  <c:v>2.6137999999999998E-2</c:v>
                </c:pt>
                <c:pt idx="158">
                  <c:v>2.6221999999999999E-2</c:v>
                </c:pt>
                <c:pt idx="159">
                  <c:v>2.6303999999999998E-2</c:v>
                </c:pt>
                <c:pt idx="160">
                  <c:v>2.6387999999999998E-2</c:v>
                </c:pt>
                <c:pt idx="161">
                  <c:v>2.6472000000000002E-2</c:v>
                </c:pt>
                <c:pt idx="162">
                  <c:v>2.6556000000000003E-2</c:v>
                </c:pt>
                <c:pt idx="163">
                  <c:v>2.6636000000000003E-2</c:v>
                </c:pt>
                <c:pt idx="164">
                  <c:v>2.6720000000000001E-2</c:v>
                </c:pt>
                <c:pt idx="165">
                  <c:v>2.6802000000000003E-2</c:v>
                </c:pt>
                <c:pt idx="166">
                  <c:v>2.6888000000000002E-2</c:v>
                </c:pt>
                <c:pt idx="167">
                  <c:v>2.6971999999999999E-2</c:v>
                </c:pt>
                <c:pt idx="168">
                  <c:v>2.7054000000000002E-2</c:v>
                </c:pt>
                <c:pt idx="169">
                  <c:v>2.7137999999999999E-2</c:v>
                </c:pt>
                <c:pt idx="170">
                  <c:v>2.7220000000000001E-2</c:v>
                </c:pt>
                <c:pt idx="171">
                  <c:v>2.7306E-2</c:v>
                </c:pt>
                <c:pt idx="172">
                  <c:v>2.7387999999999999E-2</c:v>
                </c:pt>
                <c:pt idx="173">
                  <c:v>2.7469999999999998E-2</c:v>
                </c:pt>
                <c:pt idx="174">
                  <c:v>2.7553999999999999E-2</c:v>
                </c:pt>
                <c:pt idx="175">
                  <c:v>2.7637999999999999E-2</c:v>
                </c:pt>
                <c:pt idx="176">
                  <c:v>2.7719999999999998E-2</c:v>
                </c:pt>
                <c:pt idx="177">
                  <c:v>2.7806000000000001E-2</c:v>
                </c:pt>
                <c:pt idx="178">
                  <c:v>2.7888000000000003E-2</c:v>
                </c:pt>
                <c:pt idx="179">
                  <c:v>2.7972E-2</c:v>
                </c:pt>
                <c:pt idx="180">
                  <c:v>2.8054000000000003E-2</c:v>
                </c:pt>
                <c:pt idx="181">
                  <c:v>2.8138E-2</c:v>
                </c:pt>
                <c:pt idx="182">
                  <c:v>2.8220000000000002E-2</c:v>
                </c:pt>
                <c:pt idx="183">
                  <c:v>2.8303999999999999E-2</c:v>
                </c:pt>
                <c:pt idx="184">
                  <c:v>2.8388E-2</c:v>
                </c:pt>
                <c:pt idx="185">
                  <c:v>2.8469999999999999E-2</c:v>
                </c:pt>
                <c:pt idx="186">
                  <c:v>2.8554E-2</c:v>
                </c:pt>
                <c:pt idx="187">
                  <c:v>2.8638E-2</c:v>
                </c:pt>
                <c:pt idx="188">
                  <c:v>2.8721999999999998E-2</c:v>
                </c:pt>
                <c:pt idx="189">
                  <c:v>2.8804E-2</c:v>
                </c:pt>
                <c:pt idx="190">
                  <c:v>2.8887999999999997E-2</c:v>
                </c:pt>
                <c:pt idx="191">
                  <c:v>2.8942000000000002E-2</c:v>
                </c:pt>
                <c:pt idx="192">
                  <c:v>2.9026E-2</c:v>
                </c:pt>
                <c:pt idx="193">
                  <c:v>2.9079999999999998E-2</c:v>
                </c:pt>
                <c:pt idx="194">
                  <c:v>2.9163999999999999E-2</c:v>
                </c:pt>
                <c:pt idx="195">
                  <c:v>2.9222000000000001E-2</c:v>
                </c:pt>
                <c:pt idx="196">
                  <c:v>2.9304E-2</c:v>
                </c:pt>
                <c:pt idx="197">
                  <c:v>2.9360000000000001E-2</c:v>
                </c:pt>
                <c:pt idx="198">
                  <c:v>2.9443999999999998E-2</c:v>
                </c:pt>
                <c:pt idx="199">
                  <c:v>2.9527999999999999E-2</c:v>
                </c:pt>
                <c:pt idx="200">
                  <c:v>2.9582000000000001E-2</c:v>
                </c:pt>
                <c:pt idx="201">
                  <c:v>2.9666000000000001E-2</c:v>
                </c:pt>
                <c:pt idx="202">
                  <c:v>2.9748E-2</c:v>
                </c:pt>
                <c:pt idx="203">
                  <c:v>2.9832000000000001E-2</c:v>
                </c:pt>
                <c:pt idx="204">
                  <c:v>2.9914E-2</c:v>
                </c:pt>
                <c:pt idx="205">
                  <c:v>2.9998E-2</c:v>
                </c:pt>
                <c:pt idx="206">
                  <c:v>3.0082000000000001E-2</c:v>
                </c:pt>
                <c:pt idx="207">
                  <c:v>3.0165999999999998E-2</c:v>
                </c:pt>
                <c:pt idx="208">
                  <c:v>3.0248000000000001E-2</c:v>
                </c:pt>
                <c:pt idx="209">
                  <c:v>3.0331999999999998E-2</c:v>
                </c:pt>
                <c:pt idx="210">
                  <c:v>3.0415999999999999E-2</c:v>
                </c:pt>
                <c:pt idx="211">
                  <c:v>3.0497999999999997E-2</c:v>
                </c:pt>
                <c:pt idx="212">
                  <c:v>3.0554000000000001E-2</c:v>
                </c:pt>
                <c:pt idx="213">
                  <c:v>3.0636E-2</c:v>
                </c:pt>
                <c:pt idx="214">
                  <c:v>3.0720000000000001E-2</c:v>
                </c:pt>
                <c:pt idx="215">
                  <c:v>3.0804000000000002E-2</c:v>
                </c:pt>
                <c:pt idx="216">
                  <c:v>3.0887999999999999E-2</c:v>
                </c:pt>
                <c:pt idx="217">
                  <c:v>3.0941999999999997E-2</c:v>
                </c:pt>
                <c:pt idx="218">
                  <c:v>3.1025999999999998E-2</c:v>
                </c:pt>
                <c:pt idx="219">
                  <c:v>3.1110000000000002E-2</c:v>
                </c:pt>
                <c:pt idx="220">
                  <c:v>3.1194000000000003E-2</c:v>
                </c:pt>
                <c:pt idx="221">
                  <c:v>3.1275999999999998E-2</c:v>
                </c:pt>
                <c:pt idx="222">
                  <c:v>3.1359999999999999E-2</c:v>
                </c:pt>
                <c:pt idx="223">
                  <c:v>3.1415999999999999E-2</c:v>
                </c:pt>
                <c:pt idx="224">
                  <c:v>3.15E-2</c:v>
                </c:pt>
                <c:pt idx="225">
                  <c:v>3.1581999999999999E-2</c:v>
                </c:pt>
                <c:pt idx="226">
                  <c:v>3.1663999999999998E-2</c:v>
                </c:pt>
                <c:pt idx="227">
                  <c:v>3.1722E-2</c:v>
                </c:pt>
                <c:pt idx="228">
                  <c:v>3.1803999999999999E-2</c:v>
                </c:pt>
                <c:pt idx="229">
                  <c:v>3.1859999999999999E-2</c:v>
                </c:pt>
                <c:pt idx="230">
                  <c:v>3.1944E-2</c:v>
                </c:pt>
                <c:pt idx="231">
                  <c:v>3.1997999999999999E-2</c:v>
                </c:pt>
                <c:pt idx="232">
                  <c:v>3.2080000000000004E-2</c:v>
                </c:pt>
                <c:pt idx="233">
                  <c:v>3.2138E-2</c:v>
                </c:pt>
                <c:pt idx="234">
                  <c:v>3.2219999999999999E-2</c:v>
                </c:pt>
                <c:pt idx="235">
                  <c:v>3.2303999999999999E-2</c:v>
                </c:pt>
                <c:pt idx="236">
                  <c:v>3.236E-2</c:v>
                </c:pt>
                <c:pt idx="237">
                  <c:v>3.2444000000000001E-2</c:v>
                </c:pt>
                <c:pt idx="238">
                  <c:v>3.2525999999999999E-2</c:v>
                </c:pt>
                <c:pt idx="239">
                  <c:v>3.2582E-2</c:v>
                </c:pt>
                <c:pt idx="240">
                  <c:v>3.2666000000000001E-2</c:v>
                </c:pt>
                <c:pt idx="241">
                  <c:v>3.2722000000000001E-2</c:v>
                </c:pt>
                <c:pt idx="242">
                  <c:v>3.2832E-2</c:v>
                </c:pt>
                <c:pt idx="243">
                  <c:v>3.2944000000000001E-2</c:v>
                </c:pt>
                <c:pt idx="244">
                  <c:v>3.3054E-2</c:v>
                </c:pt>
                <c:pt idx="245">
                  <c:v>3.3138000000000001E-2</c:v>
                </c:pt>
                <c:pt idx="246">
                  <c:v>3.3250000000000002E-2</c:v>
                </c:pt>
                <c:pt idx="247">
                  <c:v>3.3361999999999996E-2</c:v>
                </c:pt>
                <c:pt idx="248">
                  <c:v>3.3444000000000002E-2</c:v>
                </c:pt>
                <c:pt idx="249">
                  <c:v>3.3554E-2</c:v>
                </c:pt>
                <c:pt idx="250">
                  <c:v>3.3663999999999999E-2</c:v>
                </c:pt>
                <c:pt idx="251">
                  <c:v>3.3748E-2</c:v>
                </c:pt>
                <c:pt idx="252">
                  <c:v>3.3860000000000001E-2</c:v>
                </c:pt>
                <c:pt idx="253">
                  <c:v>3.3942E-2</c:v>
                </c:pt>
                <c:pt idx="254">
                  <c:v>3.4026000000000001E-2</c:v>
                </c:pt>
                <c:pt idx="255">
                  <c:v>3.4138000000000002E-2</c:v>
                </c:pt>
                <c:pt idx="256">
                  <c:v>3.4222000000000002E-2</c:v>
                </c:pt>
                <c:pt idx="257">
                  <c:v>3.4304000000000001E-2</c:v>
                </c:pt>
                <c:pt idx="258">
                  <c:v>3.4386E-2</c:v>
                </c:pt>
                <c:pt idx="259">
                  <c:v>3.4470000000000001E-2</c:v>
                </c:pt>
                <c:pt idx="260">
                  <c:v>3.4582000000000002E-2</c:v>
                </c:pt>
                <c:pt idx="261">
                  <c:v>3.4664E-2</c:v>
                </c:pt>
                <c:pt idx="262">
                  <c:v>3.4748000000000001E-2</c:v>
                </c:pt>
                <c:pt idx="263">
                  <c:v>3.4834000000000004E-2</c:v>
                </c:pt>
                <c:pt idx="264">
                  <c:v>3.4916000000000003E-2</c:v>
                </c:pt>
                <c:pt idx="265">
                  <c:v>3.5000000000000003E-2</c:v>
                </c:pt>
                <c:pt idx="266">
                  <c:v>3.5082000000000002E-2</c:v>
                </c:pt>
                <c:pt idx="267">
                  <c:v>3.5164000000000001E-2</c:v>
                </c:pt>
                <c:pt idx="268">
                  <c:v>3.5249999999999997E-2</c:v>
                </c:pt>
                <c:pt idx="269">
                  <c:v>3.5332000000000002E-2</c:v>
                </c:pt>
                <c:pt idx="270">
                  <c:v>3.5415999999999996E-2</c:v>
                </c:pt>
                <c:pt idx="271">
                  <c:v>3.5498000000000002E-2</c:v>
                </c:pt>
                <c:pt idx="272">
                  <c:v>3.5581999999999996E-2</c:v>
                </c:pt>
                <c:pt idx="273">
                  <c:v>3.5666000000000003E-2</c:v>
                </c:pt>
                <c:pt idx="274">
                  <c:v>3.5750000000000004E-2</c:v>
                </c:pt>
                <c:pt idx="275">
                  <c:v>3.5832000000000003E-2</c:v>
                </c:pt>
                <c:pt idx="276">
                  <c:v>3.5914000000000001E-2</c:v>
                </c:pt>
                <c:pt idx="277">
                  <c:v>3.5998000000000002E-2</c:v>
                </c:pt>
                <c:pt idx="278">
                  <c:v>3.6082000000000003E-2</c:v>
                </c:pt>
                <c:pt idx="279">
                  <c:v>3.6166000000000004E-2</c:v>
                </c:pt>
                <c:pt idx="280">
                  <c:v>3.6248000000000002E-2</c:v>
                </c:pt>
                <c:pt idx="281">
                  <c:v>3.6332000000000003E-2</c:v>
                </c:pt>
                <c:pt idx="282">
                  <c:v>3.6414000000000002E-2</c:v>
                </c:pt>
                <c:pt idx="283">
                  <c:v>3.6526000000000003E-2</c:v>
                </c:pt>
                <c:pt idx="284">
                  <c:v>3.6636000000000002E-2</c:v>
                </c:pt>
                <c:pt idx="285">
                  <c:v>3.6747999999999996E-2</c:v>
                </c:pt>
                <c:pt idx="286">
                  <c:v>3.6859999999999997E-2</c:v>
                </c:pt>
                <c:pt idx="287">
                  <c:v>3.6971999999999998E-2</c:v>
                </c:pt>
                <c:pt idx="288">
                  <c:v>3.7083999999999999E-2</c:v>
                </c:pt>
                <c:pt idx="289">
                  <c:v>3.7193999999999998E-2</c:v>
                </c:pt>
                <c:pt idx="290">
                  <c:v>3.7305999999999999E-2</c:v>
                </c:pt>
                <c:pt idx="291">
                  <c:v>3.7415999999999998E-2</c:v>
                </c:pt>
                <c:pt idx="292">
                  <c:v>3.7526000000000004E-2</c:v>
                </c:pt>
                <c:pt idx="293">
                  <c:v>3.7635999999999996E-2</c:v>
                </c:pt>
                <c:pt idx="294">
                  <c:v>3.7747999999999997E-2</c:v>
                </c:pt>
                <c:pt idx="295">
                  <c:v>3.7859999999999998E-2</c:v>
                </c:pt>
                <c:pt idx="296">
                  <c:v>3.7970000000000004E-2</c:v>
                </c:pt>
                <c:pt idx="297">
                  <c:v>3.8081999999999998E-2</c:v>
                </c:pt>
                <c:pt idx="298">
                  <c:v>3.8191999999999997E-2</c:v>
                </c:pt>
                <c:pt idx="299">
                  <c:v>3.8303999999999998E-2</c:v>
                </c:pt>
                <c:pt idx="300">
                  <c:v>3.8415999999999999E-2</c:v>
                </c:pt>
                <c:pt idx="301">
                  <c:v>3.8528E-2</c:v>
                </c:pt>
                <c:pt idx="302">
                  <c:v>3.8610000000000005E-2</c:v>
                </c:pt>
                <c:pt idx="303">
                  <c:v>3.8721999999999999E-2</c:v>
                </c:pt>
                <c:pt idx="304">
                  <c:v>3.8834E-2</c:v>
                </c:pt>
                <c:pt idx="305">
                  <c:v>3.8942000000000004E-2</c:v>
                </c:pt>
                <c:pt idx="306">
                  <c:v>3.9054000000000005E-2</c:v>
                </c:pt>
                <c:pt idx="307">
                  <c:v>3.9165999999999999E-2</c:v>
                </c:pt>
                <c:pt idx="308">
                  <c:v>3.9278E-2</c:v>
                </c:pt>
                <c:pt idx="309">
                  <c:v>3.9359999999999999E-2</c:v>
                </c:pt>
                <c:pt idx="310">
                  <c:v>3.9472E-2</c:v>
                </c:pt>
                <c:pt idx="311">
                  <c:v>3.9584000000000001E-2</c:v>
                </c:pt>
                <c:pt idx="312">
                  <c:v>3.9691999999999998E-2</c:v>
                </c:pt>
                <c:pt idx="313">
                  <c:v>3.9803999999999999E-2</c:v>
                </c:pt>
                <c:pt idx="314">
                  <c:v>3.9916E-2</c:v>
                </c:pt>
                <c:pt idx="315">
                  <c:v>4.0025999999999999E-2</c:v>
                </c:pt>
                <c:pt idx="316">
                  <c:v>4.0136000000000005E-2</c:v>
                </c:pt>
                <c:pt idx="317">
                  <c:v>4.0247999999999999E-2</c:v>
                </c:pt>
                <c:pt idx="318">
                  <c:v>4.0359999999999993E-2</c:v>
                </c:pt>
                <c:pt idx="319">
                  <c:v>4.0469999999999999E-2</c:v>
                </c:pt>
                <c:pt idx="320">
                  <c:v>4.0582E-2</c:v>
                </c:pt>
                <c:pt idx="321">
                  <c:v>4.0694000000000001E-2</c:v>
                </c:pt>
                <c:pt idx="322">
                  <c:v>4.0804E-2</c:v>
                </c:pt>
                <c:pt idx="323">
                  <c:v>4.0915999999999994E-2</c:v>
                </c:pt>
                <c:pt idx="324">
                  <c:v>4.1028000000000002E-2</c:v>
                </c:pt>
                <c:pt idx="325">
                  <c:v>4.1139999999999996E-2</c:v>
                </c:pt>
                <c:pt idx="326">
                  <c:v>4.1247999999999993E-2</c:v>
                </c:pt>
                <c:pt idx="327">
                  <c:v>4.1360000000000001E-2</c:v>
                </c:pt>
                <c:pt idx="328">
                  <c:v>4.147E-2</c:v>
                </c:pt>
                <c:pt idx="329">
                  <c:v>4.1582000000000001E-2</c:v>
                </c:pt>
                <c:pt idx="330">
                  <c:v>4.1692E-2</c:v>
                </c:pt>
                <c:pt idx="331">
                  <c:v>4.1803999999999994E-2</c:v>
                </c:pt>
                <c:pt idx="332">
                  <c:v>4.1916000000000002E-2</c:v>
                </c:pt>
                <c:pt idx="333">
                  <c:v>4.2026000000000001E-2</c:v>
                </c:pt>
                <c:pt idx="334">
                  <c:v>4.2138000000000002E-2</c:v>
                </c:pt>
                <c:pt idx="335">
                  <c:v>4.2276000000000001E-2</c:v>
                </c:pt>
                <c:pt idx="336">
                  <c:v>4.2416000000000002E-2</c:v>
                </c:pt>
                <c:pt idx="337">
                  <c:v>4.2556000000000004E-2</c:v>
                </c:pt>
                <c:pt idx="338">
                  <c:v>4.2694000000000003E-2</c:v>
                </c:pt>
                <c:pt idx="339">
                  <c:v>4.2830000000000007E-2</c:v>
                </c:pt>
                <c:pt idx="340">
                  <c:v>4.2969999999999994E-2</c:v>
                </c:pt>
                <c:pt idx="341">
                  <c:v>4.3110000000000002E-2</c:v>
                </c:pt>
                <c:pt idx="342">
                  <c:v>4.3246E-2</c:v>
                </c:pt>
                <c:pt idx="343">
                  <c:v>4.3388000000000003E-2</c:v>
                </c:pt>
                <c:pt idx="344">
                  <c:v>4.3525999999999995E-2</c:v>
                </c:pt>
                <c:pt idx="345">
                  <c:v>4.3638000000000003E-2</c:v>
                </c:pt>
                <c:pt idx="346">
                  <c:v>4.3776000000000002E-2</c:v>
                </c:pt>
                <c:pt idx="347">
                  <c:v>4.3916000000000004E-2</c:v>
                </c:pt>
                <c:pt idx="348">
                  <c:v>4.4054000000000003E-2</c:v>
                </c:pt>
                <c:pt idx="349">
                  <c:v>4.4164000000000002E-2</c:v>
                </c:pt>
                <c:pt idx="350">
                  <c:v>4.4303999999999996E-2</c:v>
                </c:pt>
                <c:pt idx="351">
                  <c:v>4.4443999999999997E-2</c:v>
                </c:pt>
                <c:pt idx="352">
                  <c:v>4.4581999999999997E-2</c:v>
                </c:pt>
                <c:pt idx="353">
                  <c:v>4.4691999999999996E-2</c:v>
                </c:pt>
                <c:pt idx="354">
                  <c:v>4.4832000000000004E-2</c:v>
                </c:pt>
                <c:pt idx="355">
                  <c:v>4.4972000000000005E-2</c:v>
                </c:pt>
                <c:pt idx="356">
                  <c:v>4.5107999999999995E-2</c:v>
                </c:pt>
                <c:pt idx="357">
                  <c:v>4.5247999999999997E-2</c:v>
                </c:pt>
                <c:pt idx="358">
                  <c:v>4.5388000000000005E-2</c:v>
                </c:pt>
                <c:pt idx="359">
                  <c:v>4.5525999999999997E-2</c:v>
                </c:pt>
                <c:pt idx="360">
                  <c:v>4.5666000000000005E-2</c:v>
                </c:pt>
                <c:pt idx="361">
                  <c:v>4.5805999999999993E-2</c:v>
                </c:pt>
                <c:pt idx="362">
                  <c:v>4.5941999999999997E-2</c:v>
                </c:pt>
                <c:pt idx="363">
                  <c:v>4.6081999999999998E-2</c:v>
                </c:pt>
                <c:pt idx="364">
                  <c:v>4.6222000000000006E-2</c:v>
                </c:pt>
                <c:pt idx="365">
                  <c:v>4.6359999999999998E-2</c:v>
                </c:pt>
                <c:pt idx="366">
                  <c:v>4.6500000000000007E-2</c:v>
                </c:pt>
                <c:pt idx="367">
                  <c:v>4.6635999999999997E-2</c:v>
                </c:pt>
                <c:pt idx="368">
                  <c:v>4.6775999999999998E-2</c:v>
                </c:pt>
                <c:pt idx="369">
                  <c:v>4.6915999999999999E-2</c:v>
                </c:pt>
                <c:pt idx="370">
                  <c:v>4.7053999999999999E-2</c:v>
                </c:pt>
                <c:pt idx="371">
                  <c:v>4.7194E-2</c:v>
                </c:pt>
                <c:pt idx="372">
                  <c:v>4.7359999999999999E-2</c:v>
                </c:pt>
                <c:pt idx="373">
                  <c:v>4.7497999999999999E-2</c:v>
                </c:pt>
                <c:pt idx="374">
                  <c:v>4.7666000000000007E-2</c:v>
                </c:pt>
                <c:pt idx="375">
                  <c:v>4.7832E-2</c:v>
                </c:pt>
                <c:pt idx="376">
                  <c:v>4.7972000000000001E-2</c:v>
                </c:pt>
                <c:pt idx="377">
                  <c:v>4.8137999999999993E-2</c:v>
                </c:pt>
                <c:pt idx="378">
                  <c:v>4.8276000000000006E-2</c:v>
                </c:pt>
                <c:pt idx="379">
                  <c:v>4.8444000000000001E-2</c:v>
                </c:pt>
                <c:pt idx="380">
                  <c:v>4.8583999999999995E-2</c:v>
                </c:pt>
                <c:pt idx="381">
                  <c:v>4.8719999999999999E-2</c:v>
                </c:pt>
                <c:pt idx="382">
                  <c:v>4.8860000000000001E-2</c:v>
                </c:pt>
                <c:pt idx="383">
                  <c:v>4.8998E-2</c:v>
                </c:pt>
                <c:pt idx="384">
                  <c:v>4.9135999999999999E-2</c:v>
                </c:pt>
                <c:pt idx="385">
                  <c:v>4.9276E-2</c:v>
                </c:pt>
                <c:pt idx="386">
                  <c:v>4.9416000000000002E-2</c:v>
                </c:pt>
                <c:pt idx="387">
                  <c:v>4.9581999999999994E-2</c:v>
                </c:pt>
                <c:pt idx="388">
                  <c:v>4.9745999999999999E-2</c:v>
                </c:pt>
                <c:pt idx="389">
                  <c:v>4.9916000000000002E-2</c:v>
                </c:pt>
                <c:pt idx="390">
                  <c:v>5.0082000000000002E-2</c:v>
                </c:pt>
                <c:pt idx="391">
                  <c:v>5.0248000000000001E-2</c:v>
                </c:pt>
                <c:pt idx="392">
                  <c:v>5.0415999999999996E-2</c:v>
                </c:pt>
                <c:pt idx="393">
                  <c:v>5.058E-2</c:v>
                </c:pt>
                <c:pt idx="394">
                  <c:v>5.0720000000000001E-2</c:v>
                </c:pt>
                <c:pt idx="395">
                  <c:v>5.0888000000000003E-2</c:v>
                </c:pt>
                <c:pt idx="396">
                  <c:v>5.1025999999999995E-2</c:v>
                </c:pt>
                <c:pt idx="397">
                  <c:v>5.1193999999999996E-2</c:v>
                </c:pt>
                <c:pt idx="398">
                  <c:v>5.1360000000000003E-2</c:v>
                </c:pt>
                <c:pt idx="399">
                  <c:v>5.1525999999999995E-2</c:v>
                </c:pt>
                <c:pt idx="400">
                  <c:v>5.1694000000000004E-2</c:v>
                </c:pt>
                <c:pt idx="401">
                  <c:v>5.1862000000000005E-2</c:v>
                </c:pt>
                <c:pt idx="402">
                  <c:v>5.2026000000000003E-2</c:v>
                </c:pt>
                <c:pt idx="403">
                  <c:v>5.2191999999999995E-2</c:v>
                </c:pt>
                <c:pt idx="404">
                  <c:v>5.2359999999999997E-2</c:v>
                </c:pt>
                <c:pt idx="405">
                  <c:v>5.2526000000000003E-2</c:v>
                </c:pt>
                <c:pt idx="406">
                  <c:v>5.2693999999999998E-2</c:v>
                </c:pt>
                <c:pt idx="407">
                  <c:v>5.2858000000000002E-2</c:v>
                </c:pt>
                <c:pt idx="408">
                  <c:v>5.3025999999999997E-2</c:v>
                </c:pt>
                <c:pt idx="409">
                  <c:v>5.3192000000000003E-2</c:v>
                </c:pt>
                <c:pt idx="410">
                  <c:v>5.3360000000000005E-2</c:v>
                </c:pt>
                <c:pt idx="411">
                  <c:v>5.3525999999999997E-2</c:v>
                </c:pt>
                <c:pt idx="412">
                  <c:v>5.3722000000000006E-2</c:v>
                </c:pt>
                <c:pt idx="413">
                  <c:v>5.3916000000000006E-2</c:v>
                </c:pt>
                <c:pt idx="414">
                  <c:v>5.4108000000000003E-2</c:v>
                </c:pt>
                <c:pt idx="415">
                  <c:v>5.4303999999999998E-2</c:v>
                </c:pt>
                <c:pt idx="416">
                  <c:v>5.4469999999999998E-2</c:v>
                </c:pt>
                <c:pt idx="417">
                  <c:v>5.4665999999999999E-2</c:v>
                </c:pt>
                <c:pt idx="418">
                  <c:v>5.4831999999999999E-2</c:v>
                </c:pt>
                <c:pt idx="419">
                  <c:v>5.5025999999999999E-2</c:v>
                </c:pt>
                <c:pt idx="420">
                  <c:v>5.5220000000000005E-2</c:v>
                </c:pt>
                <c:pt idx="421">
                  <c:v>5.5388E-2</c:v>
                </c:pt>
                <c:pt idx="422">
                  <c:v>5.5583999999999995E-2</c:v>
                </c:pt>
                <c:pt idx="423">
                  <c:v>5.5776000000000006E-2</c:v>
                </c:pt>
                <c:pt idx="424">
                  <c:v>5.5967999999999997E-2</c:v>
                </c:pt>
                <c:pt idx="425">
                  <c:v>5.6163999999999999E-2</c:v>
                </c:pt>
                <c:pt idx="426">
                  <c:v>5.636E-2</c:v>
                </c:pt>
                <c:pt idx="427">
                  <c:v>5.6555999999999995E-2</c:v>
                </c:pt>
                <c:pt idx="428">
                  <c:v>5.6748E-2</c:v>
                </c:pt>
                <c:pt idx="429">
                  <c:v>5.6944000000000002E-2</c:v>
                </c:pt>
                <c:pt idx="430">
                  <c:v>5.7138000000000001E-2</c:v>
                </c:pt>
                <c:pt idx="431">
                  <c:v>5.7333999999999996E-2</c:v>
                </c:pt>
                <c:pt idx="432">
                  <c:v>5.7526000000000001E-2</c:v>
                </c:pt>
                <c:pt idx="433">
                  <c:v>5.772E-2</c:v>
                </c:pt>
                <c:pt idx="434">
                  <c:v>5.7915999999999995E-2</c:v>
                </c:pt>
                <c:pt idx="435">
                  <c:v>5.8110000000000002E-2</c:v>
                </c:pt>
                <c:pt idx="436">
                  <c:v>5.8304000000000002E-2</c:v>
                </c:pt>
                <c:pt idx="437">
                  <c:v>5.8499999999999996E-2</c:v>
                </c:pt>
                <c:pt idx="438">
                  <c:v>5.8693999999999996E-2</c:v>
                </c:pt>
                <c:pt idx="439">
                  <c:v>5.8887999999999996E-2</c:v>
                </c:pt>
                <c:pt idx="440">
                  <c:v>5.9080000000000001E-2</c:v>
                </c:pt>
                <c:pt idx="441">
                  <c:v>5.9276000000000002E-2</c:v>
                </c:pt>
                <c:pt idx="442">
                  <c:v>5.9470000000000002E-2</c:v>
                </c:pt>
                <c:pt idx="443">
                  <c:v>5.9691999999999995E-2</c:v>
                </c:pt>
                <c:pt idx="444">
                  <c:v>5.9886000000000002E-2</c:v>
                </c:pt>
                <c:pt idx="445">
                  <c:v>6.0110000000000004E-2</c:v>
                </c:pt>
                <c:pt idx="446">
                  <c:v>6.0334000000000006E-2</c:v>
                </c:pt>
                <c:pt idx="447">
                  <c:v>6.0525999999999996E-2</c:v>
                </c:pt>
                <c:pt idx="448">
                  <c:v>6.0747999999999996E-2</c:v>
                </c:pt>
                <c:pt idx="449">
                  <c:v>6.0971999999999998E-2</c:v>
                </c:pt>
                <c:pt idx="450">
                  <c:v>6.1193999999999998E-2</c:v>
                </c:pt>
                <c:pt idx="451">
                  <c:v>6.1413999999999996E-2</c:v>
                </c:pt>
                <c:pt idx="452">
                  <c:v>6.1637999999999998E-2</c:v>
                </c:pt>
                <c:pt idx="453">
                  <c:v>6.1858000000000003E-2</c:v>
                </c:pt>
                <c:pt idx="454">
                  <c:v>6.2081999999999998E-2</c:v>
                </c:pt>
                <c:pt idx="455">
                  <c:v>6.2304000000000005E-2</c:v>
                </c:pt>
                <c:pt idx="456">
                  <c:v>6.2528E-2</c:v>
                </c:pt>
                <c:pt idx="457">
                  <c:v>6.275E-2</c:v>
                </c:pt>
                <c:pt idx="458">
                  <c:v>6.2969999999999998E-2</c:v>
                </c:pt>
                <c:pt idx="459">
                  <c:v>6.3191999999999998E-2</c:v>
                </c:pt>
                <c:pt idx="460">
                  <c:v>6.3413999999999998E-2</c:v>
                </c:pt>
                <c:pt idx="461">
                  <c:v>6.3635999999999998E-2</c:v>
                </c:pt>
                <c:pt idx="462">
                  <c:v>6.386E-2</c:v>
                </c:pt>
                <c:pt idx="463">
                  <c:v>6.4084000000000002E-2</c:v>
                </c:pt>
                <c:pt idx="464">
                  <c:v>6.4304E-2</c:v>
                </c:pt>
                <c:pt idx="465">
                  <c:v>6.4526E-2</c:v>
                </c:pt>
                <c:pt idx="466">
                  <c:v>6.4750000000000002E-2</c:v>
                </c:pt>
                <c:pt idx="467">
                  <c:v>6.5000000000000002E-2</c:v>
                </c:pt>
                <c:pt idx="468">
                  <c:v>6.5248E-2</c:v>
                </c:pt>
                <c:pt idx="469">
                  <c:v>6.5498000000000001E-2</c:v>
                </c:pt>
                <c:pt idx="470">
                  <c:v>6.5750000000000003E-2</c:v>
                </c:pt>
                <c:pt idx="471">
                  <c:v>6.5998000000000001E-2</c:v>
                </c:pt>
                <c:pt idx="472">
                  <c:v>6.6250000000000003E-2</c:v>
                </c:pt>
                <c:pt idx="473">
                  <c:v>6.6498000000000002E-2</c:v>
                </c:pt>
                <c:pt idx="474">
                  <c:v>6.6748000000000002E-2</c:v>
                </c:pt>
                <c:pt idx="475">
                  <c:v>6.6998000000000002E-2</c:v>
                </c:pt>
                <c:pt idx="476">
                  <c:v>6.7248000000000002E-2</c:v>
                </c:pt>
                <c:pt idx="477">
                  <c:v>6.7526000000000003E-2</c:v>
                </c:pt>
                <c:pt idx="478">
                  <c:v>6.7776000000000003E-2</c:v>
                </c:pt>
                <c:pt idx="479">
                  <c:v>6.8028000000000005E-2</c:v>
                </c:pt>
                <c:pt idx="480">
                  <c:v>6.8276000000000003E-2</c:v>
                </c:pt>
                <c:pt idx="481">
                  <c:v>6.8528000000000006E-2</c:v>
                </c:pt>
                <c:pt idx="482">
                  <c:v>6.8804000000000004E-2</c:v>
                </c:pt>
                <c:pt idx="483">
                  <c:v>6.9082000000000005E-2</c:v>
                </c:pt>
                <c:pt idx="484">
                  <c:v>6.9360000000000005E-2</c:v>
                </c:pt>
                <c:pt idx="485">
                  <c:v>6.9610000000000005E-2</c:v>
                </c:pt>
                <c:pt idx="486">
                  <c:v>6.9888000000000006E-2</c:v>
                </c:pt>
                <c:pt idx="487">
                  <c:v>7.0166000000000006E-2</c:v>
                </c:pt>
                <c:pt idx="488">
                  <c:v>7.0444000000000007E-2</c:v>
                </c:pt>
                <c:pt idx="489">
                  <c:v>7.0720000000000005E-2</c:v>
                </c:pt>
                <c:pt idx="490">
                  <c:v>7.0999999999999994E-2</c:v>
                </c:pt>
                <c:pt idx="491">
                  <c:v>7.1276000000000006E-2</c:v>
                </c:pt>
                <c:pt idx="492">
                  <c:v>7.1554000000000006E-2</c:v>
                </c:pt>
                <c:pt idx="493">
                  <c:v>7.1833999999999995E-2</c:v>
                </c:pt>
                <c:pt idx="494">
                  <c:v>7.2108000000000005E-2</c:v>
                </c:pt>
                <c:pt idx="495">
                  <c:v>7.2388000000000008E-2</c:v>
                </c:pt>
                <c:pt idx="496">
                  <c:v>7.2666000000000008E-2</c:v>
                </c:pt>
                <c:pt idx="497">
                  <c:v>7.2942000000000007E-2</c:v>
                </c:pt>
                <c:pt idx="498">
                  <c:v>7.3220000000000007E-2</c:v>
                </c:pt>
                <c:pt idx="499">
                  <c:v>7.3499999999999996E-2</c:v>
                </c:pt>
                <c:pt idx="500">
                  <c:v>7.3803999999999995E-2</c:v>
                </c:pt>
                <c:pt idx="501">
                  <c:v>7.4109999999999995E-2</c:v>
                </c:pt>
                <c:pt idx="502">
                  <c:v>7.4413999999999994E-2</c:v>
                </c:pt>
                <c:pt idx="503">
                  <c:v>7.4720000000000009E-2</c:v>
                </c:pt>
                <c:pt idx="504">
                  <c:v>7.5027999999999997E-2</c:v>
                </c:pt>
                <c:pt idx="505">
                  <c:v>7.5331999999999996E-2</c:v>
                </c:pt>
                <c:pt idx="506">
                  <c:v>7.5637999999999997E-2</c:v>
                </c:pt>
                <c:pt idx="507">
                  <c:v>7.5943999999999998E-2</c:v>
                </c:pt>
                <c:pt idx="508">
                  <c:v>7.6275999999999997E-2</c:v>
                </c:pt>
                <c:pt idx="509">
                  <c:v>7.6609999999999998E-2</c:v>
                </c:pt>
                <c:pt idx="510">
                  <c:v>7.6915999999999998E-2</c:v>
                </c:pt>
                <c:pt idx="511">
                  <c:v>7.7247999999999997E-2</c:v>
                </c:pt>
                <c:pt idx="512">
                  <c:v>7.7579999999999996E-2</c:v>
                </c:pt>
                <c:pt idx="513">
                  <c:v>7.7915999999999999E-2</c:v>
                </c:pt>
                <c:pt idx="514">
                  <c:v>7.8247999999999998E-2</c:v>
                </c:pt>
                <c:pt idx="515">
                  <c:v>7.8581999999999999E-2</c:v>
                </c:pt>
                <c:pt idx="516">
                  <c:v>7.8913999999999998E-2</c:v>
                </c:pt>
                <c:pt idx="517">
                  <c:v>7.9247999999999999E-2</c:v>
                </c:pt>
                <c:pt idx="518">
                  <c:v>7.9584000000000002E-2</c:v>
                </c:pt>
                <c:pt idx="519">
                  <c:v>7.9916000000000001E-2</c:v>
                </c:pt>
                <c:pt idx="520">
                  <c:v>8.0248000000000014E-2</c:v>
                </c:pt>
                <c:pt idx="521">
                  <c:v>8.0579999999999999E-2</c:v>
                </c:pt>
                <c:pt idx="522">
                  <c:v>8.0916000000000002E-2</c:v>
                </c:pt>
                <c:pt idx="523">
                  <c:v>8.1248000000000001E-2</c:v>
                </c:pt>
                <c:pt idx="524">
                  <c:v>8.1582000000000002E-2</c:v>
                </c:pt>
                <c:pt idx="525">
                  <c:v>8.1915999999999989E-2</c:v>
                </c:pt>
                <c:pt idx="526">
                  <c:v>8.2276000000000002E-2</c:v>
                </c:pt>
                <c:pt idx="527">
                  <c:v>8.2636000000000001E-2</c:v>
                </c:pt>
                <c:pt idx="528">
                  <c:v>8.2997999999999988E-2</c:v>
                </c:pt>
                <c:pt idx="529">
                  <c:v>8.3360000000000004E-2</c:v>
                </c:pt>
                <c:pt idx="530">
                  <c:v>8.3720000000000003E-2</c:v>
                </c:pt>
                <c:pt idx="531">
                  <c:v>8.4082000000000004E-2</c:v>
                </c:pt>
                <c:pt idx="532">
                  <c:v>8.4444000000000005E-2</c:v>
                </c:pt>
                <c:pt idx="533">
                  <c:v>8.4802000000000002E-2</c:v>
                </c:pt>
                <c:pt idx="534">
                  <c:v>8.5164000000000004E-2</c:v>
                </c:pt>
                <c:pt idx="535">
                  <c:v>8.5554000000000005E-2</c:v>
                </c:pt>
                <c:pt idx="536">
                  <c:v>8.5942000000000005E-2</c:v>
                </c:pt>
                <c:pt idx="537">
                  <c:v>8.6332000000000006E-2</c:v>
                </c:pt>
                <c:pt idx="538">
                  <c:v>8.6720000000000005E-2</c:v>
                </c:pt>
                <c:pt idx="539">
                  <c:v>8.7110000000000007E-2</c:v>
                </c:pt>
                <c:pt idx="540">
                  <c:v>8.7498000000000006E-2</c:v>
                </c:pt>
                <c:pt idx="541">
                  <c:v>8.7888000000000008E-2</c:v>
                </c:pt>
                <c:pt idx="542">
                  <c:v>8.8276000000000007E-2</c:v>
                </c:pt>
                <c:pt idx="543">
                  <c:v>8.8665999999999995E-2</c:v>
                </c:pt>
                <c:pt idx="544">
                  <c:v>8.9054000000000008E-2</c:v>
                </c:pt>
                <c:pt idx="545">
                  <c:v>8.9469999999999994E-2</c:v>
                </c:pt>
                <c:pt idx="546">
                  <c:v>8.9860000000000009E-2</c:v>
                </c:pt>
                <c:pt idx="547">
                  <c:v>9.0249999999999997E-2</c:v>
                </c:pt>
                <c:pt idx="548">
                  <c:v>9.0665999999999997E-2</c:v>
                </c:pt>
                <c:pt idx="549">
                  <c:v>9.1083999999999998E-2</c:v>
                </c:pt>
                <c:pt idx="550">
                  <c:v>9.149800000000001E-2</c:v>
                </c:pt>
                <c:pt idx="551">
                  <c:v>9.1889999999999999E-2</c:v>
                </c:pt>
                <c:pt idx="552">
                  <c:v>9.2303999999999997E-2</c:v>
                </c:pt>
                <c:pt idx="553">
                  <c:v>9.2721999999999999E-2</c:v>
                </c:pt>
                <c:pt idx="554">
                  <c:v>9.3137999999999999E-2</c:v>
                </c:pt>
                <c:pt idx="555">
                  <c:v>9.3581999999999999E-2</c:v>
                </c:pt>
                <c:pt idx="556">
                  <c:v>9.4025999999999998E-2</c:v>
                </c:pt>
                <c:pt idx="557">
                  <c:v>9.4469999999999998E-2</c:v>
                </c:pt>
                <c:pt idx="558">
                  <c:v>9.4916E-2</c:v>
                </c:pt>
                <c:pt idx="559">
                  <c:v>9.5388000000000001E-2</c:v>
                </c:pt>
                <c:pt idx="560">
                  <c:v>9.5860000000000001E-2</c:v>
                </c:pt>
                <c:pt idx="561">
                  <c:v>9.6304000000000001E-2</c:v>
                </c:pt>
                <c:pt idx="562">
                  <c:v>9.6776000000000001E-2</c:v>
                </c:pt>
                <c:pt idx="563">
                  <c:v>9.7248000000000001E-2</c:v>
                </c:pt>
                <c:pt idx="564">
                  <c:v>9.7720000000000001E-2</c:v>
                </c:pt>
                <c:pt idx="565">
                  <c:v>9.8192000000000002E-2</c:v>
                </c:pt>
                <c:pt idx="566">
                  <c:v>9.8664000000000002E-2</c:v>
                </c:pt>
                <c:pt idx="567">
                  <c:v>9.9138000000000004E-2</c:v>
                </c:pt>
                <c:pt idx="568">
                  <c:v>9.9610000000000004E-2</c:v>
                </c:pt>
                <c:pt idx="569">
                  <c:v>0.100082</c:v>
                </c:pt>
                <c:pt idx="570">
                  <c:v>0.100554</c:v>
                </c:pt>
                <c:pt idx="571">
                  <c:v>0.10105399999999999</c:v>
                </c:pt>
                <c:pt idx="572">
                  <c:v>0.101552</c:v>
                </c:pt>
                <c:pt idx="573">
                  <c:v>0.10205399999999999</c:v>
                </c:pt>
                <c:pt idx="574">
                  <c:v>0.10255599999999999</c:v>
                </c:pt>
                <c:pt idx="575">
                  <c:v>0.10305400000000001</c:v>
                </c:pt>
                <c:pt idx="576">
                  <c:v>0.10358000000000001</c:v>
                </c:pt>
                <c:pt idx="577">
                  <c:v>0.104112</c:v>
                </c:pt>
                <c:pt idx="578">
                  <c:v>0.10463800000000001</c:v>
                </c:pt>
                <c:pt idx="579">
                  <c:v>0.10519199999999999</c:v>
                </c:pt>
                <c:pt idx="580">
                  <c:v>0.10575</c:v>
                </c:pt>
                <c:pt idx="581">
                  <c:v>0.106304</c:v>
                </c:pt>
                <c:pt idx="582">
                  <c:v>0.10688800000000001</c:v>
                </c:pt>
                <c:pt idx="583">
                  <c:v>0.10747</c:v>
                </c:pt>
                <c:pt idx="584">
                  <c:v>0.10805400000000001</c:v>
                </c:pt>
                <c:pt idx="585">
                  <c:v>0.108666</c:v>
                </c:pt>
                <c:pt idx="586">
                  <c:v>0.109276</c:v>
                </c:pt>
                <c:pt idx="587">
                  <c:v>0.109888</c:v>
                </c:pt>
                <c:pt idx="588">
                  <c:v>0.110498</c:v>
                </c:pt>
                <c:pt idx="589">
                  <c:v>0.11111</c:v>
                </c:pt>
                <c:pt idx="590">
                  <c:v>0.11175</c:v>
                </c:pt>
                <c:pt idx="591">
                  <c:v>0.112414</c:v>
                </c:pt>
                <c:pt idx="592">
                  <c:v>0.11311</c:v>
                </c:pt>
                <c:pt idx="593">
                  <c:v>0.113832</c:v>
                </c:pt>
                <c:pt idx="594">
                  <c:v>0.114608</c:v>
                </c:pt>
                <c:pt idx="595">
                  <c:v>0.11544399999999999</c:v>
                </c:pt>
                <c:pt idx="596">
                  <c:v>0.11627599999999999</c:v>
                </c:pt>
                <c:pt idx="597">
                  <c:v>0.11711199999999999</c:v>
                </c:pt>
                <c:pt idx="598">
                  <c:v>0.11794399999999999</c:v>
                </c:pt>
              </c:numCache>
            </c:numRef>
          </c:cat>
          <c:val>
            <c:numRef>
              <c:f>'A22-5'!$F$2:$F$600</c:f>
              <c:numCache>
                <c:formatCode>0.00</c:formatCode>
                <c:ptCount val="599"/>
                <c:pt idx="0">
                  <c:v>0</c:v>
                </c:pt>
                <c:pt idx="1">
                  <c:v>0.20874870197300105</c:v>
                </c:pt>
                <c:pt idx="2">
                  <c:v>0.20874870197300105</c:v>
                </c:pt>
                <c:pt idx="3">
                  <c:v>0.20874870197300105</c:v>
                </c:pt>
                <c:pt idx="4">
                  <c:v>0.20874870197300105</c:v>
                </c:pt>
                <c:pt idx="5">
                  <c:v>0.20874870197300105</c:v>
                </c:pt>
                <c:pt idx="6">
                  <c:v>0.21276314547342587</c:v>
                </c:pt>
                <c:pt idx="7">
                  <c:v>0.21276314547342587</c:v>
                </c:pt>
                <c:pt idx="8">
                  <c:v>0.20874870197300105</c:v>
                </c:pt>
                <c:pt idx="9">
                  <c:v>0.21276314547342587</c:v>
                </c:pt>
                <c:pt idx="10">
                  <c:v>0.21276314547342587</c:v>
                </c:pt>
                <c:pt idx="11">
                  <c:v>0.21276314547342587</c:v>
                </c:pt>
                <c:pt idx="12">
                  <c:v>0.21276314547342587</c:v>
                </c:pt>
                <c:pt idx="13">
                  <c:v>0.21276314547342587</c:v>
                </c:pt>
                <c:pt idx="14">
                  <c:v>0.21276314547342587</c:v>
                </c:pt>
                <c:pt idx="15">
                  <c:v>0.21276314547342587</c:v>
                </c:pt>
                <c:pt idx="16">
                  <c:v>0.21276314547342587</c:v>
                </c:pt>
                <c:pt idx="17">
                  <c:v>0.21276314547342587</c:v>
                </c:pt>
                <c:pt idx="18">
                  <c:v>0.21276314547342587</c:v>
                </c:pt>
                <c:pt idx="19">
                  <c:v>0.21276314547342587</c:v>
                </c:pt>
                <c:pt idx="20">
                  <c:v>0.21276314547342587</c:v>
                </c:pt>
                <c:pt idx="21">
                  <c:v>0.21276314547342587</c:v>
                </c:pt>
                <c:pt idx="22">
                  <c:v>0.21276314547342587</c:v>
                </c:pt>
                <c:pt idx="23">
                  <c:v>0.21276314547342587</c:v>
                </c:pt>
                <c:pt idx="24">
                  <c:v>0.21276314547342587</c:v>
                </c:pt>
                <c:pt idx="25">
                  <c:v>0.21276314547342587</c:v>
                </c:pt>
                <c:pt idx="26">
                  <c:v>0.21276314547342587</c:v>
                </c:pt>
                <c:pt idx="27">
                  <c:v>0.21276314547342587</c:v>
                </c:pt>
                <c:pt idx="28">
                  <c:v>0.21276314547342587</c:v>
                </c:pt>
                <c:pt idx="29">
                  <c:v>0.21677758897385066</c:v>
                </c:pt>
                <c:pt idx="30">
                  <c:v>0.21677758897385066</c:v>
                </c:pt>
                <c:pt idx="31">
                  <c:v>0.22079203247427545</c:v>
                </c:pt>
                <c:pt idx="32">
                  <c:v>0.22079203247427545</c:v>
                </c:pt>
                <c:pt idx="33">
                  <c:v>0.22480647597470024</c:v>
                </c:pt>
                <c:pt idx="34">
                  <c:v>0.22480647597470024</c:v>
                </c:pt>
                <c:pt idx="35">
                  <c:v>0.22882091947512509</c:v>
                </c:pt>
                <c:pt idx="36">
                  <c:v>0.23283536297554991</c:v>
                </c:pt>
                <c:pt idx="37">
                  <c:v>0.23685452657415274</c:v>
                </c:pt>
                <c:pt idx="38">
                  <c:v>0.25290286037949589</c:v>
                </c:pt>
                <c:pt idx="39">
                  <c:v>0.26897479467572921</c:v>
                </c:pt>
                <c:pt idx="40">
                  <c:v>0.28502312848107242</c:v>
                </c:pt>
                <c:pt idx="41">
                  <c:v>0.30107146228641557</c:v>
                </c:pt>
                <c:pt idx="42">
                  <c:v>0.3171433965826489</c:v>
                </c:pt>
                <c:pt idx="43">
                  <c:v>0.33319173038799205</c:v>
                </c:pt>
                <c:pt idx="44">
                  <c:v>0.34926366468422537</c:v>
                </c:pt>
                <c:pt idx="45">
                  <c:v>0.36531199848956852</c:v>
                </c:pt>
                <c:pt idx="46">
                  <c:v>0.38136033229491173</c:v>
                </c:pt>
                <c:pt idx="47">
                  <c:v>0.39342018313980937</c:v>
                </c:pt>
                <c:pt idx="48">
                  <c:v>0.40946851694515246</c:v>
                </c:pt>
                <c:pt idx="49">
                  <c:v>0.42551685075049561</c:v>
                </c:pt>
                <c:pt idx="50">
                  <c:v>0.44158878504672888</c:v>
                </c:pt>
                <c:pt idx="51">
                  <c:v>0.45763711885207209</c:v>
                </c:pt>
                <c:pt idx="52">
                  <c:v>0.47772113659964127</c:v>
                </c:pt>
                <c:pt idx="53">
                  <c:v>0.49376947040498442</c:v>
                </c:pt>
                <c:pt idx="54">
                  <c:v>0.50984140470121786</c:v>
                </c:pt>
                <c:pt idx="55">
                  <c:v>0.52588973850656096</c:v>
                </c:pt>
                <c:pt idx="56">
                  <c:v>0.54193807231190416</c:v>
                </c:pt>
                <c:pt idx="57">
                  <c:v>0.55801000660813738</c:v>
                </c:pt>
                <c:pt idx="58">
                  <c:v>0.57405834041348069</c:v>
                </c:pt>
                <c:pt idx="59">
                  <c:v>0.59013027470971391</c:v>
                </c:pt>
                <c:pt idx="60">
                  <c:v>0.60617860851505712</c:v>
                </c:pt>
                <c:pt idx="61">
                  <c:v>0.62222694232040021</c:v>
                </c:pt>
                <c:pt idx="62">
                  <c:v>0.63829887661663365</c:v>
                </c:pt>
                <c:pt idx="63">
                  <c:v>0.65434721042197674</c:v>
                </c:pt>
                <c:pt idx="64">
                  <c:v>0.67041914471821007</c:v>
                </c:pt>
                <c:pt idx="65">
                  <c:v>0.68646747852355328</c:v>
                </c:pt>
                <c:pt idx="66">
                  <c:v>0.70251581232889637</c:v>
                </c:pt>
                <c:pt idx="67">
                  <c:v>0.71858774662512981</c:v>
                </c:pt>
                <c:pt idx="68">
                  <c:v>0.73463608043047302</c:v>
                </c:pt>
                <c:pt idx="69">
                  <c:v>0.75068441423581611</c:v>
                </c:pt>
                <c:pt idx="70">
                  <c:v>0.76675634853204944</c:v>
                </c:pt>
                <c:pt idx="71">
                  <c:v>0.78280468233739253</c:v>
                </c:pt>
                <c:pt idx="72">
                  <c:v>0.79887661663362608</c:v>
                </c:pt>
                <c:pt idx="73">
                  <c:v>0.81492495043896918</c:v>
                </c:pt>
                <c:pt idx="74">
                  <c:v>0.83097328424431227</c:v>
                </c:pt>
                <c:pt idx="75">
                  <c:v>0.8470452185405456</c:v>
                </c:pt>
                <c:pt idx="76">
                  <c:v>0.86309355234588869</c:v>
                </c:pt>
                <c:pt idx="77">
                  <c:v>0.87916548664212213</c:v>
                </c:pt>
                <c:pt idx="78">
                  <c:v>0.89521382044746545</c:v>
                </c:pt>
                <c:pt idx="79">
                  <c:v>0.91126215425280854</c:v>
                </c:pt>
                <c:pt idx="80">
                  <c:v>0.92733408854904176</c:v>
                </c:pt>
                <c:pt idx="81">
                  <c:v>0.94338242235438485</c:v>
                </c:pt>
                <c:pt idx="82">
                  <c:v>0.9594543566506184</c:v>
                </c:pt>
                <c:pt idx="83">
                  <c:v>0.9755026904559615</c:v>
                </c:pt>
                <c:pt idx="84">
                  <c:v>0.99155102426130459</c:v>
                </c:pt>
                <c:pt idx="85">
                  <c:v>1.007622958557538</c:v>
                </c:pt>
                <c:pt idx="86">
                  <c:v>1.0236712923628812</c:v>
                </c:pt>
                <c:pt idx="87">
                  <c:v>1.0397432266591145</c:v>
                </c:pt>
                <c:pt idx="88">
                  <c:v>1.0557915604644577</c:v>
                </c:pt>
                <c:pt idx="89">
                  <c:v>1.0718398942698006</c:v>
                </c:pt>
                <c:pt idx="90">
                  <c:v>1.0879118285660341</c:v>
                </c:pt>
                <c:pt idx="91">
                  <c:v>1.1039601623713773</c:v>
                </c:pt>
                <c:pt idx="92">
                  <c:v>1.1200320966676105</c:v>
                </c:pt>
                <c:pt idx="93">
                  <c:v>1.1360804304729537</c:v>
                </c:pt>
                <c:pt idx="94">
                  <c:v>1.1521287642782969</c:v>
                </c:pt>
                <c:pt idx="95">
                  <c:v>1.1682006985745303</c:v>
                </c:pt>
                <c:pt idx="96">
                  <c:v>1.1842490323798736</c:v>
                </c:pt>
                <c:pt idx="97">
                  <c:v>1.200320966676107</c:v>
                </c:pt>
                <c:pt idx="98">
                  <c:v>1.21636930048145</c:v>
                </c:pt>
                <c:pt idx="99">
                  <c:v>1.2324176342867932</c:v>
                </c:pt>
                <c:pt idx="100">
                  <c:v>1.2484895685830266</c:v>
                </c:pt>
                <c:pt idx="101">
                  <c:v>1.2645379023883696</c:v>
                </c:pt>
                <c:pt idx="102">
                  <c:v>1.280609836684603</c:v>
                </c:pt>
                <c:pt idx="103">
                  <c:v>1.2966581704899462</c:v>
                </c:pt>
                <c:pt idx="104">
                  <c:v>1.3127065042952892</c:v>
                </c:pt>
                <c:pt idx="105">
                  <c:v>1.3287784385915227</c:v>
                </c:pt>
                <c:pt idx="106">
                  <c:v>1.3448267723968659</c:v>
                </c:pt>
                <c:pt idx="107">
                  <c:v>1.3608751062022089</c:v>
                </c:pt>
                <c:pt idx="108">
                  <c:v>1.3769470404984425</c:v>
                </c:pt>
                <c:pt idx="109">
                  <c:v>1.3929953743037857</c:v>
                </c:pt>
                <c:pt idx="110">
                  <c:v>1.4090673086000187</c:v>
                </c:pt>
                <c:pt idx="111">
                  <c:v>1.4251156424053619</c:v>
                </c:pt>
                <c:pt idx="112">
                  <c:v>1.4411639762107051</c:v>
                </c:pt>
                <c:pt idx="113">
                  <c:v>1.4572359105069386</c:v>
                </c:pt>
                <c:pt idx="114">
                  <c:v>1.4732842443122818</c:v>
                </c:pt>
                <c:pt idx="115">
                  <c:v>1.493368262059851</c:v>
                </c:pt>
                <c:pt idx="116">
                  <c:v>1.5094165958651939</c:v>
                </c:pt>
                <c:pt idx="117">
                  <c:v>1.5254885301614276</c:v>
                </c:pt>
                <c:pt idx="118">
                  <c:v>1.5415368639667704</c:v>
                </c:pt>
                <c:pt idx="119">
                  <c:v>1.5575851977721138</c:v>
                </c:pt>
                <c:pt idx="120">
                  <c:v>1.573657132068347</c:v>
                </c:pt>
                <c:pt idx="121">
                  <c:v>1.58970546587369</c:v>
                </c:pt>
                <c:pt idx="122">
                  <c:v>1.6097894836212592</c:v>
                </c:pt>
                <c:pt idx="123">
                  <c:v>1.6258378174266026</c:v>
                </c:pt>
                <c:pt idx="124">
                  <c:v>1.6418861512319456</c:v>
                </c:pt>
                <c:pt idx="125">
                  <c:v>1.657958085528179</c:v>
                </c:pt>
                <c:pt idx="126">
                  <c:v>1.674006419333522</c:v>
                </c:pt>
                <c:pt idx="127">
                  <c:v>1.6900783536297552</c:v>
                </c:pt>
                <c:pt idx="128">
                  <c:v>1.7101387708864344</c:v>
                </c:pt>
                <c:pt idx="129">
                  <c:v>1.7261871046917774</c:v>
                </c:pt>
                <c:pt idx="130">
                  <c:v>1.7422590389880108</c:v>
                </c:pt>
                <c:pt idx="131">
                  <c:v>1.758307372793354</c:v>
                </c:pt>
                <c:pt idx="132">
                  <c:v>1.7783913905409232</c:v>
                </c:pt>
                <c:pt idx="133">
                  <c:v>1.7944397243462666</c:v>
                </c:pt>
                <c:pt idx="134">
                  <c:v>1.8105116586424999</c:v>
                </c:pt>
                <c:pt idx="135">
                  <c:v>1.8265599924478428</c:v>
                </c:pt>
                <c:pt idx="136">
                  <c:v>1.8426083262531863</c:v>
                </c:pt>
                <c:pt idx="137">
                  <c:v>1.8586802605494193</c:v>
                </c:pt>
                <c:pt idx="138">
                  <c:v>1.8747285943547627</c:v>
                </c:pt>
                <c:pt idx="139">
                  <c:v>1.8908005286509961</c:v>
                </c:pt>
                <c:pt idx="140">
                  <c:v>1.9068488624563389</c:v>
                </c:pt>
                <c:pt idx="141">
                  <c:v>1.9269092797130181</c:v>
                </c:pt>
                <c:pt idx="142">
                  <c:v>1.9469932974605872</c:v>
                </c:pt>
                <c:pt idx="143">
                  <c:v>1.9630416312659305</c:v>
                </c:pt>
                <c:pt idx="144">
                  <c:v>1.9831256490134994</c:v>
                </c:pt>
                <c:pt idx="145">
                  <c:v>2.0031860662701786</c:v>
                </c:pt>
                <c:pt idx="146">
                  <c:v>2.0232700840177475</c:v>
                </c:pt>
                <c:pt idx="147">
                  <c:v>2.0433305012744265</c:v>
                </c:pt>
                <c:pt idx="148">
                  <c:v>2.0594024355706599</c:v>
                </c:pt>
                <c:pt idx="149">
                  <c:v>2.0794628528273389</c:v>
                </c:pt>
                <c:pt idx="150">
                  <c:v>2.0995468705749079</c:v>
                </c:pt>
                <c:pt idx="151">
                  <c:v>2.1155952043802508</c:v>
                </c:pt>
                <c:pt idx="152">
                  <c:v>2.1356792221278198</c:v>
                </c:pt>
                <c:pt idx="153">
                  <c:v>2.1517275559331637</c:v>
                </c:pt>
                <c:pt idx="154">
                  <c:v>2.1677758897385067</c:v>
                </c:pt>
                <c:pt idx="155">
                  <c:v>2.1878599074860756</c:v>
                </c:pt>
                <c:pt idx="156">
                  <c:v>2.2039082412914186</c:v>
                </c:pt>
                <c:pt idx="157">
                  <c:v>2.219980175587652</c:v>
                </c:pt>
                <c:pt idx="158">
                  <c:v>2.2360285093929955</c:v>
                </c:pt>
                <c:pt idx="159">
                  <c:v>2.2561125271405649</c:v>
                </c:pt>
                <c:pt idx="160">
                  <c:v>2.2721608609459074</c:v>
                </c:pt>
                <c:pt idx="161">
                  <c:v>2.2922212782025868</c:v>
                </c:pt>
                <c:pt idx="162">
                  <c:v>2.3082932124988198</c:v>
                </c:pt>
                <c:pt idx="163">
                  <c:v>2.3243415463041632</c:v>
                </c:pt>
                <c:pt idx="164">
                  <c:v>2.3404134806003967</c:v>
                </c:pt>
                <c:pt idx="165">
                  <c:v>2.3564618144057397</c:v>
                </c:pt>
                <c:pt idx="166">
                  <c:v>2.3725573491928635</c:v>
                </c:pt>
                <c:pt idx="167">
                  <c:v>2.3886056829982061</c:v>
                </c:pt>
                <c:pt idx="168">
                  <c:v>2.4046540168035495</c:v>
                </c:pt>
                <c:pt idx="169">
                  <c:v>2.4207023506088925</c:v>
                </c:pt>
                <c:pt idx="170">
                  <c:v>2.4407627678655714</c:v>
                </c:pt>
                <c:pt idx="171">
                  <c:v>2.4568111016709149</c:v>
                </c:pt>
                <c:pt idx="172">
                  <c:v>2.4728594354762579</c:v>
                </c:pt>
                <c:pt idx="173">
                  <c:v>2.4889077692816008</c:v>
                </c:pt>
                <c:pt idx="174">
                  <c:v>2.5049561030869443</c:v>
                </c:pt>
                <c:pt idx="175">
                  <c:v>2.5250165203436232</c:v>
                </c:pt>
                <c:pt idx="176">
                  <c:v>2.5410648541489662</c:v>
                </c:pt>
                <c:pt idx="177">
                  <c:v>2.5571131879543092</c:v>
                </c:pt>
                <c:pt idx="178">
                  <c:v>2.5771736052109881</c:v>
                </c:pt>
                <c:pt idx="179">
                  <c:v>2.5932219390163316</c:v>
                </c:pt>
                <c:pt idx="180">
                  <c:v>2.6092702728216746</c:v>
                </c:pt>
                <c:pt idx="181">
                  <c:v>2.6253186066270175</c:v>
                </c:pt>
                <c:pt idx="182">
                  <c:v>2.6416029453412633</c:v>
                </c:pt>
                <c:pt idx="183">
                  <c:v>2.6576512791466063</c:v>
                </c:pt>
                <c:pt idx="184">
                  <c:v>2.6777116964032852</c:v>
                </c:pt>
                <c:pt idx="185">
                  <c:v>2.6937600302086282</c:v>
                </c:pt>
                <c:pt idx="186">
                  <c:v>2.7098083640139712</c:v>
                </c:pt>
                <c:pt idx="187">
                  <c:v>2.7258566978193146</c:v>
                </c:pt>
                <c:pt idx="188">
                  <c:v>2.741905031624658</c:v>
                </c:pt>
                <c:pt idx="189">
                  <c:v>2.761965448881337</c:v>
                </c:pt>
                <c:pt idx="190">
                  <c:v>2.7780137826866795</c:v>
                </c:pt>
                <c:pt idx="191">
                  <c:v>2.7940621164920234</c:v>
                </c:pt>
                <c:pt idx="192">
                  <c:v>2.8101104502973659</c:v>
                </c:pt>
                <c:pt idx="193">
                  <c:v>2.8261587841027094</c:v>
                </c:pt>
                <c:pt idx="194">
                  <c:v>2.8422071179080528</c:v>
                </c:pt>
                <c:pt idx="195">
                  <c:v>2.8582554517133958</c:v>
                </c:pt>
                <c:pt idx="196">
                  <c:v>2.8743037855187388</c:v>
                </c:pt>
                <c:pt idx="197">
                  <c:v>2.8903521193240822</c:v>
                </c:pt>
                <c:pt idx="198">
                  <c:v>2.9064004531294252</c:v>
                </c:pt>
                <c:pt idx="199">
                  <c:v>2.9224487869347682</c:v>
                </c:pt>
                <c:pt idx="200">
                  <c:v>2.9384971207401116</c:v>
                </c:pt>
                <c:pt idx="201">
                  <c:v>2.9545454545454546</c:v>
                </c:pt>
                <c:pt idx="202">
                  <c:v>2.9705937883507976</c:v>
                </c:pt>
                <c:pt idx="203">
                  <c:v>2.9906542056074765</c:v>
                </c:pt>
                <c:pt idx="204">
                  <c:v>3.00670253941282</c:v>
                </c:pt>
                <c:pt idx="205">
                  <c:v>3.0227508732181634</c:v>
                </c:pt>
                <c:pt idx="206">
                  <c:v>3.0387992070235059</c:v>
                </c:pt>
                <c:pt idx="207">
                  <c:v>3.0550835457377512</c:v>
                </c:pt>
                <c:pt idx="208">
                  <c:v>3.0711318795430946</c:v>
                </c:pt>
                <c:pt idx="209">
                  <c:v>3.0911922967997731</c:v>
                </c:pt>
                <c:pt idx="210">
                  <c:v>3.119276880959124</c:v>
                </c:pt>
                <c:pt idx="211">
                  <c:v>3.1473614651184749</c:v>
                </c:pt>
                <c:pt idx="212">
                  <c:v>3.171433965826489</c:v>
                </c:pt>
                <c:pt idx="213">
                  <c:v>3.1995185499858394</c:v>
                </c:pt>
                <c:pt idx="214">
                  <c:v>3.2235910506938548</c:v>
                </c:pt>
                <c:pt idx="215">
                  <c:v>3.2516756348532052</c:v>
                </c:pt>
                <c:pt idx="216">
                  <c:v>3.2757481355612197</c:v>
                </c:pt>
                <c:pt idx="217">
                  <c:v>3.3038327197205706</c:v>
                </c:pt>
                <c:pt idx="218">
                  <c:v>3.331917303879921</c:v>
                </c:pt>
                <c:pt idx="219">
                  <c:v>3.3600018880392715</c:v>
                </c:pt>
                <c:pt idx="220">
                  <c:v>3.3840743887472855</c:v>
                </c:pt>
                <c:pt idx="221">
                  <c:v>3.4081468894553009</c:v>
                </c:pt>
                <c:pt idx="222">
                  <c:v>3.4322193901633153</c:v>
                </c:pt>
                <c:pt idx="223">
                  <c:v>3.4565278957802321</c:v>
                </c:pt>
                <c:pt idx="224">
                  <c:v>3.4806003964882466</c:v>
                </c:pt>
                <c:pt idx="225">
                  <c:v>3.5046728971962615</c:v>
                </c:pt>
                <c:pt idx="226">
                  <c:v>3.5287453979042769</c:v>
                </c:pt>
                <c:pt idx="227">
                  <c:v>3.5528178986122909</c:v>
                </c:pt>
                <c:pt idx="228">
                  <c:v>3.5809024827716414</c:v>
                </c:pt>
                <c:pt idx="229">
                  <c:v>3.6049749834796563</c:v>
                </c:pt>
                <c:pt idx="230">
                  <c:v>3.6290474841876716</c:v>
                </c:pt>
                <c:pt idx="231">
                  <c:v>3.6571320683470221</c:v>
                </c:pt>
                <c:pt idx="232">
                  <c:v>3.6812045690550361</c:v>
                </c:pt>
                <c:pt idx="233">
                  <c:v>3.705277069763051</c:v>
                </c:pt>
                <c:pt idx="234">
                  <c:v>3.7333616539224015</c:v>
                </c:pt>
                <c:pt idx="235">
                  <c:v>3.7574341546304164</c:v>
                </c:pt>
                <c:pt idx="236">
                  <c:v>3.7815066553384309</c:v>
                </c:pt>
                <c:pt idx="237">
                  <c:v>3.8095912394977813</c:v>
                </c:pt>
                <c:pt idx="238">
                  <c:v>3.8336637402057963</c:v>
                </c:pt>
                <c:pt idx="239">
                  <c:v>3.8577362409138112</c:v>
                </c:pt>
                <c:pt idx="240">
                  <c:v>3.8860568299820639</c:v>
                </c:pt>
                <c:pt idx="241">
                  <c:v>3.9101293306900784</c:v>
                </c:pt>
                <c:pt idx="242">
                  <c:v>3.9382139148494288</c:v>
                </c:pt>
                <c:pt idx="243">
                  <c:v>3.9662984990087793</c:v>
                </c:pt>
                <c:pt idx="244">
                  <c:v>3.9903709997167947</c:v>
                </c:pt>
                <c:pt idx="245">
                  <c:v>4.0184555838761451</c:v>
                </c:pt>
                <c:pt idx="246">
                  <c:v>4.0465401680354951</c:v>
                </c:pt>
                <c:pt idx="247">
                  <c:v>4.07061266874351</c:v>
                </c:pt>
                <c:pt idx="248">
                  <c:v>4.09869725290286</c:v>
                </c:pt>
                <c:pt idx="249">
                  <c:v>4.1267818370622109</c:v>
                </c:pt>
                <c:pt idx="250">
                  <c:v>4.1588785046728969</c:v>
                </c:pt>
                <c:pt idx="251">
                  <c:v>4.1949872557349197</c:v>
                </c:pt>
                <c:pt idx="252">
                  <c:v>4.2310960067969408</c:v>
                </c:pt>
                <c:pt idx="253">
                  <c:v>4.2674407627678654</c:v>
                </c:pt>
                <c:pt idx="254">
                  <c:v>4.3035495138298883</c:v>
                </c:pt>
                <c:pt idx="255">
                  <c:v>4.3396582648919093</c:v>
                </c:pt>
                <c:pt idx="256">
                  <c:v>4.3757670159539321</c:v>
                </c:pt>
                <c:pt idx="257">
                  <c:v>4.4118757670159532</c:v>
                </c:pt>
                <c:pt idx="258">
                  <c:v>4.447984518077976</c:v>
                </c:pt>
                <c:pt idx="259">
                  <c:v>4.484093269139998</c:v>
                </c:pt>
                <c:pt idx="260">
                  <c:v>4.5161899367506848</c:v>
                </c:pt>
                <c:pt idx="261">
                  <c:v>4.5522986878127067</c:v>
                </c:pt>
                <c:pt idx="262">
                  <c:v>4.5843953554233927</c:v>
                </c:pt>
                <c:pt idx="263">
                  <c:v>4.6164920230340787</c:v>
                </c:pt>
                <c:pt idx="264">
                  <c:v>4.6526007740961006</c:v>
                </c:pt>
                <c:pt idx="265">
                  <c:v>4.6849334466156893</c:v>
                </c:pt>
                <c:pt idx="266">
                  <c:v>4.7170301142263753</c:v>
                </c:pt>
                <c:pt idx="267">
                  <c:v>4.7491267818370622</c:v>
                </c:pt>
                <c:pt idx="268">
                  <c:v>4.7812234494477481</c:v>
                </c:pt>
                <c:pt idx="269">
                  <c:v>4.817332200509771</c:v>
                </c:pt>
                <c:pt idx="270">
                  <c:v>4.8494288681204569</c:v>
                </c:pt>
                <c:pt idx="271">
                  <c:v>4.8815255357311429</c:v>
                </c:pt>
                <c:pt idx="272">
                  <c:v>4.9136222033418298</c:v>
                </c:pt>
                <c:pt idx="273">
                  <c:v>4.9457188709525157</c:v>
                </c:pt>
                <c:pt idx="274">
                  <c:v>4.9778155385632017</c:v>
                </c:pt>
                <c:pt idx="275">
                  <c:v>5.0139242896252236</c:v>
                </c:pt>
                <c:pt idx="276">
                  <c:v>5.0460209572359105</c:v>
                </c:pt>
                <c:pt idx="277">
                  <c:v>5.0783536297554992</c:v>
                </c:pt>
                <c:pt idx="278">
                  <c:v>5.1104502973661852</c:v>
                </c:pt>
                <c:pt idx="279">
                  <c:v>5.1465590484282071</c:v>
                </c:pt>
                <c:pt idx="280">
                  <c:v>5.1866798829415659</c:v>
                </c:pt>
                <c:pt idx="281">
                  <c:v>5.2308128009062589</c:v>
                </c:pt>
                <c:pt idx="282">
                  <c:v>5.2709336354196168</c:v>
                </c:pt>
                <c:pt idx="283">
                  <c:v>5.3150665533843107</c:v>
                </c:pt>
                <c:pt idx="284">
                  <c:v>5.3551873878976686</c:v>
                </c:pt>
                <c:pt idx="285">
                  <c:v>5.3993203058623616</c:v>
                </c:pt>
                <c:pt idx="286">
                  <c:v>5.4434532238270554</c:v>
                </c:pt>
                <c:pt idx="287">
                  <c:v>5.4835740583404133</c:v>
                </c:pt>
                <c:pt idx="288">
                  <c:v>5.5279429812140091</c:v>
                </c:pt>
                <c:pt idx="289">
                  <c:v>5.5720758991787021</c:v>
                </c:pt>
                <c:pt idx="290">
                  <c:v>5.6202209005947319</c:v>
                </c:pt>
                <c:pt idx="291">
                  <c:v>5.6643538185594258</c:v>
                </c:pt>
                <c:pt idx="292">
                  <c:v>5.7124988199754556</c:v>
                </c:pt>
                <c:pt idx="293">
                  <c:v>5.7566317379401486</c:v>
                </c:pt>
                <c:pt idx="294">
                  <c:v>5.8007646559048425</c:v>
                </c:pt>
                <c:pt idx="295">
                  <c:v>5.8448975738695363</c:v>
                </c:pt>
                <c:pt idx="296">
                  <c:v>5.8890304918342302</c:v>
                </c:pt>
                <c:pt idx="297">
                  <c:v>5.9333994147078259</c:v>
                </c:pt>
                <c:pt idx="298">
                  <c:v>5.9775323326725198</c:v>
                </c:pt>
                <c:pt idx="299">
                  <c:v>6.0176531671858777</c:v>
                </c:pt>
                <c:pt idx="300">
                  <c:v>6.0617860851505716</c:v>
                </c:pt>
                <c:pt idx="301">
                  <c:v>6.1059190031152655</c:v>
                </c:pt>
                <c:pt idx="302">
                  <c:v>6.1460398376286234</c:v>
                </c:pt>
                <c:pt idx="303">
                  <c:v>6.1861606721419804</c:v>
                </c:pt>
                <c:pt idx="304">
                  <c:v>6.2343056735580111</c:v>
                </c:pt>
                <c:pt idx="305">
                  <c:v>6.290474841876712</c:v>
                </c:pt>
                <c:pt idx="306">
                  <c:v>6.3428679316529779</c:v>
                </c:pt>
                <c:pt idx="307">
                  <c:v>6.3910129330690086</c:v>
                </c:pt>
                <c:pt idx="308">
                  <c:v>6.4471821013877095</c:v>
                </c:pt>
                <c:pt idx="309">
                  <c:v>6.4993391862550745</c:v>
                </c:pt>
                <c:pt idx="310">
                  <c:v>6.5474841876711034</c:v>
                </c:pt>
                <c:pt idx="311">
                  <c:v>6.5956291890871341</c:v>
                </c:pt>
                <c:pt idx="312">
                  <c:v>6.6437741905031622</c:v>
                </c:pt>
                <c:pt idx="313">
                  <c:v>6.6999433588218631</c:v>
                </c:pt>
                <c:pt idx="314">
                  <c:v>6.7483243651467957</c:v>
                </c:pt>
                <c:pt idx="315">
                  <c:v>6.7964693665628246</c:v>
                </c:pt>
                <c:pt idx="316">
                  <c:v>6.8446143679788536</c:v>
                </c:pt>
                <c:pt idx="317">
                  <c:v>6.8927593693948834</c:v>
                </c:pt>
                <c:pt idx="318">
                  <c:v>6.9449164542622484</c:v>
                </c:pt>
                <c:pt idx="319">
                  <c:v>6.9930614556782782</c:v>
                </c:pt>
                <c:pt idx="320">
                  <c:v>7.0452185405456431</c:v>
                </c:pt>
                <c:pt idx="321">
                  <c:v>7.093363541961673</c:v>
                </c:pt>
                <c:pt idx="322">
                  <c:v>7.1457566317379388</c:v>
                </c:pt>
                <c:pt idx="323">
                  <c:v>7.1979137166053055</c:v>
                </c:pt>
                <c:pt idx="324">
                  <c:v>7.2621070518266775</c:v>
                </c:pt>
                <c:pt idx="325">
                  <c:v>7.3222883035967143</c:v>
                </c:pt>
                <c:pt idx="326">
                  <c:v>7.3864816388180881</c:v>
                </c:pt>
                <c:pt idx="327">
                  <c:v>7.45067497403946</c:v>
                </c:pt>
                <c:pt idx="328">
                  <c:v>7.5148683092608328</c:v>
                </c:pt>
                <c:pt idx="329">
                  <c:v>7.5792976493911066</c:v>
                </c:pt>
                <c:pt idx="330">
                  <c:v>7.6434909846124794</c:v>
                </c:pt>
                <c:pt idx="331">
                  <c:v>7.7076843198338523</c:v>
                </c:pt>
                <c:pt idx="332">
                  <c:v>7.7718776550552251</c:v>
                </c:pt>
                <c:pt idx="333">
                  <c:v>7.836070990276597</c:v>
                </c:pt>
                <c:pt idx="334">
                  <c:v>7.8922401585952997</c:v>
                </c:pt>
                <c:pt idx="335">
                  <c:v>7.9566694987255735</c:v>
                </c:pt>
                <c:pt idx="336">
                  <c:v>8.0128386670442744</c:v>
                </c:pt>
                <c:pt idx="337">
                  <c:v>8.0770320022656463</c:v>
                </c:pt>
                <c:pt idx="338">
                  <c:v>8.1332011705843481</c:v>
                </c:pt>
                <c:pt idx="339">
                  <c:v>8.19739450580572</c:v>
                </c:pt>
                <c:pt idx="340">
                  <c:v>8.2535636741244218</c:v>
                </c:pt>
                <c:pt idx="341">
                  <c:v>8.3217690927971297</c:v>
                </c:pt>
                <c:pt idx="342">
                  <c:v>8.3902105163787404</c:v>
                </c:pt>
                <c:pt idx="343">
                  <c:v>8.4584159350514483</c:v>
                </c:pt>
                <c:pt idx="344">
                  <c:v>8.526621353724158</c:v>
                </c:pt>
                <c:pt idx="345">
                  <c:v>8.5908146889455299</c:v>
                </c:pt>
                <c:pt idx="346">
                  <c:v>8.6590201076182396</c:v>
                </c:pt>
                <c:pt idx="347">
                  <c:v>8.7272255262909475</c:v>
                </c:pt>
                <c:pt idx="348">
                  <c:v>8.7956669498725564</c:v>
                </c:pt>
                <c:pt idx="349">
                  <c:v>8.8638723685452661</c:v>
                </c:pt>
                <c:pt idx="350">
                  <c:v>8.932077787217974</c:v>
                </c:pt>
                <c:pt idx="351">
                  <c:v>9.0002832058906836</c:v>
                </c:pt>
                <c:pt idx="352">
                  <c:v>9.0684886245633898</c:v>
                </c:pt>
                <c:pt idx="353">
                  <c:v>9.1366940432360995</c:v>
                </c:pt>
                <c:pt idx="354">
                  <c:v>9.2091475502690443</c:v>
                </c:pt>
                <c:pt idx="355">
                  <c:v>9.277352968941754</c:v>
                </c:pt>
                <c:pt idx="356">
                  <c:v>9.3495704710657996</c:v>
                </c:pt>
                <c:pt idx="357">
                  <c:v>9.4217879731898435</c:v>
                </c:pt>
                <c:pt idx="358">
                  <c:v>9.4940054753138856</c:v>
                </c:pt>
                <c:pt idx="359">
                  <c:v>9.5744831492495042</c:v>
                </c:pt>
                <c:pt idx="360">
                  <c:v>9.650712734824884</c:v>
                </c:pt>
                <c:pt idx="361">
                  <c:v>9.7309544038515998</c:v>
                </c:pt>
                <c:pt idx="362">
                  <c:v>9.8071839894269797</c:v>
                </c:pt>
                <c:pt idx="363">
                  <c:v>9.8794014915510253</c:v>
                </c:pt>
                <c:pt idx="364">
                  <c:v>9.9558670820353061</c:v>
                </c:pt>
                <c:pt idx="365">
                  <c:v>10.032096667610686</c:v>
                </c:pt>
                <c:pt idx="366">
                  <c:v>10.10431416973473</c:v>
                </c:pt>
                <c:pt idx="367">
                  <c:v>10.180543755310111</c:v>
                </c:pt>
                <c:pt idx="368">
                  <c:v>10.25677334088549</c:v>
                </c:pt>
                <c:pt idx="369">
                  <c:v>10.333002926460869</c:v>
                </c:pt>
                <c:pt idx="370">
                  <c:v>10.417492683847824</c:v>
                </c:pt>
                <c:pt idx="371">
                  <c:v>10.509770603228546</c:v>
                </c:pt>
                <c:pt idx="372">
                  <c:v>10.598036439157935</c:v>
                </c:pt>
                <c:pt idx="373">
                  <c:v>10.686302275087321</c:v>
                </c:pt>
                <c:pt idx="374">
                  <c:v>10.774804115925612</c:v>
                </c:pt>
                <c:pt idx="375">
                  <c:v>10.863069951854998</c:v>
                </c:pt>
                <c:pt idx="376">
                  <c:v>10.943311620881714</c:v>
                </c:pt>
                <c:pt idx="377">
                  <c:v>11.031577456811101</c:v>
                </c:pt>
                <c:pt idx="378">
                  <c:v>11.111819125837817</c:v>
                </c:pt>
                <c:pt idx="379">
                  <c:v>11.200320966676106</c:v>
                </c:pt>
                <c:pt idx="380">
                  <c:v>11.280562635702822</c:v>
                </c:pt>
                <c:pt idx="381">
                  <c:v>11.368828471632211</c:v>
                </c:pt>
                <c:pt idx="382">
                  <c:v>11.461106391012933</c:v>
                </c:pt>
                <c:pt idx="383">
                  <c:v>11.553384310393657</c:v>
                </c:pt>
                <c:pt idx="384">
                  <c:v>11.645898234683282</c:v>
                </c:pt>
                <c:pt idx="385">
                  <c:v>11.738176154064005</c:v>
                </c:pt>
                <c:pt idx="386">
                  <c:v>11.830454073444727</c:v>
                </c:pt>
                <c:pt idx="387">
                  <c:v>11.922731992825451</c:v>
                </c:pt>
                <c:pt idx="388">
                  <c:v>12.015245917115076</c:v>
                </c:pt>
                <c:pt idx="389">
                  <c:v>12.107523836495798</c:v>
                </c:pt>
                <c:pt idx="390">
                  <c:v>12.199801755876521</c:v>
                </c:pt>
                <c:pt idx="391">
                  <c:v>12.288067591805909</c:v>
                </c:pt>
                <c:pt idx="392">
                  <c:v>12.380345511186633</c:v>
                </c:pt>
                <c:pt idx="393">
                  <c:v>12.480883602378931</c:v>
                </c:pt>
                <c:pt idx="394">
                  <c:v>12.585197772113661</c:v>
                </c:pt>
                <c:pt idx="395">
                  <c:v>12.689511941848389</c:v>
                </c:pt>
                <c:pt idx="396">
                  <c:v>12.798074199943358</c:v>
                </c:pt>
                <c:pt idx="397">
                  <c:v>12.902388369678089</c:v>
                </c:pt>
                <c:pt idx="398">
                  <c:v>13.006702539412821</c:v>
                </c:pt>
                <c:pt idx="399">
                  <c:v>13.111016709147551</c:v>
                </c:pt>
                <c:pt idx="400">
                  <c:v>13.219578967242519</c:v>
                </c:pt>
                <c:pt idx="401">
                  <c:v>13.323893136977247</c:v>
                </c:pt>
                <c:pt idx="402">
                  <c:v>13.428207306711979</c:v>
                </c:pt>
                <c:pt idx="403">
                  <c:v>13.536533559898047</c:v>
                </c:pt>
                <c:pt idx="404">
                  <c:v>13.645095817993013</c:v>
                </c:pt>
                <c:pt idx="405">
                  <c:v>13.749409987727745</c:v>
                </c:pt>
                <c:pt idx="406">
                  <c:v>13.857736240913811</c:v>
                </c:pt>
                <c:pt idx="407">
                  <c:v>13.966062494099877</c:v>
                </c:pt>
                <c:pt idx="408">
                  <c:v>14.074624752194847</c:v>
                </c:pt>
                <c:pt idx="409">
                  <c:v>14.186963088832249</c:v>
                </c:pt>
                <c:pt idx="410">
                  <c:v>14.29930142546965</c:v>
                </c:pt>
                <c:pt idx="411">
                  <c:v>14.411639762107052</c:v>
                </c:pt>
                <c:pt idx="412">
                  <c:v>14.536250354007361</c:v>
                </c:pt>
                <c:pt idx="413">
                  <c:v>14.648588690644766</c:v>
                </c:pt>
                <c:pt idx="414">
                  <c:v>14.760927027282168</c:v>
                </c:pt>
                <c:pt idx="415">
                  <c:v>14.873501368828471</c:v>
                </c:pt>
                <c:pt idx="416">
                  <c:v>14.993863872368546</c:v>
                </c:pt>
                <c:pt idx="417">
                  <c:v>15.110214292457282</c:v>
                </c:pt>
                <c:pt idx="418">
                  <c:v>15.226564712546018</c:v>
                </c:pt>
                <c:pt idx="419">
                  <c:v>15.343151137543661</c:v>
                </c:pt>
                <c:pt idx="420">
                  <c:v>15.459501557632398</c:v>
                </c:pt>
                <c:pt idx="421">
                  <c:v>15.59190031152648</c:v>
                </c:pt>
                <c:pt idx="422">
                  <c:v>15.712498819975455</c:v>
                </c:pt>
                <c:pt idx="423">
                  <c:v>15.844897573869536</c:v>
                </c:pt>
                <c:pt idx="424">
                  <c:v>15.977296327763616</c:v>
                </c:pt>
                <c:pt idx="425">
                  <c:v>16.097894836212593</c:v>
                </c:pt>
                <c:pt idx="426">
                  <c:v>16.218257339752668</c:v>
                </c:pt>
                <c:pt idx="427">
                  <c:v>16.33861984329274</c:v>
                </c:pt>
                <c:pt idx="428">
                  <c:v>16.459218351741715</c:v>
                </c:pt>
                <c:pt idx="429">
                  <c:v>16.595629189087134</c:v>
                </c:pt>
                <c:pt idx="430">
                  <c:v>16.73204002643255</c:v>
                </c:pt>
                <c:pt idx="431">
                  <c:v>16.864674785235536</c:v>
                </c:pt>
                <c:pt idx="432">
                  <c:v>17.001085622580948</c:v>
                </c:pt>
                <c:pt idx="433">
                  <c:v>17.133484376475032</c:v>
                </c:pt>
                <c:pt idx="434">
                  <c:v>17.27013121872935</c:v>
                </c:pt>
                <c:pt idx="435">
                  <c:v>17.406542056074766</c:v>
                </c:pt>
                <c:pt idx="436">
                  <c:v>17.542952893420182</c:v>
                </c:pt>
                <c:pt idx="437">
                  <c:v>17.6795997356745</c:v>
                </c:pt>
                <c:pt idx="438">
                  <c:v>17.816010573019916</c:v>
                </c:pt>
                <c:pt idx="439">
                  <c:v>17.956433493816672</c:v>
                </c:pt>
                <c:pt idx="440">
                  <c:v>18.093080336070987</c:v>
                </c:pt>
                <c:pt idx="441">
                  <c:v>18.233503256867746</c:v>
                </c:pt>
                <c:pt idx="442">
                  <c:v>18.369914094213158</c:v>
                </c:pt>
                <c:pt idx="443">
                  <c:v>18.510573019918816</c:v>
                </c:pt>
                <c:pt idx="444">
                  <c:v>18.667044274520912</c:v>
                </c:pt>
                <c:pt idx="445">
                  <c:v>18.819503445671671</c:v>
                </c:pt>
                <c:pt idx="446">
                  <c:v>18.972198621731334</c:v>
                </c:pt>
                <c:pt idx="447">
                  <c:v>19.124657792882093</c:v>
                </c:pt>
                <c:pt idx="448">
                  <c:v>19.277116964032849</c:v>
                </c:pt>
                <c:pt idx="449">
                  <c:v>19.429812140092515</c:v>
                </c:pt>
                <c:pt idx="450">
                  <c:v>19.5742471443406</c:v>
                </c:pt>
                <c:pt idx="451">
                  <c:v>19.730954403851598</c:v>
                </c:pt>
                <c:pt idx="452">
                  <c:v>19.887425658453694</c:v>
                </c:pt>
                <c:pt idx="453">
                  <c:v>20.043896913055789</c:v>
                </c:pt>
                <c:pt idx="454">
                  <c:v>20.204616256018124</c:v>
                </c:pt>
                <c:pt idx="455">
                  <c:v>20.365099594071555</c:v>
                </c:pt>
                <c:pt idx="456">
                  <c:v>20.525818937033893</c:v>
                </c:pt>
                <c:pt idx="457">
                  <c:v>20.690314358538657</c:v>
                </c:pt>
                <c:pt idx="458">
                  <c:v>20.850797696592089</c:v>
                </c:pt>
                <c:pt idx="459">
                  <c:v>21.015529123005759</c:v>
                </c:pt>
                <c:pt idx="460">
                  <c:v>21.180024544510527</c:v>
                </c:pt>
                <c:pt idx="461">
                  <c:v>21.344755970924194</c:v>
                </c:pt>
                <c:pt idx="462">
                  <c:v>21.509251392428961</c:v>
                </c:pt>
                <c:pt idx="463">
                  <c:v>21.673746813933729</c:v>
                </c:pt>
                <c:pt idx="464">
                  <c:v>21.854526574152743</c:v>
                </c:pt>
                <c:pt idx="465">
                  <c:v>22.031058246011519</c:v>
                </c:pt>
                <c:pt idx="466">
                  <c:v>22.207825922779197</c:v>
                </c:pt>
                <c:pt idx="467">
                  <c:v>22.384357594637969</c:v>
                </c:pt>
                <c:pt idx="468">
                  <c:v>22.557113187954311</c:v>
                </c:pt>
                <c:pt idx="469">
                  <c:v>22.733644859813083</c:v>
                </c:pt>
                <c:pt idx="470">
                  <c:v>22.910176531671858</c:v>
                </c:pt>
                <c:pt idx="471">
                  <c:v>23.086944208439537</c:v>
                </c:pt>
                <c:pt idx="472">
                  <c:v>23.263475880298309</c:v>
                </c:pt>
                <c:pt idx="473">
                  <c:v>23.440243557065987</c:v>
                </c:pt>
                <c:pt idx="474">
                  <c:v>23.617011233833662</c:v>
                </c:pt>
                <c:pt idx="475">
                  <c:v>23.796374964599263</c:v>
                </c:pt>
                <c:pt idx="476">
                  <c:v>23.994619088077034</c:v>
                </c:pt>
                <c:pt idx="477">
                  <c:v>24.190503162465781</c:v>
                </c:pt>
                <c:pt idx="478">
                  <c:v>24.388747285943548</c:v>
                </c:pt>
                <c:pt idx="479">
                  <c:v>24.584631360332295</c:v>
                </c:pt>
                <c:pt idx="480">
                  <c:v>24.780515434721043</c:v>
                </c:pt>
                <c:pt idx="481">
                  <c:v>24.98111960728783</c:v>
                </c:pt>
                <c:pt idx="482">
                  <c:v>25.186443878032666</c:v>
                </c:pt>
                <c:pt idx="483">
                  <c:v>25.387048050599454</c:v>
                </c:pt>
                <c:pt idx="484">
                  <c:v>25.582932124988197</c:v>
                </c:pt>
                <c:pt idx="485">
                  <c:v>25.788256395733033</c:v>
                </c:pt>
                <c:pt idx="486">
                  <c:v>25.993580666477868</c:v>
                </c:pt>
                <c:pt idx="487">
                  <c:v>26.201264986311717</c:v>
                </c:pt>
                <c:pt idx="488">
                  <c:v>26.411309355234586</c:v>
                </c:pt>
                <c:pt idx="489">
                  <c:v>26.618993675068442</c:v>
                </c:pt>
                <c:pt idx="490">
                  <c:v>26.831398093080338</c:v>
                </c:pt>
                <c:pt idx="491">
                  <c:v>27.041442462003207</c:v>
                </c:pt>
                <c:pt idx="492">
                  <c:v>27.2538468800151</c:v>
                </c:pt>
                <c:pt idx="493">
                  <c:v>27.461531199848952</c:v>
                </c:pt>
                <c:pt idx="494">
                  <c:v>27.676295666949873</c:v>
                </c:pt>
                <c:pt idx="495">
                  <c:v>27.89578023222883</c:v>
                </c:pt>
                <c:pt idx="496">
                  <c:v>28.119984895685828</c:v>
                </c:pt>
                <c:pt idx="497">
                  <c:v>28.348909657320871</c:v>
                </c:pt>
                <c:pt idx="498">
                  <c:v>28.575474369866892</c:v>
                </c:pt>
                <c:pt idx="499">
                  <c:v>28.804399131501935</c:v>
                </c:pt>
                <c:pt idx="500">
                  <c:v>29.028603794958933</c:v>
                </c:pt>
                <c:pt idx="501">
                  <c:v>29.252808458415938</c:v>
                </c:pt>
                <c:pt idx="502">
                  <c:v>29.477013121872936</c:v>
                </c:pt>
                <c:pt idx="503">
                  <c:v>29.703577834418951</c:v>
                </c:pt>
                <c:pt idx="504">
                  <c:v>29.932502596053997</c:v>
                </c:pt>
                <c:pt idx="505">
                  <c:v>30.173227603134144</c:v>
                </c:pt>
                <c:pt idx="506">
                  <c:v>30.416312659303312</c:v>
                </c:pt>
                <c:pt idx="507">
                  <c:v>30.657037666383459</c:v>
                </c:pt>
                <c:pt idx="508">
                  <c:v>30.900122722552627</c:v>
                </c:pt>
                <c:pt idx="509">
                  <c:v>31.143207778721795</c:v>
                </c:pt>
                <c:pt idx="510">
                  <c:v>31.383932785801942</c:v>
                </c:pt>
                <c:pt idx="511">
                  <c:v>31.629377891060138</c:v>
                </c:pt>
                <c:pt idx="512">
                  <c:v>31.874822996318322</c:v>
                </c:pt>
                <c:pt idx="513">
                  <c:v>32.134428396110636</c:v>
                </c:pt>
                <c:pt idx="514">
                  <c:v>32.396393844991977</c:v>
                </c:pt>
                <c:pt idx="515">
                  <c:v>32.644198999339189</c:v>
                </c:pt>
                <c:pt idx="516">
                  <c:v>32.899084300953461</c:v>
                </c:pt>
                <c:pt idx="517">
                  <c:v>33.170489946190877</c:v>
                </c:pt>
                <c:pt idx="518">
                  <c:v>33.444255640517319</c:v>
                </c:pt>
                <c:pt idx="519">
                  <c:v>33.713301236665728</c:v>
                </c:pt>
                <c:pt idx="520">
                  <c:v>33.970546587369014</c:v>
                </c:pt>
                <c:pt idx="521">
                  <c:v>34.241952232606444</c:v>
                </c:pt>
                <c:pt idx="522">
                  <c:v>34.510997828754832</c:v>
                </c:pt>
                <c:pt idx="523">
                  <c:v>34.780043424903234</c:v>
                </c:pt>
                <c:pt idx="524">
                  <c:v>35.060889266496737</c:v>
                </c:pt>
                <c:pt idx="525">
                  <c:v>35.341735108090255</c:v>
                </c:pt>
                <c:pt idx="526">
                  <c:v>35.61550080241669</c:v>
                </c:pt>
                <c:pt idx="527">
                  <c:v>35.896346644010194</c:v>
                </c:pt>
                <c:pt idx="528">
                  <c:v>36.174832436514677</c:v>
                </c:pt>
                <c:pt idx="529">
                  <c:v>36.455678278108188</c:v>
                </c:pt>
                <c:pt idx="530">
                  <c:v>36.753044463324841</c:v>
                </c:pt>
                <c:pt idx="531">
                  <c:v>37.045690550363453</c:v>
                </c:pt>
                <c:pt idx="532">
                  <c:v>37.338336637402058</c:v>
                </c:pt>
                <c:pt idx="533">
                  <c:v>37.635702822618711</c:v>
                </c:pt>
                <c:pt idx="534">
                  <c:v>37.935429056924384</c:v>
                </c:pt>
                <c:pt idx="535">
                  <c:v>38.237515340319085</c:v>
                </c:pt>
                <c:pt idx="536">
                  <c:v>38.546681770980832</c:v>
                </c:pt>
                <c:pt idx="537">
                  <c:v>38.851128103464553</c:v>
                </c:pt>
                <c:pt idx="538">
                  <c:v>39.160294534126308</c:v>
                </c:pt>
                <c:pt idx="539">
                  <c:v>39.46946096478807</c:v>
                </c:pt>
                <c:pt idx="540">
                  <c:v>39.785707542716892</c:v>
                </c:pt>
                <c:pt idx="541">
                  <c:v>40.092513924289619</c:v>
                </c:pt>
                <c:pt idx="542">
                  <c:v>40.41820069857453</c:v>
                </c:pt>
                <c:pt idx="543">
                  <c:v>40.734447276503353</c:v>
                </c:pt>
                <c:pt idx="544">
                  <c:v>41.048333805343148</c:v>
                </c:pt>
                <c:pt idx="545">
                  <c:v>41.364580383271971</c:v>
                </c:pt>
                <c:pt idx="546">
                  <c:v>41.692627206645902</c:v>
                </c:pt>
                <c:pt idx="547">
                  <c:v>42.023034079108839</c:v>
                </c:pt>
                <c:pt idx="548">
                  <c:v>42.348720853393758</c:v>
                </c:pt>
                <c:pt idx="549">
                  <c:v>42.676767676767675</c:v>
                </c:pt>
                <c:pt idx="550">
                  <c:v>43.021334843764755</c:v>
                </c:pt>
                <c:pt idx="551">
                  <c:v>43.363541961672809</c:v>
                </c:pt>
                <c:pt idx="552">
                  <c:v>43.705749079580862</c:v>
                </c:pt>
                <c:pt idx="553">
                  <c:v>44.043236099310867</c:v>
                </c:pt>
                <c:pt idx="554">
                  <c:v>44.392523364485982</c:v>
                </c:pt>
                <c:pt idx="555">
                  <c:v>44.748890776928157</c:v>
                </c:pt>
                <c:pt idx="556">
                  <c:v>45.105258189370339</c:v>
                </c:pt>
                <c:pt idx="557">
                  <c:v>45.459265552723494</c:v>
                </c:pt>
                <c:pt idx="558">
                  <c:v>45.815632965165676</c:v>
                </c:pt>
                <c:pt idx="559">
                  <c:v>46.186160672141973</c:v>
                </c:pt>
                <c:pt idx="560">
                  <c:v>46.542528084584156</c:v>
                </c:pt>
                <c:pt idx="561">
                  <c:v>46.913055791560467</c:v>
                </c:pt>
                <c:pt idx="562">
                  <c:v>47.27886340035873</c:v>
                </c:pt>
                <c:pt idx="563">
                  <c:v>47.647031058246014</c:v>
                </c:pt>
                <c:pt idx="564">
                  <c:v>48.024638912489387</c:v>
                </c:pt>
                <c:pt idx="565">
                  <c:v>48.402246766732752</c:v>
                </c:pt>
                <c:pt idx="566">
                  <c:v>48.786934768243171</c:v>
                </c:pt>
                <c:pt idx="567">
                  <c:v>49.164542622486543</c:v>
                </c:pt>
                <c:pt idx="568">
                  <c:v>49.513829887661664</c:v>
                </c:pt>
                <c:pt idx="569">
                  <c:v>49.822996318323419</c:v>
                </c:pt>
                <c:pt idx="570">
                  <c:v>50.108562258094963</c:v>
                </c:pt>
                <c:pt idx="571">
                  <c:v>50.344567166997066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5E-4CB3-A004-2FA832C15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201287"/>
        <c:axId val="1439203335"/>
      </c:lineChart>
      <c:catAx>
        <c:axId val="1439201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Deformação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203335"/>
        <c:crosses val="autoZero"/>
        <c:auto val="1"/>
        <c:lblAlgn val="ctr"/>
        <c:lblOffset val="100"/>
        <c:noMultiLvlLbl val="0"/>
      </c:catAx>
      <c:valAx>
        <c:axId val="1439203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Tesnão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201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156210</xdr:rowOff>
    </xdr:from>
    <xdr:to>
      <xdr:col>12</xdr:col>
      <xdr:colOff>579120</xdr:colOff>
      <xdr:row>20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DA261F-DC4B-B025-93EB-1DBA3B8DE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3810</xdr:rowOff>
    </xdr:from>
    <xdr:to>
      <xdr:col>12</xdr:col>
      <xdr:colOff>579120</xdr:colOff>
      <xdr:row>21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F24922-9533-DE0F-E6C5-342C89AE6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</xdr:colOff>
      <xdr:row>12</xdr:row>
      <xdr:rowOff>22860</xdr:rowOff>
    </xdr:from>
    <xdr:to>
      <xdr:col>13</xdr:col>
      <xdr:colOff>11430</xdr:colOff>
      <xdr:row>27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15A39A-5853-99A5-941A-6BF7ED5CC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5</xdr:row>
      <xdr:rowOff>156210</xdr:rowOff>
    </xdr:from>
    <xdr:to>
      <xdr:col>12</xdr:col>
      <xdr:colOff>594360</xdr:colOff>
      <xdr:row>20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92C37F-21B5-2685-090A-4CEF4587C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6</xdr:row>
      <xdr:rowOff>3810</xdr:rowOff>
    </xdr:from>
    <xdr:to>
      <xdr:col>13</xdr:col>
      <xdr:colOff>0</xdr:colOff>
      <xdr:row>21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57F0DD-72B1-464F-4B96-0EA432857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380999</xdr:colOff>
      <xdr:row>3</xdr:row>
      <xdr:rowOff>66674</xdr:rowOff>
    </xdr:from>
    <xdr:to>
      <xdr:col>20</xdr:col>
      <xdr:colOff>341549</xdr:colOff>
      <xdr:row>22</xdr:row>
      <xdr:rowOff>47174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68F42C-E317-954A-E6CF-9FC764941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EDD9AD-5F90-47D2-8933-1BF35CB311E2}" name="Tabela3" displayName="Tabela3" ref="A1:F584" totalsRowShown="0" headerRowDxfId="40" dataDxfId="39">
  <autoFilter ref="A1:F584" xr:uid="{51EDD9AD-5F90-47D2-8933-1BF35CB311E2}"/>
  <tableColumns count="6">
    <tableColumn id="1" xr3:uid="{CE4D38C4-5F06-4A46-BEF4-238C54B6A723}" name="Tempo(s)" dataDxfId="38"/>
    <tableColumn id="2" xr3:uid="{A31041A5-4B9A-47F3-899E-BC947829AF91}" name="Alongamento (mm/mm)" dataDxfId="37"/>
    <tableColumn id="3" xr3:uid="{06123DB0-CCE9-4BCA-8BB2-96383E05C147}" name="Deformação (mm/mm)" dataDxfId="36">
      <calculatedColumnFormula>Tabela3[[#This Row],[Alongamento (mm/mm)]]/$I$2</calculatedColumnFormula>
    </tableColumn>
    <tableColumn id="4" xr3:uid="{24B9B8EF-1986-446D-A953-7E9619B6E834}" name="Força (N)" dataDxfId="35"/>
    <tableColumn id="5" xr3:uid="{3A398E2A-6538-48A1-A936-A1F447B63726}" name="Tensão (Pa)" dataDxfId="34">
      <calculatedColumnFormula>Tabela3[[#This Row],[Força (N)]]/$I$5</calculatedColumnFormula>
    </tableColumn>
    <tableColumn id="6" xr3:uid="{39A6D56A-F55B-4584-8235-5FCC78048D7F}" name="Tensão (MPa)" dataDxfId="33">
      <calculatedColumnFormula>Tabela3[[#This Row],[Tensão (Pa)]]/1000000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7CDAEC-B09E-404E-8ECF-538683654EBA}" name="Tabela4" displayName="Tabela4" ref="H1:K3" totalsRowShown="0">
  <autoFilter ref="H1:K3" xr:uid="{D87CDAEC-B09E-404E-8ECF-538683654EBA}"/>
  <tableColumns count="4">
    <tableColumn id="1" xr3:uid="{B9EF374B-E17D-4F38-AC3E-3BB6BF67406A}" name="Unidade"/>
    <tableColumn id="2" xr3:uid="{AEE1B3D2-B916-44FA-94A0-BB9D6E71378D}" name="Comprimento"/>
    <tableColumn id="3" xr3:uid="{155FFF8D-166A-4BD6-AED7-94B68CB9681C}" name="Largura"/>
    <tableColumn id="4" xr3:uid="{AA568F02-BBD7-4359-AE63-06F9929B5EE0}" name="Espess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65B956-A094-4DF6-B1AF-0C965E275039}" name="Tabela5" displayName="Tabela5" ref="A1:F596" totalsRowShown="0" headerRowDxfId="32" dataDxfId="31">
  <autoFilter ref="A1:F596" xr:uid="{1B65B956-A094-4DF6-B1AF-0C965E275039}"/>
  <tableColumns count="6">
    <tableColumn id="1" xr3:uid="{10C872A1-B2A3-4B44-8A58-E43C9D925663}" name="Tempo(s)" dataDxfId="30"/>
    <tableColumn id="2" xr3:uid="{0892FF98-BE49-45BE-8E44-39560E21C549}" name="Alongamento (mm/mm)" dataDxfId="29"/>
    <tableColumn id="3" xr3:uid="{B8A2CB34-CE4B-471C-861B-8566CE648CCB}" name="Deformação (mm/mm)" dataDxfId="28">
      <calculatedColumnFormula>Tabela5[[#This Row],[Alongamento (mm/mm)]]/$I$2</calculatedColumnFormula>
    </tableColumn>
    <tableColumn id="4" xr3:uid="{FC056CD1-2993-4462-96D3-95ED88794C99}" name="Força (N)" dataDxfId="27"/>
    <tableColumn id="5" xr3:uid="{1CC4FD3C-7EA5-41A9-8834-63EAC81D1FC8}" name="Tensão (Pa)" dataDxfId="26">
      <calculatedColumnFormula>Tabela5[[#This Row],[Força (N)]]/$I$5</calculatedColumnFormula>
    </tableColumn>
    <tableColumn id="6" xr3:uid="{B4D75FB2-818A-4D5F-963F-0C81E184689D}" name="Tensão (MPa)" dataDxfId="25">
      <calculatedColumnFormula>Tabela5[[#This Row],[Tensão (Pa)]]/1000000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62A6C7-E557-4A07-9519-447F923D122B}" name="Tabela6" displayName="Tabela6" ref="H1:K3" totalsRowShown="0">
  <autoFilter ref="H1:K3" xr:uid="{A162A6C7-E557-4A07-9519-447F923D122B}"/>
  <tableColumns count="4">
    <tableColumn id="1" xr3:uid="{78DC8625-37E5-4DA0-A091-55F562DC1F1C}" name="Unidade"/>
    <tableColumn id="2" xr3:uid="{9FE118FD-12C8-47AC-AD6A-72E1FE2A1171}" name="Comprimento"/>
    <tableColumn id="3" xr3:uid="{B3BBB942-7654-4ACD-A1B4-C60908F581A1}" name="Largura"/>
    <tableColumn id="4" xr3:uid="{A7B1688E-2A36-4C60-A66B-15AA89E76FB2}" name="Espessura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3937EA-0476-4EDD-AA16-3BAC8DBAC5A9}" name="Tabela7" displayName="Tabela7" ref="A1:F600" totalsRowShown="0" headerRowDxfId="24" dataDxfId="23">
  <autoFilter ref="A1:F600" xr:uid="{003937EA-0476-4EDD-AA16-3BAC8DBAC5A9}"/>
  <tableColumns count="6">
    <tableColumn id="1" xr3:uid="{BC72BAC2-2C5F-4A8B-9EE1-E38053C62F04}" name="Tempo(s)" dataDxfId="22"/>
    <tableColumn id="2" xr3:uid="{31E2AF80-236A-44CA-BBBA-10476816AD1F}" name="Alongamento (mm/mm)" dataDxfId="21"/>
    <tableColumn id="3" xr3:uid="{EE89B654-777E-44C0-9BF4-611BFFC083C5}" name="Deformação (mm/mm)" dataDxfId="20">
      <calculatedColumnFormula>Tabela7[[#This Row],[Alongamento (mm/mm)]]/$I$2</calculatedColumnFormula>
    </tableColumn>
    <tableColumn id="4" xr3:uid="{1BB42276-84CA-40A9-9D40-CDDDEBABAD7A}" name="Força (N)" dataDxfId="19"/>
    <tableColumn id="5" xr3:uid="{F3603B28-3E6C-4B3E-A9FB-75E901F2B609}" name="Tensão (Pa)" dataDxfId="18">
      <calculatedColumnFormula>Tabela7[[#This Row],[Força (N)]]/$I$5</calculatedColumnFormula>
    </tableColumn>
    <tableColumn id="6" xr3:uid="{445A0CB0-8731-48D2-A72F-B23740AC5570}" name="Tensão (MPa)" dataDxfId="17">
      <calculatedColumnFormula>Tabela7[[#This Row],[Tensão (Pa)]]/1000000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03B556-C42B-4787-8189-D0D67E5FE766}" name="Tabela8" displayName="Tabela8" ref="H1:K3" totalsRowShown="0">
  <autoFilter ref="H1:K3" xr:uid="{8D03B556-C42B-4787-8189-D0D67E5FE766}"/>
  <tableColumns count="4">
    <tableColumn id="1" xr3:uid="{23379069-3D58-44D2-8110-EEB0EF150604}" name="Unidade"/>
    <tableColumn id="2" xr3:uid="{19EB50CC-6DE7-480F-8D9D-E5FB0D564BE7}" name="Comprimento"/>
    <tableColumn id="3" xr3:uid="{F0302948-546C-4B2A-81D1-B1E9BF994861}" name="Largura"/>
    <tableColumn id="4" xr3:uid="{112544F8-1946-45B9-8957-DBEA49806280}" name="Espessura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BC9C59-3AA7-474D-99DB-F9292877BB60}" name="Tabela9" displayName="Tabela9" ref="A1:F589" totalsRowShown="0" headerRowDxfId="16" dataDxfId="15">
  <autoFilter ref="A1:F589" xr:uid="{A4BC9C59-3AA7-474D-99DB-F9292877BB60}"/>
  <tableColumns count="6">
    <tableColumn id="1" xr3:uid="{15F6CFD8-4C9C-4181-A300-5E1BAF0B379B}" name="Tempo(s)" dataDxfId="14"/>
    <tableColumn id="2" xr3:uid="{799EAB7C-8184-4CD1-9A43-AA75391E67FC}" name="Alongamento (mm/mm)" dataDxfId="13"/>
    <tableColumn id="3" xr3:uid="{54D7E19E-8513-4B57-9C82-DEBCFB28C2C2}" name="Deformação (mm/mm)" dataDxfId="12">
      <calculatedColumnFormula>Tabela9[[#This Row],[Alongamento (mm/mm)]]/$I$2</calculatedColumnFormula>
    </tableColumn>
    <tableColumn id="4" xr3:uid="{A4963CB6-CD90-4FD2-AA6F-342C52989C9F}" name="Força (N)" dataDxfId="11"/>
    <tableColumn id="5" xr3:uid="{27B4E69F-3EA8-4A3A-AE11-FDAEB035FF74}" name="Tensão (Pa)" dataDxfId="10">
      <calculatedColumnFormula>Tabela9[[#This Row],[Força (N)]]/$I$5</calculatedColumnFormula>
    </tableColumn>
    <tableColumn id="6" xr3:uid="{4B666D3B-8EF6-494F-B2E4-78B9D843A22B}" name="Tensão (MPa)" dataDxfId="9">
      <calculatedColumnFormula>Tabela9[[#This Row],[Tensão (Pa)]]/1000000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CA6E7F-A076-4AC1-9838-96C89A95A92E}" name="Tabela10" displayName="Tabela10" ref="H1:K3" totalsRowShown="0">
  <autoFilter ref="H1:K3" xr:uid="{FACA6E7F-A076-4AC1-9838-96C89A95A92E}"/>
  <tableColumns count="4">
    <tableColumn id="1" xr3:uid="{0C0038EE-DF7C-4325-BB04-1B0339DD50CE}" name="Unidade"/>
    <tableColumn id="2" xr3:uid="{FAFE6A8C-307F-4A26-9F0C-A9FE23C514C9}" name="Comprimento"/>
    <tableColumn id="3" xr3:uid="{9DA20D90-5DB7-4D7D-B2B6-C54E67B24B23}" name="Largura"/>
    <tableColumn id="4" xr3:uid="{9316C34D-9402-4988-8880-AC4F7A0DBA00}" name="Espessura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C2C76-117B-4D9D-9F72-CD6449DFD6FF}" name="Tabela1" displayName="Tabela1" ref="A1:F573" totalsRowShown="0" headerRowDxfId="8" dataDxfId="7">
  <autoFilter ref="A1:F573" xr:uid="{9CCC2C76-117B-4D9D-9F72-CD6449DFD6FF}"/>
  <tableColumns count="6">
    <tableColumn id="1" xr3:uid="{3894549A-9516-4CDF-85B3-938F7B0B4400}" name="Tempo(s)" dataDxfId="6"/>
    <tableColumn id="2" xr3:uid="{25267AF5-7FFC-4219-B5D7-C180A56D353D}" name="Alongamento (mm/mm)" dataDxfId="5"/>
    <tableColumn id="3" xr3:uid="{6DB26DA7-5050-4ADE-AA31-35734CFB5EDD}" name="Deformação (mm/mm)" dataDxfId="4">
      <calculatedColumnFormula>Tabela1[[#This Row],[Alongamento (mm/mm)]]/$I$2</calculatedColumnFormula>
    </tableColumn>
    <tableColumn id="4" xr3:uid="{B1AE63D3-2ED7-4D27-BD4D-AB6B016ED7DF}" name="Força (N)" dataDxfId="3"/>
    <tableColumn id="5" xr3:uid="{E84248B2-ACA9-4344-A820-CE0119D7D62B}" name="Tensão (Pa)" dataDxfId="2">
      <calculatedColumnFormula>Tabela1[[#This Row],[Força (N)]]/$I$5</calculatedColumnFormula>
    </tableColumn>
    <tableColumn id="6" xr3:uid="{09942E40-CDCF-4EF4-A158-7DB6C4864FDA}" name="Tensão (MPa)" dataDxfId="1">
      <calculatedColumnFormula>Tabela1[[#This Row],[Tensão (Pa)]]/1000000</calculatedColumnFormula>
    </tableColumn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C283B9-0C82-4EE9-9E12-4124C2869E9F}" name="Tabela2" displayName="Tabela2" ref="H1:K3" totalsRowShown="0">
  <autoFilter ref="H1:K3" xr:uid="{2AC283B9-0C82-4EE9-9E12-4124C2869E9F}"/>
  <tableColumns count="4">
    <tableColumn id="1" xr3:uid="{6D4CAF1B-CE18-4FA0-ABFA-7D41C2B93395}" name="Unidade"/>
    <tableColumn id="2" xr3:uid="{DCFBFA6E-BC8E-4499-977B-0A1D84524258}" name="Comprimento"/>
    <tableColumn id="3" xr3:uid="{CD42EE61-1852-474E-A048-4974CC2C4C19}" name="Largura"/>
    <tableColumn id="4" xr3:uid="{6863CE6F-A97D-4050-82BE-FAF5521CA121}" name="Espessura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B35FD8-DBFF-4A02-B1C2-DEFE451045B5}" name="Tabela11" displayName="Tabela11" ref="F24:H25" totalsRowShown="0">
  <autoFilter ref="F24:H25" xr:uid="{98B35FD8-DBFF-4A02-B1C2-DEFE451045B5}"/>
  <tableColumns count="3">
    <tableColumn id="1" xr3:uid="{46031FD5-7EE0-41E5-B088-4A7887639317}" name="Desvio Padrão">
      <calculatedColumnFormula>STDEV('A22-1'!F584,'A22-2'!F596,'A22-3'!F600,'A22-4'!F589,'A22-5'!F573)</calculatedColumnFormula>
    </tableColumn>
    <tableColumn id="2" xr3:uid="{BC53939A-8A4C-485F-A380-2E0DA73CB8DC}" name="Média" dataDxfId="0">
      <calculatedColumnFormula>AVERAGE('A22-1'!F584,'A22-2'!F596,'A22-3'!F600,'A22-4'!F589,'A22-5'!F573)</calculatedColumnFormula>
    </tableColumn>
    <tableColumn id="3" xr3:uid="{17F47774-8F0D-49EA-A14A-42B1B3F2F59C}" name="media força maxima">
      <calculatedColumnFormula>AVERAGE('A22-1'!D584,'A22-2'!D596,'A22-3'!D600,'A22-4'!D589,'A22-5'!D573)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4"/>
  <sheetViews>
    <sheetView workbookViewId="0">
      <selection activeCell="H1" sqref="H1:K3"/>
    </sheetView>
  </sheetViews>
  <sheetFormatPr defaultRowHeight="14.4" x14ac:dyDescent="0.3"/>
  <cols>
    <col min="1" max="1" width="11.88671875" bestFit="1" customWidth="1"/>
    <col min="2" max="2" width="25.5546875" bestFit="1" customWidth="1"/>
    <col min="3" max="3" width="24.44140625" bestFit="1" customWidth="1"/>
    <col min="4" max="4" width="11.44140625" bestFit="1" customWidth="1"/>
    <col min="5" max="5" width="13.5546875" bestFit="1" customWidth="1"/>
    <col min="6" max="6" width="15.5546875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3">
      <c r="A2" s="2">
        <v>1.6667000000000001E-2</v>
      </c>
      <c r="B2" s="2">
        <v>0</v>
      </c>
      <c r="C2" s="1">
        <f>Tabela3[[#This Row],[Alongamento (mm/mm)]]/$I$2</f>
        <v>0</v>
      </c>
      <c r="D2" s="2">
        <v>0</v>
      </c>
      <c r="E2" s="1">
        <f>Tabela3[[#This Row],[Força (N)]]/$I$5</f>
        <v>0</v>
      </c>
      <c r="F2" s="1">
        <f>Tabela3[[#This Row],[Tensão (Pa)]]/1000000</f>
        <v>0</v>
      </c>
      <c r="H2" t="s">
        <v>10</v>
      </c>
      <c r="I2">
        <v>50</v>
      </c>
      <c r="J2">
        <v>12.83</v>
      </c>
      <c r="K2">
        <v>3.29</v>
      </c>
      <c r="L2" t="s">
        <v>11</v>
      </c>
    </row>
    <row r="3" spans="1:12" x14ac:dyDescent="0.3">
      <c r="A3" s="2">
        <v>8.3833000000000002</v>
      </c>
      <c r="B3" s="2">
        <v>0.69160999999999995</v>
      </c>
      <c r="C3" s="1">
        <f>Tabela3[[#This Row],[Alongamento (mm/mm)]]/$I$2</f>
        <v>1.3832199999999999E-2</v>
      </c>
      <c r="D3" s="2">
        <v>12.077</v>
      </c>
      <c r="E3" s="1">
        <f>Tabela3[[#This Row],[Força (N)]]/$I$5</f>
        <v>286112.28906414728</v>
      </c>
      <c r="F3" s="1">
        <f>Tabela3[[#This Row],[Tensão (Pa)]]/1000000</f>
        <v>0.28611228906414726</v>
      </c>
      <c r="H3" t="s">
        <v>12</v>
      </c>
      <c r="I3">
        <f>I2/1000</f>
        <v>0.05</v>
      </c>
      <c r="J3">
        <f t="shared" ref="J3:K3" si="0">J2/1000</f>
        <v>1.2829999999999999E-2</v>
      </c>
      <c r="K3">
        <f t="shared" si="0"/>
        <v>3.29E-3</v>
      </c>
    </row>
    <row r="4" spans="1:12" x14ac:dyDescent="0.3">
      <c r="A4" s="2">
        <v>8.4499999999999993</v>
      </c>
      <c r="B4" s="2">
        <v>0.69718999999999998</v>
      </c>
      <c r="C4" s="1">
        <f>Tabela3[[#This Row],[Alongamento (mm/mm)]]/$I$2</f>
        <v>1.3943799999999999E-2</v>
      </c>
      <c r="D4" s="2">
        <v>12.077</v>
      </c>
      <c r="E4" s="1">
        <f>Tabela3[[#This Row],[Força (N)]]/$I$5</f>
        <v>286112.28906414728</v>
      </c>
      <c r="F4" s="1">
        <f>Tabela3[[#This Row],[Tensão (Pa)]]/1000000</f>
        <v>0.28611228906414726</v>
      </c>
    </row>
    <row r="5" spans="1:12" x14ac:dyDescent="0.3">
      <c r="A5" s="2">
        <v>8.5167000000000002</v>
      </c>
      <c r="B5" s="2">
        <v>0.70267999999999997</v>
      </c>
      <c r="C5" s="1">
        <f>Tabela3[[#This Row],[Alongamento (mm/mm)]]/$I$2</f>
        <v>1.4053599999999999E-2</v>
      </c>
      <c r="D5" s="2">
        <v>12.077</v>
      </c>
      <c r="E5" s="1">
        <f>Tabela3[[#This Row],[Força (N)]]/$I$5</f>
        <v>286112.28906414728</v>
      </c>
      <c r="F5" s="1">
        <f>Tabela3[[#This Row],[Tensão (Pa)]]/1000000</f>
        <v>0.28611228906414726</v>
      </c>
      <c r="H5" t="s">
        <v>13</v>
      </c>
      <c r="I5">
        <f>J3*K3</f>
        <v>4.2210699999999999E-5</v>
      </c>
    </row>
    <row r="6" spans="1:12" x14ac:dyDescent="0.3">
      <c r="A6" s="2">
        <v>8.5832999999999995</v>
      </c>
      <c r="B6" s="2">
        <v>0.70826</v>
      </c>
      <c r="C6" s="1">
        <f>Tabela3[[#This Row],[Alongamento (mm/mm)]]/$I$2</f>
        <v>1.4165199999999999E-2</v>
      </c>
      <c r="D6" s="2">
        <v>12.077</v>
      </c>
      <c r="E6" s="1">
        <f>Tabela3[[#This Row],[Força (N)]]/$I$5</f>
        <v>286112.28906414728</v>
      </c>
      <c r="F6" s="1">
        <f>Tabela3[[#This Row],[Tensão (Pa)]]/1000000</f>
        <v>0.28611228906414726</v>
      </c>
    </row>
    <row r="7" spans="1:12" x14ac:dyDescent="0.3">
      <c r="A7" s="2">
        <v>8.65</v>
      </c>
      <c r="B7" s="2">
        <v>0.71384999999999998</v>
      </c>
      <c r="C7" s="1">
        <f>Tabela3[[#This Row],[Alongamento (mm/mm)]]/$I$2</f>
        <v>1.4277E-2</v>
      </c>
      <c r="D7" s="2">
        <v>12.077</v>
      </c>
      <c r="E7" s="1">
        <f>Tabela3[[#This Row],[Força (N)]]/$I$5</f>
        <v>286112.28906414728</v>
      </c>
      <c r="F7" s="1">
        <f>Tabela3[[#This Row],[Tensão (Pa)]]/1000000</f>
        <v>0.28611228906414726</v>
      </c>
    </row>
    <row r="8" spans="1:12" x14ac:dyDescent="0.3">
      <c r="A8" s="2">
        <v>8.7166999999999994</v>
      </c>
      <c r="B8" s="2">
        <v>0.71933999999999998</v>
      </c>
      <c r="C8" s="1">
        <f>Tabela3[[#This Row],[Alongamento (mm/mm)]]/$I$2</f>
        <v>1.43868E-2</v>
      </c>
      <c r="D8" s="2">
        <v>11.907</v>
      </c>
      <c r="E8" s="1">
        <f>Tabela3[[#This Row],[Força (N)]]/$I$5</f>
        <v>282084.87421435799</v>
      </c>
      <c r="F8" s="1">
        <f>Tabela3[[#This Row],[Tensão (Pa)]]/1000000</f>
        <v>0.28208487421435796</v>
      </c>
    </row>
    <row r="9" spans="1:12" x14ac:dyDescent="0.3">
      <c r="A9" s="2">
        <v>8.7833000000000006</v>
      </c>
      <c r="B9" s="2">
        <v>0.72492000000000001</v>
      </c>
      <c r="C9" s="1">
        <f>Tabela3[[#This Row],[Alongamento (mm/mm)]]/$I$2</f>
        <v>1.44984E-2</v>
      </c>
      <c r="D9" s="2">
        <v>11.907</v>
      </c>
      <c r="E9" s="1">
        <f>Tabela3[[#This Row],[Força (N)]]/$I$5</f>
        <v>282084.87421435799</v>
      </c>
      <c r="F9" s="1">
        <f>Tabela3[[#This Row],[Tensão (Pa)]]/1000000</f>
        <v>0.28208487421435796</v>
      </c>
    </row>
    <row r="10" spans="1:12" x14ac:dyDescent="0.3">
      <c r="A10" s="2">
        <v>8.8666999999999998</v>
      </c>
      <c r="B10" s="2">
        <v>0.7319</v>
      </c>
      <c r="C10" s="1">
        <f>Tabela3[[#This Row],[Alongamento (mm/mm)]]/$I$2</f>
        <v>1.4638E-2</v>
      </c>
      <c r="D10" s="2">
        <v>12.077</v>
      </c>
      <c r="E10" s="1">
        <f>Tabela3[[#This Row],[Força (N)]]/$I$5</f>
        <v>286112.28906414728</v>
      </c>
      <c r="F10" s="1">
        <f>Tabela3[[#This Row],[Tensão (Pa)]]/1000000</f>
        <v>0.28611228906414726</v>
      </c>
    </row>
    <row r="11" spans="1:12" x14ac:dyDescent="0.3">
      <c r="A11" s="2">
        <v>8.9499999999999993</v>
      </c>
      <c r="B11" s="2">
        <v>0.73887999999999998</v>
      </c>
      <c r="C11" s="1">
        <f>Tabela3[[#This Row],[Alongamento (mm/mm)]]/$I$2</f>
        <v>1.47776E-2</v>
      </c>
      <c r="D11" s="2">
        <v>11.907</v>
      </c>
      <c r="E11" s="1">
        <f>Tabela3[[#This Row],[Força (N)]]/$I$5</f>
        <v>282084.87421435799</v>
      </c>
      <c r="F11" s="1">
        <f>Tabela3[[#This Row],[Tensão (Pa)]]/1000000</f>
        <v>0.28208487421435796</v>
      </c>
    </row>
    <row r="12" spans="1:12" x14ac:dyDescent="0.3">
      <c r="A12" s="2">
        <v>9.0333000000000006</v>
      </c>
      <c r="B12" s="2">
        <v>0.74577000000000004</v>
      </c>
      <c r="C12" s="1">
        <f>Tabela3[[#This Row],[Alongamento (mm/mm)]]/$I$2</f>
        <v>1.4915400000000001E-2</v>
      </c>
      <c r="D12" s="2">
        <v>11.907</v>
      </c>
      <c r="E12" s="1">
        <f>Tabela3[[#This Row],[Força (N)]]/$I$5</f>
        <v>282084.87421435799</v>
      </c>
      <c r="F12" s="1">
        <f>Tabela3[[#This Row],[Tensão (Pa)]]/1000000</f>
        <v>0.28208487421435796</v>
      </c>
    </row>
    <row r="13" spans="1:12" x14ac:dyDescent="0.3">
      <c r="A13" s="2">
        <v>9.1166999999999998</v>
      </c>
      <c r="B13" s="2">
        <v>0.75275000000000003</v>
      </c>
      <c r="C13" s="1">
        <f>Tabela3[[#This Row],[Alongamento (mm/mm)]]/$I$2</f>
        <v>1.5055000000000001E-2</v>
      </c>
      <c r="D13" s="2">
        <v>11.907</v>
      </c>
      <c r="E13" s="1">
        <f>Tabela3[[#This Row],[Força (N)]]/$I$5</f>
        <v>282084.87421435799</v>
      </c>
      <c r="F13" s="1">
        <f>Tabela3[[#This Row],[Tensão (Pa)]]/1000000</f>
        <v>0.28208487421435796</v>
      </c>
    </row>
    <row r="14" spans="1:12" x14ac:dyDescent="0.3">
      <c r="A14" s="2">
        <v>9.1999999999999993</v>
      </c>
      <c r="B14" s="2">
        <v>0.75963000000000003</v>
      </c>
      <c r="C14" s="1">
        <f>Tabela3[[#This Row],[Alongamento (mm/mm)]]/$I$2</f>
        <v>1.5192600000000001E-2</v>
      </c>
      <c r="D14" s="2">
        <v>12.077</v>
      </c>
      <c r="E14" s="1">
        <f>Tabela3[[#This Row],[Força (N)]]/$I$5</f>
        <v>286112.28906414728</v>
      </c>
      <c r="F14" s="1">
        <f>Tabela3[[#This Row],[Tensão (Pa)]]/1000000</f>
        <v>0.28611228906414726</v>
      </c>
    </row>
    <row r="15" spans="1:12" x14ac:dyDescent="0.3">
      <c r="A15" s="2">
        <v>9.2833000000000006</v>
      </c>
      <c r="B15" s="2">
        <v>0.76651999999999998</v>
      </c>
      <c r="C15" s="1">
        <f>Tabela3[[#This Row],[Alongamento (mm/mm)]]/$I$2</f>
        <v>1.5330399999999999E-2</v>
      </c>
      <c r="D15" s="2">
        <v>12.077</v>
      </c>
      <c r="E15" s="1">
        <f>Tabela3[[#This Row],[Força (N)]]/$I$5</f>
        <v>286112.28906414728</v>
      </c>
      <c r="F15" s="1">
        <f>Tabela3[[#This Row],[Tensão (Pa)]]/1000000</f>
        <v>0.28611228906414726</v>
      </c>
    </row>
    <row r="16" spans="1:12" x14ac:dyDescent="0.3">
      <c r="A16" s="2">
        <v>9.3666999999999998</v>
      </c>
      <c r="B16" s="2">
        <v>0.77349999999999997</v>
      </c>
      <c r="C16" s="1">
        <f>Tabela3[[#This Row],[Alongamento (mm/mm)]]/$I$2</f>
        <v>1.5469999999999999E-2</v>
      </c>
      <c r="D16" s="2">
        <v>12.077</v>
      </c>
      <c r="E16" s="1">
        <f>Tabela3[[#This Row],[Força (N)]]/$I$5</f>
        <v>286112.28906414728</v>
      </c>
      <c r="F16" s="1">
        <f>Tabela3[[#This Row],[Tensão (Pa)]]/1000000</f>
        <v>0.28611228906414726</v>
      </c>
    </row>
    <row r="17" spans="1:6" x14ac:dyDescent="0.3">
      <c r="A17" s="2">
        <v>9.4499999999999993</v>
      </c>
      <c r="B17" s="2">
        <v>0.78047999999999995</v>
      </c>
      <c r="C17" s="1">
        <f>Tabela3[[#This Row],[Alongamento (mm/mm)]]/$I$2</f>
        <v>1.56096E-2</v>
      </c>
      <c r="D17" s="2">
        <v>12.077</v>
      </c>
      <c r="E17" s="1">
        <f>Tabela3[[#This Row],[Força (N)]]/$I$5</f>
        <v>286112.28906414728</v>
      </c>
      <c r="F17" s="1">
        <f>Tabela3[[#This Row],[Tensão (Pa)]]/1000000</f>
        <v>0.28611228906414726</v>
      </c>
    </row>
    <row r="18" spans="1:6" x14ac:dyDescent="0.3">
      <c r="A18" s="2">
        <v>9.5333000000000006</v>
      </c>
      <c r="B18" s="2">
        <v>0.78735999999999995</v>
      </c>
      <c r="C18" s="1">
        <f>Tabela3[[#This Row],[Alongamento (mm/mm)]]/$I$2</f>
        <v>1.5747199999999999E-2</v>
      </c>
      <c r="D18" s="2">
        <v>12.077</v>
      </c>
      <c r="E18" s="1">
        <f>Tabela3[[#This Row],[Força (N)]]/$I$5</f>
        <v>286112.28906414728</v>
      </c>
      <c r="F18" s="1">
        <f>Tabela3[[#This Row],[Tensão (Pa)]]/1000000</f>
        <v>0.28611228906414726</v>
      </c>
    </row>
    <row r="19" spans="1:6" x14ac:dyDescent="0.3">
      <c r="A19" s="2">
        <v>9.6166999999999998</v>
      </c>
      <c r="B19" s="2">
        <v>0.79444000000000004</v>
      </c>
      <c r="C19" s="1">
        <f>Tabela3[[#This Row],[Alongamento (mm/mm)]]/$I$2</f>
        <v>1.5888800000000002E-2</v>
      </c>
      <c r="D19" s="2">
        <v>12.077</v>
      </c>
      <c r="E19" s="1">
        <f>Tabela3[[#This Row],[Força (N)]]/$I$5</f>
        <v>286112.28906414728</v>
      </c>
      <c r="F19" s="1">
        <f>Tabela3[[#This Row],[Tensão (Pa)]]/1000000</f>
        <v>0.28611228906414726</v>
      </c>
    </row>
    <row r="20" spans="1:6" x14ac:dyDescent="0.3">
      <c r="A20" s="2">
        <v>9.6999999999999993</v>
      </c>
      <c r="B20" s="2">
        <v>0.80132000000000003</v>
      </c>
      <c r="C20" s="1">
        <f>Tabela3[[#This Row],[Alongamento (mm/mm)]]/$I$2</f>
        <v>1.60264E-2</v>
      </c>
      <c r="D20" s="2">
        <v>12.077</v>
      </c>
      <c r="E20" s="1">
        <f>Tabela3[[#This Row],[Força (N)]]/$I$5</f>
        <v>286112.28906414728</v>
      </c>
      <c r="F20" s="1">
        <f>Tabela3[[#This Row],[Tensão (Pa)]]/1000000</f>
        <v>0.28611228906414726</v>
      </c>
    </row>
    <row r="21" spans="1:6" x14ac:dyDescent="0.3">
      <c r="A21" s="2">
        <v>9.7833000000000006</v>
      </c>
      <c r="B21" s="2">
        <v>0.80820999999999998</v>
      </c>
      <c r="C21" s="1">
        <f>Tabela3[[#This Row],[Alongamento (mm/mm)]]/$I$2</f>
        <v>1.61642E-2</v>
      </c>
      <c r="D21" s="2">
        <v>12.247</v>
      </c>
      <c r="E21" s="1">
        <f>Tabela3[[#This Row],[Força (N)]]/$I$5</f>
        <v>290139.70391393651</v>
      </c>
      <c r="F21" s="1">
        <f>Tabela3[[#This Row],[Tensão (Pa)]]/1000000</f>
        <v>0.29013970391393651</v>
      </c>
    </row>
    <row r="22" spans="1:6" x14ac:dyDescent="0.3">
      <c r="A22" s="2">
        <v>9.8666999999999998</v>
      </c>
      <c r="B22" s="2">
        <v>0.81518999999999997</v>
      </c>
      <c r="C22" s="1">
        <f>Tabela3[[#This Row],[Alongamento (mm/mm)]]/$I$2</f>
        <v>1.63038E-2</v>
      </c>
      <c r="D22" s="2">
        <v>12.247</v>
      </c>
      <c r="E22" s="1">
        <f>Tabela3[[#This Row],[Força (N)]]/$I$5</f>
        <v>290139.70391393651</v>
      </c>
      <c r="F22" s="1">
        <f>Tabela3[[#This Row],[Tensão (Pa)]]/1000000</f>
        <v>0.29013970391393651</v>
      </c>
    </row>
    <row r="23" spans="1:6" x14ac:dyDescent="0.3">
      <c r="A23" s="2">
        <v>9.9499999999999993</v>
      </c>
      <c r="B23" s="2">
        <v>0.82216999999999996</v>
      </c>
      <c r="C23" s="1">
        <f>Tabela3[[#This Row],[Alongamento (mm/mm)]]/$I$2</f>
        <v>1.64434E-2</v>
      </c>
      <c r="D23" s="2">
        <v>12.247</v>
      </c>
      <c r="E23" s="1">
        <f>Tabela3[[#This Row],[Força (N)]]/$I$5</f>
        <v>290139.70391393651</v>
      </c>
      <c r="F23" s="1">
        <f>Tabela3[[#This Row],[Tensão (Pa)]]/1000000</f>
        <v>0.29013970391393651</v>
      </c>
    </row>
    <row r="24" spans="1:6" x14ac:dyDescent="0.3">
      <c r="A24" s="2">
        <v>10.032999999999999</v>
      </c>
      <c r="B24" s="2">
        <v>0.82904999999999995</v>
      </c>
      <c r="C24" s="1">
        <f>Tabela3[[#This Row],[Alongamento (mm/mm)]]/$I$2</f>
        <v>1.6580999999999999E-2</v>
      </c>
      <c r="D24" s="2">
        <v>12.247</v>
      </c>
      <c r="E24" s="1">
        <f>Tabela3[[#This Row],[Força (N)]]/$I$5</f>
        <v>290139.70391393651</v>
      </c>
      <c r="F24" s="1">
        <f>Tabela3[[#This Row],[Tensão (Pa)]]/1000000</f>
        <v>0.29013970391393651</v>
      </c>
    </row>
    <row r="25" spans="1:6" x14ac:dyDescent="0.3">
      <c r="A25" s="2">
        <v>10.117000000000001</v>
      </c>
      <c r="B25" s="2">
        <v>0.83603000000000005</v>
      </c>
      <c r="C25" s="1">
        <f>Tabela3[[#This Row],[Alongamento (mm/mm)]]/$I$2</f>
        <v>1.6720600000000002E-2</v>
      </c>
      <c r="D25" s="2">
        <v>12.247</v>
      </c>
      <c r="E25" s="1">
        <f>Tabela3[[#This Row],[Força (N)]]/$I$5</f>
        <v>290139.70391393651</v>
      </c>
      <c r="F25" s="1">
        <f>Tabela3[[#This Row],[Tensão (Pa)]]/1000000</f>
        <v>0.29013970391393651</v>
      </c>
    </row>
    <row r="26" spans="1:6" x14ac:dyDescent="0.3">
      <c r="A26" s="2">
        <v>10.199999999999999</v>
      </c>
      <c r="B26" s="2">
        <v>0.84301000000000004</v>
      </c>
      <c r="C26" s="1">
        <f>Tabela3[[#This Row],[Alongamento (mm/mm)]]/$I$2</f>
        <v>1.6860200000000002E-2</v>
      </c>
      <c r="D26" s="2">
        <v>12.417</v>
      </c>
      <c r="E26" s="1">
        <f>Tabela3[[#This Row],[Força (N)]]/$I$5</f>
        <v>294167.1187637258</v>
      </c>
      <c r="F26" s="1">
        <f>Tabela3[[#This Row],[Tensão (Pa)]]/1000000</f>
        <v>0.29416711876372581</v>
      </c>
    </row>
    <row r="27" spans="1:6" x14ac:dyDescent="0.3">
      <c r="A27" s="2">
        <v>10.282999999999999</v>
      </c>
      <c r="B27" s="2">
        <v>0.84999000000000002</v>
      </c>
      <c r="C27" s="1">
        <f>Tabela3[[#This Row],[Alongamento (mm/mm)]]/$I$2</f>
        <v>1.6999799999999999E-2</v>
      </c>
      <c r="D27" s="2">
        <v>12.928000000000001</v>
      </c>
      <c r="E27" s="1">
        <f>Tabela3[[#This Row],[Força (N)]]/$I$5</f>
        <v>306273.05398868065</v>
      </c>
      <c r="F27" s="1">
        <f>Tabela3[[#This Row],[Tensão (Pa)]]/1000000</f>
        <v>0.30627305398868065</v>
      </c>
    </row>
    <row r="28" spans="1:6" x14ac:dyDescent="0.3">
      <c r="A28" s="2">
        <v>10.367000000000001</v>
      </c>
      <c r="B28" s="2">
        <v>0.85697000000000001</v>
      </c>
      <c r="C28" s="1">
        <f>Tabela3[[#This Row],[Alongamento (mm/mm)]]/$I$2</f>
        <v>1.7139399999999999E-2</v>
      </c>
      <c r="D28" s="2">
        <v>13.268000000000001</v>
      </c>
      <c r="E28" s="1">
        <f>Tabela3[[#This Row],[Força (N)]]/$I$5</f>
        <v>314327.88368825917</v>
      </c>
      <c r="F28" s="1">
        <f>Tabela3[[#This Row],[Tensão (Pa)]]/1000000</f>
        <v>0.31432788368825915</v>
      </c>
    </row>
    <row r="29" spans="1:6" x14ac:dyDescent="0.3">
      <c r="A29" s="2">
        <v>10.45</v>
      </c>
      <c r="B29" s="2">
        <v>0.86385999999999996</v>
      </c>
      <c r="C29" s="1">
        <f>Tabela3[[#This Row],[Alongamento (mm/mm)]]/$I$2</f>
        <v>1.72772E-2</v>
      </c>
      <c r="D29" s="2">
        <v>13.438000000000001</v>
      </c>
      <c r="E29" s="1">
        <f>Tabela3[[#This Row],[Força (N)]]/$I$5</f>
        <v>318355.29853804846</v>
      </c>
      <c r="F29" s="1">
        <f>Tabela3[[#This Row],[Tensão (Pa)]]/1000000</f>
        <v>0.31835529853804845</v>
      </c>
    </row>
    <row r="30" spans="1:6" x14ac:dyDescent="0.3">
      <c r="A30" s="2">
        <v>10.532999999999999</v>
      </c>
      <c r="B30" s="2">
        <v>0.87073999999999996</v>
      </c>
      <c r="C30" s="1">
        <f>Tabela3[[#This Row],[Alongamento (mm/mm)]]/$I$2</f>
        <v>1.7414799999999998E-2</v>
      </c>
      <c r="D30" s="2">
        <v>13.608000000000001</v>
      </c>
      <c r="E30" s="1">
        <f>Tabela3[[#This Row],[Força (N)]]/$I$5</f>
        <v>322382.71338783769</v>
      </c>
      <c r="F30" s="1">
        <f>Tabela3[[#This Row],[Tensão (Pa)]]/1000000</f>
        <v>0.32238271338783769</v>
      </c>
    </row>
    <row r="31" spans="1:6" x14ac:dyDescent="0.3">
      <c r="A31" s="2">
        <v>10.617000000000001</v>
      </c>
      <c r="B31" s="2">
        <v>0.87771999999999994</v>
      </c>
      <c r="C31" s="1">
        <f>Tabela3[[#This Row],[Alongamento (mm/mm)]]/$I$2</f>
        <v>1.7554399999999998E-2</v>
      </c>
      <c r="D31" s="2">
        <v>13.778</v>
      </c>
      <c r="E31" s="1">
        <f>Tabela3[[#This Row],[Força (N)]]/$I$5</f>
        <v>326410.12823762698</v>
      </c>
      <c r="F31" s="1">
        <f>Tabela3[[#This Row],[Tensão (Pa)]]/1000000</f>
        <v>0.326410128237627</v>
      </c>
    </row>
    <row r="32" spans="1:6" x14ac:dyDescent="0.3">
      <c r="A32" s="2">
        <v>10.7</v>
      </c>
      <c r="B32" s="2">
        <v>0.88470000000000004</v>
      </c>
      <c r="C32" s="1">
        <f>Tabela3[[#This Row],[Alongamento (mm/mm)]]/$I$2</f>
        <v>1.7694000000000001E-2</v>
      </c>
      <c r="D32" s="2">
        <v>13.778</v>
      </c>
      <c r="E32" s="1">
        <f>Tabela3[[#This Row],[Força (N)]]/$I$5</f>
        <v>326410.12823762698</v>
      </c>
      <c r="F32" s="1">
        <f>Tabela3[[#This Row],[Tensão (Pa)]]/1000000</f>
        <v>0.326410128237627</v>
      </c>
    </row>
    <row r="33" spans="1:6" x14ac:dyDescent="0.3">
      <c r="A33" s="2">
        <v>10.782999999999999</v>
      </c>
      <c r="B33" s="2">
        <v>0.89158999999999999</v>
      </c>
      <c r="C33" s="1">
        <f>Tabela3[[#This Row],[Alongamento (mm/mm)]]/$I$2</f>
        <v>1.7831799999999998E-2</v>
      </c>
      <c r="D33" s="2">
        <v>13.948</v>
      </c>
      <c r="E33" s="1">
        <f>Tabela3[[#This Row],[Força (N)]]/$I$5</f>
        <v>330437.54308741627</v>
      </c>
      <c r="F33" s="1">
        <f>Tabela3[[#This Row],[Tensão (Pa)]]/1000000</f>
        <v>0.3304375430874163</v>
      </c>
    </row>
    <row r="34" spans="1:6" x14ac:dyDescent="0.3">
      <c r="A34" s="2">
        <v>10.867000000000001</v>
      </c>
      <c r="B34" s="2">
        <v>0.89856999999999998</v>
      </c>
      <c r="C34" s="1">
        <f>Tabela3[[#This Row],[Alongamento (mm/mm)]]/$I$2</f>
        <v>1.7971399999999998E-2</v>
      </c>
      <c r="D34" s="2">
        <v>14.118</v>
      </c>
      <c r="E34" s="1">
        <f>Tabela3[[#This Row],[Força (N)]]/$I$5</f>
        <v>334464.9579372055</v>
      </c>
      <c r="F34" s="1">
        <f>Tabela3[[#This Row],[Tensão (Pa)]]/1000000</f>
        <v>0.33446495793720549</v>
      </c>
    </row>
    <row r="35" spans="1:6" x14ac:dyDescent="0.3">
      <c r="A35" s="2">
        <v>10.967000000000001</v>
      </c>
      <c r="B35" s="2">
        <v>0.90685000000000004</v>
      </c>
      <c r="C35" s="1">
        <f>Tabela3[[#This Row],[Alongamento (mm/mm)]]/$I$2</f>
        <v>1.8137E-2</v>
      </c>
      <c r="D35" s="2">
        <v>14.118</v>
      </c>
      <c r="E35" s="1">
        <f>Tabela3[[#This Row],[Força (N)]]/$I$5</f>
        <v>334464.9579372055</v>
      </c>
      <c r="F35" s="1">
        <f>Tabela3[[#This Row],[Tensão (Pa)]]/1000000</f>
        <v>0.33446495793720549</v>
      </c>
    </row>
    <row r="36" spans="1:6" x14ac:dyDescent="0.3">
      <c r="A36" s="2">
        <v>11.067</v>
      </c>
      <c r="B36" s="2">
        <v>0.91522999999999999</v>
      </c>
      <c r="C36" s="1">
        <f>Tabela3[[#This Row],[Alongamento (mm/mm)]]/$I$2</f>
        <v>1.8304600000000001E-2</v>
      </c>
      <c r="D36" s="2">
        <v>14.288</v>
      </c>
      <c r="E36" s="1">
        <f>Tabela3[[#This Row],[Força (N)]]/$I$5</f>
        <v>338492.37278699479</v>
      </c>
      <c r="F36" s="1">
        <f>Tabela3[[#This Row],[Tensão (Pa)]]/1000000</f>
        <v>0.33849237278699479</v>
      </c>
    </row>
    <row r="37" spans="1:6" x14ac:dyDescent="0.3">
      <c r="A37" s="2">
        <v>11.167</v>
      </c>
      <c r="B37" s="2">
        <v>0.92351000000000005</v>
      </c>
      <c r="C37" s="1">
        <f>Tabela3[[#This Row],[Alongamento (mm/mm)]]/$I$2</f>
        <v>1.8470200000000003E-2</v>
      </c>
      <c r="D37" s="2">
        <v>14.458</v>
      </c>
      <c r="E37" s="1">
        <f>Tabela3[[#This Row],[Força (N)]]/$I$5</f>
        <v>342519.78763678408</v>
      </c>
      <c r="F37" s="1">
        <f>Tabela3[[#This Row],[Tensão (Pa)]]/1000000</f>
        <v>0.34251978763678409</v>
      </c>
    </row>
    <row r="38" spans="1:6" x14ac:dyDescent="0.3">
      <c r="A38" s="2">
        <v>11.266999999999999</v>
      </c>
      <c r="B38" s="2">
        <v>0.93188000000000004</v>
      </c>
      <c r="C38" s="1">
        <f>Tabela3[[#This Row],[Alongamento (mm/mm)]]/$I$2</f>
        <v>1.8637600000000001E-2</v>
      </c>
      <c r="D38" s="2">
        <v>14.458</v>
      </c>
      <c r="E38" s="1">
        <f>Tabela3[[#This Row],[Força (N)]]/$I$5</f>
        <v>342519.78763678408</v>
      </c>
      <c r="F38" s="1">
        <f>Tabela3[[#This Row],[Tensão (Pa)]]/1000000</f>
        <v>0.34251978763678409</v>
      </c>
    </row>
    <row r="39" spans="1:6" x14ac:dyDescent="0.3">
      <c r="A39" s="2">
        <v>11.367000000000001</v>
      </c>
      <c r="B39" s="2">
        <v>0.94025999999999998</v>
      </c>
      <c r="C39" s="1">
        <f>Tabela3[[#This Row],[Alongamento (mm/mm)]]/$I$2</f>
        <v>1.8805200000000001E-2</v>
      </c>
      <c r="D39" s="2">
        <v>14.288</v>
      </c>
      <c r="E39" s="1">
        <f>Tabela3[[#This Row],[Força (N)]]/$I$5</f>
        <v>338492.37278699479</v>
      </c>
      <c r="F39" s="1">
        <f>Tabela3[[#This Row],[Tensão (Pa)]]/1000000</f>
        <v>0.33849237278699479</v>
      </c>
    </row>
    <row r="40" spans="1:6" x14ac:dyDescent="0.3">
      <c r="A40" s="2">
        <v>11.467000000000001</v>
      </c>
      <c r="B40" s="2">
        <v>0.94854000000000005</v>
      </c>
      <c r="C40" s="1">
        <f>Tabela3[[#This Row],[Alongamento (mm/mm)]]/$I$2</f>
        <v>1.8970799999999999E-2</v>
      </c>
      <c r="D40" s="2">
        <v>14.458</v>
      </c>
      <c r="E40" s="1">
        <f>Tabela3[[#This Row],[Força (N)]]/$I$5</f>
        <v>342519.78763678408</v>
      </c>
      <c r="F40" s="1">
        <f>Tabela3[[#This Row],[Tensão (Pa)]]/1000000</f>
        <v>0.34251978763678409</v>
      </c>
    </row>
    <row r="41" spans="1:6" x14ac:dyDescent="0.3">
      <c r="A41" s="2">
        <v>11.567</v>
      </c>
      <c r="B41" s="2">
        <v>0.95691999999999999</v>
      </c>
      <c r="C41" s="1">
        <f>Tabela3[[#This Row],[Alongamento (mm/mm)]]/$I$2</f>
        <v>1.91384E-2</v>
      </c>
      <c r="D41" s="2">
        <v>14.458</v>
      </c>
      <c r="E41" s="1">
        <f>Tabela3[[#This Row],[Força (N)]]/$I$5</f>
        <v>342519.78763678408</v>
      </c>
      <c r="F41" s="1">
        <f>Tabela3[[#This Row],[Tensão (Pa)]]/1000000</f>
        <v>0.34251978763678409</v>
      </c>
    </row>
    <row r="42" spans="1:6" x14ac:dyDescent="0.3">
      <c r="A42" s="2">
        <v>11.667</v>
      </c>
      <c r="B42" s="2">
        <v>0.96519999999999995</v>
      </c>
      <c r="C42" s="1">
        <f>Tabela3[[#This Row],[Alongamento (mm/mm)]]/$I$2</f>
        <v>1.9303999999999998E-2</v>
      </c>
      <c r="D42" s="2">
        <v>14.458</v>
      </c>
      <c r="E42" s="1">
        <f>Tabela3[[#This Row],[Força (N)]]/$I$5</f>
        <v>342519.78763678408</v>
      </c>
      <c r="F42" s="1">
        <f>Tabela3[[#This Row],[Tensão (Pa)]]/1000000</f>
        <v>0.34251978763678409</v>
      </c>
    </row>
    <row r="43" spans="1:6" x14ac:dyDescent="0.3">
      <c r="A43" s="2">
        <v>11.766999999999999</v>
      </c>
      <c r="B43" s="2">
        <v>0.97348000000000001</v>
      </c>
      <c r="C43" s="1">
        <f>Tabela3[[#This Row],[Alongamento (mm/mm)]]/$I$2</f>
        <v>1.94696E-2</v>
      </c>
      <c r="D43" s="2">
        <v>14.458</v>
      </c>
      <c r="E43" s="1">
        <f>Tabela3[[#This Row],[Força (N)]]/$I$5</f>
        <v>342519.78763678408</v>
      </c>
      <c r="F43" s="1">
        <f>Tabela3[[#This Row],[Tensão (Pa)]]/1000000</f>
        <v>0.34251978763678409</v>
      </c>
    </row>
    <row r="44" spans="1:6" x14ac:dyDescent="0.3">
      <c r="A44" s="2">
        <v>11.867000000000001</v>
      </c>
      <c r="B44" s="2">
        <v>0.98185</v>
      </c>
      <c r="C44" s="1">
        <f>Tabela3[[#This Row],[Alongamento (mm/mm)]]/$I$2</f>
        <v>1.9637000000000002E-2</v>
      </c>
      <c r="D44" s="2">
        <v>14.458</v>
      </c>
      <c r="E44" s="1">
        <f>Tabela3[[#This Row],[Força (N)]]/$I$5</f>
        <v>342519.78763678408</v>
      </c>
      <c r="F44" s="1">
        <f>Tabela3[[#This Row],[Tensão (Pa)]]/1000000</f>
        <v>0.34251978763678409</v>
      </c>
    </row>
    <row r="45" spans="1:6" x14ac:dyDescent="0.3">
      <c r="A45" s="2">
        <v>11.967000000000001</v>
      </c>
      <c r="B45" s="2">
        <v>0.99023000000000005</v>
      </c>
      <c r="C45" s="1">
        <f>Tabela3[[#This Row],[Alongamento (mm/mm)]]/$I$2</f>
        <v>1.9804600000000002E-2</v>
      </c>
      <c r="D45" s="2">
        <v>14.458</v>
      </c>
      <c r="E45" s="1">
        <f>Tabela3[[#This Row],[Força (N)]]/$I$5</f>
        <v>342519.78763678408</v>
      </c>
      <c r="F45" s="1">
        <f>Tabela3[[#This Row],[Tensão (Pa)]]/1000000</f>
        <v>0.34251978763678409</v>
      </c>
    </row>
    <row r="46" spans="1:6" x14ac:dyDescent="0.3">
      <c r="A46" s="2">
        <v>12.067</v>
      </c>
      <c r="B46" s="2">
        <v>0.99851000000000001</v>
      </c>
      <c r="C46" s="1">
        <f>Tabela3[[#This Row],[Alongamento (mm/mm)]]/$I$2</f>
        <v>1.99702E-2</v>
      </c>
      <c r="D46" s="2">
        <v>14.458</v>
      </c>
      <c r="E46" s="1">
        <f>Tabela3[[#This Row],[Força (N)]]/$I$5</f>
        <v>342519.78763678408</v>
      </c>
      <c r="F46" s="1">
        <f>Tabela3[[#This Row],[Tensão (Pa)]]/1000000</f>
        <v>0.34251978763678409</v>
      </c>
    </row>
    <row r="47" spans="1:6" x14ac:dyDescent="0.3">
      <c r="A47" s="2">
        <v>12.167</v>
      </c>
      <c r="B47" s="2">
        <v>1.0068999999999999</v>
      </c>
      <c r="C47" s="1">
        <f>Tabela3[[#This Row],[Alongamento (mm/mm)]]/$I$2</f>
        <v>2.0138E-2</v>
      </c>
      <c r="D47" s="2">
        <v>14.458</v>
      </c>
      <c r="E47" s="1">
        <f>Tabela3[[#This Row],[Força (N)]]/$I$5</f>
        <v>342519.78763678408</v>
      </c>
      <c r="F47" s="1">
        <f>Tabela3[[#This Row],[Tensão (Pa)]]/1000000</f>
        <v>0.34251978763678409</v>
      </c>
    </row>
    <row r="48" spans="1:6" x14ac:dyDescent="0.3">
      <c r="A48" s="2">
        <v>12.266999999999999</v>
      </c>
      <c r="B48" s="2">
        <v>1.0152000000000001</v>
      </c>
      <c r="C48" s="1">
        <f>Tabela3[[#This Row],[Alongamento (mm/mm)]]/$I$2</f>
        <v>2.0304000000000003E-2</v>
      </c>
      <c r="D48" s="2">
        <v>14.458</v>
      </c>
      <c r="E48" s="1">
        <f>Tabela3[[#This Row],[Força (N)]]/$I$5</f>
        <v>342519.78763678408</v>
      </c>
      <c r="F48" s="1">
        <f>Tabela3[[#This Row],[Tensão (Pa)]]/1000000</f>
        <v>0.34251978763678409</v>
      </c>
    </row>
    <row r="49" spans="1:6" x14ac:dyDescent="0.3">
      <c r="A49" s="2">
        <v>12.367000000000001</v>
      </c>
      <c r="B49" s="2">
        <v>1.0235000000000001</v>
      </c>
      <c r="C49" s="1">
        <f>Tabela3[[#This Row],[Alongamento (mm/mm)]]/$I$2</f>
        <v>2.0470000000000002E-2</v>
      </c>
      <c r="D49" s="2">
        <v>14.628</v>
      </c>
      <c r="E49" s="1">
        <f>Tabela3[[#This Row],[Força (N)]]/$I$5</f>
        <v>346547.20248657331</v>
      </c>
      <c r="F49" s="1">
        <f>Tabela3[[#This Row],[Tensão (Pa)]]/1000000</f>
        <v>0.34654720248657334</v>
      </c>
    </row>
    <row r="50" spans="1:6" x14ac:dyDescent="0.3">
      <c r="A50" s="2">
        <v>12.467000000000001</v>
      </c>
      <c r="B50" s="2">
        <v>1.0319</v>
      </c>
      <c r="C50" s="1">
        <f>Tabela3[[#This Row],[Alongamento (mm/mm)]]/$I$2</f>
        <v>2.0638E-2</v>
      </c>
      <c r="D50" s="2">
        <v>14.458</v>
      </c>
      <c r="E50" s="1">
        <f>Tabela3[[#This Row],[Força (N)]]/$I$5</f>
        <v>342519.78763678408</v>
      </c>
      <c r="F50" s="1">
        <f>Tabela3[[#This Row],[Tensão (Pa)]]/1000000</f>
        <v>0.34251978763678409</v>
      </c>
    </row>
    <row r="51" spans="1:6" x14ac:dyDescent="0.3">
      <c r="A51" s="2">
        <v>12.567</v>
      </c>
      <c r="B51" s="2">
        <v>1.0402</v>
      </c>
      <c r="C51" s="1">
        <f>Tabela3[[#This Row],[Alongamento (mm/mm)]]/$I$2</f>
        <v>2.0804E-2</v>
      </c>
      <c r="D51" s="2">
        <v>14.628</v>
      </c>
      <c r="E51" s="1">
        <f>Tabela3[[#This Row],[Força (N)]]/$I$5</f>
        <v>346547.20248657331</v>
      </c>
      <c r="F51" s="1">
        <f>Tabela3[[#This Row],[Tensão (Pa)]]/1000000</f>
        <v>0.34654720248657334</v>
      </c>
    </row>
    <row r="52" spans="1:6" x14ac:dyDescent="0.3">
      <c r="A52" s="2">
        <v>12.667</v>
      </c>
      <c r="B52" s="2">
        <v>1.0486</v>
      </c>
      <c r="C52" s="1">
        <f>Tabela3[[#This Row],[Alongamento (mm/mm)]]/$I$2</f>
        <v>2.0972000000000001E-2</v>
      </c>
      <c r="D52" s="2">
        <v>14.628</v>
      </c>
      <c r="E52" s="1">
        <f>Tabela3[[#This Row],[Força (N)]]/$I$5</f>
        <v>346547.20248657331</v>
      </c>
      <c r="F52" s="1">
        <f>Tabela3[[#This Row],[Tensão (Pa)]]/1000000</f>
        <v>0.34654720248657334</v>
      </c>
    </row>
    <row r="53" spans="1:6" x14ac:dyDescent="0.3">
      <c r="A53" s="2">
        <v>12.766999999999999</v>
      </c>
      <c r="B53" s="2">
        <v>1.0569</v>
      </c>
      <c r="C53" s="1">
        <f>Tabela3[[#This Row],[Alongamento (mm/mm)]]/$I$2</f>
        <v>2.1138000000000001E-2</v>
      </c>
      <c r="D53" s="2">
        <v>14.628</v>
      </c>
      <c r="E53" s="1">
        <f>Tabela3[[#This Row],[Força (N)]]/$I$5</f>
        <v>346547.20248657331</v>
      </c>
      <c r="F53" s="1">
        <f>Tabela3[[#This Row],[Tensão (Pa)]]/1000000</f>
        <v>0.34654720248657334</v>
      </c>
    </row>
    <row r="54" spans="1:6" x14ac:dyDescent="0.3">
      <c r="A54" s="2">
        <v>12.867000000000001</v>
      </c>
      <c r="B54" s="2">
        <v>1.0651999999999999</v>
      </c>
      <c r="C54" s="1">
        <f>Tabela3[[#This Row],[Alongamento (mm/mm)]]/$I$2</f>
        <v>2.1304E-2</v>
      </c>
      <c r="D54" s="2">
        <v>14.628</v>
      </c>
      <c r="E54" s="1">
        <f>Tabela3[[#This Row],[Força (N)]]/$I$5</f>
        <v>346547.20248657331</v>
      </c>
      <c r="F54" s="1">
        <f>Tabela3[[#This Row],[Tensão (Pa)]]/1000000</f>
        <v>0.34654720248657334</v>
      </c>
    </row>
    <row r="55" spans="1:6" x14ac:dyDescent="0.3">
      <c r="A55" s="2">
        <v>12.967000000000001</v>
      </c>
      <c r="B55" s="2">
        <v>1.0734999999999999</v>
      </c>
      <c r="C55" s="1">
        <f>Tabela3[[#This Row],[Alongamento (mm/mm)]]/$I$2</f>
        <v>2.147E-2</v>
      </c>
      <c r="D55" s="2">
        <v>14.628</v>
      </c>
      <c r="E55" s="1">
        <f>Tabela3[[#This Row],[Força (N)]]/$I$5</f>
        <v>346547.20248657331</v>
      </c>
      <c r="F55" s="1">
        <f>Tabela3[[#This Row],[Tensão (Pa)]]/1000000</f>
        <v>0.34654720248657334</v>
      </c>
    </row>
    <row r="56" spans="1:6" x14ac:dyDescent="0.3">
      <c r="A56" s="2">
        <v>13.083</v>
      </c>
      <c r="B56" s="2">
        <v>1.0832999999999999</v>
      </c>
      <c r="C56" s="1">
        <f>Tabela3[[#This Row],[Alongamento (mm/mm)]]/$I$2</f>
        <v>2.1665999999999998E-2</v>
      </c>
      <c r="D56" s="2">
        <v>14.458</v>
      </c>
      <c r="E56" s="1">
        <f>Tabela3[[#This Row],[Força (N)]]/$I$5</f>
        <v>342519.78763678408</v>
      </c>
      <c r="F56" s="1">
        <f>Tabela3[[#This Row],[Tensão (Pa)]]/1000000</f>
        <v>0.34251978763678409</v>
      </c>
    </row>
    <row r="57" spans="1:6" x14ac:dyDescent="0.3">
      <c r="A57" s="2">
        <v>13.2</v>
      </c>
      <c r="B57" s="2">
        <v>1.093</v>
      </c>
      <c r="C57" s="1">
        <f>Tabela3[[#This Row],[Alongamento (mm/mm)]]/$I$2</f>
        <v>2.1860000000000001E-2</v>
      </c>
      <c r="D57" s="2">
        <v>14.628</v>
      </c>
      <c r="E57" s="1">
        <f>Tabela3[[#This Row],[Força (N)]]/$I$5</f>
        <v>346547.20248657331</v>
      </c>
      <c r="F57" s="1">
        <f>Tabela3[[#This Row],[Tensão (Pa)]]/1000000</f>
        <v>0.34654720248657334</v>
      </c>
    </row>
    <row r="58" spans="1:6" x14ac:dyDescent="0.3">
      <c r="A58" s="2">
        <v>13.317</v>
      </c>
      <c r="B58" s="2">
        <v>1.1026</v>
      </c>
      <c r="C58" s="1">
        <f>Tabela3[[#This Row],[Alongamento (mm/mm)]]/$I$2</f>
        <v>2.2052000000000002E-2</v>
      </c>
      <c r="D58" s="2">
        <v>14.628</v>
      </c>
      <c r="E58" s="1">
        <f>Tabela3[[#This Row],[Força (N)]]/$I$5</f>
        <v>346547.20248657331</v>
      </c>
      <c r="F58" s="1">
        <f>Tabela3[[#This Row],[Tensão (Pa)]]/1000000</f>
        <v>0.34654720248657334</v>
      </c>
    </row>
    <row r="59" spans="1:6" x14ac:dyDescent="0.3">
      <c r="A59" s="2">
        <v>13.433</v>
      </c>
      <c r="B59" s="2">
        <v>1.1124000000000001</v>
      </c>
      <c r="C59" s="1">
        <f>Tabela3[[#This Row],[Alongamento (mm/mm)]]/$I$2</f>
        <v>2.2248E-2</v>
      </c>
      <c r="D59" s="2">
        <v>14.628</v>
      </c>
      <c r="E59" s="1">
        <f>Tabela3[[#This Row],[Força (N)]]/$I$5</f>
        <v>346547.20248657331</v>
      </c>
      <c r="F59" s="1">
        <f>Tabela3[[#This Row],[Tensão (Pa)]]/1000000</f>
        <v>0.34654720248657334</v>
      </c>
    </row>
    <row r="60" spans="1:6" x14ac:dyDescent="0.3">
      <c r="A60" s="2">
        <v>13.55</v>
      </c>
      <c r="B60" s="2">
        <v>1.1222000000000001</v>
      </c>
      <c r="C60" s="1">
        <f>Tabela3[[#This Row],[Alongamento (mm/mm)]]/$I$2</f>
        <v>2.2444000000000002E-2</v>
      </c>
      <c r="D60" s="2">
        <v>14.628</v>
      </c>
      <c r="E60" s="1">
        <f>Tabela3[[#This Row],[Força (N)]]/$I$5</f>
        <v>346547.20248657331</v>
      </c>
      <c r="F60" s="1">
        <f>Tabela3[[#This Row],[Tensão (Pa)]]/1000000</f>
        <v>0.34654720248657334</v>
      </c>
    </row>
    <row r="61" spans="1:6" x14ac:dyDescent="0.3">
      <c r="A61" s="2">
        <v>13.667</v>
      </c>
      <c r="B61" s="2">
        <v>1.1318999999999999</v>
      </c>
      <c r="C61" s="1">
        <f>Tabela3[[#This Row],[Alongamento (mm/mm)]]/$I$2</f>
        <v>2.2637999999999998E-2</v>
      </c>
      <c r="D61" s="2">
        <v>14.628</v>
      </c>
      <c r="E61" s="1">
        <f>Tabela3[[#This Row],[Força (N)]]/$I$5</f>
        <v>346547.20248657331</v>
      </c>
      <c r="F61" s="1">
        <f>Tabela3[[#This Row],[Tensão (Pa)]]/1000000</f>
        <v>0.34654720248657334</v>
      </c>
    </row>
    <row r="62" spans="1:6" x14ac:dyDescent="0.3">
      <c r="A62" s="2">
        <v>13.782999999999999</v>
      </c>
      <c r="B62" s="2">
        <v>1.1415999999999999</v>
      </c>
      <c r="C62" s="1">
        <f>Tabela3[[#This Row],[Alongamento (mm/mm)]]/$I$2</f>
        <v>2.2831999999999998E-2</v>
      </c>
      <c r="D62" s="2">
        <v>14.628</v>
      </c>
      <c r="E62" s="1">
        <f>Tabela3[[#This Row],[Força (N)]]/$I$5</f>
        <v>346547.20248657331</v>
      </c>
      <c r="F62" s="1">
        <f>Tabela3[[#This Row],[Tensão (Pa)]]/1000000</f>
        <v>0.34654720248657334</v>
      </c>
    </row>
    <row r="63" spans="1:6" x14ac:dyDescent="0.3">
      <c r="A63" s="2">
        <v>13.9</v>
      </c>
      <c r="B63" s="2">
        <v>1.1513</v>
      </c>
      <c r="C63" s="1">
        <f>Tabela3[[#This Row],[Alongamento (mm/mm)]]/$I$2</f>
        <v>2.3026000000000001E-2</v>
      </c>
      <c r="D63" s="2">
        <v>14.628</v>
      </c>
      <c r="E63" s="1">
        <f>Tabela3[[#This Row],[Força (N)]]/$I$5</f>
        <v>346547.20248657331</v>
      </c>
      <c r="F63" s="1">
        <f>Tabela3[[#This Row],[Tensão (Pa)]]/1000000</f>
        <v>0.34654720248657334</v>
      </c>
    </row>
    <row r="64" spans="1:6" x14ac:dyDescent="0.3">
      <c r="A64" s="2">
        <v>14.016999999999999</v>
      </c>
      <c r="B64" s="2">
        <v>1.161</v>
      </c>
      <c r="C64" s="1">
        <f>Tabela3[[#This Row],[Alongamento (mm/mm)]]/$I$2</f>
        <v>2.3220000000000001E-2</v>
      </c>
      <c r="D64" s="2">
        <v>14.798999999999999</v>
      </c>
      <c r="E64" s="1">
        <f>Tabela3[[#This Row],[Força (N)]]/$I$5</f>
        <v>350598.30801194959</v>
      </c>
      <c r="F64" s="1">
        <f>Tabela3[[#This Row],[Tensão (Pa)]]/1000000</f>
        <v>0.35059830801194958</v>
      </c>
    </row>
    <row r="65" spans="1:6" x14ac:dyDescent="0.3">
      <c r="A65" s="2">
        <v>14.132999999999999</v>
      </c>
      <c r="B65" s="2">
        <v>1.1708000000000001</v>
      </c>
      <c r="C65" s="1">
        <f>Tabela3[[#This Row],[Alongamento (mm/mm)]]/$I$2</f>
        <v>2.3416000000000003E-2</v>
      </c>
      <c r="D65" s="2">
        <v>14.798999999999999</v>
      </c>
      <c r="E65" s="1">
        <f>Tabela3[[#This Row],[Força (N)]]/$I$5</f>
        <v>350598.30801194959</v>
      </c>
      <c r="F65" s="1">
        <f>Tabela3[[#This Row],[Tensão (Pa)]]/1000000</f>
        <v>0.35059830801194958</v>
      </c>
    </row>
    <row r="66" spans="1:6" x14ac:dyDescent="0.3">
      <c r="A66" s="2">
        <v>14.25</v>
      </c>
      <c r="B66" s="2">
        <v>1.1803999999999999</v>
      </c>
      <c r="C66" s="1">
        <f>Tabela3[[#This Row],[Alongamento (mm/mm)]]/$I$2</f>
        <v>2.3607999999999997E-2</v>
      </c>
      <c r="D66" s="2">
        <v>14.798999999999999</v>
      </c>
      <c r="E66" s="1">
        <f>Tabela3[[#This Row],[Força (N)]]/$I$5</f>
        <v>350598.30801194959</v>
      </c>
      <c r="F66" s="1">
        <f>Tabela3[[#This Row],[Tensão (Pa)]]/1000000</f>
        <v>0.35059830801194958</v>
      </c>
    </row>
    <row r="67" spans="1:6" x14ac:dyDescent="0.3">
      <c r="A67" s="2">
        <v>14.367000000000001</v>
      </c>
      <c r="B67" s="2">
        <v>1.1901999999999999</v>
      </c>
      <c r="C67" s="1">
        <f>Tabela3[[#This Row],[Alongamento (mm/mm)]]/$I$2</f>
        <v>2.3803999999999999E-2</v>
      </c>
      <c r="D67" s="2">
        <v>14.798999999999999</v>
      </c>
      <c r="E67" s="1">
        <f>Tabela3[[#This Row],[Força (N)]]/$I$5</f>
        <v>350598.30801194959</v>
      </c>
      <c r="F67" s="1">
        <f>Tabela3[[#This Row],[Tensão (Pa)]]/1000000</f>
        <v>0.35059830801194958</v>
      </c>
    </row>
    <row r="68" spans="1:6" x14ac:dyDescent="0.3">
      <c r="A68" s="2">
        <v>14.483000000000001</v>
      </c>
      <c r="B68" s="2">
        <v>1.1999</v>
      </c>
      <c r="C68" s="1">
        <f>Tabela3[[#This Row],[Alongamento (mm/mm)]]/$I$2</f>
        <v>2.3997999999999998E-2</v>
      </c>
      <c r="D68" s="2">
        <v>14.968999999999999</v>
      </c>
      <c r="E68" s="1">
        <f>Tabela3[[#This Row],[Força (N)]]/$I$5</f>
        <v>354625.72286173882</v>
      </c>
      <c r="F68" s="1">
        <f>Tabela3[[#This Row],[Tensão (Pa)]]/1000000</f>
        <v>0.35462572286173882</v>
      </c>
    </row>
    <row r="69" spans="1:6" x14ac:dyDescent="0.3">
      <c r="A69" s="2">
        <v>14.6</v>
      </c>
      <c r="B69" s="2">
        <v>1.2097</v>
      </c>
      <c r="C69" s="1">
        <f>Tabela3[[#This Row],[Alongamento (mm/mm)]]/$I$2</f>
        <v>2.4194E-2</v>
      </c>
      <c r="D69" s="2">
        <v>14.968999999999999</v>
      </c>
      <c r="E69" s="1">
        <f>Tabela3[[#This Row],[Força (N)]]/$I$5</f>
        <v>354625.72286173882</v>
      </c>
      <c r="F69" s="1">
        <f>Tabela3[[#This Row],[Tensão (Pa)]]/1000000</f>
        <v>0.35462572286173882</v>
      </c>
    </row>
    <row r="70" spans="1:6" x14ac:dyDescent="0.3">
      <c r="A70" s="2">
        <v>14.717000000000001</v>
      </c>
      <c r="B70" s="2">
        <v>1.2194</v>
      </c>
      <c r="C70" s="1">
        <f>Tabela3[[#This Row],[Alongamento (mm/mm)]]/$I$2</f>
        <v>2.4388E-2</v>
      </c>
      <c r="D70" s="2">
        <v>14.968999999999999</v>
      </c>
      <c r="E70" s="1">
        <f>Tabela3[[#This Row],[Força (N)]]/$I$5</f>
        <v>354625.72286173882</v>
      </c>
      <c r="F70" s="1">
        <f>Tabela3[[#This Row],[Tensão (Pa)]]/1000000</f>
        <v>0.35462572286173882</v>
      </c>
    </row>
    <row r="71" spans="1:6" x14ac:dyDescent="0.3">
      <c r="A71" s="2">
        <v>14.833</v>
      </c>
      <c r="B71" s="2">
        <v>1.2291000000000001</v>
      </c>
      <c r="C71" s="1">
        <f>Tabela3[[#This Row],[Alongamento (mm/mm)]]/$I$2</f>
        <v>2.4582000000000003E-2</v>
      </c>
      <c r="D71" s="2">
        <v>14.968999999999999</v>
      </c>
      <c r="E71" s="1">
        <f>Tabela3[[#This Row],[Força (N)]]/$I$5</f>
        <v>354625.72286173882</v>
      </c>
      <c r="F71" s="1">
        <f>Tabela3[[#This Row],[Tensão (Pa)]]/1000000</f>
        <v>0.35462572286173882</v>
      </c>
    </row>
    <row r="72" spans="1:6" x14ac:dyDescent="0.3">
      <c r="A72" s="2">
        <v>14.95</v>
      </c>
      <c r="B72" s="2">
        <v>1.2387999999999999</v>
      </c>
      <c r="C72" s="1">
        <f>Tabela3[[#This Row],[Alongamento (mm/mm)]]/$I$2</f>
        <v>2.4775999999999999E-2</v>
      </c>
      <c r="D72" s="2">
        <v>15.138999999999999</v>
      </c>
      <c r="E72" s="1">
        <f>Tabela3[[#This Row],[Força (N)]]/$I$5</f>
        <v>358653.13771152811</v>
      </c>
      <c r="F72" s="1">
        <f>Tabela3[[#This Row],[Tensão (Pa)]]/1000000</f>
        <v>0.35865313771152812</v>
      </c>
    </row>
    <row r="73" spans="1:6" x14ac:dyDescent="0.3">
      <c r="A73" s="2">
        <v>15.067</v>
      </c>
      <c r="B73" s="2">
        <v>1.2484999999999999</v>
      </c>
      <c r="C73" s="1">
        <f>Tabela3[[#This Row],[Alongamento (mm/mm)]]/$I$2</f>
        <v>2.4969999999999999E-2</v>
      </c>
      <c r="D73" s="2">
        <v>15.308999999999999</v>
      </c>
      <c r="E73" s="1">
        <f>Tabela3[[#This Row],[Força (N)]]/$I$5</f>
        <v>362680.5525613174</v>
      </c>
      <c r="F73" s="1">
        <f>Tabela3[[#This Row],[Tensão (Pa)]]/1000000</f>
        <v>0.36268055256131737</v>
      </c>
    </row>
    <row r="74" spans="1:6" x14ac:dyDescent="0.3">
      <c r="A74" s="2">
        <v>15.183</v>
      </c>
      <c r="B74" s="2">
        <v>1.2582</v>
      </c>
      <c r="C74" s="1">
        <f>Tabela3[[#This Row],[Alongamento (mm/mm)]]/$I$2</f>
        <v>2.5163999999999999E-2</v>
      </c>
      <c r="D74" s="2">
        <v>15.308999999999999</v>
      </c>
      <c r="E74" s="1">
        <f>Tabela3[[#This Row],[Força (N)]]/$I$5</f>
        <v>362680.5525613174</v>
      </c>
      <c r="F74" s="1">
        <f>Tabela3[[#This Row],[Tensão (Pa)]]/1000000</f>
        <v>0.36268055256131737</v>
      </c>
    </row>
    <row r="75" spans="1:6" x14ac:dyDescent="0.3">
      <c r="A75" s="2">
        <v>15.317</v>
      </c>
      <c r="B75" s="2">
        <v>1.2693000000000001</v>
      </c>
      <c r="C75" s="1">
        <f>Tabela3[[#This Row],[Alongamento (mm/mm)]]/$I$2</f>
        <v>2.5386000000000002E-2</v>
      </c>
      <c r="D75" s="2">
        <v>15.308999999999999</v>
      </c>
      <c r="E75" s="1">
        <f>Tabela3[[#This Row],[Força (N)]]/$I$5</f>
        <v>362680.5525613174</v>
      </c>
      <c r="F75" s="1">
        <f>Tabela3[[#This Row],[Tensão (Pa)]]/1000000</f>
        <v>0.36268055256131737</v>
      </c>
    </row>
    <row r="76" spans="1:6" x14ac:dyDescent="0.3">
      <c r="A76" s="2">
        <v>15.45</v>
      </c>
      <c r="B76" s="2">
        <v>1.2805</v>
      </c>
      <c r="C76" s="1">
        <f>Tabela3[[#This Row],[Alongamento (mm/mm)]]/$I$2</f>
        <v>2.5610000000000001E-2</v>
      </c>
      <c r="D76" s="2">
        <v>15.478999999999999</v>
      </c>
      <c r="E76" s="1">
        <f>Tabela3[[#This Row],[Força (N)]]/$I$5</f>
        <v>366707.96741110663</v>
      </c>
      <c r="F76" s="1">
        <f>Tabela3[[#This Row],[Tensão (Pa)]]/1000000</f>
        <v>0.36670796741110662</v>
      </c>
    </row>
    <row r="77" spans="1:6" x14ac:dyDescent="0.3">
      <c r="A77" s="2">
        <v>15.583</v>
      </c>
      <c r="B77" s="2">
        <v>1.2916000000000001</v>
      </c>
      <c r="C77" s="1">
        <f>Tabela3[[#This Row],[Alongamento (mm/mm)]]/$I$2</f>
        <v>2.5832000000000001E-2</v>
      </c>
      <c r="D77" s="2">
        <v>15.819000000000001</v>
      </c>
      <c r="E77" s="1">
        <f>Tabela3[[#This Row],[Força (N)]]/$I$5</f>
        <v>374762.79711068526</v>
      </c>
      <c r="F77" s="1">
        <f>Tabela3[[#This Row],[Tensão (Pa)]]/1000000</f>
        <v>0.37476279711068528</v>
      </c>
    </row>
    <row r="78" spans="1:6" x14ac:dyDescent="0.3">
      <c r="A78" s="2">
        <v>15.717000000000001</v>
      </c>
      <c r="B78" s="2">
        <v>1.3027</v>
      </c>
      <c r="C78" s="1">
        <f>Tabela3[[#This Row],[Alongamento (mm/mm)]]/$I$2</f>
        <v>2.6054000000000001E-2</v>
      </c>
      <c r="D78" s="2">
        <v>16.329000000000001</v>
      </c>
      <c r="E78" s="1">
        <f>Tabela3[[#This Row],[Força (N)]]/$I$5</f>
        <v>386845.04166005307</v>
      </c>
      <c r="F78" s="1">
        <f>Tabela3[[#This Row],[Tensão (Pa)]]/1000000</f>
        <v>0.38684504166005307</v>
      </c>
    </row>
    <row r="79" spans="1:6" x14ac:dyDescent="0.3">
      <c r="A79" s="2">
        <v>15.85</v>
      </c>
      <c r="B79" s="2">
        <v>1.3138000000000001</v>
      </c>
      <c r="C79" s="1">
        <f>Tabela3[[#This Row],[Alongamento (mm/mm)]]/$I$2</f>
        <v>2.6276000000000001E-2</v>
      </c>
      <c r="D79" s="2">
        <v>16.84</v>
      </c>
      <c r="E79" s="1">
        <f>Tabela3[[#This Row],[Força (N)]]/$I$5</f>
        <v>398950.97688500781</v>
      </c>
      <c r="F79" s="1">
        <f>Tabela3[[#This Row],[Tensão (Pa)]]/1000000</f>
        <v>0.3989509768850078</v>
      </c>
    </row>
    <row r="80" spans="1:6" x14ac:dyDescent="0.3">
      <c r="A80" s="2">
        <v>15.983000000000001</v>
      </c>
      <c r="B80" s="2">
        <v>1.3249</v>
      </c>
      <c r="C80" s="1">
        <f>Tabela3[[#This Row],[Alongamento (mm/mm)]]/$I$2</f>
        <v>2.6498000000000001E-2</v>
      </c>
      <c r="D80" s="2">
        <v>17.350000000000001</v>
      </c>
      <c r="E80" s="1">
        <f>Tabela3[[#This Row],[Força (N)]]/$I$5</f>
        <v>411033.22143437568</v>
      </c>
      <c r="F80" s="1">
        <f>Tabela3[[#This Row],[Tensão (Pa)]]/1000000</f>
        <v>0.41103322143437571</v>
      </c>
    </row>
    <row r="81" spans="1:6" x14ac:dyDescent="0.3">
      <c r="A81" s="2">
        <v>16.117000000000001</v>
      </c>
      <c r="B81" s="2">
        <v>1.3360000000000001</v>
      </c>
      <c r="C81" s="1">
        <f>Tabela3[[#This Row],[Alongamento (mm/mm)]]/$I$2</f>
        <v>2.6720000000000001E-2</v>
      </c>
      <c r="D81" s="2">
        <v>18.03</v>
      </c>
      <c r="E81" s="1">
        <f>Tabela3[[#This Row],[Força (N)]]/$I$5</f>
        <v>427142.88083353278</v>
      </c>
      <c r="F81" s="1">
        <f>Tabela3[[#This Row],[Tensão (Pa)]]/1000000</f>
        <v>0.4271428808335328</v>
      </c>
    </row>
    <row r="82" spans="1:6" x14ac:dyDescent="0.3">
      <c r="A82" s="2">
        <v>16.216999999999999</v>
      </c>
      <c r="B82" s="2">
        <v>1.3444</v>
      </c>
      <c r="C82" s="1">
        <f>Tabela3[[#This Row],[Alongamento (mm/mm)]]/$I$2</f>
        <v>2.6888000000000002E-2</v>
      </c>
      <c r="D82" s="2">
        <v>18.710999999999999</v>
      </c>
      <c r="E82" s="1">
        <f>Tabela3[[#This Row],[Força (N)]]/$I$5</f>
        <v>443276.2309082768</v>
      </c>
      <c r="F82" s="1">
        <f>Tabela3[[#This Row],[Tensão (Pa)]]/1000000</f>
        <v>0.44327623090827678</v>
      </c>
    </row>
    <row r="83" spans="1:6" x14ac:dyDescent="0.3">
      <c r="A83" s="2">
        <v>16.332999999999998</v>
      </c>
      <c r="B83" s="2">
        <v>1.3541000000000001</v>
      </c>
      <c r="C83" s="1">
        <f>Tabela3[[#This Row],[Alongamento (mm/mm)]]/$I$2</f>
        <v>2.7082000000000002E-2</v>
      </c>
      <c r="D83" s="2">
        <v>19.390999999999998</v>
      </c>
      <c r="E83" s="1">
        <f>Tabela3[[#This Row],[Força (N)]]/$I$5</f>
        <v>459385.89030743385</v>
      </c>
      <c r="F83" s="1">
        <f>Tabela3[[#This Row],[Tensão (Pa)]]/1000000</f>
        <v>0.45938589030743382</v>
      </c>
    </row>
    <row r="84" spans="1:6" x14ac:dyDescent="0.3">
      <c r="A84" s="2">
        <v>16.45</v>
      </c>
      <c r="B84" s="2">
        <v>1.3638999999999999</v>
      </c>
      <c r="C84" s="1">
        <f>Tabela3[[#This Row],[Alongamento (mm/mm)]]/$I$2</f>
        <v>2.7277999999999997E-2</v>
      </c>
      <c r="D84" s="2">
        <v>20.071999999999999</v>
      </c>
      <c r="E84" s="1">
        <f>Tabela3[[#This Row],[Força (N)]]/$I$5</f>
        <v>475519.24038217799</v>
      </c>
      <c r="F84" s="1">
        <f>Tabela3[[#This Row],[Tensão (Pa)]]/1000000</f>
        <v>0.47551924038217797</v>
      </c>
    </row>
    <row r="85" spans="1:6" x14ac:dyDescent="0.3">
      <c r="A85" s="2">
        <v>16.582999999999998</v>
      </c>
      <c r="B85" s="2">
        <v>1.3749</v>
      </c>
      <c r="C85" s="1">
        <f>Tabela3[[#This Row],[Alongamento (mm/mm)]]/$I$2</f>
        <v>2.7498000000000002E-2</v>
      </c>
      <c r="D85" s="2">
        <v>20.582000000000001</v>
      </c>
      <c r="E85" s="1">
        <f>Tabela3[[#This Row],[Força (N)]]/$I$5</f>
        <v>487601.4849315458</v>
      </c>
      <c r="F85" s="1">
        <f>Tabela3[[#This Row],[Tensão (Pa)]]/1000000</f>
        <v>0.48760148493154581</v>
      </c>
    </row>
    <row r="86" spans="1:6" x14ac:dyDescent="0.3">
      <c r="A86" s="2">
        <v>16.683</v>
      </c>
      <c r="B86" s="2">
        <v>1.3833</v>
      </c>
      <c r="C86" s="1">
        <f>Tabela3[[#This Row],[Alongamento (mm/mm)]]/$I$2</f>
        <v>2.7666E-2</v>
      </c>
      <c r="D86" s="2">
        <v>21.262</v>
      </c>
      <c r="E86" s="1">
        <f>Tabela3[[#This Row],[Força (N)]]/$I$5</f>
        <v>503711.1443307029</v>
      </c>
      <c r="F86" s="1">
        <f>Tabela3[[#This Row],[Tensão (Pa)]]/1000000</f>
        <v>0.50371114433070285</v>
      </c>
    </row>
    <row r="87" spans="1:6" x14ac:dyDescent="0.3">
      <c r="A87" s="2">
        <v>16.8</v>
      </c>
      <c r="B87" s="2">
        <v>1.393</v>
      </c>
      <c r="C87" s="1">
        <f>Tabela3[[#This Row],[Alongamento (mm/mm)]]/$I$2</f>
        <v>2.7859999999999999E-2</v>
      </c>
      <c r="D87" s="2">
        <v>21.943000000000001</v>
      </c>
      <c r="E87" s="1">
        <f>Tabela3[[#This Row],[Força (N)]]/$I$5</f>
        <v>519844.49440544698</v>
      </c>
      <c r="F87" s="1">
        <f>Tabela3[[#This Row],[Tensão (Pa)]]/1000000</f>
        <v>0.519844494405447</v>
      </c>
    </row>
    <row r="88" spans="1:6" x14ac:dyDescent="0.3">
      <c r="A88" s="2">
        <v>16.882999999999999</v>
      </c>
      <c r="B88" s="2">
        <v>1.4</v>
      </c>
      <c r="C88" s="1">
        <f>Tabela3[[#This Row],[Alongamento (mm/mm)]]/$I$2</f>
        <v>2.7999999999999997E-2</v>
      </c>
      <c r="D88" s="2">
        <v>22.623000000000001</v>
      </c>
      <c r="E88" s="1">
        <f>Tabela3[[#This Row],[Força (N)]]/$I$5</f>
        <v>535954.15380460408</v>
      </c>
      <c r="F88" s="1">
        <f>Tabela3[[#This Row],[Tensão (Pa)]]/1000000</f>
        <v>0.53595415380460409</v>
      </c>
    </row>
    <row r="89" spans="1:6" x14ac:dyDescent="0.3">
      <c r="A89" s="2">
        <v>17.016999999999999</v>
      </c>
      <c r="B89" s="2">
        <v>1.4111</v>
      </c>
      <c r="C89" s="1">
        <f>Tabela3[[#This Row],[Alongamento (mm/mm)]]/$I$2</f>
        <v>2.8222000000000001E-2</v>
      </c>
      <c r="D89" s="2">
        <v>23.303999999999998</v>
      </c>
      <c r="E89" s="1">
        <f>Tabela3[[#This Row],[Força (N)]]/$I$5</f>
        <v>552087.50387934805</v>
      </c>
      <c r="F89" s="1">
        <f>Tabela3[[#This Row],[Tensão (Pa)]]/1000000</f>
        <v>0.55208750387934802</v>
      </c>
    </row>
    <row r="90" spans="1:6" x14ac:dyDescent="0.3">
      <c r="A90" s="2">
        <v>17.117000000000001</v>
      </c>
      <c r="B90" s="2">
        <v>1.4194</v>
      </c>
      <c r="C90" s="1">
        <f>Tabela3[[#This Row],[Alongamento (mm/mm)]]/$I$2</f>
        <v>2.8388E-2</v>
      </c>
      <c r="D90" s="2">
        <v>23.984000000000002</v>
      </c>
      <c r="E90" s="1">
        <f>Tabela3[[#This Row],[Força (N)]]/$I$5</f>
        <v>568197.16327850532</v>
      </c>
      <c r="F90" s="1">
        <f>Tabela3[[#This Row],[Tensão (Pa)]]/1000000</f>
        <v>0.56819716327850533</v>
      </c>
    </row>
    <row r="91" spans="1:6" x14ac:dyDescent="0.3">
      <c r="A91" s="2">
        <v>17.183</v>
      </c>
      <c r="B91" s="2">
        <v>1.4249000000000001</v>
      </c>
      <c r="C91" s="1">
        <f>Tabela3[[#This Row],[Alongamento (mm/mm)]]/$I$2</f>
        <v>2.8498000000000002E-2</v>
      </c>
      <c r="D91" s="2">
        <v>24.664000000000001</v>
      </c>
      <c r="E91" s="1">
        <f>Tabela3[[#This Row],[Força (N)]]/$I$5</f>
        <v>584306.82267766236</v>
      </c>
      <c r="F91" s="1">
        <f>Tabela3[[#This Row],[Tensão (Pa)]]/1000000</f>
        <v>0.58430682267766232</v>
      </c>
    </row>
    <row r="92" spans="1:6" x14ac:dyDescent="0.3">
      <c r="A92" s="2">
        <v>17.283000000000001</v>
      </c>
      <c r="B92" s="2">
        <v>1.4332</v>
      </c>
      <c r="C92" s="1">
        <f>Tabela3[[#This Row],[Alongamento (mm/mm)]]/$I$2</f>
        <v>2.8664000000000002E-2</v>
      </c>
      <c r="D92" s="2">
        <v>25.515000000000001</v>
      </c>
      <c r="E92" s="1">
        <f>Tabela3[[#This Row],[Força (N)]]/$I$5</f>
        <v>604467.58760219568</v>
      </c>
      <c r="F92" s="1">
        <f>Tabela3[[#This Row],[Tensão (Pa)]]/1000000</f>
        <v>0.60446758760219566</v>
      </c>
    </row>
    <row r="93" spans="1:6" x14ac:dyDescent="0.3">
      <c r="A93" s="2">
        <v>17.367000000000001</v>
      </c>
      <c r="B93" s="2">
        <v>1.4401999999999999</v>
      </c>
      <c r="C93" s="1">
        <f>Tabela3[[#This Row],[Alongamento (mm/mm)]]/$I$2</f>
        <v>2.8804E-2</v>
      </c>
      <c r="D93" s="2">
        <v>26.195</v>
      </c>
      <c r="E93" s="1">
        <f>Tabela3[[#This Row],[Força (N)]]/$I$5</f>
        <v>620577.24700135272</v>
      </c>
      <c r="F93" s="1">
        <f>Tabela3[[#This Row],[Tensão (Pa)]]/1000000</f>
        <v>0.62057724700135275</v>
      </c>
    </row>
    <row r="94" spans="1:6" x14ac:dyDescent="0.3">
      <c r="A94" s="2">
        <v>17.45</v>
      </c>
      <c r="B94" s="2">
        <v>1.4471000000000001</v>
      </c>
      <c r="C94" s="1">
        <f>Tabela3[[#This Row],[Alongamento (mm/mm)]]/$I$2</f>
        <v>2.8942000000000002E-2</v>
      </c>
      <c r="D94" s="2">
        <v>26.876000000000001</v>
      </c>
      <c r="E94" s="1">
        <f>Tabela3[[#This Row],[Força (N)]]/$I$5</f>
        <v>636710.59707609692</v>
      </c>
      <c r="F94" s="1">
        <f>Tabela3[[#This Row],[Tensão (Pa)]]/1000000</f>
        <v>0.6367105970760969</v>
      </c>
    </row>
    <row r="95" spans="1:6" x14ac:dyDescent="0.3">
      <c r="A95" s="2">
        <v>17.533000000000001</v>
      </c>
      <c r="B95" s="2">
        <v>1.454</v>
      </c>
      <c r="C95" s="1">
        <f>Tabela3[[#This Row],[Alongamento (mm/mm)]]/$I$2</f>
        <v>2.9079999999999998E-2</v>
      </c>
      <c r="D95" s="2">
        <v>27.556000000000001</v>
      </c>
      <c r="E95" s="1">
        <f>Tabela3[[#This Row],[Força (N)]]/$I$5</f>
        <v>652820.25647525396</v>
      </c>
      <c r="F95" s="1">
        <f>Tabela3[[#This Row],[Tensão (Pa)]]/1000000</f>
        <v>0.65282025647525399</v>
      </c>
    </row>
    <row r="96" spans="1:6" x14ac:dyDescent="0.3">
      <c r="A96" s="2">
        <v>17.617000000000001</v>
      </c>
      <c r="B96" s="2">
        <v>1.4611000000000001</v>
      </c>
      <c r="C96" s="1">
        <f>Tabela3[[#This Row],[Alongamento (mm/mm)]]/$I$2</f>
        <v>2.9222000000000001E-2</v>
      </c>
      <c r="D96" s="2">
        <v>28.236000000000001</v>
      </c>
      <c r="E96" s="1">
        <f>Tabela3[[#This Row],[Força (N)]]/$I$5</f>
        <v>668929.915874411</v>
      </c>
      <c r="F96" s="1">
        <f>Tabela3[[#This Row],[Tensão (Pa)]]/1000000</f>
        <v>0.66892991587441097</v>
      </c>
    </row>
    <row r="97" spans="1:6" x14ac:dyDescent="0.3">
      <c r="A97" s="2">
        <v>17.683</v>
      </c>
      <c r="B97" s="2">
        <v>1.4665999999999999</v>
      </c>
      <c r="C97" s="1">
        <f>Tabela3[[#This Row],[Alongamento (mm/mm)]]/$I$2</f>
        <v>2.9331999999999997E-2</v>
      </c>
      <c r="D97" s="2">
        <v>28.917000000000002</v>
      </c>
      <c r="E97" s="1">
        <f>Tabela3[[#This Row],[Força (N)]]/$I$5</f>
        <v>685063.26594915509</v>
      </c>
      <c r="F97" s="1">
        <f>Tabela3[[#This Row],[Tensão (Pa)]]/1000000</f>
        <v>0.68506326594915512</v>
      </c>
    </row>
    <row r="98" spans="1:6" x14ac:dyDescent="0.3">
      <c r="A98" s="2">
        <v>17.766999999999999</v>
      </c>
      <c r="B98" s="2">
        <v>1.4736</v>
      </c>
      <c r="C98" s="1">
        <f>Tabela3[[#This Row],[Alongamento (mm/mm)]]/$I$2</f>
        <v>2.9472000000000002E-2</v>
      </c>
      <c r="D98" s="2">
        <v>29.597000000000001</v>
      </c>
      <c r="E98" s="1">
        <f>Tabela3[[#This Row],[Força (N)]]/$I$5</f>
        <v>701172.92534831224</v>
      </c>
      <c r="F98" s="1">
        <f>Tabela3[[#This Row],[Tensão (Pa)]]/1000000</f>
        <v>0.70117292534831221</v>
      </c>
    </row>
    <row r="99" spans="1:6" x14ac:dyDescent="0.3">
      <c r="A99" s="2">
        <v>17.850000000000001</v>
      </c>
      <c r="B99" s="2">
        <v>1.4803999999999999</v>
      </c>
      <c r="C99" s="1">
        <f>Tabela3[[#This Row],[Alongamento (mm/mm)]]/$I$2</f>
        <v>2.9607999999999999E-2</v>
      </c>
      <c r="D99" s="2">
        <v>30.277999999999999</v>
      </c>
      <c r="E99" s="1">
        <f>Tabela3[[#This Row],[Força (N)]]/$I$5</f>
        <v>717306.27542305621</v>
      </c>
      <c r="F99" s="1">
        <f>Tabela3[[#This Row],[Tensão (Pa)]]/1000000</f>
        <v>0.71730627542305625</v>
      </c>
    </row>
    <row r="100" spans="1:6" x14ac:dyDescent="0.3">
      <c r="A100" s="2">
        <v>17.917000000000002</v>
      </c>
      <c r="B100" s="2">
        <v>1.486</v>
      </c>
      <c r="C100" s="1">
        <f>Tabela3[[#This Row],[Alongamento (mm/mm)]]/$I$2</f>
        <v>2.972E-2</v>
      </c>
      <c r="D100" s="2">
        <v>30.957999999999998</v>
      </c>
      <c r="E100" s="1">
        <f>Tabela3[[#This Row],[Força (N)]]/$I$5</f>
        <v>733415.93482221325</v>
      </c>
      <c r="F100" s="1">
        <f>Tabela3[[#This Row],[Tensão (Pa)]]/1000000</f>
        <v>0.73341593482221323</v>
      </c>
    </row>
    <row r="101" spans="1:6" x14ac:dyDescent="0.3">
      <c r="A101" s="2">
        <v>18</v>
      </c>
      <c r="B101" s="2">
        <v>1.4930000000000001</v>
      </c>
      <c r="C101" s="1">
        <f>Tabela3[[#This Row],[Alongamento (mm/mm)]]/$I$2</f>
        <v>2.9860000000000001E-2</v>
      </c>
      <c r="D101" s="2">
        <v>31.638000000000002</v>
      </c>
      <c r="E101" s="1">
        <f>Tabela3[[#This Row],[Força (N)]]/$I$5</f>
        <v>749525.59422137053</v>
      </c>
      <c r="F101" s="1">
        <f>Tabela3[[#This Row],[Tensão (Pa)]]/1000000</f>
        <v>0.74952559422137055</v>
      </c>
    </row>
    <row r="102" spans="1:6" x14ac:dyDescent="0.3">
      <c r="A102" s="2">
        <v>18.082999999999998</v>
      </c>
      <c r="B102" s="2">
        <v>1.4999</v>
      </c>
      <c r="C102" s="1">
        <f>Tabela3[[#This Row],[Alongamento (mm/mm)]]/$I$2</f>
        <v>2.9998E-2</v>
      </c>
      <c r="D102" s="2">
        <v>32.319000000000003</v>
      </c>
      <c r="E102" s="1">
        <f>Tabela3[[#This Row],[Força (N)]]/$I$5</f>
        <v>765658.94429611461</v>
      </c>
      <c r="F102" s="1">
        <f>Tabela3[[#This Row],[Tensão (Pa)]]/1000000</f>
        <v>0.76565894429611459</v>
      </c>
    </row>
    <row r="103" spans="1:6" x14ac:dyDescent="0.3">
      <c r="A103" s="2">
        <v>18.149999999999999</v>
      </c>
      <c r="B103" s="2">
        <v>1.5055000000000001</v>
      </c>
      <c r="C103" s="1">
        <f>Tabela3[[#This Row],[Alongamento (mm/mm)]]/$I$2</f>
        <v>3.0110000000000001E-2</v>
      </c>
      <c r="D103" s="2">
        <v>32.999000000000002</v>
      </c>
      <c r="E103" s="1">
        <f>Tabela3[[#This Row],[Força (N)]]/$I$5</f>
        <v>781768.60369527165</v>
      </c>
      <c r="F103" s="1">
        <f>Tabela3[[#This Row],[Tensão (Pa)]]/1000000</f>
        <v>0.78176860369527168</v>
      </c>
    </row>
    <row r="104" spans="1:6" x14ac:dyDescent="0.3">
      <c r="A104" s="2">
        <v>18.216999999999999</v>
      </c>
      <c r="B104" s="2">
        <v>1.5109999999999999</v>
      </c>
      <c r="C104" s="1">
        <f>Tabela3[[#This Row],[Alongamento (mm/mm)]]/$I$2</f>
        <v>3.0219999999999997E-2</v>
      </c>
      <c r="D104" s="2">
        <v>33.68</v>
      </c>
      <c r="E104" s="1">
        <f>Tabela3[[#This Row],[Força (N)]]/$I$5</f>
        <v>797901.95377001562</v>
      </c>
      <c r="F104" s="1">
        <f>Tabela3[[#This Row],[Tensão (Pa)]]/1000000</f>
        <v>0.7979019537700156</v>
      </c>
    </row>
    <row r="105" spans="1:6" x14ac:dyDescent="0.3">
      <c r="A105" s="2">
        <v>18.3</v>
      </c>
      <c r="B105" s="2">
        <v>1.518</v>
      </c>
      <c r="C105" s="1">
        <f>Tabela3[[#This Row],[Alongamento (mm/mm)]]/$I$2</f>
        <v>3.0360000000000002E-2</v>
      </c>
      <c r="D105" s="2">
        <v>34.36</v>
      </c>
      <c r="E105" s="1">
        <f>Tabela3[[#This Row],[Força (N)]]/$I$5</f>
        <v>814011.61316917278</v>
      </c>
      <c r="F105" s="1">
        <f>Tabela3[[#This Row],[Tensão (Pa)]]/1000000</f>
        <v>0.81401161316917281</v>
      </c>
    </row>
    <row r="106" spans="1:6" x14ac:dyDescent="0.3">
      <c r="A106" s="2">
        <v>18.367000000000001</v>
      </c>
      <c r="B106" s="2">
        <v>1.5235000000000001</v>
      </c>
      <c r="C106" s="1">
        <f>Tabela3[[#This Row],[Alongamento (mm/mm)]]/$I$2</f>
        <v>3.0470000000000001E-2</v>
      </c>
      <c r="D106" s="2">
        <v>35.04</v>
      </c>
      <c r="E106" s="1">
        <f>Tabela3[[#This Row],[Força (N)]]/$I$5</f>
        <v>830121.27256832982</v>
      </c>
      <c r="F106" s="1">
        <f>Tabela3[[#This Row],[Tensão (Pa)]]/1000000</f>
        <v>0.83012127256832979</v>
      </c>
    </row>
    <row r="107" spans="1:6" x14ac:dyDescent="0.3">
      <c r="A107" s="2">
        <v>18.45</v>
      </c>
      <c r="B107" s="2">
        <v>1.5305</v>
      </c>
      <c r="C107" s="1">
        <f>Tabela3[[#This Row],[Alongamento (mm/mm)]]/$I$2</f>
        <v>3.0609999999999998E-2</v>
      </c>
      <c r="D107" s="2">
        <v>35.890999999999998</v>
      </c>
      <c r="E107" s="1">
        <f>Tabela3[[#This Row],[Força (N)]]/$I$5</f>
        <v>850282.03749286314</v>
      </c>
      <c r="F107" s="1">
        <f>Tabela3[[#This Row],[Tensão (Pa)]]/1000000</f>
        <v>0.85028203749286313</v>
      </c>
    </row>
    <row r="108" spans="1:6" x14ac:dyDescent="0.3">
      <c r="A108" s="2">
        <v>18.533000000000001</v>
      </c>
      <c r="B108" s="2">
        <v>1.5374000000000001</v>
      </c>
      <c r="C108" s="1">
        <f>Tabela3[[#This Row],[Alongamento (mm/mm)]]/$I$2</f>
        <v>3.0748000000000001E-2</v>
      </c>
      <c r="D108" s="2">
        <v>36.570999999999998</v>
      </c>
      <c r="E108" s="1">
        <f>Tabela3[[#This Row],[Força (N)]]/$I$5</f>
        <v>866391.69689202029</v>
      </c>
      <c r="F108" s="1">
        <f>Tabela3[[#This Row],[Tensão (Pa)]]/1000000</f>
        <v>0.86639169689202034</v>
      </c>
    </row>
    <row r="109" spans="1:6" x14ac:dyDescent="0.3">
      <c r="A109" s="2">
        <v>18.600000000000001</v>
      </c>
      <c r="B109" s="2">
        <v>1.5428999999999999</v>
      </c>
      <c r="C109" s="1">
        <f>Tabela3[[#This Row],[Alongamento (mm/mm)]]/$I$2</f>
        <v>3.0858E-2</v>
      </c>
      <c r="D109" s="2">
        <v>37.252000000000002</v>
      </c>
      <c r="E109" s="1">
        <f>Tabela3[[#This Row],[Força (N)]]/$I$5</f>
        <v>882525.04696676438</v>
      </c>
      <c r="F109" s="1">
        <f>Tabela3[[#This Row],[Tensão (Pa)]]/1000000</f>
        <v>0.88252504696676437</v>
      </c>
    </row>
    <row r="110" spans="1:6" x14ac:dyDescent="0.3">
      <c r="A110" s="2">
        <v>18.667000000000002</v>
      </c>
      <c r="B110" s="2">
        <v>1.5486</v>
      </c>
      <c r="C110" s="1">
        <f>Tabela3[[#This Row],[Alongamento (mm/mm)]]/$I$2</f>
        <v>3.0972E-2</v>
      </c>
      <c r="D110" s="2">
        <v>37.932000000000002</v>
      </c>
      <c r="E110" s="1">
        <f>Tabela3[[#This Row],[Força (N)]]/$I$5</f>
        <v>898634.70636592153</v>
      </c>
      <c r="F110" s="1">
        <f>Tabela3[[#This Row],[Tensão (Pa)]]/1000000</f>
        <v>0.89863470636592158</v>
      </c>
    </row>
    <row r="111" spans="1:6" x14ac:dyDescent="0.3">
      <c r="A111" s="2">
        <v>18.733000000000001</v>
      </c>
      <c r="B111" s="2">
        <v>1.5542</v>
      </c>
      <c r="C111" s="1">
        <f>Tabela3[[#This Row],[Alongamento (mm/mm)]]/$I$2</f>
        <v>3.1084000000000001E-2</v>
      </c>
      <c r="D111" s="2">
        <v>38.612000000000002</v>
      </c>
      <c r="E111" s="1">
        <f>Tabela3[[#This Row],[Força (N)]]/$I$5</f>
        <v>914744.36576507858</v>
      </c>
      <c r="F111" s="1">
        <f>Tabela3[[#This Row],[Tensão (Pa)]]/1000000</f>
        <v>0.91474436576507856</v>
      </c>
    </row>
    <row r="112" spans="1:6" x14ac:dyDescent="0.3">
      <c r="A112" s="2">
        <v>18.817</v>
      </c>
      <c r="B112" s="2">
        <v>1.5609999999999999</v>
      </c>
      <c r="C112" s="1">
        <f>Tabela3[[#This Row],[Alongamento (mm/mm)]]/$I$2</f>
        <v>3.1219999999999998E-2</v>
      </c>
      <c r="D112" s="2">
        <v>39.292999999999999</v>
      </c>
      <c r="E112" s="1">
        <f>Tabela3[[#This Row],[Força (N)]]/$I$5</f>
        <v>930877.71583982266</v>
      </c>
      <c r="F112" s="1">
        <f>Tabela3[[#This Row],[Tensão (Pa)]]/1000000</f>
        <v>0.93087771583982271</v>
      </c>
    </row>
    <row r="113" spans="1:6" x14ac:dyDescent="0.3">
      <c r="A113" s="2">
        <v>18.882999999999999</v>
      </c>
      <c r="B113" s="2">
        <v>1.5665</v>
      </c>
      <c r="C113" s="1">
        <f>Tabela3[[#This Row],[Alongamento (mm/mm)]]/$I$2</f>
        <v>3.1329999999999997E-2</v>
      </c>
      <c r="D113" s="2">
        <v>39.972999999999999</v>
      </c>
      <c r="E113" s="1">
        <f>Tabela3[[#This Row],[Força (N)]]/$I$5</f>
        <v>946987.3752389797</v>
      </c>
      <c r="F113" s="1">
        <f>Tabela3[[#This Row],[Tensão (Pa)]]/1000000</f>
        <v>0.94698737523897969</v>
      </c>
    </row>
    <row r="114" spans="1:6" x14ac:dyDescent="0.3">
      <c r="A114" s="2">
        <v>18.95</v>
      </c>
      <c r="B114" s="2">
        <v>1.5721000000000001</v>
      </c>
      <c r="C114" s="1">
        <f>Tabela3[[#This Row],[Alongamento (mm/mm)]]/$I$2</f>
        <v>3.1441999999999998E-2</v>
      </c>
      <c r="D114" s="2">
        <v>40.654000000000003</v>
      </c>
      <c r="E114" s="1">
        <f>Tabela3[[#This Row],[Força (N)]]/$I$5</f>
        <v>963120.7253137239</v>
      </c>
      <c r="F114" s="1">
        <f>Tabela3[[#This Row],[Tensão (Pa)]]/1000000</f>
        <v>0.96312072531372395</v>
      </c>
    </row>
    <row r="115" spans="1:6" x14ac:dyDescent="0.3">
      <c r="A115" s="2">
        <v>19.016999999999999</v>
      </c>
      <c r="B115" s="2">
        <v>1.5777000000000001</v>
      </c>
      <c r="C115" s="1">
        <f>Tabela3[[#This Row],[Alongamento (mm/mm)]]/$I$2</f>
        <v>3.1553999999999999E-2</v>
      </c>
      <c r="D115" s="2">
        <v>41.334000000000003</v>
      </c>
      <c r="E115" s="1">
        <f>Tabela3[[#This Row],[Força (N)]]/$I$5</f>
        <v>979230.38471288094</v>
      </c>
      <c r="F115" s="1">
        <f>Tabela3[[#This Row],[Tensão (Pa)]]/1000000</f>
        <v>0.97923038471288093</v>
      </c>
    </row>
    <row r="116" spans="1:6" x14ac:dyDescent="0.3">
      <c r="A116" s="2">
        <v>19.082999999999998</v>
      </c>
      <c r="B116" s="2">
        <v>1.5831999999999999</v>
      </c>
      <c r="C116" s="1">
        <f>Tabela3[[#This Row],[Alongamento (mm/mm)]]/$I$2</f>
        <v>3.1663999999999998E-2</v>
      </c>
      <c r="D116" s="2">
        <v>42.014000000000003</v>
      </c>
      <c r="E116" s="1">
        <f>Tabela3[[#This Row],[Força (N)]]/$I$5</f>
        <v>995340.04411203798</v>
      </c>
      <c r="F116" s="1">
        <f>Tabela3[[#This Row],[Tensão (Pa)]]/1000000</f>
        <v>0.99534004411203802</v>
      </c>
    </row>
    <row r="117" spans="1:6" x14ac:dyDescent="0.3">
      <c r="A117" s="2">
        <v>19.149999999999999</v>
      </c>
      <c r="B117" s="2">
        <v>1.5888</v>
      </c>
      <c r="C117" s="1">
        <f>Tabela3[[#This Row],[Alongamento (mm/mm)]]/$I$2</f>
        <v>3.1775999999999999E-2</v>
      </c>
      <c r="D117" s="2">
        <v>42.695</v>
      </c>
      <c r="E117" s="1">
        <f>Tabela3[[#This Row],[Força (N)]]/$I$5</f>
        <v>1011473.3941867821</v>
      </c>
      <c r="F117" s="1">
        <f>Tabela3[[#This Row],[Tensão (Pa)]]/1000000</f>
        <v>1.0114733941867822</v>
      </c>
    </row>
    <row r="118" spans="1:6" x14ac:dyDescent="0.3">
      <c r="A118" s="2">
        <v>19.216999999999999</v>
      </c>
      <c r="B118" s="2">
        <v>1.5944</v>
      </c>
      <c r="C118" s="1">
        <f>Tabela3[[#This Row],[Alongamento (mm/mm)]]/$I$2</f>
        <v>3.1888E-2</v>
      </c>
      <c r="D118" s="2">
        <v>43.375</v>
      </c>
      <c r="E118" s="1">
        <f>Tabela3[[#This Row],[Força (N)]]/$I$5</f>
        <v>1027583.0535859391</v>
      </c>
      <c r="F118" s="1">
        <f>Tabela3[[#This Row],[Tensão (Pa)]]/1000000</f>
        <v>1.0275830535859392</v>
      </c>
    </row>
    <row r="119" spans="1:6" x14ac:dyDescent="0.3">
      <c r="A119" s="2">
        <v>19.283000000000001</v>
      </c>
      <c r="B119" s="2">
        <v>1.5999000000000001</v>
      </c>
      <c r="C119" s="1">
        <f>Tabela3[[#This Row],[Alongamento (mm/mm)]]/$I$2</f>
        <v>3.1997999999999999E-2</v>
      </c>
      <c r="D119" s="2">
        <v>44.055999999999997</v>
      </c>
      <c r="E119" s="1">
        <f>Tabela3[[#This Row],[Força (N)]]/$I$5</f>
        <v>1043716.4036606832</v>
      </c>
      <c r="F119" s="1">
        <f>Tabela3[[#This Row],[Tensão (Pa)]]/1000000</f>
        <v>1.0437164036606832</v>
      </c>
    </row>
    <row r="120" spans="1:6" x14ac:dyDescent="0.3">
      <c r="A120" s="2">
        <v>19.350000000000001</v>
      </c>
      <c r="B120" s="2">
        <v>1.6054999999999999</v>
      </c>
      <c r="C120" s="1">
        <f>Tabela3[[#This Row],[Alongamento (mm/mm)]]/$I$2</f>
        <v>3.211E-2</v>
      </c>
      <c r="D120" s="2">
        <v>44.735999999999997</v>
      </c>
      <c r="E120" s="1">
        <f>Tabela3[[#This Row],[Força (N)]]/$I$5</f>
        <v>1059826.0630598404</v>
      </c>
      <c r="F120" s="1">
        <f>Tabela3[[#This Row],[Tensão (Pa)]]/1000000</f>
        <v>1.0598260630598404</v>
      </c>
    </row>
    <row r="121" spans="1:6" x14ac:dyDescent="0.3">
      <c r="A121" s="2">
        <v>19.399999999999999</v>
      </c>
      <c r="B121" s="2">
        <v>1.6095999999999999</v>
      </c>
      <c r="C121" s="1">
        <f>Tabela3[[#This Row],[Alongamento (mm/mm)]]/$I$2</f>
        <v>3.2191999999999998E-2</v>
      </c>
      <c r="D121" s="2">
        <v>45.415999999999997</v>
      </c>
      <c r="E121" s="1">
        <f>Tabela3[[#This Row],[Força (N)]]/$I$5</f>
        <v>1075935.7224589973</v>
      </c>
      <c r="F121" s="1">
        <f>Tabela3[[#This Row],[Tensão (Pa)]]/1000000</f>
        <v>1.0759357224589974</v>
      </c>
    </row>
    <row r="122" spans="1:6" x14ac:dyDescent="0.3">
      <c r="A122" s="2">
        <v>19.466999999999999</v>
      </c>
      <c r="B122" s="2">
        <v>1.6152</v>
      </c>
      <c r="C122" s="1">
        <f>Tabela3[[#This Row],[Alongamento (mm/mm)]]/$I$2</f>
        <v>3.2303999999999999E-2</v>
      </c>
      <c r="D122" s="2">
        <v>46.097000000000001</v>
      </c>
      <c r="E122" s="1">
        <f>Tabela3[[#This Row],[Força (N)]]/$I$5</f>
        <v>1092069.0725337416</v>
      </c>
      <c r="F122" s="1">
        <f>Tabela3[[#This Row],[Tensão (Pa)]]/1000000</f>
        <v>1.0920690725337416</v>
      </c>
    </row>
    <row r="123" spans="1:6" x14ac:dyDescent="0.3">
      <c r="A123" s="2">
        <v>19.533000000000001</v>
      </c>
      <c r="B123" s="2">
        <v>1.6207</v>
      </c>
      <c r="C123" s="1">
        <f>Tabela3[[#This Row],[Alongamento (mm/mm)]]/$I$2</f>
        <v>3.2413999999999998E-2</v>
      </c>
      <c r="D123" s="2">
        <v>46.777000000000001</v>
      </c>
      <c r="E123" s="1">
        <f>Tabela3[[#This Row],[Força (N)]]/$I$5</f>
        <v>1108178.7319328985</v>
      </c>
      <c r="F123" s="1">
        <f>Tabela3[[#This Row],[Tensão (Pa)]]/1000000</f>
        <v>1.1081787319328986</v>
      </c>
    </row>
    <row r="124" spans="1:6" x14ac:dyDescent="0.3">
      <c r="A124" s="2">
        <v>19.600000000000001</v>
      </c>
      <c r="B124" s="2">
        <v>1.6263000000000001</v>
      </c>
      <c r="C124" s="1">
        <f>Tabela3[[#This Row],[Alongamento (mm/mm)]]/$I$2</f>
        <v>3.2525999999999999E-2</v>
      </c>
      <c r="D124" s="2">
        <v>47.628</v>
      </c>
      <c r="E124" s="1">
        <f>Tabela3[[#This Row],[Força (N)]]/$I$5</f>
        <v>1128339.496857432</v>
      </c>
      <c r="F124" s="1">
        <f>Tabela3[[#This Row],[Tensão (Pa)]]/1000000</f>
        <v>1.1283394968574318</v>
      </c>
    </row>
    <row r="125" spans="1:6" x14ac:dyDescent="0.3">
      <c r="A125" s="2">
        <v>19.667000000000002</v>
      </c>
      <c r="B125" s="2">
        <v>1.6318999999999999</v>
      </c>
      <c r="C125" s="1">
        <f>Tabela3[[#This Row],[Alongamento (mm/mm)]]/$I$2</f>
        <v>3.2638E-2</v>
      </c>
      <c r="D125" s="2">
        <v>48.308</v>
      </c>
      <c r="E125" s="1">
        <f>Tabela3[[#This Row],[Força (N)]]/$I$5</f>
        <v>1144449.1562565891</v>
      </c>
      <c r="F125" s="1">
        <f>Tabela3[[#This Row],[Tensão (Pa)]]/1000000</f>
        <v>1.1444491562565891</v>
      </c>
    </row>
    <row r="126" spans="1:6" x14ac:dyDescent="0.3">
      <c r="A126" s="2">
        <v>19.733000000000001</v>
      </c>
      <c r="B126" s="2">
        <v>1.6374</v>
      </c>
      <c r="C126" s="1">
        <f>Tabela3[[#This Row],[Alongamento (mm/mm)]]/$I$2</f>
        <v>3.2747999999999999E-2</v>
      </c>
      <c r="D126" s="2">
        <v>48.988</v>
      </c>
      <c r="E126" s="1">
        <f>Tabela3[[#This Row],[Força (N)]]/$I$5</f>
        <v>1160558.815655746</v>
      </c>
      <c r="F126" s="1">
        <f>Tabela3[[#This Row],[Tensão (Pa)]]/1000000</f>
        <v>1.160558815655746</v>
      </c>
    </row>
    <row r="127" spans="1:6" x14ac:dyDescent="0.3">
      <c r="A127" s="2">
        <v>19.8</v>
      </c>
      <c r="B127" s="2">
        <v>1.643</v>
      </c>
      <c r="C127" s="1">
        <f>Tabela3[[#This Row],[Alongamento (mm/mm)]]/$I$2</f>
        <v>3.286E-2</v>
      </c>
      <c r="D127" s="2">
        <v>49.668999999999997</v>
      </c>
      <c r="E127" s="1">
        <f>Tabela3[[#This Row],[Força (N)]]/$I$5</f>
        <v>1176692.1657304901</v>
      </c>
      <c r="F127" s="1">
        <f>Tabela3[[#This Row],[Tensão (Pa)]]/1000000</f>
        <v>1.1766921657304901</v>
      </c>
    </row>
    <row r="128" spans="1:6" x14ac:dyDescent="0.3">
      <c r="A128" s="2">
        <v>19.850000000000001</v>
      </c>
      <c r="B128" s="2">
        <v>1.6472</v>
      </c>
      <c r="C128" s="1">
        <f>Tabela3[[#This Row],[Alongamento (mm/mm)]]/$I$2</f>
        <v>3.2944000000000001E-2</v>
      </c>
      <c r="D128" s="2">
        <v>50.348999999999997</v>
      </c>
      <c r="E128" s="1">
        <f>Tabela3[[#This Row],[Força (N)]]/$I$5</f>
        <v>1192801.8251296473</v>
      </c>
      <c r="F128" s="1">
        <f>Tabela3[[#This Row],[Tensão (Pa)]]/1000000</f>
        <v>1.1928018251296473</v>
      </c>
    </row>
    <row r="129" spans="1:6" x14ac:dyDescent="0.3">
      <c r="A129" s="2">
        <v>19.917000000000002</v>
      </c>
      <c r="B129" s="2">
        <v>1.6527000000000001</v>
      </c>
      <c r="C129" s="1">
        <f>Tabela3[[#This Row],[Alongamento (mm/mm)]]/$I$2</f>
        <v>3.3054E-2</v>
      </c>
      <c r="D129" s="2">
        <v>51.03</v>
      </c>
      <c r="E129" s="1">
        <f>Tabela3[[#This Row],[Força (N)]]/$I$5</f>
        <v>1208935.1752043914</v>
      </c>
      <c r="F129" s="1">
        <f>Tabela3[[#This Row],[Tensão (Pa)]]/1000000</f>
        <v>1.2089351752043913</v>
      </c>
    </row>
    <row r="130" spans="1:6" x14ac:dyDescent="0.3">
      <c r="A130" s="2">
        <v>19.966999999999999</v>
      </c>
      <c r="B130" s="2">
        <v>1.6568000000000001</v>
      </c>
      <c r="C130" s="1">
        <f>Tabela3[[#This Row],[Alongamento (mm/mm)]]/$I$2</f>
        <v>3.3135999999999999E-2</v>
      </c>
      <c r="D130" s="2">
        <v>51.71</v>
      </c>
      <c r="E130" s="1">
        <f>Tabela3[[#This Row],[Força (N)]]/$I$5</f>
        <v>1225044.8346035485</v>
      </c>
      <c r="F130" s="1">
        <f>Tabela3[[#This Row],[Tensão (Pa)]]/1000000</f>
        <v>1.2250448346035485</v>
      </c>
    </row>
    <row r="131" spans="1:6" x14ac:dyDescent="0.3">
      <c r="A131" s="2">
        <v>20.033000000000001</v>
      </c>
      <c r="B131" s="2">
        <v>1.6624000000000001</v>
      </c>
      <c r="C131" s="1">
        <f>Tabela3[[#This Row],[Alongamento (mm/mm)]]/$I$2</f>
        <v>3.3248E-2</v>
      </c>
      <c r="D131" s="2">
        <v>52.39</v>
      </c>
      <c r="E131" s="1">
        <f>Tabela3[[#This Row],[Força (N)]]/$I$5</f>
        <v>1241154.4940027054</v>
      </c>
      <c r="F131" s="1">
        <f>Tabela3[[#This Row],[Tensão (Pa)]]/1000000</f>
        <v>1.2411544940027055</v>
      </c>
    </row>
    <row r="132" spans="1:6" x14ac:dyDescent="0.3">
      <c r="A132" s="2">
        <v>20.100000000000001</v>
      </c>
      <c r="B132" s="2">
        <v>1.6679999999999999</v>
      </c>
      <c r="C132" s="1">
        <f>Tabela3[[#This Row],[Alongamento (mm/mm)]]/$I$2</f>
        <v>3.3360000000000001E-2</v>
      </c>
      <c r="D132" s="2">
        <v>53.241</v>
      </c>
      <c r="E132" s="1">
        <f>Tabela3[[#This Row],[Força (N)]]/$I$5</f>
        <v>1261315.2589272389</v>
      </c>
      <c r="F132" s="1">
        <f>Tabela3[[#This Row],[Tensão (Pa)]]/1000000</f>
        <v>1.2613152589272389</v>
      </c>
    </row>
    <row r="133" spans="1:6" x14ac:dyDescent="0.3">
      <c r="A133" s="2">
        <v>20.167000000000002</v>
      </c>
      <c r="B133" s="2">
        <v>1.6736</v>
      </c>
      <c r="C133" s="1">
        <f>Tabela3[[#This Row],[Alongamento (mm/mm)]]/$I$2</f>
        <v>3.3472000000000002E-2</v>
      </c>
      <c r="D133" s="2">
        <v>53.920999999999999</v>
      </c>
      <c r="E133" s="1">
        <f>Tabela3[[#This Row],[Força (N)]]/$I$5</f>
        <v>1277424.918326396</v>
      </c>
      <c r="F133" s="1">
        <f>Tabela3[[#This Row],[Tensão (Pa)]]/1000000</f>
        <v>1.2774249183263959</v>
      </c>
    </row>
    <row r="134" spans="1:6" x14ac:dyDescent="0.3">
      <c r="A134" s="2">
        <v>20.216999999999999</v>
      </c>
      <c r="B134" s="2">
        <v>1.6777</v>
      </c>
      <c r="C134" s="1">
        <f>Tabela3[[#This Row],[Alongamento (mm/mm)]]/$I$2</f>
        <v>3.3554E-2</v>
      </c>
      <c r="D134" s="2">
        <v>54.601999999999997</v>
      </c>
      <c r="E134" s="1">
        <f>Tabela3[[#This Row],[Força (N)]]/$I$5</f>
        <v>1293558.2684011399</v>
      </c>
      <c r="F134" s="1">
        <f>Tabela3[[#This Row],[Tensão (Pa)]]/1000000</f>
        <v>1.29355826840114</v>
      </c>
    </row>
    <row r="135" spans="1:6" x14ac:dyDescent="0.3">
      <c r="A135" s="2">
        <v>20.283000000000001</v>
      </c>
      <c r="B135" s="2">
        <v>1.6832</v>
      </c>
      <c r="C135" s="1">
        <f>Tabela3[[#This Row],[Alongamento (mm/mm)]]/$I$2</f>
        <v>3.3663999999999999E-2</v>
      </c>
      <c r="D135" s="2">
        <v>55.281999999999996</v>
      </c>
      <c r="E135" s="1">
        <f>Tabela3[[#This Row],[Força (N)]]/$I$5</f>
        <v>1309667.927800297</v>
      </c>
      <c r="F135" s="1">
        <f>Tabela3[[#This Row],[Tensão (Pa)]]/1000000</f>
        <v>1.3096679278002969</v>
      </c>
    </row>
    <row r="136" spans="1:6" x14ac:dyDescent="0.3">
      <c r="A136" s="2">
        <v>20.332999999999998</v>
      </c>
      <c r="B136" s="2">
        <v>1.6874</v>
      </c>
      <c r="C136" s="1">
        <f>Tabela3[[#This Row],[Alongamento (mm/mm)]]/$I$2</f>
        <v>3.3748E-2</v>
      </c>
      <c r="D136" s="2">
        <v>55.963000000000001</v>
      </c>
      <c r="E136" s="1">
        <f>Tabela3[[#This Row],[Força (N)]]/$I$5</f>
        <v>1325801.2778750411</v>
      </c>
      <c r="F136" s="1">
        <f>Tabela3[[#This Row],[Tensão (Pa)]]/1000000</f>
        <v>1.3258012778750412</v>
      </c>
    </row>
    <row r="137" spans="1:6" x14ac:dyDescent="0.3">
      <c r="A137" s="2">
        <v>20.382999999999999</v>
      </c>
      <c r="B137" s="2">
        <v>1.6916</v>
      </c>
      <c r="C137" s="1">
        <f>Tabela3[[#This Row],[Alongamento (mm/mm)]]/$I$2</f>
        <v>3.3832000000000001E-2</v>
      </c>
      <c r="D137" s="2">
        <v>56.643000000000001</v>
      </c>
      <c r="E137" s="1">
        <f>Tabela3[[#This Row],[Força (N)]]/$I$5</f>
        <v>1341910.9372741983</v>
      </c>
      <c r="F137" s="1">
        <f>Tabela3[[#This Row],[Tensão (Pa)]]/1000000</f>
        <v>1.3419109372741982</v>
      </c>
    </row>
    <row r="138" spans="1:6" x14ac:dyDescent="0.3">
      <c r="A138" s="2">
        <v>20.433</v>
      </c>
      <c r="B138" s="2">
        <v>1.6958</v>
      </c>
      <c r="C138" s="1">
        <f>Tabela3[[#This Row],[Alongamento (mm/mm)]]/$I$2</f>
        <v>3.3916000000000002E-2</v>
      </c>
      <c r="D138" s="2">
        <v>57.323</v>
      </c>
      <c r="E138" s="1">
        <f>Tabela3[[#This Row],[Força (N)]]/$I$5</f>
        <v>1358020.5966733554</v>
      </c>
      <c r="F138" s="1">
        <f>Tabela3[[#This Row],[Tensão (Pa)]]/1000000</f>
        <v>1.3580205966733554</v>
      </c>
    </row>
    <row r="139" spans="1:6" x14ac:dyDescent="0.3">
      <c r="A139" s="2">
        <v>20.483000000000001</v>
      </c>
      <c r="B139" s="2">
        <v>1.7</v>
      </c>
      <c r="C139" s="1">
        <f>Tabela3[[#This Row],[Alongamento (mm/mm)]]/$I$2</f>
        <v>3.4000000000000002E-2</v>
      </c>
      <c r="D139" s="2">
        <v>58.003999999999998</v>
      </c>
      <c r="E139" s="1">
        <f>Tabela3[[#This Row],[Força (N)]]/$I$5</f>
        <v>1374153.9467480993</v>
      </c>
      <c r="F139" s="1">
        <f>Tabela3[[#This Row],[Tensão (Pa)]]/1000000</f>
        <v>1.3741539467480992</v>
      </c>
    </row>
    <row r="140" spans="1:6" x14ac:dyDescent="0.3">
      <c r="A140" s="2">
        <v>20.533000000000001</v>
      </c>
      <c r="B140" s="2">
        <v>1.7040999999999999</v>
      </c>
      <c r="C140" s="1">
        <f>Tabela3[[#This Row],[Alongamento (mm/mm)]]/$I$2</f>
        <v>3.4082000000000001E-2</v>
      </c>
      <c r="D140" s="2">
        <v>58.683999999999997</v>
      </c>
      <c r="E140" s="1">
        <f>Tabela3[[#This Row],[Força (N)]]/$I$5</f>
        <v>1390263.6061472564</v>
      </c>
      <c r="F140" s="1">
        <f>Tabela3[[#This Row],[Tensão (Pa)]]/1000000</f>
        <v>1.3902636061472564</v>
      </c>
    </row>
    <row r="141" spans="1:6" x14ac:dyDescent="0.3">
      <c r="A141" s="2">
        <v>20.582999999999998</v>
      </c>
      <c r="B141" s="2">
        <v>1.7082999999999999</v>
      </c>
      <c r="C141" s="1">
        <f>Tabela3[[#This Row],[Alongamento (mm/mm)]]/$I$2</f>
        <v>3.4166000000000002E-2</v>
      </c>
      <c r="D141" s="2">
        <v>59.363999999999997</v>
      </c>
      <c r="E141" s="1">
        <f>Tabela3[[#This Row],[Força (N)]]/$I$5</f>
        <v>1406373.2655464136</v>
      </c>
      <c r="F141" s="1">
        <f>Tabela3[[#This Row],[Tensão (Pa)]]/1000000</f>
        <v>1.4063732655464136</v>
      </c>
    </row>
    <row r="142" spans="1:6" x14ac:dyDescent="0.3">
      <c r="A142" s="2">
        <v>20.632999999999999</v>
      </c>
      <c r="B142" s="2">
        <v>1.7123999999999999</v>
      </c>
      <c r="C142" s="1">
        <f>Tabela3[[#This Row],[Alongamento (mm/mm)]]/$I$2</f>
        <v>3.4248000000000001E-2</v>
      </c>
      <c r="D142" s="2">
        <v>60.045000000000002</v>
      </c>
      <c r="E142" s="1">
        <f>Tabela3[[#This Row],[Força (N)]]/$I$5</f>
        <v>1422506.6156211577</v>
      </c>
      <c r="F142" s="1">
        <f>Tabela3[[#This Row],[Tensão (Pa)]]/1000000</f>
        <v>1.4225066156211577</v>
      </c>
    </row>
    <row r="143" spans="1:6" x14ac:dyDescent="0.3">
      <c r="A143" s="2">
        <v>20.683</v>
      </c>
      <c r="B143" s="2">
        <v>1.7165999999999999</v>
      </c>
      <c r="C143" s="1">
        <f>Tabela3[[#This Row],[Alongamento (mm/mm)]]/$I$2</f>
        <v>3.4332000000000001E-2</v>
      </c>
      <c r="D143" s="2">
        <v>60.725000000000001</v>
      </c>
      <c r="E143" s="1">
        <f>Tabela3[[#This Row],[Força (N)]]/$I$5</f>
        <v>1438616.2750203148</v>
      </c>
      <c r="F143" s="1">
        <f>Tabela3[[#This Row],[Tensão (Pa)]]/1000000</f>
        <v>1.4386162750203149</v>
      </c>
    </row>
    <row r="144" spans="1:6" x14ac:dyDescent="0.3">
      <c r="A144" s="2">
        <v>20.733000000000001</v>
      </c>
      <c r="B144" s="2">
        <v>1.7206999999999999</v>
      </c>
      <c r="C144" s="1">
        <f>Tabela3[[#This Row],[Alongamento (mm/mm)]]/$I$2</f>
        <v>3.4414E-2</v>
      </c>
      <c r="D144" s="2">
        <v>61.405999999999999</v>
      </c>
      <c r="E144" s="1">
        <f>Tabela3[[#This Row],[Força (N)]]/$I$5</f>
        <v>1454749.6250950589</v>
      </c>
      <c r="F144" s="1">
        <f>Tabela3[[#This Row],[Tensão (Pa)]]/1000000</f>
        <v>1.4547496250950589</v>
      </c>
    </row>
    <row r="145" spans="1:6" x14ac:dyDescent="0.3">
      <c r="A145" s="2">
        <v>20.783000000000001</v>
      </c>
      <c r="B145" s="2">
        <v>1.7249000000000001</v>
      </c>
      <c r="C145" s="1">
        <f>Tabela3[[#This Row],[Alongamento (mm/mm)]]/$I$2</f>
        <v>3.4498000000000001E-2</v>
      </c>
      <c r="D145" s="2">
        <v>62.085999999999999</v>
      </c>
      <c r="E145" s="1">
        <f>Tabela3[[#This Row],[Força (N)]]/$I$5</f>
        <v>1470859.2844942159</v>
      </c>
      <c r="F145" s="1">
        <f>Tabela3[[#This Row],[Tensão (Pa)]]/1000000</f>
        <v>1.4708592844942159</v>
      </c>
    </row>
    <row r="146" spans="1:6" x14ac:dyDescent="0.3">
      <c r="A146" s="2">
        <v>20.832999999999998</v>
      </c>
      <c r="B146" s="2">
        <v>1.7290000000000001</v>
      </c>
      <c r="C146" s="1">
        <f>Tabela3[[#This Row],[Alongamento (mm/mm)]]/$I$2</f>
        <v>3.458E-2</v>
      </c>
      <c r="D146" s="2">
        <v>62.765999999999998</v>
      </c>
      <c r="E146" s="1">
        <f>Tabela3[[#This Row],[Força (N)]]/$I$5</f>
        <v>1486968.943893373</v>
      </c>
      <c r="F146" s="1">
        <f>Tabela3[[#This Row],[Tensão (Pa)]]/1000000</f>
        <v>1.4869689438933731</v>
      </c>
    </row>
    <row r="147" spans="1:6" x14ac:dyDescent="0.3">
      <c r="A147" s="2">
        <v>20.882999999999999</v>
      </c>
      <c r="B147" s="2">
        <v>1.7332000000000001</v>
      </c>
      <c r="C147" s="1">
        <f>Tabela3[[#This Row],[Alongamento (mm/mm)]]/$I$2</f>
        <v>3.4664E-2</v>
      </c>
      <c r="D147" s="2">
        <v>63.447000000000003</v>
      </c>
      <c r="E147" s="1">
        <f>Tabela3[[#This Row],[Força (N)]]/$I$5</f>
        <v>1503102.2939681171</v>
      </c>
      <c r="F147" s="1">
        <f>Tabela3[[#This Row],[Tensão (Pa)]]/1000000</f>
        <v>1.5031022939681171</v>
      </c>
    </row>
    <row r="148" spans="1:6" x14ac:dyDescent="0.3">
      <c r="A148" s="2">
        <v>20.933</v>
      </c>
      <c r="B148" s="2">
        <v>1.7375</v>
      </c>
      <c r="C148" s="1">
        <f>Tabela3[[#This Row],[Alongamento (mm/mm)]]/$I$2</f>
        <v>3.4750000000000003E-2</v>
      </c>
      <c r="D148" s="2">
        <v>64.126999999999995</v>
      </c>
      <c r="E148" s="1">
        <f>Tabela3[[#This Row],[Força (N)]]/$I$5</f>
        <v>1519211.953367274</v>
      </c>
      <c r="F148" s="1">
        <f>Tabela3[[#This Row],[Tensão (Pa)]]/1000000</f>
        <v>1.5192119533672741</v>
      </c>
    </row>
    <row r="149" spans="1:6" x14ac:dyDescent="0.3">
      <c r="A149" s="2">
        <v>20.983000000000001</v>
      </c>
      <c r="B149" s="2">
        <v>1.7417</v>
      </c>
      <c r="C149" s="1">
        <f>Tabela3[[#This Row],[Alongamento (mm/mm)]]/$I$2</f>
        <v>3.4834000000000004E-2</v>
      </c>
      <c r="D149" s="2">
        <v>64.808000000000007</v>
      </c>
      <c r="E149" s="1">
        <f>Tabela3[[#This Row],[Força (N)]]/$I$5</f>
        <v>1535345.3034420186</v>
      </c>
      <c r="F149" s="1">
        <f>Tabela3[[#This Row],[Tensão (Pa)]]/1000000</f>
        <v>1.5353453034420186</v>
      </c>
    </row>
    <row r="150" spans="1:6" x14ac:dyDescent="0.3">
      <c r="A150" s="2">
        <v>21.033000000000001</v>
      </c>
      <c r="B150" s="2">
        <v>1.7458</v>
      </c>
      <c r="C150" s="1">
        <f>Tabela3[[#This Row],[Alongamento (mm/mm)]]/$I$2</f>
        <v>3.4916000000000003E-2</v>
      </c>
      <c r="D150" s="2">
        <v>65.658000000000001</v>
      </c>
      <c r="E150" s="1">
        <f>Tabela3[[#This Row],[Força (N)]]/$I$5</f>
        <v>1555482.3776909646</v>
      </c>
      <c r="F150" s="1">
        <f>Tabela3[[#This Row],[Tensão (Pa)]]/1000000</f>
        <v>1.5554823776909645</v>
      </c>
    </row>
    <row r="151" spans="1:6" x14ac:dyDescent="0.3">
      <c r="A151" s="2">
        <v>21.082999999999998</v>
      </c>
      <c r="B151" s="2">
        <v>1.75</v>
      </c>
      <c r="C151" s="1">
        <f>Tabela3[[#This Row],[Alongamento (mm/mm)]]/$I$2</f>
        <v>3.5000000000000003E-2</v>
      </c>
      <c r="D151" s="2">
        <v>66.338999999999999</v>
      </c>
      <c r="E151" s="1">
        <f>Tabela3[[#This Row],[Força (N)]]/$I$5</f>
        <v>1571615.7277657087</v>
      </c>
      <c r="F151" s="1">
        <f>Tabela3[[#This Row],[Tensão (Pa)]]/1000000</f>
        <v>1.5716157277657088</v>
      </c>
    </row>
    <row r="152" spans="1:6" x14ac:dyDescent="0.3">
      <c r="A152" s="2">
        <v>21.132999999999999</v>
      </c>
      <c r="B152" s="2">
        <v>1.7541</v>
      </c>
      <c r="C152" s="1">
        <f>Tabela3[[#This Row],[Alongamento (mm/mm)]]/$I$2</f>
        <v>3.5082000000000002E-2</v>
      </c>
      <c r="D152" s="2">
        <v>67.188999999999993</v>
      </c>
      <c r="E152" s="1">
        <f>Tabela3[[#This Row],[Força (N)]]/$I$5</f>
        <v>1591752.802014655</v>
      </c>
      <c r="F152" s="1">
        <f>Tabela3[[#This Row],[Tensão (Pa)]]/1000000</f>
        <v>1.591752802014655</v>
      </c>
    </row>
    <row r="153" spans="1:6" x14ac:dyDescent="0.3">
      <c r="A153" s="2">
        <v>21.183</v>
      </c>
      <c r="B153" s="2">
        <v>1.7582</v>
      </c>
      <c r="C153" s="1">
        <f>Tabela3[[#This Row],[Alongamento (mm/mm)]]/$I$2</f>
        <v>3.5164000000000001E-2</v>
      </c>
      <c r="D153" s="2">
        <v>67.869</v>
      </c>
      <c r="E153" s="1">
        <f>Tabela3[[#This Row],[Força (N)]]/$I$5</f>
        <v>1607862.4614138121</v>
      </c>
      <c r="F153" s="1">
        <f>Tabela3[[#This Row],[Tensão (Pa)]]/1000000</f>
        <v>1.6078624614138122</v>
      </c>
    </row>
    <row r="154" spans="1:6" x14ac:dyDescent="0.3">
      <c r="A154" s="2">
        <v>21.233000000000001</v>
      </c>
      <c r="B154" s="2">
        <v>1.7625</v>
      </c>
      <c r="C154" s="1">
        <f>Tabela3[[#This Row],[Alongamento (mm/mm)]]/$I$2</f>
        <v>3.5249999999999997E-2</v>
      </c>
      <c r="D154" s="2">
        <v>68.72</v>
      </c>
      <c r="E154" s="1">
        <f>Tabela3[[#This Row],[Força (N)]]/$I$5</f>
        <v>1628023.2263383456</v>
      </c>
      <c r="F154" s="1">
        <f>Tabela3[[#This Row],[Tensão (Pa)]]/1000000</f>
        <v>1.6280232263383456</v>
      </c>
    </row>
    <row r="155" spans="1:6" x14ac:dyDescent="0.3">
      <c r="A155" s="2">
        <v>21.283000000000001</v>
      </c>
      <c r="B155" s="2">
        <v>1.7665999999999999</v>
      </c>
      <c r="C155" s="1">
        <f>Tabela3[[#This Row],[Alongamento (mm/mm)]]/$I$2</f>
        <v>3.5332000000000002E-2</v>
      </c>
      <c r="D155" s="2">
        <v>69.400000000000006</v>
      </c>
      <c r="E155" s="1">
        <f>Tabela3[[#This Row],[Força (N)]]/$I$5</f>
        <v>1644132.8857375027</v>
      </c>
      <c r="F155" s="1">
        <f>Tabela3[[#This Row],[Tensão (Pa)]]/1000000</f>
        <v>1.6441328857375028</v>
      </c>
    </row>
    <row r="156" spans="1:6" x14ac:dyDescent="0.3">
      <c r="A156" s="2">
        <v>21.317</v>
      </c>
      <c r="B156" s="2">
        <v>1.7693000000000001</v>
      </c>
      <c r="C156" s="1">
        <f>Tabela3[[#This Row],[Alongamento (mm/mm)]]/$I$2</f>
        <v>3.5386000000000001E-2</v>
      </c>
      <c r="D156" s="2">
        <v>70.081000000000003</v>
      </c>
      <c r="E156" s="1">
        <f>Tabela3[[#This Row],[Força (N)]]/$I$5</f>
        <v>1660266.2358122468</v>
      </c>
      <c r="F156" s="1">
        <f>Tabela3[[#This Row],[Tensão (Pa)]]/1000000</f>
        <v>1.6602662358122469</v>
      </c>
    </row>
    <row r="157" spans="1:6" x14ac:dyDescent="0.3">
      <c r="A157" s="2">
        <v>21.367000000000001</v>
      </c>
      <c r="B157" s="2">
        <v>1.7735000000000001</v>
      </c>
      <c r="C157" s="1">
        <f>Tabela3[[#This Row],[Alongamento (mm/mm)]]/$I$2</f>
        <v>3.5470000000000002E-2</v>
      </c>
      <c r="D157" s="2">
        <v>70.760999999999996</v>
      </c>
      <c r="E157" s="1">
        <f>Tabela3[[#This Row],[Força (N)]]/$I$5</f>
        <v>1676375.8952114037</v>
      </c>
      <c r="F157" s="1">
        <f>Tabela3[[#This Row],[Tensão (Pa)]]/1000000</f>
        <v>1.6763758952114036</v>
      </c>
    </row>
    <row r="158" spans="1:6" x14ac:dyDescent="0.3">
      <c r="A158" s="2">
        <v>21.417000000000002</v>
      </c>
      <c r="B158" s="2">
        <v>1.7778</v>
      </c>
      <c r="C158" s="1">
        <f>Tabela3[[#This Row],[Alongamento (mm/mm)]]/$I$2</f>
        <v>3.5556000000000004E-2</v>
      </c>
      <c r="D158" s="2">
        <v>71.611999999999995</v>
      </c>
      <c r="E158" s="1">
        <f>Tabela3[[#This Row],[Força (N)]]/$I$5</f>
        <v>1696536.6601359369</v>
      </c>
      <c r="F158" s="1">
        <f>Tabela3[[#This Row],[Tensão (Pa)]]/1000000</f>
        <v>1.6965366601359368</v>
      </c>
    </row>
    <row r="159" spans="1:6" x14ac:dyDescent="0.3">
      <c r="A159" s="2">
        <v>21.466999999999999</v>
      </c>
      <c r="B159" s="2">
        <v>1.782</v>
      </c>
      <c r="C159" s="1">
        <f>Tabela3[[#This Row],[Alongamento (mm/mm)]]/$I$2</f>
        <v>3.5639999999999998E-2</v>
      </c>
      <c r="D159" s="2">
        <v>72.292000000000002</v>
      </c>
      <c r="E159" s="1">
        <f>Tabela3[[#This Row],[Força (N)]]/$I$5</f>
        <v>1712646.3195350943</v>
      </c>
      <c r="F159" s="1">
        <f>Tabela3[[#This Row],[Tensão (Pa)]]/1000000</f>
        <v>1.7126463195350943</v>
      </c>
    </row>
    <row r="160" spans="1:6" x14ac:dyDescent="0.3">
      <c r="A160" s="2">
        <v>21.5</v>
      </c>
      <c r="B160" s="2">
        <v>1.7847</v>
      </c>
      <c r="C160" s="1">
        <f>Tabela3[[#This Row],[Alongamento (mm/mm)]]/$I$2</f>
        <v>3.5693999999999997E-2</v>
      </c>
      <c r="D160" s="2">
        <v>72.971999999999994</v>
      </c>
      <c r="E160" s="1">
        <f>Tabela3[[#This Row],[Força (N)]]/$I$5</f>
        <v>1728755.9789342512</v>
      </c>
      <c r="F160" s="1">
        <f>Tabela3[[#This Row],[Tensão (Pa)]]/1000000</f>
        <v>1.7287559789342513</v>
      </c>
    </row>
    <row r="161" spans="1:6" x14ac:dyDescent="0.3">
      <c r="A161" s="2">
        <v>21.55</v>
      </c>
      <c r="B161" s="2">
        <v>1.7888999999999999</v>
      </c>
      <c r="C161" s="1">
        <f>Tabela3[[#This Row],[Alongamento (mm/mm)]]/$I$2</f>
        <v>3.5777999999999997E-2</v>
      </c>
      <c r="D161" s="2">
        <v>73.822999999999993</v>
      </c>
      <c r="E161" s="1">
        <f>Tabela3[[#This Row],[Força (N)]]/$I$5</f>
        <v>1748916.7438587844</v>
      </c>
      <c r="F161" s="1">
        <f>Tabela3[[#This Row],[Tensão (Pa)]]/1000000</f>
        <v>1.7489167438587845</v>
      </c>
    </row>
    <row r="162" spans="1:6" x14ac:dyDescent="0.3">
      <c r="A162" s="2">
        <v>21.6</v>
      </c>
      <c r="B162" s="2">
        <v>1.7929999999999999</v>
      </c>
      <c r="C162" s="1">
        <f>Tabela3[[#This Row],[Alongamento (mm/mm)]]/$I$2</f>
        <v>3.5859999999999996E-2</v>
      </c>
      <c r="D162" s="2">
        <v>74.503</v>
      </c>
      <c r="E162" s="1">
        <f>Tabela3[[#This Row],[Força (N)]]/$I$5</f>
        <v>1765026.4032579418</v>
      </c>
      <c r="F162" s="1">
        <f>Tabela3[[#This Row],[Tensão (Pa)]]/1000000</f>
        <v>1.7650264032579419</v>
      </c>
    </row>
    <row r="163" spans="1:6" x14ac:dyDescent="0.3">
      <c r="A163" s="2">
        <v>21.632999999999999</v>
      </c>
      <c r="B163" s="2">
        <v>1.7957000000000001</v>
      </c>
      <c r="C163" s="1">
        <f>Tabela3[[#This Row],[Alongamento (mm/mm)]]/$I$2</f>
        <v>3.5914000000000001E-2</v>
      </c>
      <c r="D163" s="2">
        <v>75.183999999999997</v>
      </c>
      <c r="E163" s="1">
        <f>Tabela3[[#This Row],[Força (N)]]/$I$5</f>
        <v>1781159.7533326857</v>
      </c>
      <c r="F163" s="1">
        <f>Tabela3[[#This Row],[Tensão (Pa)]]/1000000</f>
        <v>1.7811597533326857</v>
      </c>
    </row>
    <row r="164" spans="1:6" x14ac:dyDescent="0.3">
      <c r="A164" s="2">
        <v>21.683</v>
      </c>
      <c r="B164" s="2">
        <v>1.7999000000000001</v>
      </c>
      <c r="C164" s="1">
        <f>Tabela3[[#This Row],[Alongamento (mm/mm)]]/$I$2</f>
        <v>3.5998000000000002E-2</v>
      </c>
      <c r="D164" s="2">
        <v>76.034000000000006</v>
      </c>
      <c r="E164" s="1">
        <f>Tabela3[[#This Row],[Força (N)]]/$I$5</f>
        <v>1801296.8275816324</v>
      </c>
      <c r="F164" s="1">
        <f>Tabela3[[#This Row],[Tensão (Pa)]]/1000000</f>
        <v>1.8012968275816323</v>
      </c>
    </row>
    <row r="165" spans="1:6" x14ac:dyDescent="0.3">
      <c r="A165" s="2">
        <v>21.733000000000001</v>
      </c>
      <c r="B165" s="2">
        <v>1.8041</v>
      </c>
      <c r="C165" s="1">
        <f>Tabela3[[#This Row],[Alongamento (mm/mm)]]/$I$2</f>
        <v>3.6082000000000003E-2</v>
      </c>
      <c r="D165" s="2">
        <v>76.885000000000005</v>
      </c>
      <c r="E165" s="1">
        <f>Tabela3[[#This Row],[Força (N)]]/$I$5</f>
        <v>1821457.5925061656</v>
      </c>
      <c r="F165" s="1">
        <f>Tabela3[[#This Row],[Tensão (Pa)]]/1000000</f>
        <v>1.8214575925061656</v>
      </c>
    </row>
    <row r="166" spans="1:6" x14ac:dyDescent="0.3">
      <c r="A166" s="2">
        <v>21.783000000000001</v>
      </c>
      <c r="B166" s="2">
        <v>1.8083</v>
      </c>
      <c r="C166" s="1">
        <f>Tabela3[[#This Row],[Alongamento (mm/mm)]]/$I$2</f>
        <v>3.6166000000000004E-2</v>
      </c>
      <c r="D166" s="2">
        <v>77.734999999999999</v>
      </c>
      <c r="E166" s="1">
        <f>Tabela3[[#This Row],[Força (N)]]/$I$5</f>
        <v>1841594.6667551119</v>
      </c>
      <c r="F166" s="1">
        <f>Tabela3[[#This Row],[Tensão (Pa)]]/1000000</f>
        <v>1.841594666755112</v>
      </c>
    </row>
    <row r="167" spans="1:6" x14ac:dyDescent="0.3">
      <c r="A167" s="2">
        <v>21.832999999999998</v>
      </c>
      <c r="B167" s="2">
        <v>1.8124</v>
      </c>
      <c r="C167" s="1">
        <f>Tabela3[[#This Row],[Alongamento (mm/mm)]]/$I$2</f>
        <v>3.6248000000000002E-2</v>
      </c>
      <c r="D167" s="2">
        <v>78.585999999999999</v>
      </c>
      <c r="E167" s="1">
        <f>Tabela3[[#This Row],[Força (N)]]/$I$5</f>
        <v>1861755.4316796453</v>
      </c>
      <c r="F167" s="1">
        <f>Tabela3[[#This Row],[Tensão (Pa)]]/1000000</f>
        <v>1.8617554316796454</v>
      </c>
    </row>
    <row r="168" spans="1:6" x14ac:dyDescent="0.3">
      <c r="A168" s="2">
        <v>21.882999999999999</v>
      </c>
      <c r="B168" s="2">
        <v>1.8166</v>
      </c>
      <c r="C168" s="1">
        <f>Tabela3[[#This Row],[Alongamento (mm/mm)]]/$I$2</f>
        <v>3.6332000000000003E-2</v>
      </c>
      <c r="D168" s="2">
        <v>79.436000000000007</v>
      </c>
      <c r="E168" s="1">
        <f>Tabela3[[#This Row],[Força (N)]]/$I$5</f>
        <v>1881892.5059285918</v>
      </c>
      <c r="F168" s="1">
        <f>Tabela3[[#This Row],[Tensão (Pa)]]/1000000</f>
        <v>1.8818925059285918</v>
      </c>
    </row>
    <row r="169" spans="1:6" x14ac:dyDescent="0.3">
      <c r="A169" s="2">
        <v>21.917000000000002</v>
      </c>
      <c r="B169" s="2">
        <v>1.8193999999999999</v>
      </c>
      <c r="C169" s="1">
        <f>Tabela3[[#This Row],[Alongamento (mm/mm)]]/$I$2</f>
        <v>3.6387999999999997E-2</v>
      </c>
      <c r="D169" s="2">
        <v>80.117000000000004</v>
      </c>
      <c r="E169" s="1">
        <f>Tabela3[[#This Row],[Força (N)]]/$I$5</f>
        <v>1898025.8560033359</v>
      </c>
      <c r="F169" s="1">
        <f>Tabela3[[#This Row],[Tensão (Pa)]]/1000000</f>
        <v>1.8980258560033358</v>
      </c>
    </row>
    <row r="170" spans="1:6" x14ac:dyDescent="0.3">
      <c r="A170" s="2">
        <v>21.966999999999999</v>
      </c>
      <c r="B170" s="2">
        <v>1.8236000000000001</v>
      </c>
      <c r="C170" s="1">
        <f>Tabela3[[#This Row],[Alongamento (mm/mm)]]/$I$2</f>
        <v>3.6472000000000004E-2</v>
      </c>
      <c r="D170" s="2">
        <v>80.966999999999999</v>
      </c>
      <c r="E170" s="1">
        <f>Tabela3[[#This Row],[Força (N)]]/$I$5</f>
        <v>1918162.9302522819</v>
      </c>
      <c r="F170" s="1">
        <f>Tabela3[[#This Row],[Tensão (Pa)]]/1000000</f>
        <v>1.918162930252282</v>
      </c>
    </row>
    <row r="171" spans="1:6" x14ac:dyDescent="0.3">
      <c r="A171" s="2">
        <v>22.016999999999999</v>
      </c>
      <c r="B171" s="2">
        <v>1.8277000000000001</v>
      </c>
      <c r="C171" s="1">
        <f>Tabela3[[#This Row],[Alongamento (mm/mm)]]/$I$2</f>
        <v>3.6554000000000003E-2</v>
      </c>
      <c r="D171" s="2">
        <v>81.817999999999998</v>
      </c>
      <c r="E171" s="1">
        <f>Tabela3[[#This Row],[Força (N)]]/$I$5</f>
        <v>1938323.6951768154</v>
      </c>
      <c r="F171" s="1">
        <f>Tabela3[[#This Row],[Tensão (Pa)]]/1000000</f>
        <v>1.9383236951768155</v>
      </c>
    </row>
    <row r="172" spans="1:6" x14ac:dyDescent="0.3">
      <c r="A172" s="2">
        <v>22.05</v>
      </c>
      <c r="B172" s="2">
        <v>1.8305</v>
      </c>
      <c r="C172" s="1">
        <f>Tabela3[[#This Row],[Alongamento (mm/mm)]]/$I$2</f>
        <v>3.6610000000000004E-2</v>
      </c>
      <c r="D172" s="2">
        <v>82.498000000000005</v>
      </c>
      <c r="E172" s="1">
        <f>Tabela3[[#This Row],[Força (N)]]/$I$5</f>
        <v>1954433.3545759725</v>
      </c>
      <c r="F172" s="1">
        <f>Tabela3[[#This Row],[Tensão (Pa)]]/1000000</f>
        <v>1.9544333545759724</v>
      </c>
    </row>
    <row r="173" spans="1:6" x14ac:dyDescent="0.3">
      <c r="A173" s="2">
        <v>22.082999999999998</v>
      </c>
      <c r="B173" s="2">
        <v>1.8332999999999999</v>
      </c>
      <c r="C173" s="1">
        <f>Tabela3[[#This Row],[Alongamento (mm/mm)]]/$I$2</f>
        <v>3.6665999999999997E-2</v>
      </c>
      <c r="D173" s="2">
        <v>83.177999999999997</v>
      </c>
      <c r="E173" s="1">
        <f>Tabela3[[#This Row],[Força (N)]]/$I$5</f>
        <v>1970543.0139751295</v>
      </c>
      <c r="F173" s="1">
        <f>Tabela3[[#This Row],[Tensão (Pa)]]/1000000</f>
        <v>1.9705430139751294</v>
      </c>
    </row>
    <row r="174" spans="1:6" x14ac:dyDescent="0.3">
      <c r="A174" s="2">
        <v>22.132999999999999</v>
      </c>
      <c r="B174" s="2">
        <v>1.8373999999999999</v>
      </c>
      <c r="C174" s="1">
        <f>Tabela3[[#This Row],[Alongamento (mm/mm)]]/$I$2</f>
        <v>3.6747999999999996E-2</v>
      </c>
      <c r="D174" s="2">
        <v>84.028999999999996</v>
      </c>
      <c r="E174" s="1">
        <f>Tabela3[[#This Row],[Força (N)]]/$I$5</f>
        <v>1990703.7788996629</v>
      </c>
      <c r="F174" s="1">
        <f>Tabela3[[#This Row],[Tensão (Pa)]]/1000000</f>
        <v>1.9907037788996629</v>
      </c>
    </row>
    <row r="175" spans="1:6" x14ac:dyDescent="0.3">
      <c r="A175" s="2">
        <v>22.183</v>
      </c>
      <c r="B175" s="2">
        <v>1.8414999999999999</v>
      </c>
      <c r="C175" s="1">
        <f>Tabela3[[#This Row],[Alongamento (mm/mm)]]/$I$2</f>
        <v>3.6830000000000002E-2</v>
      </c>
      <c r="D175" s="2">
        <v>84.879000000000005</v>
      </c>
      <c r="E175" s="1">
        <f>Tabela3[[#This Row],[Força (N)]]/$I$5</f>
        <v>2010840.8531486094</v>
      </c>
      <c r="F175" s="1">
        <f>Tabela3[[#This Row],[Tensão (Pa)]]/1000000</f>
        <v>2.0108408531486095</v>
      </c>
    </row>
    <row r="176" spans="1:6" x14ac:dyDescent="0.3">
      <c r="A176" s="2">
        <v>22.216999999999999</v>
      </c>
      <c r="B176" s="2">
        <v>1.8444</v>
      </c>
      <c r="C176" s="1">
        <f>Tabela3[[#This Row],[Alongamento (mm/mm)]]/$I$2</f>
        <v>3.6888000000000004E-2</v>
      </c>
      <c r="D176" s="2">
        <v>85.56</v>
      </c>
      <c r="E176" s="1">
        <f>Tabela3[[#This Row],[Força (N)]]/$I$5</f>
        <v>2026974.2032233535</v>
      </c>
      <c r="F176" s="1">
        <f>Tabela3[[#This Row],[Tensão (Pa)]]/1000000</f>
        <v>2.0269742032233533</v>
      </c>
    </row>
    <row r="177" spans="1:6" x14ac:dyDescent="0.3">
      <c r="A177" s="2">
        <v>22.25</v>
      </c>
      <c r="B177" s="2">
        <v>1.8471</v>
      </c>
      <c r="C177" s="1">
        <f>Tabela3[[#This Row],[Alongamento (mm/mm)]]/$I$2</f>
        <v>3.6942000000000003E-2</v>
      </c>
      <c r="D177" s="2">
        <v>86.24</v>
      </c>
      <c r="E177" s="1">
        <f>Tabela3[[#This Row],[Força (N)]]/$I$5</f>
        <v>2043083.8626225104</v>
      </c>
      <c r="F177" s="1">
        <f>Tabela3[[#This Row],[Tensão (Pa)]]/1000000</f>
        <v>2.0430838626225105</v>
      </c>
    </row>
    <row r="178" spans="1:6" x14ac:dyDescent="0.3">
      <c r="A178" s="2">
        <v>22.3</v>
      </c>
      <c r="B178" s="2">
        <v>1.8512999999999999</v>
      </c>
      <c r="C178" s="1">
        <f>Tabela3[[#This Row],[Alongamento (mm/mm)]]/$I$2</f>
        <v>3.7025999999999996E-2</v>
      </c>
      <c r="D178" s="2">
        <v>87.090999999999994</v>
      </c>
      <c r="E178" s="1">
        <f>Tabela3[[#This Row],[Força (N)]]/$I$5</f>
        <v>2063244.6275470436</v>
      </c>
      <c r="F178" s="1">
        <f>Tabela3[[#This Row],[Tensão (Pa)]]/1000000</f>
        <v>2.0632446275470437</v>
      </c>
    </row>
    <row r="179" spans="1:6" x14ac:dyDescent="0.3">
      <c r="A179" s="2">
        <v>22.332999999999998</v>
      </c>
      <c r="B179" s="2">
        <v>1.8541000000000001</v>
      </c>
      <c r="C179" s="1">
        <f>Tabela3[[#This Row],[Alongamento (mm/mm)]]/$I$2</f>
        <v>3.7082000000000004E-2</v>
      </c>
      <c r="D179" s="2">
        <v>87.771000000000001</v>
      </c>
      <c r="E179" s="1">
        <f>Tabela3[[#This Row],[Força (N)]]/$I$5</f>
        <v>2079354.286946201</v>
      </c>
      <c r="F179" s="1">
        <f>Tabela3[[#This Row],[Tensão (Pa)]]/1000000</f>
        <v>2.0793542869462009</v>
      </c>
    </row>
    <row r="180" spans="1:6" x14ac:dyDescent="0.3">
      <c r="A180" s="2">
        <v>22.382999999999999</v>
      </c>
      <c r="B180" s="2">
        <v>1.8583000000000001</v>
      </c>
      <c r="C180" s="1">
        <f>Tabela3[[#This Row],[Alongamento (mm/mm)]]/$I$2</f>
        <v>3.7166000000000005E-2</v>
      </c>
      <c r="D180" s="2">
        <v>88.620999999999995</v>
      </c>
      <c r="E180" s="1">
        <f>Tabela3[[#This Row],[Força (N)]]/$I$5</f>
        <v>2099491.361195147</v>
      </c>
      <c r="F180" s="1">
        <f>Tabela3[[#This Row],[Tensão (Pa)]]/1000000</f>
        <v>2.0994913611951471</v>
      </c>
    </row>
    <row r="181" spans="1:6" x14ac:dyDescent="0.3">
      <c r="A181" s="2">
        <v>22.417000000000002</v>
      </c>
      <c r="B181" s="2">
        <v>1.8611</v>
      </c>
      <c r="C181" s="1">
        <f>Tabela3[[#This Row],[Alongamento (mm/mm)]]/$I$2</f>
        <v>3.7221999999999998E-2</v>
      </c>
      <c r="D181" s="2">
        <v>89.302000000000007</v>
      </c>
      <c r="E181" s="1">
        <f>Tabela3[[#This Row],[Força (N)]]/$I$5</f>
        <v>2115624.7112698914</v>
      </c>
      <c r="F181" s="1">
        <f>Tabela3[[#This Row],[Tensão (Pa)]]/1000000</f>
        <v>2.1156247112698914</v>
      </c>
    </row>
    <row r="182" spans="1:6" x14ac:dyDescent="0.3">
      <c r="A182" s="2">
        <v>22.45</v>
      </c>
      <c r="B182" s="2">
        <v>1.8638999999999999</v>
      </c>
      <c r="C182" s="1">
        <f>Tabela3[[#This Row],[Alongamento (mm/mm)]]/$I$2</f>
        <v>3.7277999999999999E-2</v>
      </c>
      <c r="D182" s="2">
        <v>89.981999999999999</v>
      </c>
      <c r="E182" s="1">
        <f>Tabela3[[#This Row],[Força (N)]]/$I$5</f>
        <v>2131734.3706690483</v>
      </c>
      <c r="F182" s="1">
        <f>Tabela3[[#This Row],[Tensão (Pa)]]/1000000</f>
        <v>2.1317343706690481</v>
      </c>
    </row>
    <row r="183" spans="1:6" x14ac:dyDescent="0.3">
      <c r="A183" s="2">
        <v>22.483000000000001</v>
      </c>
      <c r="B183" s="2">
        <v>1.8666</v>
      </c>
      <c r="C183" s="1">
        <f>Tabela3[[#This Row],[Alongamento (mm/mm)]]/$I$2</f>
        <v>3.7332000000000004E-2</v>
      </c>
      <c r="D183" s="2">
        <v>90.662999999999997</v>
      </c>
      <c r="E183" s="1">
        <f>Tabela3[[#This Row],[Força (N)]]/$I$5</f>
        <v>2147867.7207437926</v>
      </c>
      <c r="F183" s="1">
        <f>Tabela3[[#This Row],[Tensão (Pa)]]/1000000</f>
        <v>2.1478677207437924</v>
      </c>
    </row>
    <row r="184" spans="1:6" x14ac:dyDescent="0.3">
      <c r="A184" s="2">
        <v>22.516999999999999</v>
      </c>
      <c r="B184" s="2">
        <v>1.8693</v>
      </c>
      <c r="C184" s="1">
        <f>Tabela3[[#This Row],[Alongamento (mm/mm)]]/$I$2</f>
        <v>3.7386000000000003E-2</v>
      </c>
      <c r="D184" s="2">
        <v>91.343000000000004</v>
      </c>
      <c r="E184" s="1">
        <f>Tabela3[[#This Row],[Força (N)]]/$I$5</f>
        <v>2163977.3801429495</v>
      </c>
      <c r="F184" s="1">
        <f>Tabela3[[#This Row],[Tensão (Pa)]]/1000000</f>
        <v>2.1639773801429496</v>
      </c>
    </row>
    <row r="185" spans="1:6" x14ac:dyDescent="0.3">
      <c r="A185" s="2">
        <v>22.567</v>
      </c>
      <c r="B185" s="2">
        <v>1.8734999999999999</v>
      </c>
      <c r="C185" s="1">
        <f>Tabela3[[#This Row],[Alongamento (mm/mm)]]/$I$2</f>
        <v>3.7469999999999996E-2</v>
      </c>
      <c r="D185" s="2">
        <v>92.194000000000003</v>
      </c>
      <c r="E185" s="1">
        <f>Tabela3[[#This Row],[Força (N)]]/$I$5</f>
        <v>2184138.1450674832</v>
      </c>
      <c r="F185" s="1">
        <f>Tabela3[[#This Row],[Tensão (Pa)]]/1000000</f>
        <v>2.1841381450674833</v>
      </c>
    </row>
    <row r="186" spans="1:6" x14ac:dyDescent="0.3">
      <c r="A186" s="2">
        <v>22.6</v>
      </c>
      <c r="B186" s="2">
        <v>1.8763000000000001</v>
      </c>
      <c r="C186" s="1">
        <f>Tabela3[[#This Row],[Alongamento (mm/mm)]]/$I$2</f>
        <v>3.7526000000000004E-2</v>
      </c>
      <c r="D186" s="2">
        <v>92.873999999999995</v>
      </c>
      <c r="E186" s="1">
        <f>Tabela3[[#This Row],[Força (N)]]/$I$5</f>
        <v>2200247.8044666401</v>
      </c>
      <c r="F186" s="1">
        <f>Tabela3[[#This Row],[Tensão (Pa)]]/1000000</f>
        <v>2.20024780446664</v>
      </c>
    </row>
    <row r="187" spans="1:6" x14ac:dyDescent="0.3">
      <c r="A187" s="2">
        <v>22.632999999999999</v>
      </c>
      <c r="B187" s="2">
        <v>1.8791</v>
      </c>
      <c r="C187" s="1">
        <f>Tabela3[[#This Row],[Alongamento (mm/mm)]]/$I$2</f>
        <v>3.7581999999999997E-2</v>
      </c>
      <c r="D187" s="2">
        <v>93.554000000000002</v>
      </c>
      <c r="E187" s="1">
        <f>Tabela3[[#This Row],[Força (N)]]/$I$5</f>
        <v>2216357.463865797</v>
      </c>
      <c r="F187" s="1">
        <f>Tabela3[[#This Row],[Tensão (Pa)]]/1000000</f>
        <v>2.2163574638657972</v>
      </c>
    </row>
    <row r="188" spans="1:6" x14ac:dyDescent="0.3">
      <c r="A188" s="2">
        <v>22.667000000000002</v>
      </c>
      <c r="B188" s="2">
        <v>1.8818999999999999</v>
      </c>
      <c r="C188" s="1">
        <f>Tabela3[[#This Row],[Alongamento (mm/mm)]]/$I$2</f>
        <v>3.7637999999999998E-2</v>
      </c>
      <c r="D188" s="2">
        <v>94.234999999999999</v>
      </c>
      <c r="E188" s="1">
        <f>Tabela3[[#This Row],[Força (N)]]/$I$5</f>
        <v>2232490.8139405414</v>
      </c>
      <c r="F188" s="1">
        <f>Tabela3[[#This Row],[Tensão (Pa)]]/1000000</f>
        <v>2.2324908139405415</v>
      </c>
    </row>
    <row r="189" spans="1:6" x14ac:dyDescent="0.3">
      <c r="A189" s="2">
        <v>22.7</v>
      </c>
      <c r="B189" s="2">
        <v>1.8847</v>
      </c>
      <c r="C189" s="1">
        <f>Tabela3[[#This Row],[Alongamento (mm/mm)]]/$I$2</f>
        <v>3.7693999999999998E-2</v>
      </c>
      <c r="D189" s="2">
        <v>94.915000000000006</v>
      </c>
      <c r="E189" s="1">
        <f>Tabela3[[#This Row],[Força (N)]]/$I$5</f>
        <v>2248600.4733396983</v>
      </c>
      <c r="F189" s="1">
        <f>Tabela3[[#This Row],[Tensão (Pa)]]/1000000</f>
        <v>2.2486004733396983</v>
      </c>
    </row>
    <row r="190" spans="1:6" x14ac:dyDescent="0.3">
      <c r="A190" s="2">
        <v>22.733000000000001</v>
      </c>
      <c r="B190" s="2">
        <v>1.8874</v>
      </c>
      <c r="C190" s="1">
        <f>Tabela3[[#This Row],[Alongamento (mm/mm)]]/$I$2</f>
        <v>3.7747999999999997E-2</v>
      </c>
      <c r="D190" s="2">
        <v>95.596000000000004</v>
      </c>
      <c r="E190" s="1">
        <f>Tabela3[[#This Row],[Força (N)]]/$I$5</f>
        <v>2264733.8234144426</v>
      </c>
      <c r="F190" s="1">
        <f>Tabela3[[#This Row],[Tensão (Pa)]]/1000000</f>
        <v>2.2647338234144425</v>
      </c>
    </row>
    <row r="191" spans="1:6" x14ac:dyDescent="0.3">
      <c r="A191" s="2">
        <v>22.766999999999999</v>
      </c>
      <c r="B191" s="2">
        <v>1.8902000000000001</v>
      </c>
      <c r="C191" s="1">
        <f>Tabela3[[#This Row],[Alongamento (mm/mm)]]/$I$2</f>
        <v>3.7804000000000004E-2</v>
      </c>
      <c r="D191" s="2">
        <v>96.275999999999996</v>
      </c>
      <c r="E191" s="1">
        <f>Tabela3[[#This Row],[Força (N)]]/$I$5</f>
        <v>2280843.4828135995</v>
      </c>
      <c r="F191" s="1">
        <f>Tabela3[[#This Row],[Tensão (Pa)]]/1000000</f>
        <v>2.2808434828135997</v>
      </c>
    </row>
    <row r="192" spans="1:6" x14ac:dyDescent="0.3">
      <c r="A192" s="2">
        <v>22.8</v>
      </c>
      <c r="B192" s="2">
        <v>1.893</v>
      </c>
      <c r="C192" s="1">
        <f>Tabela3[[#This Row],[Alongamento (mm/mm)]]/$I$2</f>
        <v>3.7859999999999998E-2</v>
      </c>
      <c r="D192" s="2">
        <v>96.956000000000003</v>
      </c>
      <c r="E192" s="1">
        <f>Tabela3[[#This Row],[Força (N)]]/$I$5</f>
        <v>2296953.1422127564</v>
      </c>
      <c r="F192" s="1">
        <f>Tabela3[[#This Row],[Tensão (Pa)]]/1000000</f>
        <v>2.2969531422127565</v>
      </c>
    </row>
    <row r="193" spans="1:6" x14ac:dyDescent="0.3">
      <c r="A193" s="2">
        <v>22.832999999999998</v>
      </c>
      <c r="B193" s="2">
        <v>1.8957999999999999</v>
      </c>
      <c r="C193" s="1">
        <f>Tabela3[[#This Row],[Alongamento (mm/mm)]]/$I$2</f>
        <v>3.7915999999999998E-2</v>
      </c>
      <c r="D193" s="2">
        <v>97.637</v>
      </c>
      <c r="E193" s="1">
        <f>Tabela3[[#This Row],[Força (N)]]/$I$5</f>
        <v>2313086.4922875008</v>
      </c>
      <c r="F193" s="1">
        <f>Tabela3[[#This Row],[Tensão (Pa)]]/1000000</f>
        <v>2.3130864922875007</v>
      </c>
    </row>
    <row r="194" spans="1:6" x14ac:dyDescent="0.3">
      <c r="A194" s="2">
        <v>22.867000000000001</v>
      </c>
      <c r="B194" s="2">
        <v>1.8985000000000001</v>
      </c>
      <c r="C194" s="1">
        <f>Tabela3[[#This Row],[Alongamento (mm/mm)]]/$I$2</f>
        <v>3.7970000000000004E-2</v>
      </c>
      <c r="D194" s="2">
        <v>98.316999999999993</v>
      </c>
      <c r="E194" s="1">
        <f>Tabela3[[#This Row],[Força (N)]]/$I$5</f>
        <v>2329196.1516866577</v>
      </c>
      <c r="F194" s="1">
        <f>Tabela3[[#This Row],[Tensão (Pa)]]/1000000</f>
        <v>2.3291961516866575</v>
      </c>
    </row>
    <row r="195" spans="1:6" x14ac:dyDescent="0.3">
      <c r="A195" s="2">
        <v>22.917000000000002</v>
      </c>
      <c r="B195" s="2">
        <v>1.9028</v>
      </c>
      <c r="C195" s="1">
        <f>Tabela3[[#This Row],[Alongamento (mm/mm)]]/$I$2</f>
        <v>3.8056E-2</v>
      </c>
      <c r="D195" s="2">
        <v>99.337999999999994</v>
      </c>
      <c r="E195" s="1">
        <f>Tabela3[[#This Row],[Força (N)]]/$I$5</f>
        <v>2353384.3314609802</v>
      </c>
      <c r="F195" s="1">
        <f>Tabela3[[#This Row],[Tensão (Pa)]]/1000000</f>
        <v>2.3533843314609801</v>
      </c>
    </row>
    <row r="196" spans="1:6" x14ac:dyDescent="0.3">
      <c r="A196" s="2">
        <v>22.95</v>
      </c>
      <c r="B196" s="2">
        <v>1.9055</v>
      </c>
      <c r="C196" s="1">
        <f>Tabela3[[#This Row],[Alongamento (mm/mm)]]/$I$2</f>
        <v>3.8109999999999998E-2</v>
      </c>
      <c r="D196" s="2">
        <v>100.02</v>
      </c>
      <c r="E196" s="1">
        <f>Tabela3[[#This Row],[Força (N)]]/$I$5</f>
        <v>2369541.3722113115</v>
      </c>
      <c r="F196" s="1">
        <f>Tabela3[[#This Row],[Tensão (Pa)]]/1000000</f>
        <v>2.3695413722113114</v>
      </c>
    </row>
    <row r="197" spans="1:6" x14ac:dyDescent="0.3">
      <c r="A197" s="2">
        <v>22.983000000000001</v>
      </c>
      <c r="B197" s="2">
        <v>1.9081999999999999</v>
      </c>
      <c r="C197" s="1">
        <f>Tabela3[[#This Row],[Alongamento (mm/mm)]]/$I$2</f>
        <v>3.8163999999999997E-2</v>
      </c>
      <c r="D197" s="2">
        <v>100.7</v>
      </c>
      <c r="E197" s="1">
        <f>Tabela3[[#This Row],[Força (N)]]/$I$5</f>
        <v>2385651.0316104684</v>
      </c>
      <c r="F197" s="1">
        <f>Tabela3[[#This Row],[Tensão (Pa)]]/1000000</f>
        <v>2.3856510316104682</v>
      </c>
    </row>
    <row r="198" spans="1:6" x14ac:dyDescent="0.3">
      <c r="A198" s="2">
        <v>23.016999999999999</v>
      </c>
      <c r="B198" s="2">
        <v>1.911</v>
      </c>
      <c r="C198" s="1">
        <f>Tabela3[[#This Row],[Alongamento (mm/mm)]]/$I$2</f>
        <v>3.8220000000000004E-2</v>
      </c>
      <c r="D198" s="2">
        <v>101.38</v>
      </c>
      <c r="E198" s="1">
        <f>Tabela3[[#This Row],[Força (N)]]/$I$5</f>
        <v>2401760.6910096253</v>
      </c>
      <c r="F198" s="1">
        <f>Tabela3[[#This Row],[Tensão (Pa)]]/1000000</f>
        <v>2.4017606910096254</v>
      </c>
    </row>
    <row r="199" spans="1:6" x14ac:dyDescent="0.3">
      <c r="A199" s="2">
        <v>23.05</v>
      </c>
      <c r="B199" s="2">
        <v>1.9137</v>
      </c>
      <c r="C199" s="1">
        <f>Tabela3[[#This Row],[Alongamento (mm/mm)]]/$I$2</f>
        <v>3.8274000000000002E-2</v>
      </c>
      <c r="D199" s="2">
        <v>102.06</v>
      </c>
      <c r="E199" s="1">
        <f>Tabela3[[#This Row],[Força (N)]]/$I$5</f>
        <v>2417870.3504087827</v>
      </c>
      <c r="F199" s="1">
        <f>Tabela3[[#This Row],[Tensão (Pa)]]/1000000</f>
        <v>2.4178703504087826</v>
      </c>
    </row>
    <row r="200" spans="1:6" x14ac:dyDescent="0.3">
      <c r="A200" s="2">
        <v>23.082999999999998</v>
      </c>
      <c r="B200" s="2">
        <v>1.9166000000000001</v>
      </c>
      <c r="C200" s="1">
        <f>Tabela3[[#This Row],[Alongamento (mm/mm)]]/$I$2</f>
        <v>3.8332000000000005E-2</v>
      </c>
      <c r="D200" s="2">
        <v>102.74</v>
      </c>
      <c r="E200" s="1">
        <f>Tabela3[[#This Row],[Força (N)]]/$I$5</f>
        <v>2433980.0098079396</v>
      </c>
      <c r="F200" s="1">
        <f>Tabela3[[#This Row],[Tensão (Pa)]]/1000000</f>
        <v>2.4339800098079398</v>
      </c>
    </row>
    <row r="201" spans="1:6" x14ac:dyDescent="0.3">
      <c r="A201" s="2">
        <v>23.117000000000001</v>
      </c>
      <c r="B201" s="2">
        <v>1.9193</v>
      </c>
      <c r="C201" s="1">
        <f>Tabela3[[#This Row],[Alongamento (mm/mm)]]/$I$2</f>
        <v>3.8386000000000003E-2</v>
      </c>
      <c r="D201" s="2">
        <v>103.42</v>
      </c>
      <c r="E201" s="1">
        <f>Tabela3[[#This Row],[Força (N)]]/$I$5</f>
        <v>2450089.669207097</v>
      </c>
      <c r="F201" s="1">
        <f>Tabela3[[#This Row],[Tensão (Pa)]]/1000000</f>
        <v>2.450089669207097</v>
      </c>
    </row>
    <row r="202" spans="1:6" x14ac:dyDescent="0.3">
      <c r="A202" s="2">
        <v>23.15</v>
      </c>
      <c r="B202" s="2">
        <v>1.9221999999999999</v>
      </c>
      <c r="C202" s="1">
        <f>Tabela3[[#This Row],[Alongamento (mm/mm)]]/$I$2</f>
        <v>3.8443999999999999E-2</v>
      </c>
      <c r="D202" s="2">
        <v>104.27</v>
      </c>
      <c r="E202" s="1">
        <f>Tabela3[[#This Row],[Força (N)]]/$I$5</f>
        <v>2470226.7434560433</v>
      </c>
      <c r="F202" s="1">
        <f>Tabela3[[#This Row],[Tensão (Pa)]]/1000000</f>
        <v>2.4702267434560432</v>
      </c>
    </row>
    <row r="203" spans="1:6" x14ac:dyDescent="0.3">
      <c r="A203" s="2">
        <v>23.183</v>
      </c>
      <c r="B203" s="2">
        <v>1.9249000000000001</v>
      </c>
      <c r="C203" s="1">
        <f>Tabela3[[#This Row],[Alongamento (mm/mm)]]/$I$2</f>
        <v>3.8498000000000004E-2</v>
      </c>
      <c r="D203" s="2">
        <v>104.95</v>
      </c>
      <c r="E203" s="1">
        <f>Tabela3[[#This Row],[Força (N)]]/$I$5</f>
        <v>2486336.4028552002</v>
      </c>
      <c r="F203" s="1">
        <f>Tabela3[[#This Row],[Tensão (Pa)]]/1000000</f>
        <v>2.4863364028552004</v>
      </c>
    </row>
    <row r="204" spans="1:6" x14ac:dyDescent="0.3">
      <c r="A204" s="2">
        <v>23.216999999999999</v>
      </c>
      <c r="B204" s="2">
        <v>1.9278</v>
      </c>
      <c r="C204" s="1">
        <f>Tabela3[[#This Row],[Alongamento (mm/mm)]]/$I$2</f>
        <v>3.8556E-2</v>
      </c>
      <c r="D204" s="2">
        <v>105.63</v>
      </c>
      <c r="E204" s="1">
        <f>Tabela3[[#This Row],[Força (N)]]/$I$5</f>
        <v>2502446.0622543572</v>
      </c>
      <c r="F204" s="1">
        <f>Tabela3[[#This Row],[Tensão (Pa)]]/1000000</f>
        <v>2.5024460622543572</v>
      </c>
    </row>
    <row r="205" spans="1:6" x14ac:dyDescent="0.3">
      <c r="A205" s="2">
        <v>23.25</v>
      </c>
      <c r="B205" s="2">
        <v>1.9305000000000001</v>
      </c>
      <c r="C205" s="1">
        <f>Tabela3[[#This Row],[Alongamento (mm/mm)]]/$I$2</f>
        <v>3.8610000000000005E-2</v>
      </c>
      <c r="D205" s="2">
        <v>106.31</v>
      </c>
      <c r="E205" s="1">
        <f>Tabela3[[#This Row],[Força (N)]]/$I$5</f>
        <v>2518555.7216535145</v>
      </c>
      <c r="F205" s="1">
        <f>Tabela3[[#This Row],[Tensão (Pa)]]/1000000</f>
        <v>2.5185557216535144</v>
      </c>
    </row>
    <row r="206" spans="1:6" x14ac:dyDescent="0.3">
      <c r="A206" s="2">
        <v>23.283000000000001</v>
      </c>
      <c r="B206" s="2">
        <v>1.9333</v>
      </c>
      <c r="C206" s="1">
        <f>Tabela3[[#This Row],[Alongamento (mm/mm)]]/$I$2</f>
        <v>3.8665999999999999E-2</v>
      </c>
      <c r="D206" s="2">
        <v>106.99</v>
      </c>
      <c r="E206" s="1">
        <f>Tabela3[[#This Row],[Força (N)]]/$I$5</f>
        <v>2534665.3810526715</v>
      </c>
      <c r="F206" s="1">
        <f>Tabela3[[#This Row],[Tensão (Pa)]]/1000000</f>
        <v>2.5346653810526716</v>
      </c>
    </row>
    <row r="207" spans="1:6" x14ac:dyDescent="0.3">
      <c r="A207" s="2">
        <v>23.317</v>
      </c>
      <c r="B207" s="2">
        <v>1.9359999999999999</v>
      </c>
      <c r="C207" s="1">
        <f>Tabela3[[#This Row],[Alongamento (mm/mm)]]/$I$2</f>
        <v>3.8719999999999997E-2</v>
      </c>
      <c r="D207" s="2">
        <v>107.84</v>
      </c>
      <c r="E207" s="1">
        <f>Tabela3[[#This Row],[Força (N)]]/$I$5</f>
        <v>2554802.4553016182</v>
      </c>
      <c r="F207" s="1">
        <f>Tabela3[[#This Row],[Tensão (Pa)]]/1000000</f>
        <v>2.5548024553016182</v>
      </c>
    </row>
    <row r="208" spans="1:6" x14ac:dyDescent="0.3">
      <c r="A208" s="2">
        <v>23.35</v>
      </c>
      <c r="B208" s="2">
        <v>1.9388000000000001</v>
      </c>
      <c r="C208" s="1">
        <f>Tabela3[[#This Row],[Alongamento (mm/mm)]]/$I$2</f>
        <v>3.8776000000000005E-2</v>
      </c>
      <c r="D208" s="2">
        <v>108.52</v>
      </c>
      <c r="E208" s="1">
        <f>Tabela3[[#This Row],[Força (N)]]/$I$5</f>
        <v>2570912.1147007747</v>
      </c>
      <c r="F208" s="1">
        <f>Tabela3[[#This Row],[Tensão (Pa)]]/1000000</f>
        <v>2.5709121147007745</v>
      </c>
    </row>
    <row r="209" spans="1:6" x14ac:dyDescent="0.3">
      <c r="A209" s="2">
        <v>23.382999999999999</v>
      </c>
      <c r="B209" s="2">
        <v>1.9417</v>
      </c>
      <c r="C209" s="1">
        <f>Tabela3[[#This Row],[Alongamento (mm/mm)]]/$I$2</f>
        <v>3.8834E-2</v>
      </c>
      <c r="D209" s="2">
        <v>109.2</v>
      </c>
      <c r="E209" s="1">
        <f>Tabela3[[#This Row],[Força (N)]]/$I$5</f>
        <v>2587021.7740999321</v>
      </c>
      <c r="F209" s="1">
        <f>Tabela3[[#This Row],[Tensão (Pa)]]/1000000</f>
        <v>2.5870217740999322</v>
      </c>
    </row>
    <row r="210" spans="1:6" x14ac:dyDescent="0.3">
      <c r="A210" s="2">
        <v>23.417000000000002</v>
      </c>
      <c r="B210" s="2">
        <v>1.9443999999999999</v>
      </c>
      <c r="C210" s="1">
        <f>Tabela3[[#This Row],[Alongamento (mm/mm)]]/$I$2</f>
        <v>3.8887999999999999E-2</v>
      </c>
      <c r="D210" s="2">
        <v>109.88</v>
      </c>
      <c r="E210" s="1">
        <f>Tabela3[[#This Row],[Força (N)]]/$I$5</f>
        <v>2603131.433499089</v>
      </c>
      <c r="F210" s="1">
        <f>Tabela3[[#This Row],[Tensão (Pa)]]/1000000</f>
        <v>2.6031314334990889</v>
      </c>
    </row>
    <row r="211" spans="1:6" x14ac:dyDescent="0.3">
      <c r="A211" s="2">
        <v>23.45</v>
      </c>
      <c r="B211" s="2">
        <v>1.9471000000000001</v>
      </c>
      <c r="C211" s="1">
        <f>Tabela3[[#This Row],[Alongamento (mm/mm)]]/$I$2</f>
        <v>3.8942000000000004E-2</v>
      </c>
      <c r="D211" s="2">
        <v>110.73</v>
      </c>
      <c r="E211" s="1">
        <f>Tabela3[[#This Row],[Força (N)]]/$I$5</f>
        <v>2623268.5077480357</v>
      </c>
      <c r="F211" s="1">
        <f>Tabela3[[#This Row],[Tensão (Pa)]]/1000000</f>
        <v>2.6232685077480355</v>
      </c>
    </row>
    <row r="212" spans="1:6" x14ac:dyDescent="0.3">
      <c r="A212" s="2">
        <v>23.483000000000001</v>
      </c>
      <c r="B212" s="2">
        <v>1.9499</v>
      </c>
      <c r="C212" s="1">
        <f>Tabela3[[#This Row],[Alongamento (mm/mm)]]/$I$2</f>
        <v>3.8997999999999998E-2</v>
      </c>
      <c r="D212" s="2">
        <v>111.41</v>
      </c>
      <c r="E212" s="1">
        <f>Tabela3[[#This Row],[Força (N)]]/$I$5</f>
        <v>2639378.1671471926</v>
      </c>
      <c r="F212" s="1">
        <f>Tabela3[[#This Row],[Tensão (Pa)]]/1000000</f>
        <v>2.6393781671471928</v>
      </c>
    </row>
    <row r="213" spans="1:6" x14ac:dyDescent="0.3">
      <c r="A213" s="2">
        <v>23.516999999999999</v>
      </c>
      <c r="B213" s="2">
        <v>1.9527000000000001</v>
      </c>
      <c r="C213" s="1">
        <f>Tabela3[[#This Row],[Alongamento (mm/mm)]]/$I$2</f>
        <v>3.9054000000000005E-2</v>
      </c>
      <c r="D213" s="2">
        <v>112.27</v>
      </c>
      <c r="E213" s="1">
        <f>Tabela3[[#This Row],[Força (N)]]/$I$5</f>
        <v>2659752.1481520087</v>
      </c>
      <c r="F213" s="1">
        <f>Tabela3[[#This Row],[Tensão (Pa)]]/1000000</f>
        <v>2.6597521481520086</v>
      </c>
    </row>
    <row r="214" spans="1:6" x14ac:dyDescent="0.3">
      <c r="A214" s="2">
        <v>23.55</v>
      </c>
      <c r="B214" s="2">
        <v>1.9554</v>
      </c>
      <c r="C214" s="1">
        <f>Tabela3[[#This Row],[Alongamento (mm/mm)]]/$I$2</f>
        <v>3.9108000000000004E-2</v>
      </c>
      <c r="D214" s="2">
        <v>112.95</v>
      </c>
      <c r="E214" s="1">
        <f>Tabela3[[#This Row],[Força (N)]]/$I$5</f>
        <v>2675861.807551166</v>
      </c>
      <c r="F214" s="1">
        <f>Tabela3[[#This Row],[Tensão (Pa)]]/1000000</f>
        <v>2.6758618075511662</v>
      </c>
    </row>
    <row r="215" spans="1:6" x14ac:dyDescent="0.3">
      <c r="A215" s="2">
        <v>23.582999999999998</v>
      </c>
      <c r="B215" s="2">
        <v>1.9582999999999999</v>
      </c>
      <c r="C215" s="1">
        <f>Tabela3[[#This Row],[Alongamento (mm/mm)]]/$I$2</f>
        <v>3.9165999999999999E-2</v>
      </c>
      <c r="D215" s="2">
        <v>113.8</v>
      </c>
      <c r="E215" s="1">
        <f>Tabela3[[#This Row],[Força (N)]]/$I$5</f>
        <v>2695998.8818001123</v>
      </c>
      <c r="F215" s="1">
        <f>Tabela3[[#This Row],[Tensão (Pa)]]/1000000</f>
        <v>2.6959988818001124</v>
      </c>
    </row>
    <row r="216" spans="1:6" x14ac:dyDescent="0.3">
      <c r="A216" s="2">
        <v>23.617000000000001</v>
      </c>
      <c r="B216" s="2">
        <v>1.9610000000000001</v>
      </c>
      <c r="C216" s="1">
        <f>Tabela3[[#This Row],[Alongamento (mm/mm)]]/$I$2</f>
        <v>3.9220000000000005E-2</v>
      </c>
      <c r="D216" s="2">
        <v>114.48</v>
      </c>
      <c r="E216" s="1">
        <f>Tabela3[[#This Row],[Força (N)]]/$I$5</f>
        <v>2712108.5411992697</v>
      </c>
      <c r="F216" s="1">
        <f>Tabela3[[#This Row],[Tensão (Pa)]]/1000000</f>
        <v>2.7121085411992696</v>
      </c>
    </row>
    <row r="217" spans="1:6" x14ac:dyDescent="0.3">
      <c r="A217" s="2">
        <v>23.65</v>
      </c>
      <c r="B217" s="2">
        <v>1.9639</v>
      </c>
      <c r="C217" s="1">
        <f>Tabela3[[#This Row],[Alongamento (mm/mm)]]/$I$2</f>
        <v>3.9278E-2</v>
      </c>
      <c r="D217" s="2">
        <v>115.16</v>
      </c>
      <c r="E217" s="1">
        <f>Tabela3[[#This Row],[Força (N)]]/$I$5</f>
        <v>2728218.2005984266</v>
      </c>
      <c r="F217" s="1">
        <f>Tabela3[[#This Row],[Tensão (Pa)]]/1000000</f>
        <v>2.7282182005984268</v>
      </c>
    </row>
    <row r="218" spans="1:6" x14ac:dyDescent="0.3">
      <c r="A218" s="2">
        <v>23.683</v>
      </c>
      <c r="B218" s="2">
        <v>1.9665999999999999</v>
      </c>
      <c r="C218" s="1">
        <f>Tabela3[[#This Row],[Alongamento (mm/mm)]]/$I$2</f>
        <v>3.9331999999999999E-2</v>
      </c>
      <c r="D218" s="2">
        <v>116.01</v>
      </c>
      <c r="E218" s="1">
        <f>Tabela3[[#This Row],[Força (N)]]/$I$5</f>
        <v>2748355.2748473729</v>
      </c>
      <c r="F218" s="1">
        <f>Tabela3[[#This Row],[Tensão (Pa)]]/1000000</f>
        <v>2.748355274847373</v>
      </c>
    </row>
    <row r="219" spans="1:6" x14ac:dyDescent="0.3">
      <c r="A219" s="2">
        <v>23.716999999999999</v>
      </c>
      <c r="B219" s="2">
        <v>1.9695</v>
      </c>
      <c r="C219" s="1">
        <f>Tabela3[[#This Row],[Alongamento (mm/mm)]]/$I$2</f>
        <v>3.9390000000000001E-2</v>
      </c>
      <c r="D219" s="2">
        <v>116.86</v>
      </c>
      <c r="E219" s="1">
        <f>Tabela3[[#This Row],[Força (N)]]/$I$5</f>
        <v>2768492.3490963192</v>
      </c>
      <c r="F219" s="1">
        <f>Tabela3[[#This Row],[Tensão (Pa)]]/1000000</f>
        <v>2.7684923490963191</v>
      </c>
    </row>
    <row r="220" spans="1:6" x14ac:dyDescent="0.3">
      <c r="A220" s="2">
        <v>23.75</v>
      </c>
      <c r="B220" s="2">
        <v>1.9722</v>
      </c>
      <c r="C220" s="1">
        <f>Tabela3[[#This Row],[Alongamento (mm/mm)]]/$I$2</f>
        <v>3.9444E-2</v>
      </c>
      <c r="D220" s="2">
        <v>117.54</v>
      </c>
      <c r="E220" s="1">
        <f>Tabela3[[#This Row],[Força (N)]]/$I$5</f>
        <v>2784602.0084954766</v>
      </c>
      <c r="F220" s="1">
        <f>Tabela3[[#This Row],[Tensão (Pa)]]/1000000</f>
        <v>2.7846020084954763</v>
      </c>
    </row>
    <row r="221" spans="1:6" x14ac:dyDescent="0.3">
      <c r="A221" s="2">
        <v>23.783000000000001</v>
      </c>
      <c r="B221" s="2">
        <v>1.9750000000000001</v>
      </c>
      <c r="C221" s="1">
        <f>Tabela3[[#This Row],[Alongamento (mm/mm)]]/$I$2</f>
        <v>3.95E-2</v>
      </c>
      <c r="D221" s="2">
        <v>118.22</v>
      </c>
      <c r="E221" s="1">
        <f>Tabela3[[#This Row],[Força (N)]]/$I$5</f>
        <v>2800711.6678946335</v>
      </c>
      <c r="F221" s="1">
        <f>Tabela3[[#This Row],[Tensão (Pa)]]/1000000</f>
        <v>2.8007116678946335</v>
      </c>
    </row>
    <row r="222" spans="1:6" x14ac:dyDescent="0.3">
      <c r="A222" s="2">
        <v>23.817</v>
      </c>
      <c r="B222" s="2">
        <v>1.9778</v>
      </c>
      <c r="C222" s="1">
        <f>Tabela3[[#This Row],[Alongamento (mm/mm)]]/$I$2</f>
        <v>3.9556000000000001E-2</v>
      </c>
      <c r="D222" s="2">
        <v>119.07</v>
      </c>
      <c r="E222" s="1">
        <f>Tabela3[[#This Row],[Força (N)]]/$I$5</f>
        <v>2820848.7421435798</v>
      </c>
      <c r="F222" s="1">
        <f>Tabela3[[#This Row],[Tensão (Pa)]]/1000000</f>
        <v>2.8208487421435797</v>
      </c>
    </row>
    <row r="223" spans="1:6" x14ac:dyDescent="0.3">
      <c r="A223" s="2">
        <v>23.85</v>
      </c>
      <c r="B223" s="2">
        <v>1.9804999999999999</v>
      </c>
      <c r="C223" s="1">
        <f>Tabela3[[#This Row],[Alongamento (mm/mm)]]/$I$2</f>
        <v>3.9609999999999999E-2</v>
      </c>
      <c r="D223" s="2">
        <v>119.75</v>
      </c>
      <c r="E223" s="1">
        <f>Tabela3[[#This Row],[Força (N)]]/$I$5</f>
        <v>2836958.4015427367</v>
      </c>
      <c r="F223" s="1">
        <f>Tabela3[[#This Row],[Tensão (Pa)]]/1000000</f>
        <v>2.8369584015427365</v>
      </c>
    </row>
    <row r="224" spans="1:6" x14ac:dyDescent="0.3">
      <c r="A224" s="2">
        <v>23.882999999999999</v>
      </c>
      <c r="B224" s="2">
        <v>1.9833000000000001</v>
      </c>
      <c r="C224" s="1">
        <f>Tabela3[[#This Row],[Alongamento (mm/mm)]]/$I$2</f>
        <v>3.9666E-2</v>
      </c>
      <c r="D224" s="2">
        <v>120.6</v>
      </c>
      <c r="E224" s="1">
        <f>Tabela3[[#This Row],[Força (N)]]/$I$5</f>
        <v>2857095.475791683</v>
      </c>
      <c r="F224" s="1">
        <f>Tabela3[[#This Row],[Tensão (Pa)]]/1000000</f>
        <v>2.8570954757916831</v>
      </c>
    </row>
    <row r="225" spans="1:6" x14ac:dyDescent="0.3">
      <c r="A225" s="2">
        <v>23.917000000000002</v>
      </c>
      <c r="B225" s="2">
        <v>1.986</v>
      </c>
      <c r="C225" s="1">
        <f>Tabela3[[#This Row],[Alongamento (mm/mm)]]/$I$2</f>
        <v>3.9719999999999998E-2</v>
      </c>
      <c r="D225" s="2">
        <v>121.45</v>
      </c>
      <c r="E225" s="1">
        <f>Tabela3[[#This Row],[Força (N)]]/$I$5</f>
        <v>2877232.5500406297</v>
      </c>
      <c r="F225" s="1">
        <f>Tabela3[[#This Row],[Tensão (Pa)]]/1000000</f>
        <v>2.8772325500406297</v>
      </c>
    </row>
    <row r="226" spans="1:6" x14ac:dyDescent="0.3">
      <c r="A226" s="2">
        <v>23.95</v>
      </c>
      <c r="B226" s="2">
        <v>1.9887999999999999</v>
      </c>
      <c r="C226" s="1">
        <f>Tabela3[[#This Row],[Alongamento (mm/mm)]]/$I$2</f>
        <v>3.9775999999999999E-2</v>
      </c>
      <c r="D226" s="2">
        <v>122.13</v>
      </c>
      <c r="E226" s="1">
        <f>Tabela3[[#This Row],[Força (N)]]/$I$5</f>
        <v>2893342.2094397866</v>
      </c>
      <c r="F226" s="1">
        <f>Tabela3[[#This Row],[Tensão (Pa)]]/1000000</f>
        <v>2.8933422094397865</v>
      </c>
    </row>
    <row r="227" spans="1:6" x14ac:dyDescent="0.3">
      <c r="A227" s="2">
        <v>23.983000000000001</v>
      </c>
      <c r="B227" s="2">
        <v>1.9915</v>
      </c>
      <c r="C227" s="1">
        <f>Tabela3[[#This Row],[Alongamento (mm/mm)]]/$I$2</f>
        <v>3.9830000000000004E-2</v>
      </c>
      <c r="D227" s="2">
        <v>122.98</v>
      </c>
      <c r="E227" s="1">
        <f>Tabela3[[#This Row],[Força (N)]]/$I$5</f>
        <v>2913479.2836887334</v>
      </c>
      <c r="F227" s="1">
        <f>Tabela3[[#This Row],[Tensão (Pa)]]/1000000</f>
        <v>2.9134792836887335</v>
      </c>
    </row>
    <row r="228" spans="1:6" x14ac:dyDescent="0.3">
      <c r="A228" s="2">
        <v>24.016999999999999</v>
      </c>
      <c r="B228" s="2">
        <v>1.9944</v>
      </c>
      <c r="C228" s="1">
        <f>Tabela3[[#This Row],[Alongamento (mm/mm)]]/$I$2</f>
        <v>3.9888E-2</v>
      </c>
      <c r="D228" s="2">
        <v>123.66</v>
      </c>
      <c r="E228" s="1">
        <f>Tabela3[[#This Row],[Força (N)]]/$I$5</f>
        <v>2929588.9430878898</v>
      </c>
      <c r="F228" s="1">
        <f>Tabela3[[#This Row],[Tensão (Pa)]]/1000000</f>
        <v>2.9295889430878899</v>
      </c>
    </row>
    <row r="229" spans="1:6" x14ac:dyDescent="0.3">
      <c r="A229" s="2">
        <v>24.05</v>
      </c>
      <c r="B229" s="2">
        <v>1.9971000000000001</v>
      </c>
      <c r="C229" s="1">
        <f>Tabela3[[#This Row],[Alongamento (mm/mm)]]/$I$2</f>
        <v>3.9942000000000005E-2</v>
      </c>
      <c r="D229" s="2">
        <v>124.51</v>
      </c>
      <c r="E229" s="1">
        <f>Tabela3[[#This Row],[Força (N)]]/$I$5</f>
        <v>2949726.0173368366</v>
      </c>
      <c r="F229" s="1">
        <f>Tabela3[[#This Row],[Tensão (Pa)]]/1000000</f>
        <v>2.9497260173368365</v>
      </c>
    </row>
    <row r="230" spans="1:6" x14ac:dyDescent="0.3">
      <c r="A230" s="2">
        <v>24.082999999999998</v>
      </c>
      <c r="B230" s="2">
        <v>1.9999</v>
      </c>
      <c r="C230" s="1">
        <f>Tabela3[[#This Row],[Alongamento (mm/mm)]]/$I$2</f>
        <v>3.9997999999999999E-2</v>
      </c>
      <c r="D230" s="2">
        <v>125.36</v>
      </c>
      <c r="E230" s="1">
        <f>Tabela3[[#This Row],[Força (N)]]/$I$5</f>
        <v>2969863.0915857828</v>
      </c>
      <c r="F230" s="1">
        <f>Tabela3[[#This Row],[Tensão (Pa)]]/1000000</f>
        <v>2.9698630915857827</v>
      </c>
    </row>
    <row r="231" spans="1:6" x14ac:dyDescent="0.3">
      <c r="A231" s="2">
        <v>24.117000000000001</v>
      </c>
      <c r="B231" s="2">
        <v>2.0026999999999999</v>
      </c>
      <c r="C231" s="1">
        <f>Tabela3[[#This Row],[Alongamento (mm/mm)]]/$I$2</f>
        <v>4.0053999999999999E-2</v>
      </c>
      <c r="D231" s="2">
        <v>126.04</v>
      </c>
      <c r="E231" s="1">
        <f>Tabela3[[#This Row],[Força (N)]]/$I$5</f>
        <v>2985972.7509849402</v>
      </c>
      <c r="F231" s="1">
        <f>Tabela3[[#This Row],[Tensão (Pa)]]/1000000</f>
        <v>2.9859727509849403</v>
      </c>
    </row>
    <row r="232" spans="1:6" x14ac:dyDescent="0.3">
      <c r="A232" s="2">
        <v>24.15</v>
      </c>
      <c r="B232" s="2">
        <v>2.0055000000000001</v>
      </c>
      <c r="C232" s="1">
        <f>Tabela3[[#This Row],[Alongamento (mm/mm)]]/$I$2</f>
        <v>4.011E-2</v>
      </c>
      <c r="D232" s="2">
        <v>126.89</v>
      </c>
      <c r="E232" s="1">
        <f>Tabela3[[#This Row],[Força (N)]]/$I$5</f>
        <v>3006109.8252338865</v>
      </c>
      <c r="F232" s="1">
        <f>Tabela3[[#This Row],[Tensão (Pa)]]/1000000</f>
        <v>3.0061098252338865</v>
      </c>
    </row>
    <row r="233" spans="1:6" x14ac:dyDescent="0.3">
      <c r="A233" s="2">
        <v>24.183</v>
      </c>
      <c r="B233" s="2">
        <v>2.0082</v>
      </c>
      <c r="C233" s="1">
        <f>Tabela3[[#This Row],[Alongamento (mm/mm)]]/$I$2</f>
        <v>4.0163999999999998E-2</v>
      </c>
      <c r="D233" s="2">
        <v>127.74</v>
      </c>
      <c r="E233" s="1">
        <f>Tabela3[[#This Row],[Força (N)]]/$I$5</f>
        <v>3026246.8994828323</v>
      </c>
      <c r="F233" s="1">
        <f>Tabela3[[#This Row],[Tensão (Pa)]]/1000000</f>
        <v>3.0262468994828322</v>
      </c>
    </row>
    <row r="234" spans="1:6" x14ac:dyDescent="0.3">
      <c r="A234" s="2">
        <v>24.216999999999999</v>
      </c>
      <c r="B234" s="2">
        <v>2.0110999999999999</v>
      </c>
      <c r="C234" s="1">
        <f>Tabela3[[#This Row],[Alongamento (mm/mm)]]/$I$2</f>
        <v>4.0222000000000001E-2</v>
      </c>
      <c r="D234" s="2">
        <v>128.59</v>
      </c>
      <c r="E234" s="1">
        <f>Tabela3[[#This Row],[Força (N)]]/$I$5</f>
        <v>3046383.973731779</v>
      </c>
      <c r="F234" s="1">
        <f>Tabela3[[#This Row],[Tensão (Pa)]]/1000000</f>
        <v>3.0463839737317788</v>
      </c>
    </row>
    <row r="235" spans="1:6" x14ac:dyDescent="0.3">
      <c r="A235" s="2">
        <v>24.25</v>
      </c>
      <c r="B235" s="2">
        <v>2.0137999999999998</v>
      </c>
      <c r="C235" s="1">
        <f>Tabela3[[#This Row],[Alongamento (mm/mm)]]/$I$2</f>
        <v>4.0275999999999999E-2</v>
      </c>
      <c r="D235" s="2">
        <v>129.28</v>
      </c>
      <c r="E235" s="1">
        <f>Tabela3[[#This Row],[Força (N)]]/$I$5</f>
        <v>3062730.5398868062</v>
      </c>
      <c r="F235" s="1">
        <f>Tabela3[[#This Row],[Tensão (Pa)]]/1000000</f>
        <v>3.0627305398868061</v>
      </c>
    </row>
    <row r="236" spans="1:6" x14ac:dyDescent="0.3">
      <c r="A236" s="2">
        <v>24.283000000000001</v>
      </c>
      <c r="B236" s="2">
        <v>2.0167000000000002</v>
      </c>
      <c r="C236" s="1">
        <f>Tabela3[[#This Row],[Alongamento (mm/mm)]]/$I$2</f>
        <v>4.0334000000000002E-2</v>
      </c>
      <c r="D236" s="2">
        <v>130.13</v>
      </c>
      <c r="E236" s="1">
        <f>Tabela3[[#This Row],[Força (N)]]/$I$5</f>
        <v>3082867.6141357524</v>
      </c>
      <c r="F236" s="1">
        <f>Tabela3[[#This Row],[Tensão (Pa)]]/1000000</f>
        <v>3.0828676141357523</v>
      </c>
    </row>
    <row r="237" spans="1:6" x14ac:dyDescent="0.3">
      <c r="A237" s="2">
        <v>24.317</v>
      </c>
      <c r="B237" s="2">
        <v>2.0194999999999999</v>
      </c>
      <c r="C237" s="1">
        <f>Tabela3[[#This Row],[Alongamento (mm/mm)]]/$I$2</f>
        <v>4.0389999999999995E-2</v>
      </c>
      <c r="D237" s="2">
        <v>130.97999999999999</v>
      </c>
      <c r="E237" s="1">
        <f>Tabela3[[#This Row],[Força (N)]]/$I$5</f>
        <v>3103004.6883846987</v>
      </c>
      <c r="F237" s="1">
        <f>Tabela3[[#This Row],[Tensão (Pa)]]/1000000</f>
        <v>3.1030046883846989</v>
      </c>
    </row>
    <row r="238" spans="1:6" x14ac:dyDescent="0.3">
      <c r="A238" s="2">
        <v>24.367000000000001</v>
      </c>
      <c r="B238" s="2">
        <v>2.0234999999999999</v>
      </c>
      <c r="C238" s="1">
        <f>Tabela3[[#This Row],[Alongamento (mm/mm)]]/$I$2</f>
        <v>4.0469999999999999E-2</v>
      </c>
      <c r="D238" s="2">
        <v>132.16999999999999</v>
      </c>
      <c r="E238" s="1">
        <f>Tabela3[[#This Row],[Força (N)]]/$I$5</f>
        <v>3131196.5923332232</v>
      </c>
      <c r="F238" s="1">
        <f>Tabela3[[#This Row],[Tensão (Pa)]]/1000000</f>
        <v>3.131196592333223</v>
      </c>
    </row>
    <row r="239" spans="1:6" x14ac:dyDescent="0.3">
      <c r="A239" s="2">
        <v>24.417000000000002</v>
      </c>
      <c r="B239" s="2">
        <v>2.0276000000000001</v>
      </c>
      <c r="C239" s="1">
        <f>Tabela3[[#This Row],[Alongamento (mm/mm)]]/$I$2</f>
        <v>4.0552000000000005E-2</v>
      </c>
      <c r="D239" s="2">
        <v>133.36000000000001</v>
      </c>
      <c r="E239" s="1">
        <f>Tabela3[[#This Row],[Força (N)]]/$I$5</f>
        <v>3159388.4962817491</v>
      </c>
      <c r="F239" s="1">
        <f>Tabela3[[#This Row],[Tensão (Pa)]]/1000000</f>
        <v>3.1593884962817489</v>
      </c>
    </row>
    <row r="240" spans="1:6" x14ac:dyDescent="0.3">
      <c r="A240" s="2">
        <v>24.466999999999999</v>
      </c>
      <c r="B240" s="2">
        <v>2.0318999999999998</v>
      </c>
      <c r="C240" s="1">
        <f>Tabela3[[#This Row],[Alongamento (mm/mm)]]/$I$2</f>
        <v>4.0637999999999994E-2</v>
      </c>
      <c r="D240" s="2">
        <v>134.55000000000001</v>
      </c>
      <c r="E240" s="1">
        <f>Tabela3[[#This Row],[Força (N)]]/$I$5</f>
        <v>3187580.4002302736</v>
      </c>
      <c r="F240" s="1">
        <f>Tabela3[[#This Row],[Tensão (Pa)]]/1000000</f>
        <v>3.1875804002302734</v>
      </c>
    </row>
    <row r="241" spans="1:6" x14ac:dyDescent="0.3">
      <c r="A241" s="2">
        <v>24.516999999999999</v>
      </c>
      <c r="B241" s="2">
        <v>2.0360999999999998</v>
      </c>
      <c r="C241" s="1">
        <f>Tabela3[[#This Row],[Alongamento (mm/mm)]]/$I$2</f>
        <v>4.0721999999999994E-2</v>
      </c>
      <c r="D241" s="2">
        <v>135.91</v>
      </c>
      <c r="E241" s="1">
        <f>Tabela3[[#This Row],[Força (N)]]/$I$5</f>
        <v>3219799.7190285875</v>
      </c>
      <c r="F241" s="1">
        <f>Tabela3[[#This Row],[Tensão (Pa)]]/1000000</f>
        <v>3.2197997190285874</v>
      </c>
    </row>
    <row r="242" spans="1:6" x14ac:dyDescent="0.3">
      <c r="A242" s="2">
        <v>24.567</v>
      </c>
      <c r="B242" s="2">
        <v>2.0402</v>
      </c>
      <c r="C242" s="1">
        <f>Tabela3[[#This Row],[Alongamento (mm/mm)]]/$I$2</f>
        <v>4.0804E-2</v>
      </c>
      <c r="D242" s="2">
        <v>137.1</v>
      </c>
      <c r="E242" s="1">
        <f>Tabela3[[#This Row],[Força (N)]]/$I$5</f>
        <v>3247991.6229771124</v>
      </c>
      <c r="F242" s="1">
        <f>Tabela3[[#This Row],[Tensão (Pa)]]/1000000</f>
        <v>3.2479916229771124</v>
      </c>
    </row>
    <row r="243" spans="1:6" x14ac:dyDescent="0.3">
      <c r="A243" s="2">
        <v>24.617000000000001</v>
      </c>
      <c r="B243" s="2">
        <v>2.0444</v>
      </c>
      <c r="C243" s="1">
        <f>Tabela3[[#This Row],[Alongamento (mm/mm)]]/$I$2</f>
        <v>4.0888000000000001E-2</v>
      </c>
      <c r="D243" s="2">
        <v>138.29</v>
      </c>
      <c r="E243" s="1">
        <f>Tabela3[[#This Row],[Força (N)]]/$I$5</f>
        <v>3276183.5269256374</v>
      </c>
      <c r="F243" s="1">
        <f>Tabela3[[#This Row],[Tensão (Pa)]]/1000000</f>
        <v>3.2761835269256374</v>
      </c>
    </row>
    <row r="244" spans="1:6" x14ac:dyDescent="0.3">
      <c r="A244" s="2">
        <v>24.667000000000002</v>
      </c>
      <c r="B244" s="2">
        <v>2.0485000000000002</v>
      </c>
      <c r="C244" s="1">
        <f>Tabela3[[#This Row],[Alongamento (mm/mm)]]/$I$2</f>
        <v>4.0970000000000006E-2</v>
      </c>
      <c r="D244" s="2">
        <v>139.47999999999999</v>
      </c>
      <c r="E244" s="1">
        <f>Tabela3[[#This Row],[Força (N)]]/$I$5</f>
        <v>3304375.4308741619</v>
      </c>
      <c r="F244" s="1">
        <f>Tabela3[[#This Row],[Tensão (Pa)]]/1000000</f>
        <v>3.304375430874162</v>
      </c>
    </row>
    <row r="245" spans="1:6" x14ac:dyDescent="0.3">
      <c r="A245" s="2">
        <v>24.716999999999999</v>
      </c>
      <c r="B245" s="2">
        <v>2.0527000000000002</v>
      </c>
      <c r="C245" s="1">
        <f>Tabela3[[#This Row],[Alongamento (mm/mm)]]/$I$2</f>
        <v>4.1054000000000007E-2</v>
      </c>
      <c r="D245" s="2">
        <v>140.84</v>
      </c>
      <c r="E245" s="1">
        <f>Tabela3[[#This Row],[Força (N)]]/$I$5</f>
        <v>3336594.7496724767</v>
      </c>
      <c r="F245" s="1">
        <f>Tabela3[[#This Row],[Tensão (Pa)]]/1000000</f>
        <v>3.3365947496724768</v>
      </c>
    </row>
    <row r="246" spans="1:6" x14ac:dyDescent="0.3">
      <c r="A246" s="2">
        <v>24.766999999999999</v>
      </c>
      <c r="B246" s="2">
        <v>2.0569000000000002</v>
      </c>
      <c r="C246" s="1">
        <f>Tabela3[[#This Row],[Alongamento (mm/mm)]]/$I$2</f>
        <v>4.1138000000000001E-2</v>
      </c>
      <c r="D246" s="2">
        <v>142.03</v>
      </c>
      <c r="E246" s="1">
        <f>Tabela3[[#This Row],[Força (N)]]/$I$5</f>
        <v>3364786.6536210016</v>
      </c>
      <c r="F246" s="1">
        <f>Tabela3[[#This Row],[Tensão (Pa)]]/1000000</f>
        <v>3.3647866536210018</v>
      </c>
    </row>
    <row r="247" spans="1:6" x14ac:dyDescent="0.3">
      <c r="A247" s="2">
        <v>24.817</v>
      </c>
      <c r="B247" s="2">
        <v>2.0609999999999999</v>
      </c>
      <c r="C247" s="1">
        <f>Tabela3[[#This Row],[Alongamento (mm/mm)]]/$I$2</f>
        <v>4.122E-2</v>
      </c>
      <c r="D247" s="2">
        <v>143.22</v>
      </c>
      <c r="E247" s="1">
        <f>Tabela3[[#This Row],[Força (N)]]/$I$5</f>
        <v>3392978.5575695261</v>
      </c>
      <c r="F247" s="1">
        <f>Tabela3[[#This Row],[Tensão (Pa)]]/1000000</f>
        <v>3.3929785575695259</v>
      </c>
    </row>
    <row r="248" spans="1:6" x14ac:dyDescent="0.3">
      <c r="A248" s="2">
        <v>24.867000000000001</v>
      </c>
      <c r="B248" s="2">
        <v>2.0651999999999999</v>
      </c>
      <c r="C248" s="1">
        <f>Tabela3[[#This Row],[Alongamento (mm/mm)]]/$I$2</f>
        <v>4.1304E-2</v>
      </c>
      <c r="D248" s="2">
        <v>144.41</v>
      </c>
      <c r="E248" s="1">
        <f>Tabela3[[#This Row],[Força (N)]]/$I$5</f>
        <v>3421170.4615180511</v>
      </c>
      <c r="F248" s="1">
        <f>Tabela3[[#This Row],[Tensão (Pa)]]/1000000</f>
        <v>3.4211704615180509</v>
      </c>
    </row>
    <row r="249" spans="1:6" x14ac:dyDescent="0.3">
      <c r="A249" s="2">
        <v>24.917000000000002</v>
      </c>
      <c r="B249" s="2">
        <v>2.0693000000000001</v>
      </c>
      <c r="C249" s="1">
        <f>Tabela3[[#This Row],[Alongamento (mm/mm)]]/$I$2</f>
        <v>4.1386000000000006E-2</v>
      </c>
      <c r="D249" s="2">
        <v>145.77000000000001</v>
      </c>
      <c r="E249" s="1">
        <f>Tabela3[[#This Row],[Força (N)]]/$I$5</f>
        <v>3453389.7803163654</v>
      </c>
      <c r="F249" s="1">
        <f>Tabela3[[#This Row],[Tensão (Pa)]]/1000000</f>
        <v>3.4533897803163653</v>
      </c>
    </row>
    <row r="250" spans="1:6" x14ac:dyDescent="0.3">
      <c r="A250" s="2">
        <v>24.966999999999999</v>
      </c>
      <c r="B250" s="2">
        <v>2.0735999999999999</v>
      </c>
      <c r="C250" s="1">
        <f>Tabela3[[#This Row],[Alongamento (mm/mm)]]/$I$2</f>
        <v>4.1471999999999995E-2</v>
      </c>
      <c r="D250" s="2">
        <v>146.97</v>
      </c>
      <c r="E250" s="1">
        <f>Tabela3[[#This Row],[Força (N)]]/$I$5</f>
        <v>3481818.5910207601</v>
      </c>
      <c r="F250" s="1">
        <f>Tabela3[[#This Row],[Tensão (Pa)]]/1000000</f>
        <v>3.48181859102076</v>
      </c>
    </row>
    <row r="251" spans="1:6" x14ac:dyDescent="0.3">
      <c r="A251" s="2">
        <v>25.016999999999999</v>
      </c>
      <c r="B251" s="2">
        <v>2.0777000000000001</v>
      </c>
      <c r="C251" s="1">
        <f>Tabela3[[#This Row],[Alongamento (mm/mm)]]/$I$2</f>
        <v>4.1554000000000001E-2</v>
      </c>
      <c r="D251" s="2">
        <v>148.16</v>
      </c>
      <c r="E251" s="1">
        <f>Tabela3[[#This Row],[Força (N)]]/$I$5</f>
        <v>3510010.4949692851</v>
      </c>
      <c r="F251" s="1">
        <f>Tabela3[[#This Row],[Tensão (Pa)]]/1000000</f>
        <v>3.510010494969285</v>
      </c>
    </row>
    <row r="252" spans="1:6" x14ac:dyDescent="0.3">
      <c r="A252" s="2">
        <v>25.067</v>
      </c>
      <c r="B252" s="2">
        <v>2.0819000000000001</v>
      </c>
      <c r="C252" s="1">
        <f>Tabela3[[#This Row],[Alongamento (mm/mm)]]/$I$2</f>
        <v>4.1638000000000001E-2</v>
      </c>
      <c r="D252" s="2">
        <v>149.52000000000001</v>
      </c>
      <c r="E252" s="1">
        <f>Tabela3[[#This Row],[Força (N)]]/$I$5</f>
        <v>3542229.8137675994</v>
      </c>
      <c r="F252" s="1">
        <f>Tabela3[[#This Row],[Tensão (Pa)]]/1000000</f>
        <v>3.5422298137675994</v>
      </c>
    </row>
    <row r="253" spans="1:6" x14ac:dyDescent="0.3">
      <c r="A253" s="2">
        <v>25.117000000000001</v>
      </c>
      <c r="B253" s="2">
        <v>2.0859999999999999</v>
      </c>
      <c r="C253" s="1">
        <f>Tabela3[[#This Row],[Alongamento (mm/mm)]]/$I$2</f>
        <v>4.172E-2</v>
      </c>
      <c r="D253" s="2">
        <v>150.71</v>
      </c>
      <c r="E253" s="1">
        <f>Tabela3[[#This Row],[Força (N)]]/$I$5</f>
        <v>3570421.7177161244</v>
      </c>
      <c r="F253" s="1">
        <f>Tabela3[[#This Row],[Tensão (Pa)]]/1000000</f>
        <v>3.5704217177161244</v>
      </c>
    </row>
    <row r="254" spans="1:6" x14ac:dyDescent="0.3">
      <c r="A254" s="2">
        <v>25.167000000000002</v>
      </c>
      <c r="B254" s="2">
        <v>2.0901999999999998</v>
      </c>
      <c r="C254" s="1">
        <f>Tabela3[[#This Row],[Alongamento (mm/mm)]]/$I$2</f>
        <v>4.1803999999999994E-2</v>
      </c>
      <c r="D254" s="2">
        <v>151.9</v>
      </c>
      <c r="E254" s="1">
        <f>Tabela3[[#This Row],[Força (N)]]/$I$5</f>
        <v>3598613.6216646493</v>
      </c>
      <c r="F254" s="1">
        <f>Tabela3[[#This Row],[Tensão (Pa)]]/1000000</f>
        <v>3.5986136216646494</v>
      </c>
    </row>
    <row r="255" spans="1:6" x14ac:dyDescent="0.3">
      <c r="A255" s="2">
        <v>25.216999999999999</v>
      </c>
      <c r="B255" s="2">
        <v>2.0943999999999998</v>
      </c>
      <c r="C255" s="1">
        <f>Tabela3[[#This Row],[Alongamento (mm/mm)]]/$I$2</f>
        <v>4.1887999999999995E-2</v>
      </c>
      <c r="D255" s="2">
        <v>153.26</v>
      </c>
      <c r="E255" s="1">
        <f>Tabela3[[#This Row],[Força (N)]]/$I$5</f>
        <v>3630832.9404629632</v>
      </c>
      <c r="F255" s="1">
        <f>Tabela3[[#This Row],[Tensão (Pa)]]/1000000</f>
        <v>3.6308329404629633</v>
      </c>
    </row>
    <row r="256" spans="1:6" x14ac:dyDescent="0.3">
      <c r="A256" s="2">
        <v>25.266999999999999</v>
      </c>
      <c r="B256" s="2">
        <v>2.0985999999999998</v>
      </c>
      <c r="C256" s="1">
        <f>Tabela3[[#This Row],[Alongamento (mm/mm)]]/$I$2</f>
        <v>4.1971999999999995E-2</v>
      </c>
      <c r="D256" s="2">
        <v>154.62</v>
      </c>
      <c r="E256" s="1">
        <f>Tabela3[[#This Row],[Força (N)]]/$I$5</f>
        <v>3663052.2592612775</v>
      </c>
      <c r="F256" s="1">
        <f>Tabela3[[#This Row],[Tensão (Pa)]]/1000000</f>
        <v>3.6630522592612773</v>
      </c>
    </row>
    <row r="257" spans="1:6" x14ac:dyDescent="0.3">
      <c r="A257" s="2">
        <v>25.317</v>
      </c>
      <c r="B257" s="2">
        <v>2.1027</v>
      </c>
      <c r="C257" s="1">
        <f>Tabela3[[#This Row],[Alongamento (mm/mm)]]/$I$2</f>
        <v>4.2054000000000001E-2</v>
      </c>
      <c r="D257" s="2">
        <v>155.81</v>
      </c>
      <c r="E257" s="1">
        <f>Tabela3[[#This Row],[Força (N)]]/$I$5</f>
        <v>3691244.1632098025</v>
      </c>
      <c r="F257" s="1">
        <f>Tabela3[[#This Row],[Tensão (Pa)]]/1000000</f>
        <v>3.6912441632098023</v>
      </c>
    </row>
    <row r="258" spans="1:6" x14ac:dyDescent="0.3">
      <c r="A258" s="2">
        <v>25.367000000000001</v>
      </c>
      <c r="B258" s="2">
        <v>2.1067999999999998</v>
      </c>
      <c r="C258" s="1">
        <f>Tabela3[[#This Row],[Alongamento (mm/mm)]]/$I$2</f>
        <v>4.2135999999999993E-2</v>
      </c>
      <c r="D258" s="2">
        <v>157.16999999999999</v>
      </c>
      <c r="E258" s="1">
        <f>Tabela3[[#This Row],[Força (N)]]/$I$5</f>
        <v>3723463.4820081163</v>
      </c>
      <c r="F258" s="1">
        <f>Tabela3[[#This Row],[Tensão (Pa)]]/1000000</f>
        <v>3.7234634820081163</v>
      </c>
    </row>
    <row r="259" spans="1:6" x14ac:dyDescent="0.3">
      <c r="A259" s="2">
        <v>25.417000000000002</v>
      </c>
      <c r="B259" s="2">
        <v>2.1110000000000002</v>
      </c>
      <c r="C259" s="1">
        <f>Tabela3[[#This Row],[Alongamento (mm/mm)]]/$I$2</f>
        <v>4.2220000000000008E-2</v>
      </c>
      <c r="D259" s="2">
        <v>158.53</v>
      </c>
      <c r="E259" s="1">
        <f>Tabela3[[#This Row],[Força (N)]]/$I$5</f>
        <v>3755682.8008064306</v>
      </c>
      <c r="F259" s="1">
        <f>Tabela3[[#This Row],[Tensão (Pa)]]/1000000</f>
        <v>3.7556828008064307</v>
      </c>
    </row>
    <row r="260" spans="1:6" x14ac:dyDescent="0.3">
      <c r="A260" s="2">
        <v>25.466999999999999</v>
      </c>
      <c r="B260" s="2">
        <v>2.1152000000000002</v>
      </c>
      <c r="C260" s="1">
        <f>Tabela3[[#This Row],[Alongamento (mm/mm)]]/$I$2</f>
        <v>4.2304000000000001E-2</v>
      </c>
      <c r="D260" s="2">
        <v>159.88999999999999</v>
      </c>
      <c r="E260" s="1">
        <f>Tabela3[[#This Row],[Força (N)]]/$I$5</f>
        <v>3787902.1196047445</v>
      </c>
      <c r="F260" s="1">
        <f>Tabela3[[#This Row],[Tensão (Pa)]]/1000000</f>
        <v>3.7879021196047447</v>
      </c>
    </row>
    <row r="261" spans="1:6" x14ac:dyDescent="0.3">
      <c r="A261" s="2">
        <v>25.516999999999999</v>
      </c>
      <c r="B261" s="2">
        <v>2.1194000000000002</v>
      </c>
      <c r="C261" s="1">
        <f>Tabela3[[#This Row],[Alongamento (mm/mm)]]/$I$2</f>
        <v>4.2388000000000002E-2</v>
      </c>
      <c r="D261" s="2">
        <v>161.08000000000001</v>
      </c>
      <c r="E261" s="1">
        <f>Tabela3[[#This Row],[Força (N)]]/$I$5</f>
        <v>3816094.0235532699</v>
      </c>
      <c r="F261" s="1">
        <f>Tabela3[[#This Row],[Tensão (Pa)]]/1000000</f>
        <v>3.8160940235532701</v>
      </c>
    </row>
    <row r="262" spans="1:6" x14ac:dyDescent="0.3">
      <c r="A262" s="2">
        <v>25.55</v>
      </c>
      <c r="B262" s="2">
        <v>2.1221000000000001</v>
      </c>
      <c r="C262" s="1">
        <f>Tabela3[[#This Row],[Alongamento (mm/mm)]]/$I$2</f>
        <v>4.2442000000000001E-2</v>
      </c>
      <c r="D262" s="2">
        <v>162.1</v>
      </c>
      <c r="E262" s="1">
        <f>Tabela3[[#This Row],[Força (N)]]/$I$5</f>
        <v>3840258.5126520051</v>
      </c>
      <c r="F262" s="1">
        <f>Tabela3[[#This Row],[Tensão (Pa)]]/1000000</f>
        <v>3.8402585126520052</v>
      </c>
    </row>
    <row r="263" spans="1:6" x14ac:dyDescent="0.3">
      <c r="A263" s="2">
        <v>25.6</v>
      </c>
      <c r="B263" s="2">
        <v>2.1263000000000001</v>
      </c>
      <c r="C263" s="1">
        <f>Tabela3[[#This Row],[Alongamento (mm/mm)]]/$I$2</f>
        <v>4.2526000000000001E-2</v>
      </c>
      <c r="D263" s="2">
        <v>163.46</v>
      </c>
      <c r="E263" s="1">
        <f>Tabela3[[#This Row],[Força (N)]]/$I$5</f>
        <v>3872477.8314503198</v>
      </c>
      <c r="F263" s="1">
        <f>Tabela3[[#This Row],[Tensão (Pa)]]/1000000</f>
        <v>3.8724778314503197</v>
      </c>
    </row>
    <row r="264" spans="1:6" x14ac:dyDescent="0.3">
      <c r="A264" s="2">
        <v>25.65</v>
      </c>
      <c r="B264" s="2">
        <v>2.1305000000000001</v>
      </c>
      <c r="C264" s="1">
        <f>Tabela3[[#This Row],[Alongamento (mm/mm)]]/$I$2</f>
        <v>4.2610000000000002E-2</v>
      </c>
      <c r="D264" s="2">
        <v>164.83</v>
      </c>
      <c r="E264" s="1">
        <f>Tabela3[[#This Row],[Força (N)]]/$I$5</f>
        <v>3904934.0570045039</v>
      </c>
      <c r="F264" s="1">
        <f>Tabela3[[#This Row],[Tensão (Pa)]]/1000000</f>
        <v>3.9049340570045037</v>
      </c>
    </row>
    <row r="265" spans="1:6" x14ac:dyDescent="0.3">
      <c r="A265" s="2">
        <v>25.7</v>
      </c>
      <c r="B265" s="2">
        <v>2.1347</v>
      </c>
      <c r="C265" s="1">
        <f>Tabela3[[#This Row],[Alongamento (mm/mm)]]/$I$2</f>
        <v>4.2694000000000003E-2</v>
      </c>
      <c r="D265" s="2">
        <v>166.19</v>
      </c>
      <c r="E265" s="1">
        <f>Tabela3[[#This Row],[Força (N)]]/$I$5</f>
        <v>3937153.3758028178</v>
      </c>
      <c r="F265" s="1">
        <f>Tabela3[[#This Row],[Tensão (Pa)]]/1000000</f>
        <v>3.9371533758028177</v>
      </c>
    </row>
    <row r="266" spans="1:6" x14ac:dyDescent="0.3">
      <c r="A266" s="2">
        <v>25.75</v>
      </c>
      <c r="B266" s="2">
        <v>2.1387999999999998</v>
      </c>
      <c r="C266" s="1">
        <f>Tabela3[[#This Row],[Alongamento (mm/mm)]]/$I$2</f>
        <v>4.2775999999999995E-2</v>
      </c>
      <c r="D266" s="2">
        <v>167.55</v>
      </c>
      <c r="E266" s="1">
        <f>Tabela3[[#This Row],[Força (N)]]/$I$5</f>
        <v>3969372.6946011325</v>
      </c>
      <c r="F266" s="1">
        <f>Tabela3[[#This Row],[Tensão (Pa)]]/1000000</f>
        <v>3.9693726946011325</v>
      </c>
    </row>
    <row r="267" spans="1:6" x14ac:dyDescent="0.3">
      <c r="A267" s="2">
        <v>25.8</v>
      </c>
      <c r="B267" s="2">
        <v>2.1429999999999998</v>
      </c>
      <c r="C267" s="1">
        <f>Tabela3[[#This Row],[Alongamento (mm/mm)]]/$I$2</f>
        <v>4.2859999999999995E-2</v>
      </c>
      <c r="D267" s="2">
        <v>168.91</v>
      </c>
      <c r="E267" s="1">
        <f>Tabela3[[#This Row],[Força (N)]]/$I$5</f>
        <v>4001592.0133994459</v>
      </c>
      <c r="F267" s="1">
        <f>Tabela3[[#This Row],[Tensão (Pa)]]/1000000</f>
        <v>4.0015920133994456</v>
      </c>
    </row>
    <row r="268" spans="1:6" x14ac:dyDescent="0.3">
      <c r="A268" s="2">
        <v>25.85</v>
      </c>
      <c r="B268" s="2">
        <v>2.1471</v>
      </c>
      <c r="C268" s="1">
        <f>Tabela3[[#This Row],[Alongamento (mm/mm)]]/$I$2</f>
        <v>4.2942000000000001E-2</v>
      </c>
      <c r="D268" s="2">
        <v>170.27</v>
      </c>
      <c r="E268" s="1">
        <f>Tabela3[[#This Row],[Força (N)]]/$I$5</f>
        <v>4033811.3321977607</v>
      </c>
      <c r="F268" s="1">
        <f>Tabela3[[#This Row],[Tensão (Pa)]]/1000000</f>
        <v>4.0338113321977609</v>
      </c>
    </row>
    <row r="269" spans="1:6" x14ac:dyDescent="0.3">
      <c r="A269" s="2">
        <v>25.9</v>
      </c>
      <c r="B269" s="2">
        <v>2.1514000000000002</v>
      </c>
      <c r="C269" s="1">
        <f>Tabela3[[#This Row],[Alongamento (mm/mm)]]/$I$2</f>
        <v>4.3028000000000004E-2</v>
      </c>
      <c r="D269" s="2">
        <v>171.63</v>
      </c>
      <c r="E269" s="1">
        <f>Tabela3[[#This Row],[Força (N)]]/$I$5</f>
        <v>4066030.6509960745</v>
      </c>
      <c r="F269" s="1">
        <f>Tabela3[[#This Row],[Tensão (Pa)]]/1000000</f>
        <v>4.0660306509960744</v>
      </c>
    </row>
    <row r="270" spans="1:6" x14ac:dyDescent="0.3">
      <c r="A270" s="2">
        <v>25.95</v>
      </c>
      <c r="B270" s="2">
        <v>2.1555</v>
      </c>
      <c r="C270" s="1">
        <f>Tabela3[[#This Row],[Alongamento (mm/mm)]]/$I$2</f>
        <v>4.3110000000000002E-2</v>
      </c>
      <c r="D270" s="2">
        <v>172.99</v>
      </c>
      <c r="E270" s="1">
        <f>Tabela3[[#This Row],[Força (N)]]/$I$5</f>
        <v>4098249.9697943889</v>
      </c>
      <c r="F270" s="1">
        <f>Tabela3[[#This Row],[Tensão (Pa)]]/1000000</f>
        <v>4.0982499697943888</v>
      </c>
    </row>
    <row r="271" spans="1:6" x14ac:dyDescent="0.3">
      <c r="A271" s="2">
        <v>26</v>
      </c>
      <c r="B271" s="2">
        <v>2.1597</v>
      </c>
      <c r="C271" s="1">
        <f>Tabela3[[#This Row],[Alongamento (mm/mm)]]/$I$2</f>
        <v>4.3193999999999996E-2</v>
      </c>
      <c r="D271" s="2">
        <v>174.35</v>
      </c>
      <c r="E271" s="1">
        <f>Tabela3[[#This Row],[Força (N)]]/$I$5</f>
        <v>4130469.2885927027</v>
      </c>
      <c r="F271" s="1">
        <f>Tabela3[[#This Row],[Tensão (Pa)]]/1000000</f>
        <v>4.1304692885927023</v>
      </c>
    </row>
    <row r="272" spans="1:6" x14ac:dyDescent="0.3">
      <c r="A272" s="2">
        <v>26.05</v>
      </c>
      <c r="B272" s="2">
        <v>2.1638999999999999</v>
      </c>
      <c r="C272" s="1">
        <f>Tabela3[[#This Row],[Alongamento (mm/mm)]]/$I$2</f>
        <v>4.3277999999999997E-2</v>
      </c>
      <c r="D272" s="2">
        <v>175.71</v>
      </c>
      <c r="E272" s="1">
        <f>Tabela3[[#This Row],[Força (N)]]/$I$5</f>
        <v>4162688.6073910175</v>
      </c>
      <c r="F272" s="1">
        <f>Tabela3[[#This Row],[Tensão (Pa)]]/1000000</f>
        <v>4.1626886073910176</v>
      </c>
    </row>
    <row r="273" spans="1:6" x14ac:dyDescent="0.3">
      <c r="A273" s="2">
        <v>26.1</v>
      </c>
      <c r="B273" s="2">
        <v>2.1680000000000001</v>
      </c>
      <c r="C273" s="1">
        <f>Tabela3[[#This Row],[Alongamento (mm/mm)]]/$I$2</f>
        <v>4.3360000000000003E-2</v>
      </c>
      <c r="D273" s="2">
        <v>177.07</v>
      </c>
      <c r="E273" s="1">
        <f>Tabela3[[#This Row],[Força (N)]]/$I$5</f>
        <v>4194907.9261893313</v>
      </c>
      <c r="F273" s="1">
        <f>Tabela3[[#This Row],[Tensão (Pa)]]/1000000</f>
        <v>4.1949079261893312</v>
      </c>
    </row>
    <row r="274" spans="1:6" x14ac:dyDescent="0.3">
      <c r="A274" s="2">
        <v>26.15</v>
      </c>
      <c r="B274" s="2">
        <v>2.1722000000000001</v>
      </c>
      <c r="C274" s="1">
        <f>Tabela3[[#This Row],[Alongamento (mm/mm)]]/$I$2</f>
        <v>4.3444000000000003E-2</v>
      </c>
      <c r="D274" s="2">
        <v>178.43</v>
      </c>
      <c r="E274" s="1">
        <f>Tabela3[[#This Row],[Força (N)]]/$I$5</f>
        <v>4227127.2449876452</v>
      </c>
      <c r="F274" s="1">
        <f>Tabela3[[#This Row],[Tensão (Pa)]]/1000000</f>
        <v>4.2271272449876456</v>
      </c>
    </row>
    <row r="275" spans="1:6" x14ac:dyDescent="0.3">
      <c r="A275" s="2">
        <v>26.2</v>
      </c>
      <c r="B275" s="2">
        <v>2.1762999999999999</v>
      </c>
      <c r="C275" s="1">
        <f>Tabela3[[#This Row],[Alongamento (mm/mm)]]/$I$2</f>
        <v>4.3525999999999995E-2</v>
      </c>
      <c r="D275" s="2">
        <v>179.79</v>
      </c>
      <c r="E275" s="1">
        <f>Tabela3[[#This Row],[Força (N)]]/$I$5</f>
        <v>4259346.563785959</v>
      </c>
      <c r="F275" s="1">
        <f>Tabela3[[#This Row],[Tensão (Pa)]]/1000000</f>
        <v>4.2593465637859591</v>
      </c>
    </row>
    <row r="276" spans="1:6" x14ac:dyDescent="0.3">
      <c r="A276" s="2">
        <v>26.25</v>
      </c>
      <c r="B276" s="2">
        <v>2.1804999999999999</v>
      </c>
      <c r="C276" s="1">
        <f>Tabela3[[#This Row],[Alongamento (mm/mm)]]/$I$2</f>
        <v>4.3609999999999996E-2</v>
      </c>
      <c r="D276" s="2">
        <v>181.16</v>
      </c>
      <c r="E276" s="1">
        <f>Tabela3[[#This Row],[Força (N)]]/$I$5</f>
        <v>4291802.789340144</v>
      </c>
      <c r="F276" s="1">
        <f>Tabela3[[#This Row],[Tensão (Pa)]]/1000000</f>
        <v>4.291802789340144</v>
      </c>
    </row>
    <row r="277" spans="1:6" x14ac:dyDescent="0.3">
      <c r="A277" s="2">
        <v>26.3</v>
      </c>
      <c r="B277" s="2">
        <v>2.1846000000000001</v>
      </c>
      <c r="C277" s="1">
        <f>Tabela3[[#This Row],[Alongamento (mm/mm)]]/$I$2</f>
        <v>4.3692000000000002E-2</v>
      </c>
      <c r="D277" s="2">
        <v>182.52</v>
      </c>
      <c r="E277" s="1">
        <f>Tabela3[[#This Row],[Força (N)]]/$I$5</f>
        <v>4324022.1081384579</v>
      </c>
      <c r="F277" s="1">
        <f>Tabela3[[#This Row],[Tensão (Pa)]]/1000000</f>
        <v>4.3240221081384576</v>
      </c>
    </row>
    <row r="278" spans="1:6" x14ac:dyDescent="0.3">
      <c r="A278" s="2">
        <v>26.35</v>
      </c>
      <c r="B278" s="2">
        <v>2.1888000000000001</v>
      </c>
      <c r="C278" s="1">
        <f>Tabela3[[#This Row],[Alongamento (mm/mm)]]/$I$2</f>
        <v>4.3776000000000002E-2</v>
      </c>
      <c r="D278" s="2">
        <v>183.88</v>
      </c>
      <c r="E278" s="1">
        <f>Tabela3[[#This Row],[Força (N)]]/$I$5</f>
        <v>4356241.4269367717</v>
      </c>
      <c r="F278" s="1">
        <f>Tabela3[[#This Row],[Tensão (Pa)]]/1000000</f>
        <v>4.356241426936772</v>
      </c>
    </row>
    <row r="279" spans="1:6" x14ac:dyDescent="0.3">
      <c r="A279" s="2">
        <v>26.4</v>
      </c>
      <c r="B279" s="2">
        <v>2.1928999999999998</v>
      </c>
      <c r="C279" s="1">
        <f>Tabela3[[#This Row],[Alongamento (mm/mm)]]/$I$2</f>
        <v>4.3857999999999994E-2</v>
      </c>
      <c r="D279" s="2">
        <v>185.41</v>
      </c>
      <c r="E279" s="1">
        <f>Tabela3[[#This Row],[Força (N)]]/$I$5</f>
        <v>4392488.1605848754</v>
      </c>
      <c r="F279" s="1">
        <f>Tabela3[[#This Row],[Tensão (Pa)]]/1000000</f>
        <v>4.3924881605848753</v>
      </c>
    </row>
    <row r="280" spans="1:6" x14ac:dyDescent="0.3">
      <c r="A280" s="2">
        <v>26.45</v>
      </c>
      <c r="B280" s="2">
        <v>2.1972</v>
      </c>
      <c r="C280" s="1">
        <f>Tabela3[[#This Row],[Alongamento (mm/mm)]]/$I$2</f>
        <v>4.3944000000000004E-2</v>
      </c>
      <c r="D280" s="2">
        <v>186.77</v>
      </c>
      <c r="E280" s="1">
        <f>Tabela3[[#This Row],[Força (N)]]/$I$5</f>
        <v>4424707.4793831902</v>
      </c>
      <c r="F280" s="1">
        <f>Tabela3[[#This Row],[Tensão (Pa)]]/1000000</f>
        <v>4.4247074793831898</v>
      </c>
    </row>
    <row r="281" spans="1:6" x14ac:dyDescent="0.3">
      <c r="A281" s="2">
        <v>26.5</v>
      </c>
      <c r="B281" s="2">
        <v>2.2012999999999998</v>
      </c>
      <c r="C281" s="1">
        <f>Tabela3[[#This Row],[Alongamento (mm/mm)]]/$I$2</f>
        <v>4.4025999999999996E-2</v>
      </c>
      <c r="D281" s="2">
        <v>188.13</v>
      </c>
      <c r="E281" s="1">
        <f>Tabela3[[#This Row],[Força (N)]]/$I$5</f>
        <v>4456926.798181504</v>
      </c>
      <c r="F281" s="1">
        <f>Tabela3[[#This Row],[Tensão (Pa)]]/1000000</f>
        <v>4.4569267981815042</v>
      </c>
    </row>
    <row r="282" spans="1:6" x14ac:dyDescent="0.3">
      <c r="A282" s="2">
        <v>26.55</v>
      </c>
      <c r="B282" s="2">
        <v>2.2056</v>
      </c>
      <c r="C282" s="1">
        <f>Tabela3[[#This Row],[Alongamento (mm/mm)]]/$I$2</f>
        <v>4.4111999999999998E-2</v>
      </c>
      <c r="D282" s="2">
        <v>189.66</v>
      </c>
      <c r="E282" s="1">
        <f>Tabela3[[#This Row],[Força (N)]]/$I$5</f>
        <v>4493173.5318296077</v>
      </c>
      <c r="F282" s="1">
        <f>Tabela3[[#This Row],[Tensão (Pa)]]/1000000</f>
        <v>4.4931735318296075</v>
      </c>
    </row>
    <row r="283" spans="1:6" x14ac:dyDescent="0.3">
      <c r="A283" s="2">
        <v>26.6</v>
      </c>
      <c r="B283" s="2">
        <v>2.2096</v>
      </c>
      <c r="C283" s="1">
        <f>Tabela3[[#This Row],[Alongamento (mm/mm)]]/$I$2</f>
        <v>4.4192000000000002E-2</v>
      </c>
      <c r="D283" s="2">
        <v>191.02</v>
      </c>
      <c r="E283" s="1">
        <f>Tabela3[[#This Row],[Força (N)]]/$I$5</f>
        <v>4525392.8506279215</v>
      </c>
      <c r="F283" s="1">
        <f>Tabela3[[#This Row],[Tensão (Pa)]]/1000000</f>
        <v>4.525392850627922</v>
      </c>
    </row>
    <row r="284" spans="1:6" x14ac:dyDescent="0.3">
      <c r="A284" s="2">
        <v>26.65</v>
      </c>
      <c r="B284" s="2">
        <v>2.2138</v>
      </c>
      <c r="C284" s="1">
        <f>Tabela3[[#This Row],[Alongamento (mm/mm)]]/$I$2</f>
        <v>4.4276000000000003E-2</v>
      </c>
      <c r="D284" s="2">
        <v>192.55</v>
      </c>
      <c r="E284" s="1">
        <f>Tabela3[[#This Row],[Força (N)]]/$I$5</f>
        <v>4561639.5842760252</v>
      </c>
      <c r="F284" s="1">
        <f>Tabela3[[#This Row],[Tensão (Pa)]]/1000000</f>
        <v>4.5616395842760253</v>
      </c>
    </row>
    <row r="285" spans="1:6" x14ac:dyDescent="0.3">
      <c r="A285" s="2">
        <v>26.7</v>
      </c>
      <c r="B285" s="2">
        <v>2.218</v>
      </c>
      <c r="C285" s="1">
        <f>Tabela3[[#This Row],[Alongamento (mm/mm)]]/$I$2</f>
        <v>4.4359999999999997E-2</v>
      </c>
      <c r="D285" s="2">
        <v>193.91</v>
      </c>
      <c r="E285" s="1">
        <f>Tabela3[[#This Row],[Força (N)]]/$I$5</f>
        <v>4593858.903074339</v>
      </c>
      <c r="F285" s="1">
        <f>Tabela3[[#This Row],[Tensão (Pa)]]/1000000</f>
        <v>4.5938589030743389</v>
      </c>
    </row>
    <row r="286" spans="1:6" x14ac:dyDescent="0.3">
      <c r="A286" s="2">
        <v>26.75</v>
      </c>
      <c r="B286" s="2">
        <v>2.2222</v>
      </c>
      <c r="C286" s="1">
        <f>Tabela3[[#This Row],[Alongamento (mm/mm)]]/$I$2</f>
        <v>4.4443999999999997E-2</v>
      </c>
      <c r="D286" s="2">
        <v>195.44</v>
      </c>
      <c r="E286" s="1">
        <f>Tabela3[[#This Row],[Força (N)]]/$I$5</f>
        <v>4630105.6367224427</v>
      </c>
      <c r="F286" s="1">
        <f>Tabela3[[#This Row],[Tensão (Pa)]]/1000000</f>
        <v>4.6301056367224431</v>
      </c>
    </row>
    <row r="287" spans="1:6" x14ac:dyDescent="0.3">
      <c r="A287" s="2">
        <v>26.8</v>
      </c>
      <c r="B287" s="2">
        <v>2.2263000000000002</v>
      </c>
      <c r="C287" s="1">
        <f>Tabela3[[#This Row],[Alongamento (mm/mm)]]/$I$2</f>
        <v>4.4526000000000003E-2</v>
      </c>
      <c r="D287" s="2">
        <v>196.97</v>
      </c>
      <c r="E287" s="1">
        <f>Tabela3[[#This Row],[Força (N)]]/$I$5</f>
        <v>4666352.3703705464</v>
      </c>
      <c r="F287" s="1">
        <f>Tabela3[[#This Row],[Tensão (Pa)]]/1000000</f>
        <v>4.6663523703705465</v>
      </c>
    </row>
    <row r="288" spans="1:6" x14ac:dyDescent="0.3">
      <c r="A288" s="2">
        <v>26.85</v>
      </c>
      <c r="B288" s="2">
        <v>2.2305000000000001</v>
      </c>
      <c r="C288" s="1">
        <f>Tabela3[[#This Row],[Alongamento (mm/mm)]]/$I$2</f>
        <v>4.4610000000000004E-2</v>
      </c>
      <c r="D288" s="2">
        <v>198.34</v>
      </c>
      <c r="E288" s="1">
        <f>Tabela3[[#This Row],[Força (N)]]/$I$5</f>
        <v>4698808.5959247304</v>
      </c>
      <c r="F288" s="1">
        <f>Tabela3[[#This Row],[Tensão (Pa)]]/1000000</f>
        <v>4.6988085959247305</v>
      </c>
    </row>
    <row r="289" spans="1:6" x14ac:dyDescent="0.3">
      <c r="A289" s="2">
        <v>26.9</v>
      </c>
      <c r="B289" s="2">
        <v>2.2345999999999999</v>
      </c>
      <c r="C289" s="1">
        <f>Tabela3[[#This Row],[Alongamento (mm/mm)]]/$I$2</f>
        <v>4.4691999999999996E-2</v>
      </c>
      <c r="D289" s="2">
        <v>199.87</v>
      </c>
      <c r="E289" s="1">
        <f>Tabela3[[#This Row],[Força (N)]]/$I$5</f>
        <v>4735055.3295728341</v>
      </c>
      <c r="F289" s="1">
        <f>Tabela3[[#This Row],[Tensão (Pa)]]/1000000</f>
        <v>4.7350553295728339</v>
      </c>
    </row>
    <row r="290" spans="1:6" x14ac:dyDescent="0.3">
      <c r="A290" s="2">
        <v>26.95</v>
      </c>
      <c r="B290" s="2">
        <v>2.2387999999999999</v>
      </c>
      <c r="C290" s="1">
        <f>Tabela3[[#This Row],[Alongamento (mm/mm)]]/$I$2</f>
        <v>4.4775999999999996E-2</v>
      </c>
      <c r="D290" s="2">
        <v>201.4</v>
      </c>
      <c r="E290" s="1">
        <f>Tabela3[[#This Row],[Força (N)]]/$I$5</f>
        <v>4771302.0632209368</v>
      </c>
      <c r="F290" s="1">
        <f>Tabela3[[#This Row],[Tensão (Pa)]]/1000000</f>
        <v>4.7713020632209364</v>
      </c>
    </row>
    <row r="291" spans="1:6" x14ac:dyDescent="0.3">
      <c r="A291" s="2">
        <v>27</v>
      </c>
      <c r="B291" s="2">
        <v>2.2429999999999999</v>
      </c>
      <c r="C291" s="1">
        <f>Tabela3[[#This Row],[Alongamento (mm/mm)]]/$I$2</f>
        <v>4.4859999999999997E-2</v>
      </c>
      <c r="D291" s="2">
        <v>202.93</v>
      </c>
      <c r="E291" s="1">
        <f>Tabela3[[#This Row],[Força (N)]]/$I$5</f>
        <v>4807548.7968690405</v>
      </c>
      <c r="F291" s="1">
        <f>Tabela3[[#This Row],[Tensão (Pa)]]/1000000</f>
        <v>4.8075487968690407</v>
      </c>
    </row>
    <row r="292" spans="1:6" x14ac:dyDescent="0.3">
      <c r="A292" s="2">
        <v>27.05</v>
      </c>
      <c r="B292" s="2">
        <v>2.2471999999999999</v>
      </c>
      <c r="C292" s="1">
        <f>Tabela3[[#This Row],[Alongamento (mm/mm)]]/$I$2</f>
        <v>4.4943999999999998E-2</v>
      </c>
      <c r="D292" s="2">
        <v>204.29</v>
      </c>
      <c r="E292" s="1">
        <f>Tabela3[[#This Row],[Força (N)]]/$I$5</f>
        <v>4839768.1156673543</v>
      </c>
      <c r="F292" s="1">
        <f>Tabela3[[#This Row],[Tensão (Pa)]]/1000000</f>
        <v>4.8397681156673542</v>
      </c>
    </row>
    <row r="293" spans="1:6" x14ac:dyDescent="0.3">
      <c r="A293" s="2">
        <v>27.1</v>
      </c>
      <c r="B293" s="2">
        <v>2.2513999999999998</v>
      </c>
      <c r="C293" s="1">
        <f>Tabela3[[#This Row],[Alongamento (mm/mm)]]/$I$2</f>
        <v>4.5027999999999999E-2</v>
      </c>
      <c r="D293" s="2">
        <v>205.82</v>
      </c>
      <c r="E293" s="1">
        <f>Tabela3[[#This Row],[Força (N)]]/$I$5</f>
        <v>4876014.849315458</v>
      </c>
      <c r="F293" s="1">
        <f>Tabela3[[#This Row],[Tensão (Pa)]]/1000000</f>
        <v>4.8760148493154576</v>
      </c>
    </row>
    <row r="294" spans="1:6" x14ac:dyDescent="0.3">
      <c r="A294" s="2">
        <v>27.15</v>
      </c>
      <c r="B294" s="2">
        <v>2.2553999999999998</v>
      </c>
      <c r="C294" s="1">
        <f>Tabela3[[#This Row],[Alongamento (mm/mm)]]/$I$2</f>
        <v>4.5107999999999995E-2</v>
      </c>
      <c r="D294" s="2">
        <v>207.35</v>
      </c>
      <c r="E294" s="1">
        <f>Tabela3[[#This Row],[Força (N)]]/$I$5</f>
        <v>4912261.5829635616</v>
      </c>
      <c r="F294" s="1">
        <f>Tabela3[[#This Row],[Tensão (Pa)]]/1000000</f>
        <v>4.9122615829635619</v>
      </c>
    </row>
    <row r="295" spans="1:6" x14ac:dyDescent="0.3">
      <c r="A295" s="2">
        <v>27.2</v>
      </c>
      <c r="B295" s="2">
        <v>2.2595999999999998</v>
      </c>
      <c r="C295" s="1">
        <f>Tabela3[[#This Row],[Alongamento (mm/mm)]]/$I$2</f>
        <v>4.5191999999999996E-2</v>
      </c>
      <c r="D295" s="2">
        <v>208.88</v>
      </c>
      <c r="E295" s="1">
        <f>Tabela3[[#This Row],[Força (N)]]/$I$5</f>
        <v>4948508.3166116653</v>
      </c>
      <c r="F295" s="1">
        <f>Tabela3[[#This Row],[Tensão (Pa)]]/1000000</f>
        <v>4.9485083166116652</v>
      </c>
    </row>
    <row r="296" spans="1:6" x14ac:dyDescent="0.3">
      <c r="A296" s="2">
        <v>27.25</v>
      </c>
      <c r="B296" s="2">
        <v>2.2637999999999998</v>
      </c>
      <c r="C296" s="1">
        <f>Tabela3[[#This Row],[Alongamento (mm/mm)]]/$I$2</f>
        <v>4.5275999999999997E-2</v>
      </c>
      <c r="D296" s="2">
        <v>210.41</v>
      </c>
      <c r="E296" s="1">
        <f>Tabela3[[#This Row],[Força (N)]]/$I$5</f>
        <v>4984755.050259768</v>
      </c>
      <c r="F296" s="1">
        <f>Tabela3[[#This Row],[Tensão (Pa)]]/1000000</f>
        <v>4.9847550502597677</v>
      </c>
    </row>
    <row r="297" spans="1:6" x14ac:dyDescent="0.3">
      <c r="A297" s="2">
        <v>27.3</v>
      </c>
      <c r="B297" s="2">
        <v>2.2679999999999998</v>
      </c>
      <c r="C297" s="1">
        <f>Tabela3[[#This Row],[Alongamento (mm/mm)]]/$I$2</f>
        <v>4.5359999999999998E-2</v>
      </c>
      <c r="D297" s="2">
        <v>211.77</v>
      </c>
      <c r="E297" s="1">
        <f>Tabela3[[#This Row],[Força (N)]]/$I$5</f>
        <v>5016974.3690580828</v>
      </c>
      <c r="F297" s="1">
        <f>Tabela3[[#This Row],[Tensão (Pa)]]/1000000</f>
        <v>5.016974369058083</v>
      </c>
    </row>
    <row r="298" spans="1:6" x14ac:dyDescent="0.3">
      <c r="A298" s="2">
        <v>27.35</v>
      </c>
      <c r="B298" s="2">
        <v>2.2721</v>
      </c>
      <c r="C298" s="1">
        <f>Tabela3[[#This Row],[Alongamento (mm/mm)]]/$I$2</f>
        <v>4.5442000000000003E-2</v>
      </c>
      <c r="D298" s="2">
        <v>213.3</v>
      </c>
      <c r="E298" s="1">
        <f>Tabela3[[#This Row],[Força (N)]]/$I$5</f>
        <v>5053221.1027061865</v>
      </c>
      <c r="F298" s="1">
        <f>Tabela3[[#This Row],[Tensão (Pa)]]/1000000</f>
        <v>5.0532211027061864</v>
      </c>
    </row>
    <row r="299" spans="1:6" x14ac:dyDescent="0.3">
      <c r="A299" s="2">
        <v>27.4</v>
      </c>
      <c r="B299" s="2">
        <v>2.2763</v>
      </c>
      <c r="C299" s="1">
        <f>Tabela3[[#This Row],[Alongamento (mm/mm)]]/$I$2</f>
        <v>4.5525999999999997E-2</v>
      </c>
      <c r="D299" s="2">
        <v>214.83</v>
      </c>
      <c r="E299" s="1">
        <f>Tabela3[[#This Row],[Força (N)]]/$I$5</f>
        <v>5089467.8363542901</v>
      </c>
      <c r="F299" s="1">
        <f>Tabela3[[#This Row],[Tensão (Pa)]]/1000000</f>
        <v>5.0894678363542898</v>
      </c>
    </row>
    <row r="300" spans="1:6" x14ac:dyDescent="0.3">
      <c r="A300" s="2">
        <v>27.45</v>
      </c>
      <c r="B300" s="2">
        <v>2.2805</v>
      </c>
      <c r="C300" s="1">
        <f>Tabela3[[#This Row],[Alongamento (mm/mm)]]/$I$2</f>
        <v>4.5609999999999998E-2</v>
      </c>
      <c r="D300" s="2">
        <v>216.37</v>
      </c>
      <c r="E300" s="1">
        <f>Tabela3[[#This Row],[Força (N)]]/$I$5</f>
        <v>5125951.4767582631</v>
      </c>
      <c r="F300" s="1">
        <f>Tabela3[[#This Row],[Tensão (Pa)]]/1000000</f>
        <v>5.1259514767582628</v>
      </c>
    </row>
    <row r="301" spans="1:6" x14ac:dyDescent="0.3">
      <c r="A301" s="2">
        <v>27.5</v>
      </c>
      <c r="B301" s="2">
        <v>2.2847</v>
      </c>
      <c r="C301" s="1">
        <f>Tabela3[[#This Row],[Alongamento (mm/mm)]]/$I$2</f>
        <v>4.5693999999999999E-2</v>
      </c>
      <c r="D301" s="2">
        <v>217.9</v>
      </c>
      <c r="E301" s="1">
        <f>Tabela3[[#This Row],[Força (N)]]/$I$5</f>
        <v>5162198.2104063667</v>
      </c>
      <c r="F301" s="1">
        <f>Tabela3[[#This Row],[Tensão (Pa)]]/1000000</f>
        <v>5.1621982104063671</v>
      </c>
    </row>
    <row r="302" spans="1:6" x14ac:dyDescent="0.3">
      <c r="A302" s="2">
        <v>27.567</v>
      </c>
      <c r="B302" s="2">
        <v>2.2902999999999998</v>
      </c>
      <c r="C302" s="1">
        <f>Tabela3[[#This Row],[Alongamento (mm/mm)]]/$I$2</f>
        <v>4.5805999999999993E-2</v>
      </c>
      <c r="D302" s="2">
        <v>219.94</v>
      </c>
      <c r="E302" s="1">
        <f>Tabela3[[#This Row],[Força (N)]]/$I$5</f>
        <v>5210527.188603837</v>
      </c>
      <c r="F302" s="1">
        <f>Tabela3[[#This Row],[Tensão (Pa)]]/1000000</f>
        <v>5.2105271886038373</v>
      </c>
    </row>
    <row r="303" spans="1:6" x14ac:dyDescent="0.3">
      <c r="A303" s="2">
        <v>27.632999999999999</v>
      </c>
      <c r="B303" s="2">
        <v>2.2957000000000001</v>
      </c>
      <c r="C303" s="1">
        <f>Tabela3[[#This Row],[Alongamento (mm/mm)]]/$I$2</f>
        <v>4.5914000000000003E-2</v>
      </c>
      <c r="D303" s="2">
        <v>221.98</v>
      </c>
      <c r="E303" s="1">
        <f>Tabela3[[#This Row],[Força (N)]]/$I$5</f>
        <v>5258856.1668013083</v>
      </c>
      <c r="F303" s="1">
        <f>Tabela3[[#This Row],[Tensão (Pa)]]/1000000</f>
        <v>5.2588561668013085</v>
      </c>
    </row>
    <row r="304" spans="1:6" x14ac:dyDescent="0.3">
      <c r="A304" s="2">
        <v>27.7</v>
      </c>
      <c r="B304" s="2">
        <v>2.3012999999999999</v>
      </c>
      <c r="C304" s="1">
        <f>Tabela3[[#This Row],[Alongamento (mm/mm)]]/$I$2</f>
        <v>4.6025999999999997E-2</v>
      </c>
      <c r="D304" s="2">
        <v>224.02</v>
      </c>
      <c r="E304" s="1">
        <f>Tabela3[[#This Row],[Força (N)]]/$I$5</f>
        <v>5307185.1449987805</v>
      </c>
      <c r="F304" s="1">
        <f>Tabela3[[#This Row],[Tensão (Pa)]]/1000000</f>
        <v>5.3071851449987806</v>
      </c>
    </row>
    <row r="305" spans="1:6" x14ac:dyDescent="0.3">
      <c r="A305" s="2">
        <v>27.766999999999999</v>
      </c>
      <c r="B305" s="2">
        <v>2.3068</v>
      </c>
      <c r="C305" s="1">
        <f>Tabela3[[#This Row],[Alongamento (mm/mm)]]/$I$2</f>
        <v>4.6135999999999996E-2</v>
      </c>
      <c r="D305" s="2">
        <v>226.06</v>
      </c>
      <c r="E305" s="1">
        <f>Tabela3[[#This Row],[Força (N)]]/$I$5</f>
        <v>5355514.1231962517</v>
      </c>
      <c r="F305" s="1">
        <f>Tabela3[[#This Row],[Tensão (Pa)]]/1000000</f>
        <v>5.3555141231962518</v>
      </c>
    </row>
    <row r="306" spans="1:6" x14ac:dyDescent="0.3">
      <c r="A306" s="2">
        <v>27.832999999999998</v>
      </c>
      <c r="B306" s="2">
        <v>2.3123999999999998</v>
      </c>
      <c r="C306" s="1">
        <f>Tabela3[[#This Row],[Alongamento (mm/mm)]]/$I$2</f>
        <v>4.6247999999999997E-2</v>
      </c>
      <c r="D306" s="2">
        <v>228.1</v>
      </c>
      <c r="E306" s="1">
        <f>Tabela3[[#This Row],[Força (N)]]/$I$5</f>
        <v>5403843.101393722</v>
      </c>
      <c r="F306" s="1">
        <f>Tabela3[[#This Row],[Tensão (Pa)]]/1000000</f>
        <v>5.403843101393722</v>
      </c>
    </row>
    <row r="307" spans="1:6" x14ac:dyDescent="0.3">
      <c r="A307" s="2">
        <v>27.9</v>
      </c>
      <c r="B307" s="2">
        <v>2.3178999999999998</v>
      </c>
      <c r="C307" s="1">
        <f>Tabela3[[#This Row],[Alongamento (mm/mm)]]/$I$2</f>
        <v>4.6357999999999996E-2</v>
      </c>
      <c r="D307" s="2">
        <v>230.14</v>
      </c>
      <c r="E307" s="1">
        <f>Tabela3[[#This Row],[Força (N)]]/$I$5</f>
        <v>5452172.0795911932</v>
      </c>
      <c r="F307" s="1">
        <f>Tabela3[[#This Row],[Tensão (Pa)]]/1000000</f>
        <v>5.4521720795911932</v>
      </c>
    </row>
    <row r="308" spans="1:6" x14ac:dyDescent="0.3">
      <c r="A308" s="2">
        <v>27.966999999999999</v>
      </c>
      <c r="B308" s="2">
        <v>2.3235999999999999</v>
      </c>
      <c r="C308" s="1">
        <f>Tabela3[[#This Row],[Alongamento (mm/mm)]]/$I$2</f>
        <v>4.6471999999999999E-2</v>
      </c>
      <c r="D308" s="2">
        <v>232.18</v>
      </c>
      <c r="E308" s="1">
        <f>Tabela3[[#This Row],[Força (N)]]/$I$5</f>
        <v>5500501.0577886654</v>
      </c>
      <c r="F308" s="1">
        <f>Tabela3[[#This Row],[Tensão (Pa)]]/1000000</f>
        <v>5.5005010577886653</v>
      </c>
    </row>
    <row r="309" spans="1:6" x14ac:dyDescent="0.3">
      <c r="A309" s="2">
        <v>28.016999999999999</v>
      </c>
      <c r="B309" s="2">
        <v>2.3277000000000001</v>
      </c>
      <c r="C309" s="1">
        <f>Tabela3[[#This Row],[Alongamento (mm/mm)]]/$I$2</f>
        <v>4.6554000000000005E-2</v>
      </c>
      <c r="D309" s="2">
        <v>233.89</v>
      </c>
      <c r="E309" s="1">
        <f>Tabela3[[#This Row],[Força (N)]]/$I$5</f>
        <v>5541012.1130424272</v>
      </c>
      <c r="F309" s="1">
        <f>Tabela3[[#This Row],[Tensão (Pa)]]/1000000</f>
        <v>5.5410121130424272</v>
      </c>
    </row>
    <row r="310" spans="1:6" x14ac:dyDescent="0.3">
      <c r="A310" s="2">
        <v>28.082999999999998</v>
      </c>
      <c r="B310" s="2">
        <v>2.3332000000000002</v>
      </c>
      <c r="C310" s="1">
        <f>Tabela3[[#This Row],[Alongamento (mm/mm)]]/$I$2</f>
        <v>4.6664000000000004E-2</v>
      </c>
      <c r="D310" s="2">
        <v>235.93</v>
      </c>
      <c r="E310" s="1">
        <f>Tabela3[[#This Row],[Força (N)]]/$I$5</f>
        <v>5589341.0912398994</v>
      </c>
      <c r="F310" s="1">
        <f>Tabela3[[#This Row],[Tensão (Pa)]]/1000000</f>
        <v>5.5893410912398993</v>
      </c>
    </row>
    <row r="311" spans="1:6" x14ac:dyDescent="0.3">
      <c r="A311" s="2">
        <v>28.15</v>
      </c>
      <c r="B311" s="2">
        <v>2.3388</v>
      </c>
      <c r="C311" s="1">
        <f>Tabela3[[#This Row],[Alongamento (mm/mm)]]/$I$2</f>
        <v>4.6775999999999998E-2</v>
      </c>
      <c r="D311" s="2">
        <v>237.97</v>
      </c>
      <c r="E311" s="1">
        <f>Tabela3[[#This Row],[Força (N)]]/$I$5</f>
        <v>5637670.0694373706</v>
      </c>
      <c r="F311" s="1">
        <f>Tabela3[[#This Row],[Tensão (Pa)]]/1000000</f>
        <v>5.6376700694373705</v>
      </c>
    </row>
    <row r="312" spans="1:6" x14ac:dyDescent="0.3">
      <c r="A312" s="2">
        <v>28.2</v>
      </c>
      <c r="B312" s="2">
        <v>2.343</v>
      </c>
      <c r="C312" s="1">
        <f>Tabela3[[#This Row],[Alongamento (mm/mm)]]/$I$2</f>
        <v>4.6859999999999999E-2</v>
      </c>
      <c r="D312" s="2">
        <v>239.67</v>
      </c>
      <c r="E312" s="1">
        <f>Tabela3[[#This Row],[Força (N)]]/$I$5</f>
        <v>5677944.2179352622</v>
      </c>
      <c r="F312" s="1">
        <f>Tabela3[[#This Row],[Tensão (Pa)]]/1000000</f>
        <v>5.6779442179352619</v>
      </c>
    </row>
    <row r="313" spans="1:6" x14ac:dyDescent="0.3">
      <c r="A313" s="2">
        <v>28.266999999999999</v>
      </c>
      <c r="B313" s="2">
        <v>2.3485</v>
      </c>
      <c r="C313" s="1">
        <f>Tabela3[[#This Row],[Alongamento (mm/mm)]]/$I$2</f>
        <v>4.6969999999999998E-2</v>
      </c>
      <c r="D313" s="2">
        <v>241.71</v>
      </c>
      <c r="E313" s="1">
        <f>Tabela3[[#This Row],[Força (N)]]/$I$5</f>
        <v>5726273.1961327344</v>
      </c>
      <c r="F313" s="1">
        <f>Tabela3[[#This Row],[Tensão (Pa)]]/1000000</f>
        <v>5.726273196132734</v>
      </c>
    </row>
    <row r="314" spans="1:6" x14ac:dyDescent="0.3">
      <c r="A314" s="2">
        <v>28.317</v>
      </c>
      <c r="B314" s="2">
        <v>2.3527</v>
      </c>
      <c r="C314" s="1">
        <f>Tabela3[[#This Row],[Alongamento (mm/mm)]]/$I$2</f>
        <v>4.7053999999999999E-2</v>
      </c>
      <c r="D314" s="2">
        <v>243.41</v>
      </c>
      <c r="E314" s="1">
        <f>Tabela3[[#This Row],[Força (N)]]/$I$5</f>
        <v>5766547.344630627</v>
      </c>
      <c r="F314" s="1">
        <f>Tabela3[[#This Row],[Tensão (Pa)]]/1000000</f>
        <v>5.7665473446306272</v>
      </c>
    </row>
    <row r="315" spans="1:6" x14ac:dyDescent="0.3">
      <c r="A315" s="2">
        <v>28.382999999999999</v>
      </c>
      <c r="B315" s="2">
        <v>2.3582999999999998</v>
      </c>
      <c r="C315" s="1">
        <f>Tabela3[[#This Row],[Alongamento (mm/mm)]]/$I$2</f>
        <v>4.7166E-2</v>
      </c>
      <c r="D315" s="2">
        <v>245.62</v>
      </c>
      <c r="E315" s="1">
        <f>Tabela3[[#This Row],[Força (N)]]/$I$5</f>
        <v>5818903.737677888</v>
      </c>
      <c r="F315" s="1">
        <f>Tabela3[[#This Row],[Tensão (Pa)]]/1000000</f>
        <v>5.8189037376778883</v>
      </c>
    </row>
    <row r="316" spans="1:6" x14ac:dyDescent="0.3">
      <c r="A316" s="2">
        <v>28.45</v>
      </c>
      <c r="B316" s="2">
        <v>2.3637999999999999</v>
      </c>
      <c r="C316" s="1">
        <f>Tabela3[[#This Row],[Alongamento (mm/mm)]]/$I$2</f>
        <v>4.7275999999999999E-2</v>
      </c>
      <c r="D316" s="2">
        <v>247.66</v>
      </c>
      <c r="E316" s="1">
        <f>Tabela3[[#This Row],[Força (N)]]/$I$5</f>
        <v>5867232.7158753583</v>
      </c>
      <c r="F316" s="1">
        <f>Tabela3[[#This Row],[Tensão (Pa)]]/1000000</f>
        <v>5.8672327158753586</v>
      </c>
    </row>
    <row r="317" spans="1:6" x14ac:dyDescent="0.3">
      <c r="A317" s="2">
        <v>28.5</v>
      </c>
      <c r="B317" s="2">
        <v>2.3679999999999999</v>
      </c>
      <c r="C317" s="1">
        <f>Tabela3[[#This Row],[Alongamento (mm/mm)]]/$I$2</f>
        <v>4.7359999999999999E-2</v>
      </c>
      <c r="D317" s="2">
        <v>249.36</v>
      </c>
      <c r="E317" s="1">
        <f>Tabela3[[#This Row],[Força (N)]]/$I$5</f>
        <v>5907506.8643732518</v>
      </c>
      <c r="F317" s="1">
        <f>Tabela3[[#This Row],[Tensão (Pa)]]/1000000</f>
        <v>5.9075068643732518</v>
      </c>
    </row>
    <row r="318" spans="1:6" x14ac:dyDescent="0.3">
      <c r="A318" s="2">
        <v>28.55</v>
      </c>
      <c r="B318" s="2">
        <v>2.3721000000000001</v>
      </c>
      <c r="C318" s="1">
        <f>Tabela3[[#This Row],[Alongamento (mm/mm)]]/$I$2</f>
        <v>4.7442000000000005E-2</v>
      </c>
      <c r="D318" s="2">
        <v>251.07</v>
      </c>
      <c r="E318" s="1">
        <f>Tabela3[[#This Row],[Força (N)]]/$I$5</f>
        <v>5948017.9196270136</v>
      </c>
      <c r="F318" s="1">
        <f>Tabela3[[#This Row],[Tensão (Pa)]]/1000000</f>
        <v>5.9480179196270138</v>
      </c>
    </row>
    <row r="319" spans="1:6" x14ac:dyDescent="0.3">
      <c r="A319" s="2">
        <v>28.6</v>
      </c>
      <c r="B319" s="2">
        <v>2.3763000000000001</v>
      </c>
      <c r="C319" s="1">
        <f>Tabela3[[#This Row],[Alongamento (mm/mm)]]/$I$2</f>
        <v>4.7525999999999999E-2</v>
      </c>
      <c r="D319" s="2">
        <v>252.77</v>
      </c>
      <c r="E319" s="1">
        <f>Tabela3[[#This Row],[Força (N)]]/$I$5</f>
        <v>5988292.0681249071</v>
      </c>
      <c r="F319" s="1">
        <f>Tabela3[[#This Row],[Tensão (Pa)]]/1000000</f>
        <v>5.988292068124907</v>
      </c>
    </row>
    <row r="320" spans="1:6" x14ac:dyDescent="0.3">
      <c r="A320" s="2">
        <v>28.65</v>
      </c>
      <c r="B320" s="2">
        <v>2.3803999999999998</v>
      </c>
      <c r="C320" s="1">
        <f>Tabela3[[#This Row],[Alongamento (mm/mm)]]/$I$2</f>
        <v>4.7607999999999998E-2</v>
      </c>
      <c r="D320" s="2">
        <v>254.47</v>
      </c>
      <c r="E320" s="1">
        <f>Tabela3[[#This Row],[Força (N)]]/$I$5</f>
        <v>6028566.2166227996</v>
      </c>
      <c r="F320" s="1">
        <f>Tabela3[[#This Row],[Tensão (Pa)]]/1000000</f>
        <v>6.0285662166227993</v>
      </c>
    </row>
    <row r="321" spans="1:6" x14ac:dyDescent="0.3">
      <c r="A321" s="2">
        <v>28.7</v>
      </c>
      <c r="B321" s="2">
        <v>2.3845999999999998</v>
      </c>
      <c r="C321" s="1">
        <f>Tabela3[[#This Row],[Alongamento (mm/mm)]]/$I$2</f>
        <v>4.7691999999999998E-2</v>
      </c>
      <c r="D321" s="2">
        <v>256.17</v>
      </c>
      <c r="E321" s="1">
        <f>Tabela3[[#This Row],[Força (N)]]/$I$5</f>
        <v>6068840.3651206931</v>
      </c>
      <c r="F321" s="1">
        <f>Tabela3[[#This Row],[Tensão (Pa)]]/1000000</f>
        <v>6.0688403651206935</v>
      </c>
    </row>
    <row r="322" spans="1:6" x14ac:dyDescent="0.3">
      <c r="A322" s="2">
        <v>28.75</v>
      </c>
      <c r="B322" s="2">
        <v>2.3887999999999998</v>
      </c>
      <c r="C322" s="1">
        <f>Tabela3[[#This Row],[Alongamento (mm/mm)]]/$I$2</f>
        <v>4.7775999999999999E-2</v>
      </c>
      <c r="D322" s="2">
        <v>257.87</v>
      </c>
      <c r="E322" s="1">
        <f>Tabela3[[#This Row],[Força (N)]]/$I$5</f>
        <v>6109114.5136185847</v>
      </c>
      <c r="F322" s="1">
        <f>Tabela3[[#This Row],[Tensão (Pa)]]/1000000</f>
        <v>6.1091145136185849</v>
      </c>
    </row>
    <row r="323" spans="1:6" x14ac:dyDescent="0.3">
      <c r="A323" s="2">
        <v>28.8</v>
      </c>
      <c r="B323" s="2">
        <v>2.3929999999999998</v>
      </c>
      <c r="C323" s="1">
        <f>Tabela3[[#This Row],[Alongamento (mm/mm)]]/$I$2</f>
        <v>4.7859999999999993E-2</v>
      </c>
      <c r="D323" s="2">
        <v>259.57</v>
      </c>
      <c r="E323" s="1">
        <f>Tabela3[[#This Row],[Força (N)]]/$I$5</f>
        <v>6149388.6621164773</v>
      </c>
      <c r="F323" s="1">
        <f>Tabela3[[#This Row],[Tensão (Pa)]]/1000000</f>
        <v>6.1493886621164773</v>
      </c>
    </row>
    <row r="324" spans="1:6" x14ac:dyDescent="0.3">
      <c r="A324" s="2">
        <v>28.867000000000001</v>
      </c>
      <c r="B324" s="2">
        <v>2.3986000000000001</v>
      </c>
      <c r="C324" s="1">
        <f>Tabela3[[#This Row],[Alongamento (mm/mm)]]/$I$2</f>
        <v>4.7972000000000001E-2</v>
      </c>
      <c r="D324" s="2">
        <v>261.77999999999997</v>
      </c>
      <c r="E324" s="1">
        <f>Tabela3[[#This Row],[Força (N)]]/$I$5</f>
        <v>6201745.0551637374</v>
      </c>
      <c r="F324" s="1">
        <f>Tabela3[[#This Row],[Tensão (Pa)]]/1000000</f>
        <v>6.2017450551637374</v>
      </c>
    </row>
    <row r="325" spans="1:6" x14ac:dyDescent="0.3">
      <c r="A325" s="2">
        <v>28.933</v>
      </c>
      <c r="B325" s="2">
        <v>2.4041000000000001</v>
      </c>
      <c r="C325" s="1">
        <f>Tabela3[[#This Row],[Alongamento (mm/mm)]]/$I$2</f>
        <v>4.8082E-2</v>
      </c>
      <c r="D325" s="2">
        <v>263.99</v>
      </c>
      <c r="E325" s="1">
        <f>Tabela3[[#This Row],[Força (N)]]/$I$5</f>
        <v>6254101.4482109994</v>
      </c>
      <c r="F325" s="1">
        <f>Tabela3[[#This Row],[Tensão (Pa)]]/1000000</f>
        <v>6.2541014482109993</v>
      </c>
    </row>
    <row r="326" spans="1:6" x14ac:dyDescent="0.3">
      <c r="A326" s="2">
        <v>29</v>
      </c>
      <c r="B326" s="2">
        <v>2.4096000000000002</v>
      </c>
      <c r="C326" s="1">
        <f>Tabela3[[#This Row],[Alongamento (mm/mm)]]/$I$2</f>
        <v>4.8192000000000006E-2</v>
      </c>
      <c r="D326" s="2">
        <v>266.2</v>
      </c>
      <c r="E326" s="1">
        <f>Tabela3[[#This Row],[Força (N)]]/$I$5</f>
        <v>6306457.8412582595</v>
      </c>
      <c r="F326" s="1">
        <f>Tabela3[[#This Row],[Tensão (Pa)]]/1000000</f>
        <v>6.3064578412582595</v>
      </c>
    </row>
    <row r="327" spans="1:6" x14ac:dyDescent="0.3">
      <c r="A327" s="2">
        <v>29.067</v>
      </c>
      <c r="B327" s="2">
        <v>2.4152</v>
      </c>
      <c r="C327" s="1">
        <f>Tabela3[[#This Row],[Alongamento (mm/mm)]]/$I$2</f>
        <v>4.8304E-2</v>
      </c>
      <c r="D327" s="2">
        <v>268.42</v>
      </c>
      <c r="E327" s="1">
        <f>Tabela3[[#This Row],[Força (N)]]/$I$5</f>
        <v>6359051.1410613898</v>
      </c>
      <c r="F327" s="1">
        <f>Tabela3[[#This Row],[Tensão (Pa)]]/1000000</f>
        <v>6.3590511410613901</v>
      </c>
    </row>
    <row r="328" spans="1:6" x14ac:dyDescent="0.3">
      <c r="A328" s="2">
        <v>29.132999999999999</v>
      </c>
      <c r="B328" s="2">
        <v>2.4207000000000001</v>
      </c>
      <c r="C328" s="1">
        <f>Tabela3[[#This Row],[Alongamento (mm/mm)]]/$I$2</f>
        <v>4.8413999999999999E-2</v>
      </c>
      <c r="D328" s="2">
        <v>270.8</v>
      </c>
      <c r="E328" s="1">
        <f>Tabela3[[#This Row],[Força (N)]]/$I$5</f>
        <v>6415434.9489584398</v>
      </c>
      <c r="F328" s="1">
        <f>Tabela3[[#This Row],[Tensão (Pa)]]/1000000</f>
        <v>6.4154349489584401</v>
      </c>
    </row>
    <row r="329" spans="1:6" x14ac:dyDescent="0.3">
      <c r="A329" s="2">
        <v>29.2</v>
      </c>
      <c r="B329" s="2">
        <v>2.4262000000000001</v>
      </c>
      <c r="C329" s="1">
        <f>Tabela3[[#This Row],[Alongamento (mm/mm)]]/$I$2</f>
        <v>4.8524000000000005E-2</v>
      </c>
      <c r="D329" s="2">
        <v>273.01</v>
      </c>
      <c r="E329" s="1">
        <f>Tabela3[[#This Row],[Força (N)]]/$I$5</f>
        <v>6467791.3420056999</v>
      </c>
      <c r="F329" s="1">
        <f>Tabela3[[#This Row],[Tensão (Pa)]]/1000000</f>
        <v>6.4677913420057003</v>
      </c>
    </row>
    <row r="330" spans="1:6" x14ac:dyDescent="0.3">
      <c r="A330" s="2">
        <v>29.266999999999999</v>
      </c>
      <c r="B330" s="2">
        <v>2.4318</v>
      </c>
      <c r="C330" s="1">
        <f>Tabela3[[#This Row],[Alongamento (mm/mm)]]/$I$2</f>
        <v>4.8635999999999999E-2</v>
      </c>
      <c r="D330" s="2">
        <v>275.22000000000003</v>
      </c>
      <c r="E330" s="1">
        <f>Tabela3[[#This Row],[Força (N)]]/$I$5</f>
        <v>6520147.7350529609</v>
      </c>
      <c r="F330" s="1">
        <f>Tabela3[[#This Row],[Tensão (Pa)]]/1000000</f>
        <v>6.5201477350529613</v>
      </c>
    </row>
    <row r="331" spans="1:6" x14ac:dyDescent="0.3">
      <c r="A331" s="2">
        <v>29.332999999999998</v>
      </c>
      <c r="B331" s="2">
        <v>2.4375</v>
      </c>
      <c r="C331" s="1">
        <f>Tabela3[[#This Row],[Alongamento (mm/mm)]]/$I$2</f>
        <v>4.8750000000000002E-2</v>
      </c>
      <c r="D331" s="2">
        <v>277.60000000000002</v>
      </c>
      <c r="E331" s="1">
        <f>Tabela3[[#This Row],[Força (N)]]/$I$5</f>
        <v>6576531.5429500109</v>
      </c>
      <c r="F331" s="1">
        <f>Tabela3[[#This Row],[Tensão (Pa)]]/1000000</f>
        <v>6.5765315429500113</v>
      </c>
    </row>
    <row r="332" spans="1:6" x14ac:dyDescent="0.3">
      <c r="A332" s="2">
        <v>29.4</v>
      </c>
      <c r="B332" s="2">
        <v>2.4430999999999998</v>
      </c>
      <c r="C332" s="1">
        <f>Tabela3[[#This Row],[Alongamento (mm/mm)]]/$I$2</f>
        <v>4.8861999999999996E-2</v>
      </c>
      <c r="D332" s="2">
        <v>279.81</v>
      </c>
      <c r="E332" s="1">
        <f>Tabela3[[#This Row],[Força (N)]]/$I$5</f>
        <v>6628887.935997271</v>
      </c>
      <c r="F332" s="1">
        <f>Tabela3[[#This Row],[Tensão (Pa)]]/1000000</f>
        <v>6.6288879359972706</v>
      </c>
    </row>
    <row r="333" spans="1:6" x14ac:dyDescent="0.3">
      <c r="A333" s="2">
        <v>29.466999999999999</v>
      </c>
      <c r="B333" s="2">
        <v>2.4485000000000001</v>
      </c>
      <c r="C333" s="1">
        <f>Tabela3[[#This Row],[Alongamento (mm/mm)]]/$I$2</f>
        <v>4.897E-2</v>
      </c>
      <c r="D333" s="2">
        <v>282.19</v>
      </c>
      <c r="E333" s="1">
        <f>Tabela3[[#This Row],[Força (N)]]/$I$5</f>
        <v>6685271.7438943209</v>
      </c>
      <c r="F333" s="1">
        <f>Tabela3[[#This Row],[Tensão (Pa)]]/1000000</f>
        <v>6.6852717438943206</v>
      </c>
    </row>
    <row r="334" spans="1:6" x14ac:dyDescent="0.3">
      <c r="A334" s="2">
        <v>29.533000000000001</v>
      </c>
      <c r="B334" s="2">
        <v>2.4540999999999999</v>
      </c>
      <c r="C334" s="1">
        <f>Tabela3[[#This Row],[Alongamento (mm/mm)]]/$I$2</f>
        <v>4.9082000000000001E-2</v>
      </c>
      <c r="D334" s="2">
        <v>284.41000000000003</v>
      </c>
      <c r="E334" s="1">
        <f>Tabela3[[#This Row],[Força (N)]]/$I$5</f>
        <v>6737865.0436974522</v>
      </c>
      <c r="F334" s="1">
        <f>Tabela3[[#This Row],[Tensão (Pa)]]/1000000</f>
        <v>6.7378650436974521</v>
      </c>
    </row>
    <row r="335" spans="1:6" x14ac:dyDescent="0.3">
      <c r="A335" s="2">
        <v>29.6</v>
      </c>
      <c r="B335" s="2">
        <v>2.4597000000000002</v>
      </c>
      <c r="C335" s="1">
        <f>Tabela3[[#This Row],[Alongamento (mm/mm)]]/$I$2</f>
        <v>4.9194000000000002E-2</v>
      </c>
      <c r="D335" s="2">
        <v>286.79000000000002</v>
      </c>
      <c r="E335" s="1">
        <f>Tabela3[[#This Row],[Força (N)]]/$I$5</f>
        <v>6794248.8515945012</v>
      </c>
      <c r="F335" s="1">
        <f>Tabela3[[#This Row],[Tensão (Pa)]]/1000000</f>
        <v>6.7942488515945012</v>
      </c>
    </row>
    <row r="336" spans="1:6" x14ac:dyDescent="0.3">
      <c r="A336" s="2">
        <v>29.667000000000002</v>
      </c>
      <c r="B336" s="2">
        <v>2.4651999999999998</v>
      </c>
      <c r="C336" s="1">
        <f>Tabela3[[#This Row],[Alongamento (mm/mm)]]/$I$2</f>
        <v>4.9303999999999994E-2</v>
      </c>
      <c r="D336" s="2">
        <v>289.17</v>
      </c>
      <c r="E336" s="1">
        <f>Tabela3[[#This Row],[Força (N)]]/$I$5</f>
        <v>6850632.6594915511</v>
      </c>
      <c r="F336" s="1">
        <f>Tabela3[[#This Row],[Tensão (Pa)]]/1000000</f>
        <v>6.8506326594915512</v>
      </c>
    </row>
    <row r="337" spans="1:6" x14ac:dyDescent="0.3">
      <c r="A337" s="2">
        <v>29.733000000000001</v>
      </c>
      <c r="B337" s="2">
        <v>2.4708000000000001</v>
      </c>
      <c r="C337" s="1">
        <f>Tabela3[[#This Row],[Alongamento (mm/mm)]]/$I$2</f>
        <v>4.9416000000000002E-2</v>
      </c>
      <c r="D337" s="2">
        <v>291.55</v>
      </c>
      <c r="E337" s="1">
        <f>Tabela3[[#This Row],[Força (N)]]/$I$5</f>
        <v>6907016.467388601</v>
      </c>
      <c r="F337" s="1">
        <f>Tabela3[[#This Row],[Tensão (Pa)]]/1000000</f>
        <v>6.9070164673886012</v>
      </c>
    </row>
    <row r="338" spans="1:6" x14ac:dyDescent="0.3">
      <c r="A338" s="2">
        <v>29.8</v>
      </c>
      <c r="B338" s="2">
        <v>2.4763999999999999</v>
      </c>
      <c r="C338" s="1">
        <f>Tabela3[[#This Row],[Alongamento (mm/mm)]]/$I$2</f>
        <v>4.9527999999999996E-2</v>
      </c>
      <c r="D338" s="2">
        <v>293.76</v>
      </c>
      <c r="E338" s="1">
        <f>Tabela3[[#This Row],[Força (N)]]/$I$5</f>
        <v>6959372.8604358612</v>
      </c>
      <c r="F338" s="1">
        <f>Tabela3[[#This Row],[Tensão (Pa)]]/1000000</f>
        <v>6.9593728604358613</v>
      </c>
    </row>
    <row r="339" spans="1:6" x14ac:dyDescent="0.3">
      <c r="A339" s="2">
        <v>29.867000000000001</v>
      </c>
      <c r="B339" s="2">
        <v>2.4819</v>
      </c>
      <c r="C339" s="1">
        <f>Tabela3[[#This Row],[Alongamento (mm/mm)]]/$I$2</f>
        <v>4.9638000000000002E-2</v>
      </c>
      <c r="D339" s="2">
        <v>296.14</v>
      </c>
      <c r="E339" s="1">
        <f>Tabela3[[#This Row],[Força (N)]]/$I$5</f>
        <v>7015756.6683329111</v>
      </c>
      <c r="F339" s="1">
        <f>Tabela3[[#This Row],[Tensão (Pa)]]/1000000</f>
        <v>7.0157566683329113</v>
      </c>
    </row>
    <row r="340" spans="1:6" x14ac:dyDescent="0.3">
      <c r="A340" s="2">
        <v>29.933</v>
      </c>
      <c r="B340" s="2">
        <v>2.4874000000000001</v>
      </c>
      <c r="C340" s="1">
        <f>Tabela3[[#This Row],[Alongamento (mm/mm)]]/$I$2</f>
        <v>4.9748000000000001E-2</v>
      </c>
      <c r="D340" s="2">
        <v>298.52</v>
      </c>
      <c r="E340" s="1">
        <f>Tabela3[[#This Row],[Força (N)]]/$I$5</f>
        <v>7072140.4762299601</v>
      </c>
      <c r="F340" s="1">
        <f>Tabela3[[#This Row],[Tensão (Pa)]]/1000000</f>
        <v>7.0721404762299604</v>
      </c>
    </row>
    <row r="341" spans="1:6" x14ac:dyDescent="0.3">
      <c r="A341" s="2">
        <v>30</v>
      </c>
      <c r="B341" s="2">
        <v>2.4929000000000001</v>
      </c>
      <c r="C341" s="1">
        <f>Tabela3[[#This Row],[Alongamento (mm/mm)]]/$I$2</f>
        <v>4.9858E-2</v>
      </c>
      <c r="D341" s="2">
        <v>300.89999999999998</v>
      </c>
      <c r="E341" s="1">
        <f>Tabela3[[#This Row],[Força (N)]]/$I$5</f>
        <v>7128524.28412701</v>
      </c>
      <c r="F341" s="1">
        <f>Tabela3[[#This Row],[Tensão (Pa)]]/1000000</f>
        <v>7.1285242841270104</v>
      </c>
    </row>
    <row r="342" spans="1:6" x14ac:dyDescent="0.3">
      <c r="A342" s="2">
        <v>30.067</v>
      </c>
      <c r="B342" s="2">
        <v>2.4984999999999999</v>
      </c>
      <c r="C342" s="1">
        <f>Tabela3[[#This Row],[Alongamento (mm/mm)]]/$I$2</f>
        <v>4.9970000000000001E-2</v>
      </c>
      <c r="D342" s="2">
        <v>303.12</v>
      </c>
      <c r="E342" s="1">
        <f>Tabela3[[#This Row],[Força (N)]]/$I$5</f>
        <v>7181117.5839301413</v>
      </c>
      <c r="F342" s="1">
        <f>Tabela3[[#This Row],[Tensão (Pa)]]/1000000</f>
        <v>7.1811175839301411</v>
      </c>
    </row>
    <row r="343" spans="1:6" x14ac:dyDescent="0.3">
      <c r="A343" s="2">
        <v>30.132999999999999</v>
      </c>
      <c r="B343" s="2">
        <v>2.504</v>
      </c>
      <c r="C343" s="1">
        <f>Tabela3[[#This Row],[Alongamento (mm/mm)]]/$I$2</f>
        <v>5.008E-2</v>
      </c>
      <c r="D343" s="2">
        <v>305.5</v>
      </c>
      <c r="E343" s="1">
        <f>Tabela3[[#This Row],[Força (N)]]/$I$5</f>
        <v>7237501.3918271912</v>
      </c>
      <c r="F343" s="1">
        <f>Tabela3[[#This Row],[Tensão (Pa)]]/1000000</f>
        <v>7.2375013918271911</v>
      </c>
    </row>
    <row r="344" spans="1:6" x14ac:dyDescent="0.3">
      <c r="A344" s="2">
        <v>30.2</v>
      </c>
      <c r="B344" s="2">
        <v>2.5097</v>
      </c>
      <c r="C344" s="1">
        <f>Tabela3[[#This Row],[Alongamento (mm/mm)]]/$I$2</f>
        <v>5.0194000000000003E-2</v>
      </c>
      <c r="D344" s="2">
        <v>307.88</v>
      </c>
      <c r="E344" s="1">
        <f>Tabela3[[#This Row],[Força (N)]]/$I$5</f>
        <v>7293885.1997242402</v>
      </c>
      <c r="F344" s="1">
        <f>Tabela3[[#This Row],[Tensão (Pa)]]/1000000</f>
        <v>7.2938851997242402</v>
      </c>
    </row>
    <row r="345" spans="1:6" x14ac:dyDescent="0.3">
      <c r="A345" s="2">
        <v>30.266999999999999</v>
      </c>
      <c r="B345" s="2">
        <v>2.5152000000000001</v>
      </c>
      <c r="C345" s="1">
        <f>Tabela3[[#This Row],[Alongamento (mm/mm)]]/$I$2</f>
        <v>5.0304000000000001E-2</v>
      </c>
      <c r="D345" s="2">
        <v>310.26</v>
      </c>
      <c r="E345" s="1">
        <f>Tabela3[[#This Row],[Força (N)]]/$I$5</f>
        <v>7350269.0076212902</v>
      </c>
      <c r="F345" s="1">
        <f>Tabela3[[#This Row],[Tensão (Pa)]]/1000000</f>
        <v>7.3502690076212902</v>
      </c>
    </row>
    <row r="346" spans="1:6" x14ac:dyDescent="0.3">
      <c r="A346" s="2">
        <v>30.332999999999998</v>
      </c>
      <c r="B346" s="2">
        <v>2.5207999999999999</v>
      </c>
      <c r="C346" s="1">
        <f>Tabela3[[#This Row],[Alongamento (mm/mm)]]/$I$2</f>
        <v>5.0415999999999996E-2</v>
      </c>
      <c r="D346" s="2">
        <v>312.64</v>
      </c>
      <c r="E346" s="1">
        <f>Tabela3[[#This Row],[Força (N)]]/$I$5</f>
        <v>7406652.8155183401</v>
      </c>
      <c r="F346" s="1">
        <f>Tabela3[[#This Row],[Tensão (Pa)]]/1000000</f>
        <v>7.4066528155183402</v>
      </c>
    </row>
    <row r="347" spans="1:6" x14ac:dyDescent="0.3">
      <c r="A347" s="2">
        <v>30.4</v>
      </c>
      <c r="B347" s="2">
        <v>2.5263</v>
      </c>
      <c r="C347" s="1">
        <f>Tabela3[[#This Row],[Alongamento (mm/mm)]]/$I$2</f>
        <v>5.0526000000000001E-2</v>
      </c>
      <c r="D347" s="2">
        <v>315.02</v>
      </c>
      <c r="E347" s="1">
        <f>Tabela3[[#This Row],[Força (N)]]/$I$5</f>
        <v>7463036.62341539</v>
      </c>
      <c r="F347" s="1">
        <f>Tabela3[[#This Row],[Tensão (Pa)]]/1000000</f>
        <v>7.4630366234153902</v>
      </c>
    </row>
    <row r="348" spans="1:6" x14ac:dyDescent="0.3">
      <c r="A348" s="2">
        <v>30.466999999999999</v>
      </c>
      <c r="B348" s="2">
        <v>2.5318999999999998</v>
      </c>
      <c r="C348" s="1">
        <f>Tabela3[[#This Row],[Alongamento (mm/mm)]]/$I$2</f>
        <v>5.0637999999999996E-2</v>
      </c>
      <c r="D348" s="2">
        <v>317.39999999999998</v>
      </c>
      <c r="E348" s="1">
        <f>Tabela3[[#This Row],[Força (N)]]/$I$5</f>
        <v>7519420.431312439</v>
      </c>
      <c r="F348" s="1">
        <f>Tabela3[[#This Row],[Tensão (Pa)]]/1000000</f>
        <v>7.5194204313124393</v>
      </c>
    </row>
    <row r="349" spans="1:6" x14ac:dyDescent="0.3">
      <c r="A349" s="2">
        <v>30.55</v>
      </c>
      <c r="B349" s="2">
        <v>2.5388000000000002</v>
      </c>
      <c r="C349" s="1">
        <f>Tabela3[[#This Row],[Alongamento (mm/mm)]]/$I$2</f>
        <v>5.0776000000000002E-2</v>
      </c>
      <c r="D349" s="2">
        <v>320.3</v>
      </c>
      <c r="E349" s="1">
        <f>Tabela3[[#This Row],[Força (N)]]/$I$5</f>
        <v>7588123.3905147277</v>
      </c>
      <c r="F349" s="1">
        <f>Tabela3[[#This Row],[Tensão (Pa)]]/1000000</f>
        <v>7.5881233905147276</v>
      </c>
    </row>
    <row r="350" spans="1:6" x14ac:dyDescent="0.3">
      <c r="A350" s="2">
        <v>30.632999999999999</v>
      </c>
      <c r="B350" s="2">
        <v>2.5457999999999998</v>
      </c>
      <c r="C350" s="1">
        <f>Tabela3[[#This Row],[Alongamento (mm/mm)]]/$I$2</f>
        <v>5.0915999999999996E-2</v>
      </c>
      <c r="D350" s="2">
        <v>323.19</v>
      </c>
      <c r="E350" s="1">
        <f>Tabela3[[#This Row],[Força (N)]]/$I$5</f>
        <v>7656589.4429611452</v>
      </c>
      <c r="F350" s="1">
        <f>Tabela3[[#This Row],[Tensão (Pa)]]/1000000</f>
        <v>7.6565894429611454</v>
      </c>
    </row>
    <row r="351" spans="1:6" x14ac:dyDescent="0.3">
      <c r="A351" s="2">
        <v>30.7</v>
      </c>
      <c r="B351" s="2">
        <v>2.5512999999999999</v>
      </c>
      <c r="C351" s="1">
        <f>Tabela3[[#This Row],[Alongamento (mm/mm)]]/$I$2</f>
        <v>5.1025999999999995E-2</v>
      </c>
      <c r="D351" s="2">
        <v>325.57</v>
      </c>
      <c r="E351" s="1">
        <f>Tabela3[[#This Row],[Força (N)]]/$I$5</f>
        <v>7712973.2508581951</v>
      </c>
      <c r="F351" s="1">
        <f>Tabela3[[#This Row],[Tensão (Pa)]]/1000000</f>
        <v>7.7129732508581954</v>
      </c>
    </row>
    <row r="352" spans="1:6" x14ac:dyDescent="0.3">
      <c r="A352" s="2">
        <v>30.766999999999999</v>
      </c>
      <c r="B352" s="2">
        <v>2.5569000000000002</v>
      </c>
      <c r="C352" s="1">
        <f>Tabela3[[#This Row],[Alongamento (mm/mm)]]/$I$2</f>
        <v>5.1138000000000003E-2</v>
      </c>
      <c r="D352" s="2">
        <v>327.95</v>
      </c>
      <c r="E352" s="1">
        <f>Tabela3[[#This Row],[Força (N)]]/$I$5</f>
        <v>7769357.0587552441</v>
      </c>
      <c r="F352" s="1">
        <f>Tabela3[[#This Row],[Tensão (Pa)]]/1000000</f>
        <v>7.7693570587552445</v>
      </c>
    </row>
    <row r="353" spans="1:6" x14ac:dyDescent="0.3">
      <c r="A353" s="2">
        <v>30.832999999999998</v>
      </c>
      <c r="B353" s="2">
        <v>2.5623999999999998</v>
      </c>
      <c r="C353" s="1">
        <f>Tabela3[[#This Row],[Alongamento (mm/mm)]]/$I$2</f>
        <v>5.1247999999999995E-2</v>
      </c>
      <c r="D353" s="2">
        <v>330.33</v>
      </c>
      <c r="E353" s="1">
        <f>Tabela3[[#This Row],[Força (N)]]/$I$5</f>
        <v>7825740.8666522941</v>
      </c>
      <c r="F353" s="1">
        <f>Tabela3[[#This Row],[Tensão (Pa)]]/1000000</f>
        <v>7.8257408666522936</v>
      </c>
    </row>
    <row r="354" spans="1:6" x14ac:dyDescent="0.3">
      <c r="A354" s="2">
        <v>30.9</v>
      </c>
      <c r="B354" s="2">
        <v>2.5680000000000001</v>
      </c>
      <c r="C354" s="1">
        <f>Tabela3[[#This Row],[Alongamento (mm/mm)]]/$I$2</f>
        <v>5.1360000000000003E-2</v>
      </c>
      <c r="D354" s="2">
        <v>332.71</v>
      </c>
      <c r="E354" s="1">
        <f>Tabela3[[#This Row],[Força (N)]]/$I$5</f>
        <v>7882124.674549344</v>
      </c>
      <c r="F354" s="1">
        <f>Tabela3[[#This Row],[Tensão (Pa)]]/1000000</f>
        <v>7.8821246745493436</v>
      </c>
    </row>
    <row r="355" spans="1:6" x14ac:dyDescent="0.3">
      <c r="A355" s="2">
        <v>30.966999999999999</v>
      </c>
      <c r="B355" s="2">
        <v>2.5735000000000001</v>
      </c>
      <c r="C355" s="1">
        <f>Tabela3[[#This Row],[Alongamento (mm/mm)]]/$I$2</f>
        <v>5.1470000000000002E-2</v>
      </c>
      <c r="D355" s="2">
        <v>335.09</v>
      </c>
      <c r="E355" s="1">
        <f>Tabela3[[#This Row],[Força (N)]]/$I$5</f>
        <v>7938508.4824463939</v>
      </c>
      <c r="F355" s="1">
        <f>Tabela3[[#This Row],[Tensão (Pa)]]/1000000</f>
        <v>7.9385084824463936</v>
      </c>
    </row>
    <row r="356" spans="1:6" x14ac:dyDescent="0.3">
      <c r="A356" s="2">
        <v>31.033000000000001</v>
      </c>
      <c r="B356" s="2">
        <v>2.5790999999999999</v>
      </c>
      <c r="C356" s="1">
        <f>Tabela3[[#This Row],[Alongamento (mm/mm)]]/$I$2</f>
        <v>5.1581999999999996E-2</v>
      </c>
      <c r="D356" s="2">
        <v>337.48</v>
      </c>
      <c r="E356" s="1">
        <f>Tabela3[[#This Row],[Força (N)]]/$I$5</f>
        <v>7995129.1970993141</v>
      </c>
      <c r="F356" s="1">
        <f>Tabela3[[#This Row],[Tensão (Pa)]]/1000000</f>
        <v>7.9951291970993141</v>
      </c>
    </row>
    <row r="357" spans="1:6" x14ac:dyDescent="0.3">
      <c r="A357" s="2">
        <v>31.1</v>
      </c>
      <c r="B357" s="2">
        <v>2.5847000000000002</v>
      </c>
      <c r="C357" s="1">
        <f>Tabela3[[#This Row],[Alongamento (mm/mm)]]/$I$2</f>
        <v>5.1694000000000004E-2</v>
      </c>
      <c r="D357" s="2">
        <v>340.03</v>
      </c>
      <c r="E357" s="1">
        <f>Tabela3[[#This Row],[Força (N)]]/$I$5</f>
        <v>8055540.419846152</v>
      </c>
      <c r="F357" s="1">
        <f>Tabela3[[#This Row],[Tensão (Pa)]]/1000000</f>
        <v>8.0555404198461513</v>
      </c>
    </row>
    <row r="358" spans="1:6" x14ac:dyDescent="0.3">
      <c r="A358" s="2">
        <v>31.167000000000002</v>
      </c>
      <c r="B358" s="2">
        <v>2.5901999999999998</v>
      </c>
      <c r="C358" s="1">
        <f>Tabela3[[#This Row],[Alongamento (mm/mm)]]/$I$2</f>
        <v>5.1803999999999996E-2</v>
      </c>
      <c r="D358" s="2">
        <v>342.41</v>
      </c>
      <c r="E358" s="1">
        <f>Tabela3[[#This Row],[Força (N)]]/$I$5</f>
        <v>8111924.2277432038</v>
      </c>
      <c r="F358" s="1">
        <f>Tabela3[[#This Row],[Tensão (Pa)]]/1000000</f>
        <v>8.111924227743204</v>
      </c>
    </row>
    <row r="359" spans="1:6" x14ac:dyDescent="0.3">
      <c r="A359" s="2">
        <v>31.233000000000001</v>
      </c>
      <c r="B359" s="2">
        <v>2.5958000000000001</v>
      </c>
      <c r="C359" s="1">
        <f>Tabela3[[#This Row],[Alongamento (mm/mm)]]/$I$2</f>
        <v>5.1916000000000004E-2</v>
      </c>
      <c r="D359" s="2">
        <v>344.79</v>
      </c>
      <c r="E359" s="1">
        <f>Tabela3[[#This Row],[Força (N)]]/$I$5</f>
        <v>8168308.0356402528</v>
      </c>
      <c r="F359" s="1">
        <f>Tabela3[[#This Row],[Tensão (Pa)]]/1000000</f>
        <v>8.1683080356402531</v>
      </c>
    </row>
    <row r="360" spans="1:6" x14ac:dyDescent="0.3">
      <c r="A360" s="2">
        <v>31.3</v>
      </c>
      <c r="B360" s="2">
        <v>2.6013000000000002</v>
      </c>
      <c r="C360" s="1">
        <f>Tabela3[[#This Row],[Alongamento (mm/mm)]]/$I$2</f>
        <v>5.2026000000000003E-2</v>
      </c>
      <c r="D360" s="2">
        <v>347.17</v>
      </c>
      <c r="E360" s="1">
        <f>Tabela3[[#This Row],[Força (N)]]/$I$5</f>
        <v>8224691.8435373027</v>
      </c>
      <c r="F360" s="1">
        <f>Tabela3[[#This Row],[Tensão (Pa)]]/1000000</f>
        <v>8.2246918435373022</v>
      </c>
    </row>
    <row r="361" spans="1:6" x14ac:dyDescent="0.3">
      <c r="A361" s="2">
        <v>31.367000000000001</v>
      </c>
      <c r="B361" s="2">
        <v>2.6067999999999998</v>
      </c>
      <c r="C361" s="1">
        <f>Tabela3[[#This Row],[Alongamento (mm/mm)]]/$I$2</f>
        <v>5.2135999999999995E-2</v>
      </c>
      <c r="D361" s="2">
        <v>349.72</v>
      </c>
      <c r="E361" s="1">
        <f>Tabela3[[#This Row],[Força (N)]]/$I$5</f>
        <v>8285103.0662841424</v>
      </c>
      <c r="F361" s="1">
        <f>Tabela3[[#This Row],[Tensão (Pa)]]/1000000</f>
        <v>8.2851030662841421</v>
      </c>
    </row>
    <row r="362" spans="1:6" x14ac:dyDescent="0.3">
      <c r="A362" s="2">
        <v>31.45</v>
      </c>
      <c r="B362" s="2">
        <v>2.6137999999999999</v>
      </c>
      <c r="C362" s="1">
        <f>Tabela3[[#This Row],[Alongamento (mm/mm)]]/$I$2</f>
        <v>5.2275999999999996E-2</v>
      </c>
      <c r="D362" s="2">
        <v>352.61</v>
      </c>
      <c r="E362" s="1">
        <f>Tabela3[[#This Row],[Força (N)]]/$I$5</f>
        <v>8353569.118730559</v>
      </c>
      <c r="F362" s="1">
        <f>Tabela3[[#This Row],[Tensão (Pa)]]/1000000</f>
        <v>8.3535691187305599</v>
      </c>
    </row>
    <row r="363" spans="1:6" x14ac:dyDescent="0.3">
      <c r="A363" s="2">
        <v>31.533000000000001</v>
      </c>
      <c r="B363" s="2">
        <v>2.6208</v>
      </c>
      <c r="C363" s="1">
        <f>Tabela3[[#This Row],[Alongamento (mm/mm)]]/$I$2</f>
        <v>5.2415999999999997E-2</v>
      </c>
      <c r="D363" s="2">
        <v>355.68</v>
      </c>
      <c r="E363" s="1">
        <f>Tabela3[[#This Row],[Força (N)]]/$I$5</f>
        <v>8426299.4927826356</v>
      </c>
      <c r="F363" s="1">
        <f>Tabela3[[#This Row],[Tensão (Pa)]]/1000000</f>
        <v>8.4262994927826362</v>
      </c>
    </row>
    <row r="364" spans="1:6" x14ac:dyDescent="0.3">
      <c r="A364" s="2">
        <v>31.617000000000001</v>
      </c>
      <c r="B364" s="2">
        <v>2.6276999999999999</v>
      </c>
      <c r="C364" s="1">
        <f>Tabela3[[#This Row],[Alongamento (mm/mm)]]/$I$2</f>
        <v>5.2553999999999997E-2</v>
      </c>
      <c r="D364" s="2">
        <v>358.74</v>
      </c>
      <c r="E364" s="1">
        <f>Tabela3[[#This Row],[Força (N)]]/$I$5</f>
        <v>8498792.9600788429</v>
      </c>
      <c r="F364" s="1">
        <f>Tabela3[[#This Row],[Tensão (Pa)]]/1000000</f>
        <v>8.498792960078843</v>
      </c>
    </row>
    <row r="365" spans="1:6" x14ac:dyDescent="0.3">
      <c r="A365" s="2">
        <v>31.7</v>
      </c>
      <c r="B365" s="2">
        <v>2.6347</v>
      </c>
      <c r="C365" s="1">
        <f>Tabela3[[#This Row],[Alongamento (mm/mm)]]/$I$2</f>
        <v>5.2693999999999998E-2</v>
      </c>
      <c r="D365" s="2">
        <v>361.63</v>
      </c>
      <c r="E365" s="1">
        <f>Tabela3[[#This Row],[Força (N)]]/$I$5</f>
        <v>8567259.0125252604</v>
      </c>
      <c r="F365" s="1">
        <f>Tabela3[[#This Row],[Tensão (Pa)]]/1000000</f>
        <v>8.5672590125252608</v>
      </c>
    </row>
    <row r="366" spans="1:6" x14ac:dyDescent="0.3">
      <c r="A366" s="2">
        <v>31.783000000000001</v>
      </c>
      <c r="B366" s="2">
        <v>2.6415999999999999</v>
      </c>
      <c r="C366" s="1">
        <f>Tabela3[[#This Row],[Alongamento (mm/mm)]]/$I$2</f>
        <v>5.2831999999999997E-2</v>
      </c>
      <c r="D366" s="2">
        <v>364.86</v>
      </c>
      <c r="E366" s="1">
        <f>Tabela3[[#This Row],[Força (N)]]/$I$5</f>
        <v>8643779.8946712576</v>
      </c>
      <c r="F366" s="1">
        <f>Tabela3[[#This Row],[Tensão (Pa)]]/1000000</f>
        <v>8.6437798946712583</v>
      </c>
    </row>
    <row r="367" spans="1:6" x14ac:dyDescent="0.3">
      <c r="A367" s="2">
        <v>31.867000000000001</v>
      </c>
      <c r="B367" s="2">
        <v>2.6484999999999999</v>
      </c>
      <c r="C367" s="1">
        <f>Tabela3[[#This Row],[Alongamento (mm/mm)]]/$I$2</f>
        <v>5.2969999999999996E-2</v>
      </c>
      <c r="D367" s="2">
        <v>367.92</v>
      </c>
      <c r="E367" s="1">
        <f>Tabela3[[#This Row],[Força (N)]]/$I$5</f>
        <v>8716273.361967463</v>
      </c>
      <c r="F367" s="1">
        <f>Tabela3[[#This Row],[Tensão (Pa)]]/1000000</f>
        <v>8.7162733619674633</v>
      </c>
    </row>
    <row r="368" spans="1:6" x14ac:dyDescent="0.3">
      <c r="A368" s="2">
        <v>31.95</v>
      </c>
      <c r="B368" s="2">
        <v>2.6555</v>
      </c>
      <c r="C368" s="1">
        <f>Tabela3[[#This Row],[Alongamento (mm/mm)]]/$I$2</f>
        <v>5.3109999999999997E-2</v>
      </c>
      <c r="D368" s="2">
        <v>370.99</v>
      </c>
      <c r="E368" s="1">
        <f>Tabela3[[#This Row],[Força (N)]]/$I$5</f>
        <v>8789003.7360195406</v>
      </c>
      <c r="F368" s="1">
        <f>Tabela3[[#This Row],[Tensão (Pa)]]/1000000</f>
        <v>8.7890037360195414</v>
      </c>
    </row>
    <row r="369" spans="1:6" x14ac:dyDescent="0.3">
      <c r="A369" s="2">
        <v>32.033000000000001</v>
      </c>
      <c r="B369" s="2">
        <v>2.6625000000000001</v>
      </c>
      <c r="C369" s="1">
        <f>Tabela3[[#This Row],[Alongamento (mm/mm)]]/$I$2</f>
        <v>5.3249999999999999E-2</v>
      </c>
      <c r="D369" s="2">
        <v>374.05</v>
      </c>
      <c r="E369" s="1">
        <f>Tabela3[[#This Row],[Força (N)]]/$I$5</f>
        <v>8861497.2033157479</v>
      </c>
      <c r="F369" s="1">
        <f>Tabela3[[#This Row],[Tensão (Pa)]]/1000000</f>
        <v>8.8614972033157482</v>
      </c>
    </row>
    <row r="370" spans="1:6" x14ac:dyDescent="0.3">
      <c r="A370" s="2">
        <v>32.116999999999997</v>
      </c>
      <c r="B370" s="2">
        <v>2.6694</v>
      </c>
      <c r="C370" s="1">
        <f>Tabela3[[#This Row],[Alongamento (mm/mm)]]/$I$2</f>
        <v>5.3387999999999998E-2</v>
      </c>
      <c r="D370" s="2">
        <v>377.11</v>
      </c>
      <c r="E370" s="1">
        <f>Tabela3[[#This Row],[Força (N)]]/$I$5</f>
        <v>8933990.6706119552</v>
      </c>
      <c r="F370" s="1">
        <f>Tabela3[[#This Row],[Tensão (Pa)]]/1000000</f>
        <v>8.933990670611955</v>
      </c>
    </row>
    <row r="371" spans="1:6" x14ac:dyDescent="0.3">
      <c r="A371" s="2">
        <v>32.200000000000003</v>
      </c>
      <c r="B371" s="2">
        <v>2.6762999999999999</v>
      </c>
      <c r="C371" s="1">
        <f>Tabela3[[#This Row],[Alongamento (mm/mm)]]/$I$2</f>
        <v>5.3525999999999997E-2</v>
      </c>
      <c r="D371" s="2">
        <v>380.34</v>
      </c>
      <c r="E371" s="1">
        <f>Tabela3[[#This Row],[Força (N)]]/$I$5</f>
        <v>9010511.5527579505</v>
      </c>
      <c r="F371" s="1">
        <f>Tabela3[[#This Row],[Tensão (Pa)]]/1000000</f>
        <v>9.0105115527579507</v>
      </c>
    </row>
    <row r="372" spans="1:6" x14ac:dyDescent="0.3">
      <c r="A372" s="2">
        <v>32.283000000000001</v>
      </c>
      <c r="B372" s="2">
        <v>2.6831999999999998</v>
      </c>
      <c r="C372" s="1">
        <f>Tabela3[[#This Row],[Alongamento (mm/mm)]]/$I$2</f>
        <v>5.3663999999999996E-2</v>
      </c>
      <c r="D372" s="2">
        <v>383.4</v>
      </c>
      <c r="E372" s="1">
        <f>Tabela3[[#This Row],[Força (N)]]/$I$5</f>
        <v>9083005.020054156</v>
      </c>
      <c r="F372" s="1">
        <f>Tabela3[[#This Row],[Tensão (Pa)]]/1000000</f>
        <v>9.0830050200541557</v>
      </c>
    </row>
    <row r="373" spans="1:6" x14ac:dyDescent="0.3">
      <c r="A373" s="2">
        <v>32.366999999999997</v>
      </c>
      <c r="B373" s="2">
        <v>2.6901000000000002</v>
      </c>
      <c r="C373" s="1">
        <f>Tabela3[[#This Row],[Alongamento (mm/mm)]]/$I$2</f>
        <v>5.3802000000000003E-2</v>
      </c>
      <c r="D373" s="2">
        <v>386.63</v>
      </c>
      <c r="E373" s="1">
        <f>Tabela3[[#This Row],[Força (N)]]/$I$5</f>
        <v>9159525.9022001531</v>
      </c>
      <c r="F373" s="1">
        <f>Tabela3[[#This Row],[Tensão (Pa)]]/1000000</f>
        <v>9.1595259022001532</v>
      </c>
    </row>
    <row r="374" spans="1:6" x14ac:dyDescent="0.3">
      <c r="A374" s="2">
        <v>32.450000000000003</v>
      </c>
      <c r="B374" s="2">
        <v>2.6972</v>
      </c>
      <c r="C374" s="1">
        <f>Tabela3[[#This Row],[Alongamento (mm/mm)]]/$I$2</f>
        <v>5.3943999999999999E-2</v>
      </c>
      <c r="D374" s="2">
        <v>389.7</v>
      </c>
      <c r="E374" s="1">
        <f>Tabela3[[#This Row],[Força (N)]]/$I$5</f>
        <v>9232256.2762522306</v>
      </c>
      <c r="F374" s="1">
        <f>Tabela3[[#This Row],[Tensão (Pa)]]/1000000</f>
        <v>9.2322562762522313</v>
      </c>
    </row>
    <row r="375" spans="1:6" x14ac:dyDescent="0.3">
      <c r="A375" s="2">
        <v>32.533000000000001</v>
      </c>
      <c r="B375" s="2">
        <v>2.7040999999999999</v>
      </c>
      <c r="C375" s="1">
        <f>Tabela3[[#This Row],[Alongamento (mm/mm)]]/$I$2</f>
        <v>5.4081999999999998E-2</v>
      </c>
      <c r="D375" s="2">
        <v>392.76</v>
      </c>
      <c r="E375" s="1">
        <f>Tabela3[[#This Row],[Força (N)]]/$I$5</f>
        <v>9304749.7435484361</v>
      </c>
      <c r="F375" s="1">
        <f>Tabela3[[#This Row],[Tensão (Pa)]]/1000000</f>
        <v>9.3047497435484363</v>
      </c>
    </row>
    <row r="376" spans="1:6" x14ac:dyDescent="0.3">
      <c r="A376" s="2">
        <v>32.616999999999997</v>
      </c>
      <c r="B376" s="2">
        <v>2.7111000000000001</v>
      </c>
      <c r="C376" s="1">
        <f>Tabela3[[#This Row],[Alongamento (mm/mm)]]/$I$2</f>
        <v>5.4221999999999999E-2</v>
      </c>
      <c r="D376" s="2">
        <v>395.82</v>
      </c>
      <c r="E376" s="1">
        <f>Tabela3[[#This Row],[Força (N)]]/$I$5</f>
        <v>9377243.2108446434</v>
      </c>
      <c r="F376" s="1">
        <f>Tabela3[[#This Row],[Tensão (Pa)]]/1000000</f>
        <v>9.3772432108446431</v>
      </c>
    </row>
    <row r="377" spans="1:6" x14ac:dyDescent="0.3">
      <c r="A377" s="2">
        <v>32.700000000000003</v>
      </c>
      <c r="B377" s="2">
        <v>2.718</v>
      </c>
      <c r="C377" s="1">
        <f>Tabela3[[#This Row],[Alongamento (mm/mm)]]/$I$2</f>
        <v>5.4359999999999999E-2</v>
      </c>
      <c r="D377" s="2">
        <v>399.05</v>
      </c>
      <c r="E377" s="1">
        <f>Tabela3[[#This Row],[Força (N)]]/$I$5</f>
        <v>9453764.0929906406</v>
      </c>
      <c r="F377" s="1">
        <f>Tabela3[[#This Row],[Tensão (Pa)]]/1000000</f>
        <v>9.4537640929906406</v>
      </c>
    </row>
    <row r="378" spans="1:6" x14ac:dyDescent="0.3">
      <c r="A378" s="2">
        <v>32.783000000000001</v>
      </c>
      <c r="B378" s="2">
        <v>2.7248999999999999</v>
      </c>
      <c r="C378" s="1">
        <f>Tabela3[[#This Row],[Alongamento (mm/mm)]]/$I$2</f>
        <v>5.4497999999999998E-2</v>
      </c>
      <c r="D378" s="2">
        <v>402.11</v>
      </c>
      <c r="E378" s="1">
        <f>Tabela3[[#This Row],[Força (N)]]/$I$5</f>
        <v>9526257.5602868479</v>
      </c>
      <c r="F378" s="1">
        <f>Tabela3[[#This Row],[Tensão (Pa)]]/1000000</f>
        <v>9.5262575602868473</v>
      </c>
    </row>
    <row r="379" spans="1:6" x14ac:dyDescent="0.3">
      <c r="A379" s="2">
        <v>32.866999999999997</v>
      </c>
      <c r="B379" s="2">
        <v>2.7317999999999998</v>
      </c>
      <c r="C379" s="1">
        <f>Tabela3[[#This Row],[Alongamento (mm/mm)]]/$I$2</f>
        <v>5.4635999999999997E-2</v>
      </c>
      <c r="D379" s="2">
        <v>405.35</v>
      </c>
      <c r="E379" s="1">
        <f>Tabela3[[#This Row],[Força (N)]]/$I$5</f>
        <v>9603015.3491887134</v>
      </c>
      <c r="F379" s="1">
        <f>Tabela3[[#This Row],[Tensão (Pa)]]/1000000</f>
        <v>9.6030153491887127</v>
      </c>
    </row>
    <row r="380" spans="1:6" x14ac:dyDescent="0.3">
      <c r="A380" s="2">
        <v>32.950000000000003</v>
      </c>
      <c r="B380" s="2">
        <v>2.7389000000000001</v>
      </c>
      <c r="C380" s="1">
        <f>Tabela3[[#This Row],[Alongamento (mm/mm)]]/$I$2</f>
        <v>5.4778E-2</v>
      </c>
      <c r="D380" s="2">
        <v>408.41</v>
      </c>
      <c r="E380" s="1">
        <f>Tabela3[[#This Row],[Força (N)]]/$I$5</f>
        <v>9675508.8164849207</v>
      </c>
      <c r="F380" s="1">
        <f>Tabela3[[#This Row],[Tensão (Pa)]]/1000000</f>
        <v>9.6755088164849212</v>
      </c>
    </row>
    <row r="381" spans="1:6" x14ac:dyDescent="0.3">
      <c r="A381" s="2">
        <v>33.033000000000001</v>
      </c>
      <c r="B381" s="2">
        <v>2.7458</v>
      </c>
      <c r="C381" s="1">
        <f>Tabela3[[#This Row],[Alongamento (mm/mm)]]/$I$2</f>
        <v>5.4916E-2</v>
      </c>
      <c r="D381" s="2">
        <v>411.64</v>
      </c>
      <c r="E381" s="1">
        <f>Tabela3[[#This Row],[Força (N)]]/$I$5</f>
        <v>9752029.698630916</v>
      </c>
      <c r="F381" s="1">
        <f>Tabela3[[#This Row],[Tensão (Pa)]]/1000000</f>
        <v>9.7520296986309152</v>
      </c>
    </row>
    <row r="382" spans="1:6" x14ac:dyDescent="0.3">
      <c r="A382" s="2">
        <v>33.116999999999997</v>
      </c>
      <c r="B382" s="2">
        <v>2.7526999999999999</v>
      </c>
      <c r="C382" s="1">
        <f>Tabela3[[#This Row],[Alongamento (mm/mm)]]/$I$2</f>
        <v>5.5053999999999999E-2</v>
      </c>
      <c r="D382" s="2">
        <v>414.7</v>
      </c>
      <c r="E382" s="1">
        <f>Tabela3[[#This Row],[Força (N)]]/$I$5</f>
        <v>9824523.1659271233</v>
      </c>
      <c r="F382" s="1">
        <f>Tabela3[[#This Row],[Tensão (Pa)]]/1000000</f>
        <v>9.8245231659271237</v>
      </c>
    </row>
    <row r="383" spans="1:6" x14ac:dyDescent="0.3">
      <c r="A383" s="2">
        <v>33.200000000000003</v>
      </c>
      <c r="B383" s="2">
        <v>2.7595999999999998</v>
      </c>
      <c r="C383" s="1">
        <f>Tabela3[[#This Row],[Alongamento (mm/mm)]]/$I$2</f>
        <v>5.5191999999999998E-2</v>
      </c>
      <c r="D383" s="2">
        <v>417.93</v>
      </c>
      <c r="E383" s="1">
        <f>Tabela3[[#This Row],[Força (N)]]/$I$5</f>
        <v>9901044.0480731186</v>
      </c>
      <c r="F383" s="1">
        <f>Tabela3[[#This Row],[Tensão (Pa)]]/1000000</f>
        <v>9.9010440480731177</v>
      </c>
    </row>
    <row r="384" spans="1:6" x14ac:dyDescent="0.3">
      <c r="A384" s="2">
        <v>33.283000000000001</v>
      </c>
      <c r="B384" s="2">
        <v>2.7665999999999999</v>
      </c>
      <c r="C384" s="1">
        <f>Tabela3[[#This Row],[Alongamento (mm/mm)]]/$I$2</f>
        <v>5.5331999999999999E-2</v>
      </c>
      <c r="D384" s="2">
        <v>421.16</v>
      </c>
      <c r="E384" s="1">
        <f>Tabela3[[#This Row],[Força (N)]]/$I$5</f>
        <v>9977564.9302191157</v>
      </c>
      <c r="F384" s="1">
        <f>Tabela3[[#This Row],[Tensão (Pa)]]/1000000</f>
        <v>9.9775649302191152</v>
      </c>
    </row>
    <row r="385" spans="1:6" x14ac:dyDescent="0.3">
      <c r="A385" s="2">
        <v>33.366999999999997</v>
      </c>
      <c r="B385" s="2">
        <v>2.7734999999999999</v>
      </c>
      <c r="C385" s="1">
        <f>Tabela3[[#This Row],[Alongamento (mm/mm)]]/$I$2</f>
        <v>5.5469999999999998E-2</v>
      </c>
      <c r="D385" s="2">
        <v>424.4</v>
      </c>
      <c r="E385" s="1">
        <f>Tabela3[[#This Row],[Força (N)]]/$I$5</f>
        <v>10054322.719120981</v>
      </c>
      <c r="F385" s="1">
        <f>Tabela3[[#This Row],[Tensão (Pa)]]/1000000</f>
        <v>10.054322719120981</v>
      </c>
    </row>
    <row r="386" spans="1:6" x14ac:dyDescent="0.3">
      <c r="A386" s="2">
        <v>33.450000000000003</v>
      </c>
      <c r="B386" s="2">
        <v>2.7805</v>
      </c>
      <c r="C386" s="1">
        <f>Tabela3[[#This Row],[Alongamento (mm/mm)]]/$I$2</f>
        <v>5.561E-2</v>
      </c>
      <c r="D386" s="2">
        <v>427.63</v>
      </c>
      <c r="E386" s="1">
        <f>Tabela3[[#This Row],[Força (N)]]/$I$5</f>
        <v>10130843.601266978</v>
      </c>
      <c r="F386" s="1">
        <f>Tabela3[[#This Row],[Tensão (Pa)]]/1000000</f>
        <v>10.130843601266978</v>
      </c>
    </row>
    <row r="387" spans="1:6" x14ac:dyDescent="0.3">
      <c r="A387" s="2">
        <v>33.533000000000001</v>
      </c>
      <c r="B387" s="2">
        <v>2.7875000000000001</v>
      </c>
      <c r="C387" s="1">
        <f>Tabela3[[#This Row],[Alongamento (mm/mm)]]/$I$2</f>
        <v>5.5750000000000001E-2</v>
      </c>
      <c r="D387" s="2">
        <v>430.86</v>
      </c>
      <c r="E387" s="1">
        <f>Tabela3[[#This Row],[Força (N)]]/$I$5</f>
        <v>10207364.483412974</v>
      </c>
      <c r="F387" s="1">
        <f>Tabela3[[#This Row],[Tensão (Pa)]]/1000000</f>
        <v>10.207364483412974</v>
      </c>
    </row>
    <row r="388" spans="1:6" x14ac:dyDescent="0.3">
      <c r="A388" s="2">
        <v>33.616999999999997</v>
      </c>
      <c r="B388" s="2">
        <v>2.7942999999999998</v>
      </c>
      <c r="C388" s="1">
        <f>Tabela3[[#This Row],[Alongamento (mm/mm)]]/$I$2</f>
        <v>5.5885999999999998E-2</v>
      </c>
      <c r="D388" s="2">
        <v>434.09</v>
      </c>
      <c r="E388" s="1">
        <f>Tabela3[[#This Row],[Força (N)]]/$I$5</f>
        <v>10283885.365558969</v>
      </c>
      <c r="F388" s="1">
        <f>Tabela3[[#This Row],[Tensão (Pa)]]/1000000</f>
        <v>10.283885365558969</v>
      </c>
    </row>
    <row r="389" spans="1:6" x14ac:dyDescent="0.3">
      <c r="A389" s="2">
        <v>33.700000000000003</v>
      </c>
      <c r="B389" s="2">
        <v>2.8012999999999999</v>
      </c>
      <c r="C389" s="1">
        <f>Tabela3[[#This Row],[Alongamento (mm/mm)]]/$I$2</f>
        <v>5.6025999999999999E-2</v>
      </c>
      <c r="D389" s="2">
        <v>437.32</v>
      </c>
      <c r="E389" s="1">
        <f>Tabela3[[#This Row],[Força (N)]]/$I$5</f>
        <v>10360406.247704966</v>
      </c>
      <c r="F389" s="1">
        <f>Tabela3[[#This Row],[Tensão (Pa)]]/1000000</f>
        <v>10.360406247704965</v>
      </c>
    </row>
    <row r="390" spans="1:6" x14ac:dyDescent="0.3">
      <c r="A390" s="2">
        <v>33.799999999999997</v>
      </c>
      <c r="B390" s="2">
        <v>2.8096999999999999</v>
      </c>
      <c r="C390" s="1">
        <f>Tabela3[[#This Row],[Alongamento (mm/mm)]]/$I$2</f>
        <v>5.6193999999999994E-2</v>
      </c>
      <c r="D390" s="2">
        <v>441.24</v>
      </c>
      <c r="E390" s="1">
        <f>Tabela3[[#This Row],[Força (N)]]/$I$5</f>
        <v>10453273.696005989</v>
      </c>
      <c r="F390" s="1">
        <f>Tabela3[[#This Row],[Tensão (Pa)]]/1000000</f>
        <v>10.453273696005988</v>
      </c>
    </row>
    <row r="391" spans="1:6" x14ac:dyDescent="0.3">
      <c r="A391" s="2">
        <v>33.9</v>
      </c>
      <c r="B391" s="2">
        <v>2.8180000000000001</v>
      </c>
      <c r="C391" s="1">
        <f>Tabela3[[#This Row],[Alongamento (mm/mm)]]/$I$2</f>
        <v>5.636E-2</v>
      </c>
      <c r="D391" s="2">
        <v>445.15</v>
      </c>
      <c r="E391" s="1">
        <f>Tabela3[[#This Row],[Força (N)]]/$I$5</f>
        <v>10545904.237551142</v>
      </c>
      <c r="F391" s="1">
        <f>Tabela3[[#This Row],[Tensão (Pa)]]/1000000</f>
        <v>10.545904237551142</v>
      </c>
    </row>
    <row r="392" spans="1:6" x14ac:dyDescent="0.3">
      <c r="A392" s="2">
        <v>34</v>
      </c>
      <c r="B392" s="2">
        <v>2.8264</v>
      </c>
      <c r="C392" s="1">
        <f>Tabela3[[#This Row],[Alongamento (mm/mm)]]/$I$2</f>
        <v>5.6528000000000002E-2</v>
      </c>
      <c r="D392" s="2">
        <v>449.06</v>
      </c>
      <c r="E392" s="1">
        <f>Tabela3[[#This Row],[Força (N)]]/$I$5</f>
        <v>10638534.779096296</v>
      </c>
      <c r="F392" s="1">
        <f>Tabela3[[#This Row],[Tensão (Pa)]]/1000000</f>
        <v>10.638534779096297</v>
      </c>
    </row>
    <row r="393" spans="1:6" x14ac:dyDescent="0.3">
      <c r="A393" s="2">
        <v>34.1</v>
      </c>
      <c r="B393" s="2">
        <v>2.8346</v>
      </c>
      <c r="C393" s="1">
        <f>Tabela3[[#This Row],[Alongamento (mm/mm)]]/$I$2</f>
        <v>5.6691999999999999E-2</v>
      </c>
      <c r="D393" s="2">
        <v>453.14</v>
      </c>
      <c r="E393" s="1">
        <f>Tabela3[[#This Row],[Força (N)]]/$I$5</f>
        <v>10735192.735491239</v>
      </c>
      <c r="F393" s="1">
        <f>Tabela3[[#This Row],[Tensão (Pa)]]/1000000</f>
        <v>10.735192735491239</v>
      </c>
    </row>
    <row r="394" spans="1:6" x14ac:dyDescent="0.3">
      <c r="A394" s="2">
        <v>34.200000000000003</v>
      </c>
      <c r="B394" s="2">
        <v>2.843</v>
      </c>
      <c r="C394" s="1">
        <f>Tabela3[[#This Row],[Alongamento (mm/mm)]]/$I$2</f>
        <v>5.6860000000000001E-2</v>
      </c>
      <c r="D394" s="2">
        <v>457.06</v>
      </c>
      <c r="E394" s="1">
        <f>Tabela3[[#This Row],[Força (N)]]/$I$5</f>
        <v>10828060.183792261</v>
      </c>
      <c r="F394" s="1">
        <f>Tabela3[[#This Row],[Tensão (Pa)]]/1000000</f>
        <v>10.828060183792262</v>
      </c>
    </row>
    <row r="395" spans="1:6" x14ac:dyDescent="0.3">
      <c r="A395" s="2">
        <v>34.283000000000001</v>
      </c>
      <c r="B395" s="2">
        <v>2.8498999999999999</v>
      </c>
      <c r="C395" s="1">
        <f>Tabela3[[#This Row],[Alongamento (mm/mm)]]/$I$2</f>
        <v>5.6998E-2</v>
      </c>
      <c r="D395" s="2">
        <v>460.46</v>
      </c>
      <c r="E395" s="1">
        <f>Tabela3[[#This Row],[Força (N)]]/$I$5</f>
        <v>10908608.480788046</v>
      </c>
      <c r="F395" s="1">
        <f>Tabela3[[#This Row],[Tensão (Pa)]]/1000000</f>
        <v>10.908608480788047</v>
      </c>
    </row>
    <row r="396" spans="1:6" x14ac:dyDescent="0.3">
      <c r="A396" s="2">
        <v>34.366999999999997</v>
      </c>
      <c r="B396" s="2">
        <v>2.8569</v>
      </c>
      <c r="C396" s="1">
        <f>Tabela3[[#This Row],[Alongamento (mm/mm)]]/$I$2</f>
        <v>5.7138000000000001E-2</v>
      </c>
      <c r="D396" s="2">
        <v>463.86</v>
      </c>
      <c r="E396" s="1">
        <f>Tabela3[[#This Row],[Força (N)]]/$I$5</f>
        <v>10989156.777783833</v>
      </c>
      <c r="F396" s="1">
        <f>Tabela3[[#This Row],[Tensão (Pa)]]/1000000</f>
        <v>10.989156777783833</v>
      </c>
    </row>
    <row r="397" spans="1:6" x14ac:dyDescent="0.3">
      <c r="A397" s="2">
        <v>34.450000000000003</v>
      </c>
      <c r="B397" s="2">
        <v>2.8639000000000001</v>
      </c>
      <c r="C397" s="1">
        <f>Tabela3[[#This Row],[Alongamento (mm/mm)]]/$I$2</f>
        <v>5.7278000000000003E-2</v>
      </c>
      <c r="D397" s="2">
        <v>467.26</v>
      </c>
      <c r="E397" s="1">
        <f>Tabela3[[#This Row],[Força (N)]]/$I$5</f>
        <v>11069705.074779617</v>
      </c>
      <c r="F397" s="1">
        <f>Tabela3[[#This Row],[Tensão (Pa)]]/1000000</f>
        <v>11.069705074779616</v>
      </c>
    </row>
    <row r="398" spans="1:6" x14ac:dyDescent="0.3">
      <c r="A398" s="2">
        <v>34.533000000000001</v>
      </c>
      <c r="B398" s="2">
        <v>2.8706999999999998</v>
      </c>
      <c r="C398" s="1">
        <f>Tabela3[[#This Row],[Alongamento (mm/mm)]]/$I$2</f>
        <v>5.7413999999999993E-2</v>
      </c>
      <c r="D398" s="2">
        <v>470.66</v>
      </c>
      <c r="E398" s="1">
        <f>Tabela3[[#This Row],[Força (N)]]/$I$5</f>
        <v>11150253.371775404</v>
      </c>
      <c r="F398" s="1">
        <f>Tabela3[[#This Row],[Tensão (Pa)]]/1000000</f>
        <v>11.150253371775404</v>
      </c>
    </row>
    <row r="399" spans="1:6" x14ac:dyDescent="0.3">
      <c r="A399" s="2">
        <v>34.616999999999997</v>
      </c>
      <c r="B399" s="2">
        <v>2.8776999999999999</v>
      </c>
      <c r="C399" s="1">
        <f>Tabela3[[#This Row],[Alongamento (mm/mm)]]/$I$2</f>
        <v>5.7554000000000001E-2</v>
      </c>
      <c r="D399" s="2">
        <v>474.07</v>
      </c>
      <c r="E399" s="1">
        <f>Tabela3[[#This Row],[Força (N)]]/$I$5</f>
        <v>11231038.575527059</v>
      </c>
      <c r="F399" s="1">
        <f>Tabela3[[#This Row],[Tensão (Pa)]]/1000000</f>
        <v>11.231038575527059</v>
      </c>
    </row>
    <row r="400" spans="1:6" x14ac:dyDescent="0.3">
      <c r="A400" s="2">
        <v>34.700000000000003</v>
      </c>
      <c r="B400" s="2">
        <v>2.8847</v>
      </c>
      <c r="C400" s="1">
        <f>Tabela3[[#This Row],[Alongamento (mm/mm)]]/$I$2</f>
        <v>5.7694000000000002E-2</v>
      </c>
      <c r="D400" s="2">
        <v>477.47</v>
      </c>
      <c r="E400" s="1">
        <f>Tabela3[[#This Row],[Força (N)]]/$I$5</f>
        <v>11311586.872522844</v>
      </c>
      <c r="F400" s="1">
        <f>Tabela3[[#This Row],[Tensão (Pa)]]/1000000</f>
        <v>11.311586872522843</v>
      </c>
    </row>
    <row r="401" spans="1:6" x14ac:dyDescent="0.3">
      <c r="A401" s="2">
        <v>34.783000000000001</v>
      </c>
      <c r="B401" s="2">
        <v>2.8915000000000002</v>
      </c>
      <c r="C401" s="1">
        <f>Tabela3[[#This Row],[Alongamento (mm/mm)]]/$I$2</f>
        <v>5.7830000000000006E-2</v>
      </c>
      <c r="D401" s="2">
        <v>481.04</v>
      </c>
      <c r="E401" s="1">
        <f>Tabela3[[#This Row],[Força (N)]]/$I$5</f>
        <v>11396162.584368419</v>
      </c>
      <c r="F401" s="1">
        <f>Tabela3[[#This Row],[Tensão (Pa)]]/1000000</f>
        <v>11.396162584368419</v>
      </c>
    </row>
    <row r="402" spans="1:6" x14ac:dyDescent="0.3">
      <c r="A402" s="2">
        <v>34.883000000000003</v>
      </c>
      <c r="B402" s="2">
        <v>2.9</v>
      </c>
      <c r="C402" s="1">
        <f>Tabela3[[#This Row],[Alongamento (mm/mm)]]/$I$2</f>
        <v>5.7999999999999996E-2</v>
      </c>
      <c r="D402" s="2">
        <v>485.12</v>
      </c>
      <c r="E402" s="1">
        <f>Tabela3[[#This Row],[Força (N)]]/$I$5</f>
        <v>11492820.540763361</v>
      </c>
      <c r="F402" s="1">
        <f>Tabela3[[#This Row],[Tensão (Pa)]]/1000000</f>
        <v>11.492820540763361</v>
      </c>
    </row>
    <row r="403" spans="1:6" x14ac:dyDescent="0.3">
      <c r="A403" s="2">
        <v>34.982999999999997</v>
      </c>
      <c r="B403" s="2">
        <v>2.9081999999999999</v>
      </c>
      <c r="C403" s="1">
        <f>Tabela3[[#This Row],[Alongamento (mm/mm)]]/$I$2</f>
        <v>5.8164E-2</v>
      </c>
      <c r="D403" s="2">
        <v>489.2</v>
      </c>
      <c r="E403" s="1">
        <f>Tabela3[[#This Row],[Força (N)]]/$I$5</f>
        <v>11589478.497158304</v>
      </c>
      <c r="F403" s="1">
        <f>Tabela3[[#This Row],[Tensão (Pa)]]/1000000</f>
        <v>11.589478497158304</v>
      </c>
    </row>
    <row r="404" spans="1:6" x14ac:dyDescent="0.3">
      <c r="A404" s="2">
        <v>35.082999999999998</v>
      </c>
      <c r="B404" s="2">
        <v>2.9165000000000001</v>
      </c>
      <c r="C404" s="1">
        <f>Tabela3[[#This Row],[Alongamento (mm/mm)]]/$I$2</f>
        <v>5.833E-2</v>
      </c>
      <c r="D404" s="2">
        <v>493.46</v>
      </c>
      <c r="E404" s="1">
        <f>Tabela3[[#This Row],[Força (N)]]/$I$5</f>
        <v>11690400.775158904</v>
      </c>
      <c r="F404" s="1">
        <f>Tabela3[[#This Row],[Tensão (Pa)]]/1000000</f>
        <v>11.690400775158905</v>
      </c>
    </row>
    <row r="405" spans="1:6" x14ac:dyDescent="0.3">
      <c r="A405" s="2">
        <v>35.183</v>
      </c>
      <c r="B405" s="2">
        <v>2.9249999999999998</v>
      </c>
      <c r="C405" s="1">
        <f>Tabela3[[#This Row],[Alongamento (mm/mm)]]/$I$2</f>
        <v>5.8499999999999996E-2</v>
      </c>
      <c r="D405" s="2">
        <v>497.54</v>
      </c>
      <c r="E405" s="1">
        <f>Tabela3[[#This Row],[Força (N)]]/$I$5</f>
        <v>11787058.731553849</v>
      </c>
      <c r="F405" s="1">
        <f>Tabela3[[#This Row],[Tensão (Pa)]]/1000000</f>
        <v>11.787058731553849</v>
      </c>
    </row>
    <row r="406" spans="1:6" x14ac:dyDescent="0.3">
      <c r="A406" s="2">
        <v>35.283000000000001</v>
      </c>
      <c r="B406" s="2">
        <v>2.9331999999999998</v>
      </c>
      <c r="C406" s="1">
        <f>Tabela3[[#This Row],[Alongamento (mm/mm)]]/$I$2</f>
        <v>5.8663999999999994E-2</v>
      </c>
      <c r="D406" s="2">
        <v>501.79</v>
      </c>
      <c r="E406" s="1">
        <f>Tabela3[[#This Row],[Força (N)]]/$I$5</f>
        <v>11887744.102798581</v>
      </c>
      <c r="F406" s="1">
        <f>Tabela3[[#This Row],[Tensão (Pa)]]/1000000</f>
        <v>11.887744102798582</v>
      </c>
    </row>
    <row r="407" spans="1:6" x14ac:dyDescent="0.3">
      <c r="A407" s="2">
        <v>35.383000000000003</v>
      </c>
      <c r="B407" s="2">
        <v>2.9417</v>
      </c>
      <c r="C407" s="1">
        <f>Tabela3[[#This Row],[Alongamento (mm/mm)]]/$I$2</f>
        <v>5.8833999999999997E-2</v>
      </c>
      <c r="D407" s="2">
        <v>506.04</v>
      </c>
      <c r="E407" s="1">
        <f>Tabela3[[#This Row],[Força (N)]]/$I$5</f>
        <v>11988429.474043312</v>
      </c>
      <c r="F407" s="1">
        <f>Tabela3[[#This Row],[Tensão (Pa)]]/1000000</f>
        <v>11.988429474043311</v>
      </c>
    </row>
    <row r="408" spans="1:6" x14ac:dyDescent="0.3">
      <c r="A408" s="2">
        <v>35.482999999999997</v>
      </c>
      <c r="B408" s="2">
        <v>2.9499</v>
      </c>
      <c r="C408" s="1">
        <f>Tabela3[[#This Row],[Alongamento (mm/mm)]]/$I$2</f>
        <v>5.8998000000000002E-2</v>
      </c>
      <c r="D408" s="2">
        <v>510.3</v>
      </c>
      <c r="E408" s="1">
        <f>Tabela3[[#This Row],[Força (N)]]/$I$5</f>
        <v>12089351.752043914</v>
      </c>
      <c r="F408" s="1">
        <f>Tabela3[[#This Row],[Tensão (Pa)]]/1000000</f>
        <v>12.089351752043914</v>
      </c>
    </row>
    <row r="409" spans="1:6" x14ac:dyDescent="0.3">
      <c r="A409" s="2">
        <v>35.582999999999998</v>
      </c>
      <c r="B409" s="2">
        <v>2.9582000000000002</v>
      </c>
      <c r="C409" s="1">
        <f>Tabela3[[#This Row],[Alongamento (mm/mm)]]/$I$2</f>
        <v>5.9164000000000001E-2</v>
      </c>
      <c r="D409" s="2">
        <v>514.54999999999995</v>
      </c>
      <c r="E409" s="1">
        <f>Tabela3[[#This Row],[Força (N)]]/$I$5</f>
        <v>12190037.123288644</v>
      </c>
      <c r="F409" s="1">
        <f>Tabela3[[#This Row],[Tensão (Pa)]]/1000000</f>
        <v>12.190037123288645</v>
      </c>
    </row>
    <row r="410" spans="1:6" x14ac:dyDescent="0.3">
      <c r="A410" s="2">
        <v>35.683</v>
      </c>
      <c r="B410" s="2">
        <v>2.9666000000000001</v>
      </c>
      <c r="C410" s="1">
        <f>Tabela3[[#This Row],[Alongamento (mm/mm)]]/$I$2</f>
        <v>5.9332000000000003E-2</v>
      </c>
      <c r="D410" s="2">
        <v>518.79999999999995</v>
      </c>
      <c r="E410" s="1">
        <f>Tabela3[[#This Row],[Força (N)]]/$I$5</f>
        <v>12290722.494533377</v>
      </c>
      <c r="F410" s="1">
        <f>Tabela3[[#This Row],[Tensão (Pa)]]/1000000</f>
        <v>12.290722494533377</v>
      </c>
    </row>
    <row r="411" spans="1:6" x14ac:dyDescent="0.3">
      <c r="A411" s="2">
        <v>35.783000000000001</v>
      </c>
      <c r="B411" s="2">
        <v>2.9748999999999999</v>
      </c>
      <c r="C411" s="1">
        <f>Tabela3[[#This Row],[Alongamento (mm/mm)]]/$I$2</f>
        <v>5.9497999999999995E-2</v>
      </c>
      <c r="D411" s="2">
        <v>522.88</v>
      </c>
      <c r="E411" s="1">
        <f>Tabela3[[#This Row],[Força (N)]]/$I$5</f>
        <v>12387380.450928319</v>
      </c>
      <c r="F411" s="1">
        <f>Tabela3[[#This Row],[Tensão (Pa)]]/1000000</f>
        <v>12.387380450928319</v>
      </c>
    </row>
    <row r="412" spans="1:6" x14ac:dyDescent="0.3">
      <c r="A412" s="2">
        <v>35.883000000000003</v>
      </c>
      <c r="B412" s="2">
        <v>2.9832999999999998</v>
      </c>
      <c r="C412" s="1">
        <f>Tabela3[[#This Row],[Alongamento (mm/mm)]]/$I$2</f>
        <v>5.9665999999999997E-2</v>
      </c>
      <c r="D412" s="2">
        <v>527.14</v>
      </c>
      <c r="E412" s="1">
        <f>Tabela3[[#This Row],[Força (N)]]/$I$5</f>
        <v>12488302.728928922</v>
      </c>
      <c r="F412" s="1">
        <f>Tabela3[[#This Row],[Tensão (Pa)]]/1000000</f>
        <v>12.488302728928922</v>
      </c>
    </row>
    <row r="413" spans="1:6" x14ac:dyDescent="0.3">
      <c r="A413" s="2">
        <v>35.982999999999997</v>
      </c>
      <c r="B413" s="2">
        <v>2.9916</v>
      </c>
      <c r="C413" s="1">
        <f>Tabela3[[#This Row],[Alongamento (mm/mm)]]/$I$2</f>
        <v>5.9832000000000003E-2</v>
      </c>
      <c r="D413" s="2">
        <v>531.39</v>
      </c>
      <c r="E413" s="1">
        <f>Tabela3[[#This Row],[Força (N)]]/$I$5</f>
        <v>12588988.100173652</v>
      </c>
      <c r="F413" s="1">
        <f>Tabela3[[#This Row],[Tensão (Pa)]]/1000000</f>
        <v>12.588988100173653</v>
      </c>
    </row>
    <row r="414" spans="1:6" x14ac:dyDescent="0.3">
      <c r="A414" s="2">
        <v>36.082999999999998</v>
      </c>
      <c r="B414" s="2">
        <v>2.9998999999999998</v>
      </c>
      <c r="C414" s="1">
        <f>Tabela3[[#This Row],[Alongamento (mm/mm)]]/$I$2</f>
        <v>5.9997999999999996E-2</v>
      </c>
      <c r="D414" s="2">
        <v>535.64</v>
      </c>
      <c r="E414" s="1">
        <f>Tabela3[[#This Row],[Força (N)]]/$I$5</f>
        <v>12689673.471418384</v>
      </c>
      <c r="F414" s="1">
        <f>Tabela3[[#This Row],[Tensão (Pa)]]/1000000</f>
        <v>12.689673471418384</v>
      </c>
    </row>
    <row r="415" spans="1:6" x14ac:dyDescent="0.3">
      <c r="A415" s="2">
        <v>36.183</v>
      </c>
      <c r="B415" s="2">
        <v>3.0083000000000002</v>
      </c>
      <c r="C415" s="1">
        <f>Tabela3[[#This Row],[Alongamento (mm/mm)]]/$I$2</f>
        <v>6.0166000000000004E-2</v>
      </c>
      <c r="D415" s="2">
        <v>539.89</v>
      </c>
      <c r="E415" s="1">
        <f>Tabela3[[#This Row],[Força (N)]]/$I$5</f>
        <v>12790358.842663117</v>
      </c>
      <c r="F415" s="1">
        <f>Tabela3[[#This Row],[Tensão (Pa)]]/1000000</f>
        <v>12.790358842663117</v>
      </c>
    </row>
    <row r="416" spans="1:6" x14ac:dyDescent="0.3">
      <c r="A416" s="2">
        <v>36.283000000000001</v>
      </c>
      <c r="B416" s="2">
        <v>3.0165999999999999</v>
      </c>
      <c r="C416" s="1">
        <f>Tabela3[[#This Row],[Alongamento (mm/mm)]]/$I$2</f>
        <v>6.0331999999999997E-2</v>
      </c>
      <c r="D416" s="2">
        <v>543.98</v>
      </c>
      <c r="E416" s="1">
        <f>Tabela3[[#This Row],[Força (N)]]/$I$5</f>
        <v>12887253.705813929</v>
      </c>
      <c r="F416" s="1">
        <f>Tabela3[[#This Row],[Tensão (Pa)]]/1000000</f>
        <v>12.887253705813929</v>
      </c>
    </row>
    <row r="417" spans="1:6" x14ac:dyDescent="0.3">
      <c r="A417" s="2">
        <v>36.383000000000003</v>
      </c>
      <c r="B417" s="2">
        <v>3.0249000000000001</v>
      </c>
      <c r="C417" s="1">
        <f>Tabela3[[#This Row],[Alongamento (mm/mm)]]/$I$2</f>
        <v>6.0498000000000003E-2</v>
      </c>
      <c r="D417" s="2">
        <v>548.23</v>
      </c>
      <c r="E417" s="1">
        <f>Tabela3[[#This Row],[Força (N)]]/$I$5</f>
        <v>12987939.077058662</v>
      </c>
      <c r="F417" s="1">
        <f>Tabela3[[#This Row],[Tensão (Pa)]]/1000000</f>
        <v>12.987939077058662</v>
      </c>
    </row>
    <row r="418" spans="1:6" x14ac:dyDescent="0.3">
      <c r="A418" s="2">
        <v>36.482999999999997</v>
      </c>
      <c r="B418" s="2">
        <v>3.0331999999999999</v>
      </c>
      <c r="C418" s="1">
        <f>Tabela3[[#This Row],[Alongamento (mm/mm)]]/$I$2</f>
        <v>6.0663999999999996E-2</v>
      </c>
      <c r="D418" s="2">
        <v>552.48</v>
      </c>
      <c r="E418" s="1">
        <f>Tabela3[[#This Row],[Força (N)]]/$I$5</f>
        <v>13088624.448303392</v>
      </c>
      <c r="F418" s="1">
        <f>Tabela3[[#This Row],[Tensão (Pa)]]/1000000</f>
        <v>13.088624448303392</v>
      </c>
    </row>
    <row r="419" spans="1:6" x14ac:dyDescent="0.3">
      <c r="A419" s="2">
        <v>36.582999999999998</v>
      </c>
      <c r="B419" s="2">
        <v>3.0415999999999999</v>
      </c>
      <c r="C419" s="1">
        <f>Tabela3[[#This Row],[Alongamento (mm/mm)]]/$I$2</f>
        <v>6.0831999999999997E-2</v>
      </c>
      <c r="D419" s="2">
        <v>556.55999999999995</v>
      </c>
      <c r="E419" s="1">
        <f>Tabela3[[#This Row],[Força (N)]]/$I$5</f>
        <v>13185282.404698335</v>
      </c>
      <c r="F419" s="1">
        <f>Tabela3[[#This Row],[Tensão (Pa)]]/1000000</f>
        <v>13.185282404698334</v>
      </c>
    </row>
    <row r="420" spans="1:6" x14ac:dyDescent="0.3">
      <c r="A420" s="2">
        <v>36.683</v>
      </c>
      <c r="B420" s="2">
        <v>3.05</v>
      </c>
      <c r="C420" s="1">
        <f>Tabela3[[#This Row],[Alongamento (mm/mm)]]/$I$2</f>
        <v>6.0999999999999999E-2</v>
      </c>
      <c r="D420" s="2">
        <v>560.82000000000005</v>
      </c>
      <c r="E420" s="1">
        <f>Tabela3[[#This Row],[Força (N)]]/$I$5</f>
        <v>13286204.682698937</v>
      </c>
      <c r="F420" s="1">
        <f>Tabela3[[#This Row],[Tensão (Pa)]]/1000000</f>
        <v>13.286204682698937</v>
      </c>
    </row>
    <row r="421" spans="1:6" x14ac:dyDescent="0.3">
      <c r="A421" s="2">
        <v>36.783000000000001</v>
      </c>
      <c r="B421" s="2">
        <v>3.0583</v>
      </c>
      <c r="C421" s="1">
        <f>Tabela3[[#This Row],[Alongamento (mm/mm)]]/$I$2</f>
        <v>6.1165999999999998E-2</v>
      </c>
      <c r="D421" s="2">
        <v>565.07000000000005</v>
      </c>
      <c r="E421" s="1">
        <f>Tabela3[[#This Row],[Força (N)]]/$I$5</f>
        <v>13386890.053943669</v>
      </c>
      <c r="F421" s="1">
        <f>Tabela3[[#This Row],[Tensão (Pa)]]/1000000</f>
        <v>13.38689005394367</v>
      </c>
    </row>
    <row r="422" spans="1:6" x14ac:dyDescent="0.3">
      <c r="A422" s="2">
        <v>36.883000000000003</v>
      </c>
      <c r="B422" s="2">
        <v>3.0666000000000002</v>
      </c>
      <c r="C422" s="1">
        <f>Tabela3[[#This Row],[Alongamento (mm/mm)]]/$I$2</f>
        <v>6.1332000000000005E-2</v>
      </c>
      <c r="D422" s="2">
        <v>569.32000000000005</v>
      </c>
      <c r="E422" s="1">
        <f>Tabela3[[#This Row],[Força (N)]]/$I$5</f>
        <v>13487575.425188402</v>
      </c>
      <c r="F422" s="1">
        <f>Tabela3[[#This Row],[Tensão (Pa)]]/1000000</f>
        <v>13.487575425188401</v>
      </c>
    </row>
    <row r="423" spans="1:6" x14ac:dyDescent="0.3">
      <c r="A423" s="2">
        <v>37</v>
      </c>
      <c r="B423" s="2">
        <v>3.0762999999999998</v>
      </c>
      <c r="C423" s="1">
        <f>Tabela3[[#This Row],[Alongamento (mm/mm)]]/$I$2</f>
        <v>6.1525999999999997E-2</v>
      </c>
      <c r="D423" s="2">
        <v>574.08000000000004</v>
      </c>
      <c r="E423" s="1">
        <f>Tabela3[[#This Row],[Força (N)]]/$I$5</f>
        <v>13600343.040982502</v>
      </c>
      <c r="F423" s="1">
        <f>Tabela3[[#This Row],[Tensão (Pa)]]/1000000</f>
        <v>13.600343040982501</v>
      </c>
    </row>
    <row r="424" spans="1:6" x14ac:dyDescent="0.3">
      <c r="A424" s="2">
        <v>37.116999999999997</v>
      </c>
      <c r="B424" s="2">
        <v>3.0861000000000001</v>
      </c>
      <c r="C424" s="1">
        <f>Tabela3[[#This Row],[Alongamento (mm/mm)]]/$I$2</f>
        <v>6.1721999999999999E-2</v>
      </c>
      <c r="D424" s="2">
        <v>578.85</v>
      </c>
      <c r="E424" s="1">
        <f>Tabela3[[#This Row],[Força (N)]]/$I$5</f>
        <v>13713347.56353247</v>
      </c>
      <c r="F424" s="1">
        <f>Tabela3[[#This Row],[Tensão (Pa)]]/1000000</f>
        <v>13.713347563532469</v>
      </c>
    </row>
    <row r="425" spans="1:6" x14ac:dyDescent="0.3">
      <c r="A425" s="2">
        <v>37.232999999999997</v>
      </c>
      <c r="B425" s="2">
        <v>3.0958999999999999</v>
      </c>
      <c r="C425" s="1">
        <f>Tabela3[[#This Row],[Alongamento (mm/mm)]]/$I$2</f>
        <v>6.1918000000000001E-2</v>
      </c>
      <c r="D425" s="2">
        <v>583.27</v>
      </c>
      <c r="E425" s="1">
        <f>Tabela3[[#This Row],[Força (N)]]/$I$5</f>
        <v>13818060.34962699</v>
      </c>
      <c r="F425" s="1">
        <f>Tabela3[[#This Row],[Tensão (Pa)]]/1000000</f>
        <v>13.81806034962699</v>
      </c>
    </row>
    <row r="426" spans="1:6" x14ac:dyDescent="0.3">
      <c r="A426" s="2">
        <v>37.35</v>
      </c>
      <c r="B426" s="2">
        <v>3.1055000000000001</v>
      </c>
      <c r="C426" s="1">
        <f>Tabela3[[#This Row],[Alongamento (mm/mm)]]/$I$2</f>
        <v>6.2110000000000005E-2</v>
      </c>
      <c r="D426" s="2">
        <v>587.86</v>
      </c>
      <c r="E426" s="1">
        <f>Tabela3[[#This Row],[Força (N)]]/$I$5</f>
        <v>13926800.550571302</v>
      </c>
      <c r="F426" s="1">
        <f>Tabela3[[#This Row],[Tensão (Pa)]]/1000000</f>
        <v>13.926800550571302</v>
      </c>
    </row>
    <row r="427" spans="1:6" x14ac:dyDescent="0.3">
      <c r="A427" s="2">
        <v>37.466999999999999</v>
      </c>
      <c r="B427" s="2">
        <v>3.1152000000000002</v>
      </c>
      <c r="C427" s="1">
        <f>Tabela3[[#This Row],[Alongamento (mm/mm)]]/$I$2</f>
        <v>6.2304000000000005E-2</v>
      </c>
      <c r="D427" s="2">
        <v>592.62</v>
      </c>
      <c r="E427" s="1">
        <f>Tabela3[[#This Row],[Força (N)]]/$I$5</f>
        <v>14039568.1663654</v>
      </c>
      <c r="F427" s="1">
        <f>Tabela3[[#This Row],[Tensão (Pa)]]/1000000</f>
        <v>14.039568166365401</v>
      </c>
    </row>
    <row r="428" spans="1:6" x14ac:dyDescent="0.3">
      <c r="A428" s="2">
        <v>37.582999999999998</v>
      </c>
      <c r="B428" s="2">
        <v>3.1248999999999998</v>
      </c>
      <c r="C428" s="1">
        <f>Tabela3[[#This Row],[Alongamento (mm/mm)]]/$I$2</f>
        <v>6.2497999999999998E-2</v>
      </c>
      <c r="D428" s="2">
        <v>597.39</v>
      </c>
      <c r="E428" s="1">
        <f>Tabela3[[#This Row],[Força (N)]]/$I$5</f>
        <v>14152572.68891537</v>
      </c>
      <c r="F428" s="1">
        <f>Tabela3[[#This Row],[Tensão (Pa)]]/1000000</f>
        <v>14.15257268891537</v>
      </c>
    </row>
    <row r="429" spans="1:6" x14ac:dyDescent="0.3">
      <c r="A429" s="2">
        <v>37.700000000000003</v>
      </c>
      <c r="B429" s="2">
        <v>3.1347</v>
      </c>
      <c r="C429" s="1">
        <f>Tabela3[[#This Row],[Alongamento (mm/mm)]]/$I$2</f>
        <v>6.2694E-2</v>
      </c>
      <c r="D429" s="2">
        <v>602.32000000000005</v>
      </c>
      <c r="E429" s="1">
        <f>Tabela3[[#This Row],[Força (N)]]/$I$5</f>
        <v>14269367.71955926</v>
      </c>
      <c r="F429" s="1">
        <f>Tabela3[[#This Row],[Tensão (Pa)]]/1000000</f>
        <v>14.269367719559259</v>
      </c>
    </row>
    <row r="430" spans="1:6" x14ac:dyDescent="0.3">
      <c r="A430" s="2">
        <v>37.817</v>
      </c>
      <c r="B430" s="2">
        <v>3.1442999999999999</v>
      </c>
      <c r="C430" s="1">
        <f>Tabela3[[#This Row],[Alongamento (mm/mm)]]/$I$2</f>
        <v>6.2885999999999997E-2</v>
      </c>
      <c r="D430" s="2">
        <v>607.25</v>
      </c>
      <c r="E430" s="1">
        <f>Tabela3[[#This Row],[Força (N)]]/$I$5</f>
        <v>14386162.750203148</v>
      </c>
      <c r="F430" s="1">
        <f>Tabela3[[#This Row],[Tensão (Pa)]]/1000000</f>
        <v>14.386162750203148</v>
      </c>
    </row>
    <row r="431" spans="1:6" x14ac:dyDescent="0.3">
      <c r="A431" s="2">
        <v>37.933</v>
      </c>
      <c r="B431" s="2">
        <v>3.1541000000000001</v>
      </c>
      <c r="C431" s="1">
        <f>Tabela3[[#This Row],[Alongamento (mm/mm)]]/$I$2</f>
        <v>6.3081999999999999E-2</v>
      </c>
      <c r="D431" s="2">
        <v>612.19000000000005</v>
      </c>
      <c r="E431" s="1">
        <f>Tabela3[[#This Row],[Força (N)]]/$I$5</f>
        <v>14503194.687602907</v>
      </c>
      <c r="F431" s="1">
        <f>Tabela3[[#This Row],[Tensão (Pa)]]/1000000</f>
        <v>14.503194687602907</v>
      </c>
    </row>
    <row r="432" spans="1:6" x14ac:dyDescent="0.3">
      <c r="A432" s="2">
        <v>38.049999999999997</v>
      </c>
      <c r="B432" s="2">
        <v>3.1638999999999999</v>
      </c>
      <c r="C432" s="1">
        <f>Tabela3[[#This Row],[Alongamento (mm/mm)]]/$I$2</f>
        <v>6.3278000000000001E-2</v>
      </c>
      <c r="D432" s="2">
        <v>617.12</v>
      </c>
      <c r="E432" s="1">
        <f>Tabela3[[#This Row],[Força (N)]]/$I$5</f>
        <v>14619989.718246795</v>
      </c>
      <c r="F432" s="1">
        <f>Tabela3[[#This Row],[Tensão (Pa)]]/1000000</f>
        <v>14.619989718246796</v>
      </c>
    </row>
    <row r="433" spans="1:6" x14ac:dyDescent="0.3">
      <c r="A433" s="2">
        <v>38.167000000000002</v>
      </c>
      <c r="B433" s="2">
        <v>3.1736</v>
      </c>
      <c r="C433" s="1">
        <f>Tabela3[[#This Row],[Alongamento (mm/mm)]]/$I$2</f>
        <v>6.3472000000000001E-2</v>
      </c>
      <c r="D433" s="2">
        <v>622.04999999999995</v>
      </c>
      <c r="E433" s="1">
        <f>Tabela3[[#This Row],[Força (N)]]/$I$5</f>
        <v>14736784.748890683</v>
      </c>
      <c r="F433" s="1">
        <f>Tabela3[[#This Row],[Tensão (Pa)]]/1000000</f>
        <v>14.736784748890683</v>
      </c>
    </row>
    <row r="434" spans="1:6" x14ac:dyDescent="0.3">
      <c r="A434" s="2">
        <v>38.283000000000001</v>
      </c>
      <c r="B434" s="2">
        <v>3.1833</v>
      </c>
      <c r="C434" s="1">
        <f>Tabela3[[#This Row],[Alongamento (mm/mm)]]/$I$2</f>
        <v>6.3666E-2</v>
      </c>
      <c r="D434" s="2">
        <v>626.98</v>
      </c>
      <c r="E434" s="1">
        <f>Tabela3[[#This Row],[Força (N)]]/$I$5</f>
        <v>14853579.779534575</v>
      </c>
      <c r="F434" s="1">
        <f>Tabela3[[#This Row],[Tensão (Pa)]]/1000000</f>
        <v>14.853579779534575</v>
      </c>
    </row>
    <row r="435" spans="1:6" x14ac:dyDescent="0.3">
      <c r="A435" s="2">
        <v>38.4</v>
      </c>
      <c r="B435" s="2">
        <v>3.1930000000000001</v>
      </c>
      <c r="C435" s="1">
        <f>Tabela3[[#This Row],[Alongamento (mm/mm)]]/$I$2</f>
        <v>6.386E-2</v>
      </c>
      <c r="D435" s="2">
        <v>631.91999999999996</v>
      </c>
      <c r="E435" s="1">
        <f>Tabela3[[#This Row],[Força (N)]]/$I$5</f>
        <v>14970611.716934331</v>
      </c>
      <c r="F435" s="1">
        <f>Tabela3[[#This Row],[Tensão (Pa)]]/1000000</f>
        <v>14.97061171693433</v>
      </c>
    </row>
    <row r="436" spans="1:6" x14ac:dyDescent="0.3">
      <c r="A436" s="2">
        <v>38.517000000000003</v>
      </c>
      <c r="B436" s="2">
        <v>3.2027000000000001</v>
      </c>
      <c r="C436" s="1">
        <f>Tabela3[[#This Row],[Alongamento (mm/mm)]]/$I$2</f>
        <v>6.4054E-2</v>
      </c>
      <c r="D436" s="2">
        <v>636.85</v>
      </c>
      <c r="E436" s="1">
        <f>Tabela3[[#This Row],[Força (N)]]/$I$5</f>
        <v>15087406.747578222</v>
      </c>
      <c r="F436" s="1">
        <f>Tabela3[[#This Row],[Tensão (Pa)]]/1000000</f>
        <v>15.087406747578223</v>
      </c>
    </row>
    <row r="437" spans="1:6" x14ac:dyDescent="0.3">
      <c r="A437" s="2">
        <v>38.633000000000003</v>
      </c>
      <c r="B437" s="2">
        <v>3.2124000000000001</v>
      </c>
      <c r="C437" s="1">
        <f>Tabela3[[#This Row],[Alongamento (mm/mm)]]/$I$2</f>
        <v>6.4248E-2</v>
      </c>
      <c r="D437" s="2">
        <v>641.95000000000005</v>
      </c>
      <c r="E437" s="1">
        <f>Tabela3[[#This Row],[Força (N)]]/$I$5</f>
        <v>15208229.1930719</v>
      </c>
      <c r="F437" s="1">
        <f>Tabela3[[#This Row],[Tensão (Pa)]]/1000000</f>
        <v>15.208229193071899</v>
      </c>
    </row>
    <row r="438" spans="1:6" x14ac:dyDescent="0.3">
      <c r="A438" s="2">
        <v>38.75</v>
      </c>
      <c r="B438" s="2">
        <v>3.2221000000000002</v>
      </c>
      <c r="C438" s="1">
        <f>Tabela3[[#This Row],[Alongamento (mm/mm)]]/$I$2</f>
        <v>6.4441999999999999E-2</v>
      </c>
      <c r="D438" s="2">
        <v>646.89</v>
      </c>
      <c r="E438" s="1">
        <f>Tabela3[[#This Row],[Força (N)]]/$I$5</f>
        <v>15325261.130471658</v>
      </c>
      <c r="F438" s="1">
        <f>Tabela3[[#This Row],[Tensão (Pa)]]/1000000</f>
        <v>15.325261130471658</v>
      </c>
    </row>
    <row r="439" spans="1:6" x14ac:dyDescent="0.3">
      <c r="A439" s="2">
        <v>38.866999999999997</v>
      </c>
      <c r="B439" s="2">
        <v>3.2317999999999998</v>
      </c>
      <c r="C439" s="1">
        <f>Tabela3[[#This Row],[Alongamento (mm/mm)]]/$I$2</f>
        <v>6.4635999999999999E-2</v>
      </c>
      <c r="D439" s="2">
        <v>651.82000000000005</v>
      </c>
      <c r="E439" s="1">
        <f>Tabela3[[#This Row],[Força (N)]]/$I$5</f>
        <v>15442056.161115548</v>
      </c>
      <c r="F439" s="1">
        <f>Tabela3[[#This Row],[Tensão (Pa)]]/1000000</f>
        <v>15.442056161115548</v>
      </c>
    </row>
    <row r="440" spans="1:6" x14ac:dyDescent="0.3">
      <c r="A440" s="2">
        <v>38.982999999999997</v>
      </c>
      <c r="B440" s="2">
        <v>3.2416</v>
      </c>
      <c r="C440" s="1">
        <f>Tabela3[[#This Row],[Alongamento (mm/mm)]]/$I$2</f>
        <v>6.4832000000000001E-2</v>
      </c>
      <c r="D440" s="2">
        <v>656.92</v>
      </c>
      <c r="E440" s="1">
        <f>Tabela3[[#This Row],[Força (N)]]/$I$5</f>
        <v>15562878.606609223</v>
      </c>
      <c r="F440" s="1">
        <f>Tabela3[[#This Row],[Tensão (Pa)]]/1000000</f>
        <v>15.562878606609223</v>
      </c>
    </row>
    <row r="441" spans="1:6" x14ac:dyDescent="0.3">
      <c r="A441" s="2">
        <v>39.1</v>
      </c>
      <c r="B441" s="2">
        <v>3.2513999999999998</v>
      </c>
      <c r="C441" s="1">
        <f>Tabela3[[#This Row],[Alongamento (mm/mm)]]/$I$2</f>
        <v>6.5028000000000002E-2</v>
      </c>
      <c r="D441" s="2">
        <v>662.02</v>
      </c>
      <c r="E441" s="1">
        <f>Tabela3[[#This Row],[Força (N)]]/$I$5</f>
        <v>15683701.052102903</v>
      </c>
      <c r="F441" s="1">
        <f>Tabela3[[#This Row],[Tensão (Pa)]]/1000000</f>
        <v>15.683701052102903</v>
      </c>
    </row>
    <row r="442" spans="1:6" x14ac:dyDescent="0.3">
      <c r="A442" s="2">
        <v>39.232999999999997</v>
      </c>
      <c r="B442" s="2">
        <v>3.2624</v>
      </c>
      <c r="C442" s="1">
        <f>Tabela3[[#This Row],[Alongamento (mm/mm)]]/$I$2</f>
        <v>6.5248E-2</v>
      </c>
      <c r="D442" s="2">
        <v>667.81</v>
      </c>
      <c r="E442" s="1">
        <f>Tabela3[[#This Row],[Força (N)]]/$I$5</f>
        <v>15820870.063751606</v>
      </c>
      <c r="F442" s="1">
        <f>Tabela3[[#This Row],[Tensão (Pa)]]/1000000</f>
        <v>15.820870063751606</v>
      </c>
    </row>
    <row r="443" spans="1:6" x14ac:dyDescent="0.3">
      <c r="A443" s="2">
        <v>39.35</v>
      </c>
      <c r="B443" s="2">
        <v>3.2722000000000002</v>
      </c>
      <c r="C443" s="1">
        <f>Tabela3[[#This Row],[Alongamento (mm/mm)]]/$I$2</f>
        <v>6.5444000000000002E-2</v>
      </c>
      <c r="D443" s="2">
        <v>672.91</v>
      </c>
      <c r="E443" s="1">
        <f>Tabela3[[#This Row],[Força (N)]]/$I$5</f>
        <v>15941692.509245286</v>
      </c>
      <c r="F443" s="1">
        <f>Tabela3[[#This Row],[Tensão (Pa)]]/1000000</f>
        <v>15.941692509245286</v>
      </c>
    </row>
    <row r="444" spans="1:6" x14ac:dyDescent="0.3">
      <c r="A444" s="2">
        <v>39.482999999999997</v>
      </c>
      <c r="B444" s="2">
        <v>3.2833000000000001</v>
      </c>
      <c r="C444" s="1">
        <f>Tabela3[[#This Row],[Alongamento (mm/mm)]]/$I$2</f>
        <v>6.5666000000000002E-2</v>
      </c>
      <c r="D444" s="2">
        <v>678.69</v>
      </c>
      <c r="E444" s="1">
        <f>Tabela3[[#This Row],[Força (N)]]/$I$5</f>
        <v>16078624.614138123</v>
      </c>
      <c r="F444" s="1">
        <f>Tabela3[[#This Row],[Tensão (Pa)]]/1000000</f>
        <v>16.078624614138121</v>
      </c>
    </row>
    <row r="445" spans="1:6" x14ac:dyDescent="0.3">
      <c r="A445" s="2">
        <v>39.6</v>
      </c>
      <c r="B445" s="2">
        <v>3.2930000000000001</v>
      </c>
      <c r="C445" s="1">
        <f>Tabela3[[#This Row],[Alongamento (mm/mm)]]/$I$2</f>
        <v>6.5860000000000002E-2</v>
      </c>
      <c r="D445" s="2">
        <v>683.8</v>
      </c>
      <c r="E445" s="1">
        <f>Tabela3[[#This Row],[Força (N)]]/$I$5</f>
        <v>16199683.966387669</v>
      </c>
      <c r="F445" s="1">
        <f>Tabela3[[#This Row],[Tensão (Pa)]]/1000000</f>
        <v>16.199683966387667</v>
      </c>
    </row>
    <row r="446" spans="1:6" x14ac:dyDescent="0.3">
      <c r="A446" s="2">
        <v>39.716999999999999</v>
      </c>
      <c r="B446" s="2">
        <v>3.3027000000000002</v>
      </c>
      <c r="C446" s="1">
        <f>Tabela3[[#This Row],[Alongamento (mm/mm)]]/$I$2</f>
        <v>6.6054000000000002E-2</v>
      </c>
      <c r="D446" s="2">
        <v>688.9</v>
      </c>
      <c r="E446" s="1">
        <f>Tabela3[[#This Row],[Força (N)]]/$I$5</f>
        <v>16320506.411881348</v>
      </c>
      <c r="F446" s="1">
        <f>Tabela3[[#This Row],[Tensão (Pa)]]/1000000</f>
        <v>16.320506411881347</v>
      </c>
    </row>
    <row r="447" spans="1:6" x14ac:dyDescent="0.3">
      <c r="A447" s="2">
        <v>39.832999999999998</v>
      </c>
      <c r="B447" s="2">
        <v>3.3123999999999998</v>
      </c>
      <c r="C447" s="1">
        <f>Tabela3[[#This Row],[Alongamento (mm/mm)]]/$I$2</f>
        <v>6.6248000000000001E-2</v>
      </c>
      <c r="D447" s="2">
        <v>694</v>
      </c>
      <c r="E447" s="1">
        <f>Tabela3[[#This Row],[Força (N)]]/$I$5</f>
        <v>16441328.857375026</v>
      </c>
      <c r="F447" s="1">
        <f>Tabela3[[#This Row],[Tensão (Pa)]]/1000000</f>
        <v>16.441328857375026</v>
      </c>
    </row>
    <row r="448" spans="1:6" x14ac:dyDescent="0.3">
      <c r="A448" s="2">
        <v>39.950000000000003</v>
      </c>
      <c r="B448" s="2">
        <v>3.3222</v>
      </c>
      <c r="C448" s="1">
        <f>Tabela3[[#This Row],[Alongamento (mm/mm)]]/$I$2</f>
        <v>6.6444000000000003E-2</v>
      </c>
      <c r="D448" s="2">
        <v>699.11</v>
      </c>
      <c r="E448" s="1">
        <f>Tabela3[[#This Row],[Força (N)]]/$I$5</f>
        <v>16562388.209624575</v>
      </c>
      <c r="F448" s="1">
        <f>Tabela3[[#This Row],[Tensão (Pa)]]/1000000</f>
        <v>16.562388209624576</v>
      </c>
    </row>
    <row r="449" spans="1:6" x14ac:dyDescent="0.3">
      <c r="A449" s="2">
        <v>40.082999999999998</v>
      </c>
      <c r="B449" s="2">
        <v>3.3332000000000002</v>
      </c>
      <c r="C449" s="1">
        <f>Tabela3[[#This Row],[Alongamento (mm/mm)]]/$I$2</f>
        <v>6.6664000000000001E-2</v>
      </c>
      <c r="D449" s="2">
        <v>704.89</v>
      </c>
      <c r="E449" s="1">
        <f>Tabela3[[#This Row],[Força (N)]]/$I$5</f>
        <v>16699320.314517409</v>
      </c>
      <c r="F449" s="1">
        <f>Tabela3[[#This Row],[Tensão (Pa)]]/1000000</f>
        <v>16.699320314517408</v>
      </c>
    </row>
    <row r="450" spans="1:6" x14ac:dyDescent="0.3">
      <c r="A450" s="2">
        <v>40.216999999999999</v>
      </c>
      <c r="B450" s="2">
        <v>3.3443999999999998</v>
      </c>
      <c r="C450" s="1">
        <f>Tabela3[[#This Row],[Alongamento (mm/mm)]]/$I$2</f>
        <v>6.6888000000000003E-2</v>
      </c>
      <c r="D450" s="2">
        <v>710.67</v>
      </c>
      <c r="E450" s="1">
        <f>Tabela3[[#This Row],[Força (N)]]/$I$5</f>
        <v>16836252.419410244</v>
      </c>
      <c r="F450" s="1">
        <f>Tabela3[[#This Row],[Tensão (Pa)]]/1000000</f>
        <v>16.836252419410243</v>
      </c>
    </row>
    <row r="451" spans="1:6" x14ac:dyDescent="0.3">
      <c r="A451" s="2">
        <v>40.332999999999998</v>
      </c>
      <c r="B451" s="2">
        <v>3.3542000000000001</v>
      </c>
      <c r="C451" s="1">
        <f>Tabela3[[#This Row],[Alongamento (mm/mm)]]/$I$2</f>
        <v>6.7084000000000005E-2</v>
      </c>
      <c r="D451" s="2">
        <v>716.12</v>
      </c>
      <c r="E451" s="1">
        <f>Tabela3[[#This Row],[Força (N)]]/$I$5</f>
        <v>16965366.601359371</v>
      </c>
      <c r="F451" s="1">
        <f>Tabela3[[#This Row],[Tensão (Pa)]]/1000000</f>
        <v>16.965366601359371</v>
      </c>
    </row>
    <row r="452" spans="1:6" x14ac:dyDescent="0.3">
      <c r="A452" s="2">
        <v>40.450000000000003</v>
      </c>
      <c r="B452" s="2">
        <v>3.3637999999999999</v>
      </c>
      <c r="C452" s="1">
        <f>Tabela3[[#This Row],[Alongamento (mm/mm)]]/$I$2</f>
        <v>6.7276000000000002E-2</v>
      </c>
      <c r="D452" s="2">
        <v>721.56</v>
      </c>
      <c r="E452" s="1">
        <f>Tabela3[[#This Row],[Força (N)]]/$I$5</f>
        <v>17094243.876552626</v>
      </c>
      <c r="F452" s="1">
        <f>Tabela3[[#This Row],[Tensão (Pa)]]/1000000</f>
        <v>17.094243876552625</v>
      </c>
    </row>
    <row r="453" spans="1:6" x14ac:dyDescent="0.3">
      <c r="A453" s="2">
        <v>40.582999999999998</v>
      </c>
      <c r="B453" s="2">
        <v>3.375</v>
      </c>
      <c r="C453" s="1">
        <f>Tabela3[[#This Row],[Alongamento (mm/mm)]]/$I$2</f>
        <v>6.7500000000000004E-2</v>
      </c>
      <c r="D453" s="2">
        <v>727.68</v>
      </c>
      <c r="E453" s="1">
        <f>Tabela3[[#This Row],[Força (N)]]/$I$5</f>
        <v>17239230.811145041</v>
      </c>
      <c r="F453" s="1">
        <f>Tabela3[[#This Row],[Tensão (Pa)]]/1000000</f>
        <v>17.239230811145042</v>
      </c>
    </row>
    <row r="454" spans="1:6" x14ac:dyDescent="0.3">
      <c r="A454" s="2">
        <v>40.716999999999999</v>
      </c>
      <c r="B454" s="2">
        <v>3.3860999999999999</v>
      </c>
      <c r="C454" s="1">
        <f>Tabela3[[#This Row],[Alongamento (mm/mm)]]/$I$2</f>
        <v>6.7722000000000004E-2</v>
      </c>
      <c r="D454" s="2">
        <v>733.64</v>
      </c>
      <c r="E454" s="1">
        <f>Tabela3[[#This Row],[Força (N)]]/$I$5</f>
        <v>17380427.237643536</v>
      </c>
      <c r="F454" s="1">
        <f>Tabela3[[#This Row],[Tensão (Pa)]]/1000000</f>
        <v>17.380427237643538</v>
      </c>
    </row>
    <row r="455" spans="1:6" x14ac:dyDescent="0.3">
      <c r="A455" s="2">
        <v>40.832999999999998</v>
      </c>
      <c r="B455" s="2">
        <v>3.3957999999999999</v>
      </c>
      <c r="C455" s="1">
        <f>Tabela3[[#This Row],[Alongamento (mm/mm)]]/$I$2</f>
        <v>6.7916000000000004E-2</v>
      </c>
      <c r="D455" s="2">
        <v>739.08</v>
      </c>
      <c r="E455" s="1">
        <f>Tabela3[[#This Row],[Força (N)]]/$I$5</f>
        <v>17509304.512836795</v>
      </c>
      <c r="F455" s="1">
        <f>Tabela3[[#This Row],[Tensão (Pa)]]/1000000</f>
        <v>17.509304512836795</v>
      </c>
    </row>
    <row r="456" spans="1:6" x14ac:dyDescent="0.3">
      <c r="A456" s="2">
        <v>40.966999999999999</v>
      </c>
      <c r="B456" s="2">
        <v>3.4068999999999998</v>
      </c>
      <c r="C456" s="1">
        <f>Tabela3[[#This Row],[Alongamento (mm/mm)]]/$I$2</f>
        <v>6.813799999999999E-2</v>
      </c>
      <c r="D456" s="2">
        <v>745.03</v>
      </c>
      <c r="E456" s="1">
        <f>Tabela3[[#This Row],[Força (N)]]/$I$5</f>
        <v>17650264.032579418</v>
      </c>
      <c r="F456" s="1">
        <f>Tabela3[[#This Row],[Tensão (Pa)]]/1000000</f>
        <v>17.650264032579418</v>
      </c>
    </row>
    <row r="457" spans="1:6" x14ac:dyDescent="0.3">
      <c r="A457" s="2">
        <v>41.1</v>
      </c>
      <c r="B457" s="2">
        <v>3.4178999999999999</v>
      </c>
      <c r="C457" s="1">
        <f>Tabela3[[#This Row],[Alongamento (mm/mm)]]/$I$2</f>
        <v>6.8358000000000002E-2</v>
      </c>
      <c r="D457" s="2">
        <v>751.33</v>
      </c>
      <c r="E457" s="1">
        <f>Tabela3[[#This Row],[Força (N)]]/$I$5</f>
        <v>17799515.288777493</v>
      </c>
      <c r="F457" s="1">
        <f>Tabela3[[#This Row],[Tensão (Pa)]]/1000000</f>
        <v>17.799515288777492</v>
      </c>
    </row>
    <row r="458" spans="1:6" x14ac:dyDescent="0.3">
      <c r="A458" s="2">
        <v>41.232999999999997</v>
      </c>
      <c r="B458" s="2">
        <v>3.4291</v>
      </c>
      <c r="C458" s="1">
        <f>Tabela3[[#This Row],[Alongamento (mm/mm)]]/$I$2</f>
        <v>6.8582000000000004E-2</v>
      </c>
      <c r="D458" s="2">
        <v>757.45</v>
      </c>
      <c r="E458" s="1">
        <f>Tabela3[[#This Row],[Força (N)]]/$I$5</f>
        <v>17944502.223369904</v>
      </c>
      <c r="F458" s="1">
        <f>Tabela3[[#This Row],[Tensão (Pa)]]/1000000</f>
        <v>17.944502223369906</v>
      </c>
    </row>
    <row r="459" spans="1:6" x14ac:dyDescent="0.3">
      <c r="A459" s="2">
        <v>41.366999999999997</v>
      </c>
      <c r="B459" s="2">
        <v>3.4401999999999999</v>
      </c>
      <c r="C459" s="1">
        <f>Tabela3[[#This Row],[Alongamento (mm/mm)]]/$I$2</f>
        <v>6.8804000000000004E-2</v>
      </c>
      <c r="D459" s="2">
        <v>763.57</v>
      </c>
      <c r="E459" s="1">
        <f>Tabela3[[#This Row],[Força (N)]]/$I$5</f>
        <v>18089489.157962319</v>
      </c>
      <c r="F459" s="1">
        <f>Tabela3[[#This Row],[Tensão (Pa)]]/1000000</f>
        <v>18.089489157962319</v>
      </c>
    </row>
    <row r="460" spans="1:6" x14ac:dyDescent="0.3">
      <c r="A460" s="2">
        <v>41.5</v>
      </c>
      <c r="B460" s="2">
        <v>3.4512999999999998</v>
      </c>
      <c r="C460" s="1">
        <f>Tabela3[[#This Row],[Alongamento (mm/mm)]]/$I$2</f>
        <v>6.902599999999999E-2</v>
      </c>
      <c r="D460" s="2">
        <v>769.7</v>
      </c>
      <c r="E460" s="1">
        <f>Tabela3[[#This Row],[Força (N)]]/$I$5</f>
        <v>18234712.999310602</v>
      </c>
      <c r="F460" s="1">
        <f>Tabela3[[#This Row],[Tensão (Pa)]]/1000000</f>
        <v>18.234712999310602</v>
      </c>
    </row>
    <row r="461" spans="1:6" x14ac:dyDescent="0.3">
      <c r="A461" s="2">
        <v>41.633000000000003</v>
      </c>
      <c r="B461" s="2">
        <v>3.4624999999999999</v>
      </c>
      <c r="C461" s="1">
        <f>Tabela3[[#This Row],[Alongamento (mm/mm)]]/$I$2</f>
        <v>6.9249999999999992E-2</v>
      </c>
      <c r="D461" s="2">
        <v>775.82</v>
      </c>
      <c r="E461" s="1">
        <f>Tabela3[[#This Row],[Força (N)]]/$I$5</f>
        <v>18379699.933903016</v>
      </c>
      <c r="F461" s="1">
        <f>Tabela3[[#This Row],[Tensão (Pa)]]/1000000</f>
        <v>18.379699933903016</v>
      </c>
    </row>
    <row r="462" spans="1:6" x14ac:dyDescent="0.3">
      <c r="A462" s="2">
        <v>41.767000000000003</v>
      </c>
      <c r="B462" s="2">
        <v>3.4735999999999998</v>
      </c>
      <c r="C462" s="1">
        <f>Tabela3[[#This Row],[Alongamento (mm/mm)]]/$I$2</f>
        <v>6.9471999999999992E-2</v>
      </c>
      <c r="D462" s="2">
        <v>781.94</v>
      </c>
      <c r="E462" s="1">
        <f>Tabela3[[#This Row],[Força (N)]]/$I$5</f>
        <v>18524686.868495431</v>
      </c>
      <c r="F462" s="1">
        <f>Tabela3[[#This Row],[Tensão (Pa)]]/1000000</f>
        <v>18.524686868495429</v>
      </c>
    </row>
    <row r="463" spans="1:6" x14ac:dyDescent="0.3">
      <c r="A463" s="2">
        <v>41.9</v>
      </c>
      <c r="B463" s="2">
        <v>3.4845999999999999</v>
      </c>
      <c r="C463" s="1">
        <f>Tabela3[[#This Row],[Alongamento (mm/mm)]]/$I$2</f>
        <v>6.9692000000000004E-2</v>
      </c>
      <c r="D463" s="2">
        <v>788.07</v>
      </c>
      <c r="E463" s="1">
        <f>Tabela3[[#This Row],[Força (N)]]/$I$5</f>
        <v>18669910.709843714</v>
      </c>
      <c r="F463" s="1">
        <f>Tabela3[[#This Row],[Tensão (Pa)]]/1000000</f>
        <v>18.669910709843712</v>
      </c>
    </row>
    <row r="464" spans="1:6" x14ac:dyDescent="0.3">
      <c r="A464" s="2">
        <v>42.033000000000001</v>
      </c>
      <c r="B464" s="2">
        <v>3.4956999999999998</v>
      </c>
      <c r="C464" s="1">
        <f>Tabela3[[#This Row],[Alongamento (mm/mm)]]/$I$2</f>
        <v>6.991399999999999E-2</v>
      </c>
      <c r="D464" s="2">
        <v>794.36</v>
      </c>
      <c r="E464" s="1">
        <f>Tabela3[[#This Row],[Força (N)]]/$I$5</f>
        <v>18818925.059285916</v>
      </c>
      <c r="F464" s="1">
        <f>Tabela3[[#This Row],[Tensão (Pa)]]/1000000</f>
        <v>18.818925059285917</v>
      </c>
    </row>
    <row r="465" spans="1:6" x14ac:dyDescent="0.3">
      <c r="A465" s="2">
        <v>42.167000000000002</v>
      </c>
      <c r="B465" s="2">
        <v>3.5068999999999999</v>
      </c>
      <c r="C465" s="1">
        <f>Tabela3[[#This Row],[Alongamento (mm/mm)]]/$I$2</f>
        <v>7.0137999999999992E-2</v>
      </c>
      <c r="D465" s="2">
        <v>800.48</v>
      </c>
      <c r="E465" s="1">
        <f>Tabela3[[#This Row],[Força (N)]]/$I$5</f>
        <v>18963911.993878331</v>
      </c>
      <c r="F465" s="1">
        <f>Tabela3[[#This Row],[Tensão (Pa)]]/1000000</f>
        <v>18.96391199387833</v>
      </c>
    </row>
    <row r="466" spans="1:6" x14ac:dyDescent="0.3">
      <c r="A466" s="2">
        <v>42.3</v>
      </c>
      <c r="B466" s="2">
        <v>3.5179999999999998</v>
      </c>
      <c r="C466" s="1">
        <f>Tabela3[[#This Row],[Alongamento (mm/mm)]]/$I$2</f>
        <v>7.0359999999999992E-2</v>
      </c>
      <c r="D466" s="2">
        <v>806.78</v>
      </c>
      <c r="E466" s="1">
        <f>Tabela3[[#This Row],[Força (N)]]/$I$5</f>
        <v>19113163.250076402</v>
      </c>
      <c r="F466" s="1">
        <f>Tabela3[[#This Row],[Tensão (Pa)]]/1000000</f>
        <v>19.113163250076401</v>
      </c>
    </row>
    <row r="467" spans="1:6" x14ac:dyDescent="0.3">
      <c r="A467" s="2">
        <v>42.45</v>
      </c>
      <c r="B467" s="2">
        <v>3.5305</v>
      </c>
      <c r="C467" s="1">
        <f>Tabela3[[#This Row],[Alongamento (mm/mm)]]/$I$2</f>
        <v>7.0610000000000006E-2</v>
      </c>
      <c r="D467" s="2">
        <v>813.58</v>
      </c>
      <c r="E467" s="1">
        <f>Tabela3[[#This Row],[Força (N)]]/$I$5</f>
        <v>19274259.844067976</v>
      </c>
      <c r="F467" s="1">
        <f>Tabela3[[#This Row],[Tensão (Pa)]]/1000000</f>
        <v>19.274259844067977</v>
      </c>
    </row>
    <row r="468" spans="1:6" x14ac:dyDescent="0.3">
      <c r="A468" s="2">
        <v>42.582999999999998</v>
      </c>
      <c r="B468" s="2">
        <v>3.5415999999999999</v>
      </c>
      <c r="C468" s="1">
        <f>Tabela3[[#This Row],[Alongamento (mm/mm)]]/$I$2</f>
        <v>7.0831999999999992E-2</v>
      </c>
      <c r="D468" s="2">
        <v>819.71</v>
      </c>
      <c r="E468" s="1">
        <f>Tabela3[[#This Row],[Força (N)]]/$I$5</f>
        <v>19419483.685416259</v>
      </c>
      <c r="F468" s="1">
        <f>Tabela3[[#This Row],[Tensão (Pa)]]/1000000</f>
        <v>19.41948368541626</v>
      </c>
    </row>
    <row r="469" spans="1:6" x14ac:dyDescent="0.3">
      <c r="A469" s="2">
        <v>42.716999999999999</v>
      </c>
      <c r="B469" s="2">
        <v>3.5527000000000002</v>
      </c>
      <c r="C469" s="1">
        <f>Tabela3[[#This Row],[Alongamento (mm/mm)]]/$I$2</f>
        <v>7.1054000000000006E-2</v>
      </c>
      <c r="D469" s="2">
        <v>825.83</v>
      </c>
      <c r="E469" s="1">
        <f>Tabela3[[#This Row],[Força (N)]]/$I$5</f>
        <v>19564470.620008674</v>
      </c>
      <c r="F469" s="1">
        <f>Tabela3[[#This Row],[Tensão (Pa)]]/1000000</f>
        <v>19.564470620008674</v>
      </c>
    </row>
    <row r="470" spans="1:6" x14ac:dyDescent="0.3">
      <c r="A470" s="2">
        <v>42.85</v>
      </c>
      <c r="B470" s="2">
        <v>3.5636999999999999</v>
      </c>
      <c r="C470" s="1">
        <f>Tabela3[[#This Row],[Alongamento (mm/mm)]]/$I$2</f>
        <v>7.1274000000000004E-2</v>
      </c>
      <c r="D470" s="2">
        <v>831.95</v>
      </c>
      <c r="E470" s="1">
        <f>Tabela3[[#This Row],[Força (N)]]/$I$5</f>
        <v>19709457.554601084</v>
      </c>
      <c r="F470" s="1">
        <f>Tabela3[[#This Row],[Tensão (Pa)]]/1000000</f>
        <v>19.709457554601084</v>
      </c>
    </row>
    <row r="471" spans="1:6" x14ac:dyDescent="0.3">
      <c r="A471" s="2">
        <v>43</v>
      </c>
      <c r="B471" s="2">
        <v>3.5762999999999998</v>
      </c>
      <c r="C471" s="1">
        <f>Tabela3[[#This Row],[Alongamento (mm/mm)]]/$I$2</f>
        <v>7.1525999999999992E-2</v>
      </c>
      <c r="D471" s="2">
        <v>838.93</v>
      </c>
      <c r="E471" s="1">
        <f>Tabela3[[#This Row],[Força (N)]]/$I$5</f>
        <v>19874818.470198315</v>
      </c>
      <c r="F471" s="1">
        <f>Tabela3[[#This Row],[Tensão (Pa)]]/1000000</f>
        <v>19.874818470198313</v>
      </c>
    </row>
    <row r="472" spans="1:6" x14ac:dyDescent="0.3">
      <c r="A472" s="2">
        <v>43.15</v>
      </c>
      <c r="B472" s="2">
        <v>3.5888</v>
      </c>
      <c r="C472" s="1">
        <f>Tabela3[[#This Row],[Alongamento (mm/mm)]]/$I$2</f>
        <v>7.1776000000000006E-2</v>
      </c>
      <c r="D472" s="2">
        <v>845.9</v>
      </c>
      <c r="E472" s="1">
        <f>Tabela3[[#This Row],[Força (N)]]/$I$5</f>
        <v>20039942.479039676</v>
      </c>
      <c r="F472" s="1">
        <f>Tabela3[[#This Row],[Tensão (Pa)]]/1000000</f>
        <v>20.039942479039677</v>
      </c>
    </row>
    <row r="473" spans="1:6" x14ac:dyDescent="0.3">
      <c r="A473" s="2">
        <v>43.3</v>
      </c>
      <c r="B473" s="2">
        <v>3.6013000000000002</v>
      </c>
      <c r="C473" s="1">
        <f>Tabela3[[#This Row],[Alongamento (mm/mm)]]/$I$2</f>
        <v>7.2026000000000007E-2</v>
      </c>
      <c r="D473" s="2">
        <v>852.71</v>
      </c>
      <c r="E473" s="1">
        <f>Tabela3[[#This Row],[Força (N)]]/$I$5</f>
        <v>20201275.979787119</v>
      </c>
      <c r="F473" s="1">
        <f>Tabela3[[#This Row],[Tensão (Pa)]]/1000000</f>
        <v>20.20127597978712</v>
      </c>
    </row>
    <row r="474" spans="1:6" x14ac:dyDescent="0.3">
      <c r="A474" s="2">
        <v>43.45</v>
      </c>
      <c r="B474" s="2">
        <v>3.6137999999999999</v>
      </c>
      <c r="C474" s="1">
        <f>Tabela3[[#This Row],[Alongamento (mm/mm)]]/$I$2</f>
        <v>7.2275999999999993E-2</v>
      </c>
      <c r="D474" s="2">
        <v>859.85</v>
      </c>
      <c r="E474" s="1">
        <f>Tabela3[[#This Row],[Força (N)]]/$I$5</f>
        <v>20370427.403478265</v>
      </c>
      <c r="F474" s="1">
        <f>Tabela3[[#This Row],[Tensão (Pa)]]/1000000</f>
        <v>20.370427403478264</v>
      </c>
    </row>
    <row r="475" spans="1:6" x14ac:dyDescent="0.3">
      <c r="A475" s="2">
        <v>43.6</v>
      </c>
      <c r="B475" s="2">
        <v>3.6263000000000001</v>
      </c>
      <c r="C475" s="1">
        <f>Tabela3[[#This Row],[Alongamento (mm/mm)]]/$I$2</f>
        <v>7.2526000000000007E-2</v>
      </c>
      <c r="D475" s="2">
        <v>866.82</v>
      </c>
      <c r="E475" s="1">
        <f>Tabela3[[#This Row],[Força (N)]]/$I$5</f>
        <v>20535551.412319627</v>
      </c>
      <c r="F475" s="1">
        <f>Tabela3[[#This Row],[Tensão (Pa)]]/1000000</f>
        <v>20.535551412319627</v>
      </c>
    </row>
    <row r="476" spans="1:6" x14ac:dyDescent="0.3">
      <c r="A476" s="2">
        <v>43.75</v>
      </c>
      <c r="B476" s="2">
        <v>3.6387999999999998</v>
      </c>
      <c r="C476" s="1">
        <f>Tabela3[[#This Row],[Alongamento (mm/mm)]]/$I$2</f>
        <v>7.2775999999999993E-2</v>
      </c>
      <c r="D476" s="2">
        <v>873.8</v>
      </c>
      <c r="E476" s="1">
        <f>Tabela3[[#This Row],[Força (N)]]/$I$5</f>
        <v>20700912.327916853</v>
      </c>
      <c r="F476" s="1">
        <f>Tabela3[[#This Row],[Tensão (Pa)]]/1000000</f>
        <v>20.700912327916853</v>
      </c>
    </row>
    <row r="477" spans="1:6" x14ac:dyDescent="0.3">
      <c r="A477" s="2">
        <v>43.9</v>
      </c>
      <c r="B477" s="2">
        <v>3.6513</v>
      </c>
      <c r="C477" s="1">
        <f>Tabela3[[#This Row],[Alongamento (mm/mm)]]/$I$2</f>
        <v>7.3025999999999994E-2</v>
      </c>
      <c r="D477" s="2">
        <v>880.6</v>
      </c>
      <c r="E477" s="1">
        <f>Tabela3[[#This Row],[Força (N)]]/$I$5</f>
        <v>20862008.921908427</v>
      </c>
      <c r="F477" s="1">
        <f>Tabela3[[#This Row],[Tensão (Pa)]]/1000000</f>
        <v>20.862008921908426</v>
      </c>
    </row>
    <row r="478" spans="1:6" x14ac:dyDescent="0.3">
      <c r="A478" s="2">
        <v>44.05</v>
      </c>
      <c r="B478" s="2">
        <v>3.6638999999999999</v>
      </c>
      <c r="C478" s="1">
        <f>Tabela3[[#This Row],[Alongamento (mm/mm)]]/$I$2</f>
        <v>7.3277999999999996E-2</v>
      </c>
      <c r="D478" s="2">
        <v>887.58</v>
      </c>
      <c r="E478" s="1">
        <f>Tabela3[[#This Row],[Força (N)]]/$I$5</f>
        <v>21027369.837505657</v>
      </c>
      <c r="F478" s="1">
        <f>Tabela3[[#This Row],[Tensão (Pa)]]/1000000</f>
        <v>21.027369837505656</v>
      </c>
    </row>
    <row r="479" spans="1:6" x14ac:dyDescent="0.3">
      <c r="A479" s="2">
        <v>44.2</v>
      </c>
      <c r="B479" s="2">
        <v>3.6762999999999999</v>
      </c>
      <c r="C479" s="1">
        <f>Tabela3[[#This Row],[Alongamento (mm/mm)]]/$I$2</f>
        <v>7.3525999999999994E-2</v>
      </c>
      <c r="D479" s="2">
        <v>894.55</v>
      </c>
      <c r="E479" s="1">
        <f>Tabela3[[#This Row],[Força (N)]]/$I$5</f>
        <v>21192493.846347015</v>
      </c>
      <c r="F479" s="1">
        <f>Tabela3[[#This Row],[Tensão (Pa)]]/1000000</f>
        <v>21.192493846347016</v>
      </c>
    </row>
    <row r="480" spans="1:6" x14ac:dyDescent="0.3">
      <c r="A480" s="2">
        <v>44.35</v>
      </c>
      <c r="B480" s="2">
        <v>3.6888000000000001</v>
      </c>
      <c r="C480" s="1">
        <f>Tabela3[[#This Row],[Alongamento (mm/mm)]]/$I$2</f>
        <v>7.3776000000000008E-2</v>
      </c>
      <c r="D480" s="2">
        <v>901.52</v>
      </c>
      <c r="E480" s="1">
        <f>Tabela3[[#This Row],[Força (N)]]/$I$5</f>
        <v>21357617.855188377</v>
      </c>
      <c r="F480" s="1">
        <f>Tabela3[[#This Row],[Tensão (Pa)]]/1000000</f>
        <v>21.357617855188376</v>
      </c>
    </row>
    <row r="481" spans="1:6" x14ac:dyDescent="0.3">
      <c r="A481" s="2">
        <v>44.5</v>
      </c>
      <c r="B481" s="2">
        <v>3.7014</v>
      </c>
      <c r="C481" s="1">
        <f>Tabela3[[#This Row],[Alongamento (mm/mm)]]/$I$2</f>
        <v>7.4027999999999997E-2</v>
      </c>
      <c r="D481" s="2">
        <v>908.67</v>
      </c>
      <c r="E481" s="1">
        <f>Tabela3[[#This Row],[Força (N)]]/$I$5</f>
        <v>21527006.185635395</v>
      </c>
      <c r="F481" s="1">
        <f>Tabela3[[#This Row],[Tensão (Pa)]]/1000000</f>
        <v>21.527006185635397</v>
      </c>
    </row>
    <row r="482" spans="1:6" x14ac:dyDescent="0.3">
      <c r="A482" s="2">
        <v>44.65</v>
      </c>
      <c r="B482" s="2">
        <v>3.7138</v>
      </c>
      <c r="C482" s="1">
        <f>Tabela3[[#This Row],[Alongamento (mm/mm)]]/$I$2</f>
        <v>7.4275999999999995E-2</v>
      </c>
      <c r="D482" s="2">
        <v>915.47</v>
      </c>
      <c r="E482" s="1">
        <f>Tabela3[[#This Row],[Força (N)]]/$I$5</f>
        <v>21688102.779626969</v>
      </c>
      <c r="F482" s="1">
        <f>Tabela3[[#This Row],[Tensão (Pa)]]/1000000</f>
        <v>21.68810277962697</v>
      </c>
    </row>
    <row r="483" spans="1:6" x14ac:dyDescent="0.3">
      <c r="A483" s="2">
        <v>44.817</v>
      </c>
      <c r="B483" s="2">
        <v>3.7277</v>
      </c>
      <c r="C483" s="1">
        <f>Tabela3[[#This Row],[Alongamento (mm/mm)]]/$I$2</f>
        <v>7.4553999999999995E-2</v>
      </c>
      <c r="D483" s="2">
        <v>923.13</v>
      </c>
      <c r="E483" s="1">
        <f>Tabela3[[#This Row],[Força (N)]]/$I$5</f>
        <v>21869573.354623355</v>
      </c>
      <c r="F483" s="1">
        <f>Tabela3[[#This Row],[Tensão (Pa)]]/1000000</f>
        <v>21.869573354623355</v>
      </c>
    </row>
    <row r="484" spans="1:6" x14ac:dyDescent="0.3">
      <c r="A484" s="2">
        <v>44.982999999999997</v>
      </c>
      <c r="B484" s="2">
        <v>3.7416999999999998</v>
      </c>
      <c r="C484" s="1">
        <f>Tabela3[[#This Row],[Alongamento (mm/mm)]]/$I$2</f>
        <v>7.4833999999999998E-2</v>
      </c>
      <c r="D484" s="2">
        <v>930.95</v>
      </c>
      <c r="E484" s="1">
        <f>Tabela3[[#This Row],[Força (N)]]/$I$5</f>
        <v>22054834.43771366</v>
      </c>
      <c r="F484" s="1">
        <f>Tabela3[[#This Row],[Tensão (Pa)]]/1000000</f>
        <v>22.054834437713659</v>
      </c>
    </row>
    <row r="485" spans="1:6" x14ac:dyDescent="0.3">
      <c r="A485" s="2">
        <v>45.15</v>
      </c>
      <c r="B485" s="2">
        <v>3.7553999999999998</v>
      </c>
      <c r="C485" s="1">
        <f>Tabela3[[#This Row],[Alongamento (mm/mm)]]/$I$2</f>
        <v>7.5107999999999994E-2</v>
      </c>
      <c r="D485" s="2">
        <v>938.61</v>
      </c>
      <c r="E485" s="1">
        <f>Tabela3[[#This Row],[Força (N)]]/$I$5</f>
        <v>22236305.01271005</v>
      </c>
      <c r="F485" s="1">
        <f>Tabela3[[#This Row],[Tensão (Pa)]]/1000000</f>
        <v>22.236305012710051</v>
      </c>
    </row>
    <row r="486" spans="1:6" x14ac:dyDescent="0.3">
      <c r="A486" s="2">
        <v>45.317</v>
      </c>
      <c r="B486" s="2">
        <v>3.7694000000000001</v>
      </c>
      <c r="C486" s="1">
        <f>Tabela3[[#This Row],[Alongamento (mm/mm)]]/$I$2</f>
        <v>7.5387999999999997E-2</v>
      </c>
      <c r="D486" s="2">
        <v>946.26</v>
      </c>
      <c r="E486" s="1">
        <f>Tabela3[[#This Row],[Força (N)]]/$I$5</f>
        <v>22417538.680950563</v>
      </c>
      <c r="F486" s="1">
        <f>Tabela3[[#This Row],[Tensão (Pa)]]/1000000</f>
        <v>22.417538680950564</v>
      </c>
    </row>
    <row r="487" spans="1:6" x14ac:dyDescent="0.3">
      <c r="A487" s="2">
        <v>45.482999999999997</v>
      </c>
      <c r="B487" s="2">
        <v>3.7833000000000001</v>
      </c>
      <c r="C487" s="1">
        <f>Tabela3[[#This Row],[Alongamento (mm/mm)]]/$I$2</f>
        <v>7.5665999999999997E-2</v>
      </c>
      <c r="D487" s="2">
        <v>954.08</v>
      </c>
      <c r="E487" s="1">
        <f>Tabela3[[#This Row],[Força (N)]]/$I$5</f>
        <v>22602799.764040872</v>
      </c>
      <c r="F487" s="1">
        <f>Tabela3[[#This Row],[Tensão (Pa)]]/1000000</f>
        <v>22.602799764040874</v>
      </c>
    </row>
    <row r="488" spans="1:6" x14ac:dyDescent="0.3">
      <c r="A488" s="2">
        <v>45.633000000000003</v>
      </c>
      <c r="B488" s="2">
        <v>3.7957000000000001</v>
      </c>
      <c r="C488" s="1">
        <f>Tabela3[[#This Row],[Alongamento (mm/mm)]]/$I$2</f>
        <v>7.5913999999999995E-2</v>
      </c>
      <c r="D488" s="2">
        <v>961.23</v>
      </c>
      <c r="E488" s="1">
        <f>Tabela3[[#This Row],[Força (N)]]/$I$5</f>
        <v>22772188.094487891</v>
      </c>
      <c r="F488" s="1">
        <f>Tabela3[[#This Row],[Tensão (Pa)]]/1000000</f>
        <v>22.772188094487891</v>
      </c>
    </row>
    <row r="489" spans="1:6" x14ac:dyDescent="0.3">
      <c r="A489" s="2">
        <v>45.8</v>
      </c>
      <c r="B489" s="2">
        <v>3.8096999999999999</v>
      </c>
      <c r="C489" s="1">
        <f>Tabela3[[#This Row],[Alongamento (mm/mm)]]/$I$2</f>
        <v>7.6193999999999998E-2</v>
      </c>
      <c r="D489" s="2">
        <v>969.05</v>
      </c>
      <c r="E489" s="1">
        <f>Tabela3[[#This Row],[Força (N)]]/$I$5</f>
        <v>22957449.177578196</v>
      </c>
      <c r="F489" s="1">
        <f>Tabela3[[#This Row],[Tensão (Pa)]]/1000000</f>
        <v>22.957449177578194</v>
      </c>
    </row>
    <row r="490" spans="1:6" x14ac:dyDescent="0.3">
      <c r="A490" s="2">
        <v>45.966999999999999</v>
      </c>
      <c r="B490" s="2">
        <v>3.8235999999999999</v>
      </c>
      <c r="C490" s="1">
        <f>Tabela3[[#This Row],[Alongamento (mm/mm)]]/$I$2</f>
        <v>7.6471999999999998E-2</v>
      </c>
      <c r="D490" s="2">
        <v>976.88</v>
      </c>
      <c r="E490" s="1">
        <f>Tabela3[[#This Row],[Força (N)]]/$I$5</f>
        <v>23142947.167424373</v>
      </c>
      <c r="F490" s="1">
        <f>Tabela3[[#This Row],[Tensão (Pa)]]/1000000</f>
        <v>23.142947167424374</v>
      </c>
    </row>
    <row r="491" spans="1:6" x14ac:dyDescent="0.3">
      <c r="A491" s="2">
        <v>46.133000000000003</v>
      </c>
      <c r="B491" s="2">
        <v>3.8372999999999999</v>
      </c>
      <c r="C491" s="1">
        <f>Tabela3[[#This Row],[Alongamento (mm/mm)]]/$I$2</f>
        <v>7.6745999999999995E-2</v>
      </c>
      <c r="D491" s="2">
        <v>984.87</v>
      </c>
      <c r="E491" s="1">
        <f>Tabela3[[#This Row],[Força (N)]]/$I$5</f>
        <v>23332235.66536447</v>
      </c>
      <c r="F491" s="1">
        <f>Tabela3[[#This Row],[Tensão (Pa)]]/1000000</f>
        <v>23.332235665364472</v>
      </c>
    </row>
    <row r="492" spans="1:6" x14ac:dyDescent="0.3">
      <c r="A492" s="2">
        <v>46.3</v>
      </c>
      <c r="B492" s="2">
        <v>3.8513000000000002</v>
      </c>
      <c r="C492" s="1">
        <f>Tabela3[[#This Row],[Alongamento (mm/mm)]]/$I$2</f>
        <v>7.7025999999999997E-2</v>
      </c>
      <c r="D492" s="2">
        <v>992.87</v>
      </c>
      <c r="E492" s="1">
        <f>Tabela3[[#This Row],[Força (N)]]/$I$5</f>
        <v>23521761.070060436</v>
      </c>
      <c r="F492" s="1">
        <f>Tabela3[[#This Row],[Tensão (Pa)]]/1000000</f>
        <v>23.521761070060435</v>
      </c>
    </row>
    <row r="493" spans="1:6" x14ac:dyDescent="0.3">
      <c r="A493" s="2">
        <v>46.466999999999999</v>
      </c>
      <c r="B493" s="2">
        <v>3.8653</v>
      </c>
      <c r="C493" s="1">
        <f>Tabela3[[#This Row],[Alongamento (mm/mm)]]/$I$2</f>
        <v>7.7306E-2</v>
      </c>
      <c r="D493" s="2">
        <v>1000.9</v>
      </c>
      <c r="E493" s="1">
        <f>Tabela3[[#This Row],[Força (N)]]/$I$5</f>
        <v>23711997.19502401</v>
      </c>
      <c r="F493" s="1">
        <f>Tabela3[[#This Row],[Tensão (Pa)]]/1000000</f>
        <v>23.711997195024011</v>
      </c>
    </row>
    <row r="494" spans="1:6" x14ac:dyDescent="0.3">
      <c r="A494" s="2">
        <v>46.633000000000003</v>
      </c>
      <c r="B494" s="2">
        <v>3.8791000000000002</v>
      </c>
      <c r="C494" s="1">
        <f>Tabela3[[#This Row],[Alongamento (mm/mm)]]/$I$2</f>
        <v>7.7581999999999998E-2</v>
      </c>
      <c r="D494" s="2">
        <v>1008.9</v>
      </c>
      <c r="E494" s="1">
        <f>Tabela3[[#This Row],[Força (N)]]/$I$5</f>
        <v>23901522.599719975</v>
      </c>
      <c r="F494" s="1">
        <f>Tabela3[[#This Row],[Tensão (Pa)]]/1000000</f>
        <v>23.901522599719975</v>
      </c>
    </row>
    <row r="495" spans="1:6" x14ac:dyDescent="0.3">
      <c r="A495" s="2">
        <v>46.8</v>
      </c>
      <c r="B495" s="2">
        <v>3.8929999999999998</v>
      </c>
      <c r="C495" s="1">
        <f>Tabela3[[#This Row],[Alongamento (mm/mm)]]/$I$2</f>
        <v>7.7859999999999999E-2</v>
      </c>
      <c r="D495" s="2">
        <v>1017</v>
      </c>
      <c r="E495" s="1">
        <f>Tabela3[[#This Row],[Força (N)]]/$I$5</f>
        <v>24093417.071974643</v>
      </c>
      <c r="F495" s="1">
        <f>Tabela3[[#This Row],[Tensão (Pa)]]/1000000</f>
        <v>24.093417071974642</v>
      </c>
    </row>
    <row r="496" spans="1:6" x14ac:dyDescent="0.3">
      <c r="A496" s="2">
        <v>46.966999999999999</v>
      </c>
      <c r="B496" s="2">
        <v>3.9068999999999998</v>
      </c>
      <c r="C496" s="1">
        <f>Tabela3[[#This Row],[Alongamento (mm/mm)]]/$I$2</f>
        <v>7.8137999999999999E-2</v>
      </c>
      <c r="D496" s="2">
        <v>1025.2</v>
      </c>
      <c r="E496" s="1">
        <f>Tabela3[[#This Row],[Força (N)]]/$I$5</f>
        <v>24287680.611788008</v>
      </c>
      <c r="F496" s="1">
        <f>Tabela3[[#This Row],[Tensão (Pa)]]/1000000</f>
        <v>24.287680611788009</v>
      </c>
    </row>
    <row r="497" spans="1:6" x14ac:dyDescent="0.3">
      <c r="A497" s="2">
        <v>47.133000000000003</v>
      </c>
      <c r="B497" s="2">
        <v>3.9207000000000001</v>
      </c>
      <c r="C497" s="1">
        <f>Tabela3[[#This Row],[Alongamento (mm/mm)]]/$I$2</f>
        <v>7.8413999999999998E-2</v>
      </c>
      <c r="D497" s="2">
        <v>1033.4000000000001</v>
      </c>
      <c r="E497" s="1">
        <f>Tabela3[[#This Row],[Força (N)]]/$I$5</f>
        <v>24481944.151601374</v>
      </c>
      <c r="F497" s="1">
        <f>Tabela3[[#This Row],[Tensão (Pa)]]/1000000</f>
        <v>24.481944151601375</v>
      </c>
    </row>
    <row r="498" spans="1:6" x14ac:dyDescent="0.3">
      <c r="A498" s="2">
        <v>47.3</v>
      </c>
      <c r="B498" s="2">
        <v>3.9346999999999999</v>
      </c>
      <c r="C498" s="1">
        <f>Tabela3[[#This Row],[Alongamento (mm/mm)]]/$I$2</f>
        <v>7.8694E-2</v>
      </c>
      <c r="D498" s="2">
        <v>1041.5</v>
      </c>
      <c r="E498" s="1">
        <f>Tabela3[[#This Row],[Força (N)]]/$I$5</f>
        <v>24673838.623856038</v>
      </c>
      <c r="F498" s="1">
        <f>Tabela3[[#This Row],[Tensão (Pa)]]/1000000</f>
        <v>24.673838623856039</v>
      </c>
    </row>
    <row r="499" spans="1:6" x14ac:dyDescent="0.3">
      <c r="A499" s="2">
        <v>47.466999999999999</v>
      </c>
      <c r="B499" s="2">
        <v>3.9485000000000001</v>
      </c>
      <c r="C499" s="1">
        <f>Tabela3[[#This Row],[Alongamento (mm/mm)]]/$I$2</f>
        <v>7.8969999999999999E-2</v>
      </c>
      <c r="D499" s="2">
        <v>1049.7</v>
      </c>
      <c r="E499" s="1">
        <f>Tabela3[[#This Row],[Força (N)]]/$I$5</f>
        <v>24868102.163669404</v>
      </c>
      <c r="F499" s="1">
        <f>Tabela3[[#This Row],[Tensão (Pa)]]/1000000</f>
        <v>24.868102163669402</v>
      </c>
    </row>
    <row r="500" spans="1:6" x14ac:dyDescent="0.3">
      <c r="A500" s="2">
        <v>47.633000000000003</v>
      </c>
      <c r="B500" s="2">
        <v>3.9624000000000001</v>
      </c>
      <c r="C500" s="1">
        <f>Tabela3[[#This Row],[Alongamento (mm/mm)]]/$I$2</f>
        <v>7.9247999999999999E-2</v>
      </c>
      <c r="D500" s="2">
        <v>1057.8</v>
      </c>
      <c r="E500" s="1">
        <f>Tabela3[[#This Row],[Força (N)]]/$I$5</f>
        <v>25059996.635924067</v>
      </c>
      <c r="F500" s="1">
        <f>Tabela3[[#This Row],[Tensão (Pa)]]/1000000</f>
        <v>25.059996635924069</v>
      </c>
    </row>
    <row r="501" spans="1:6" x14ac:dyDescent="0.3">
      <c r="A501" s="2">
        <v>47.8</v>
      </c>
      <c r="B501" s="2">
        <v>3.9763000000000002</v>
      </c>
      <c r="C501" s="1">
        <f>Tabela3[[#This Row],[Alongamento (mm/mm)]]/$I$2</f>
        <v>7.9525999999999999E-2</v>
      </c>
      <c r="D501" s="2">
        <v>1066</v>
      </c>
      <c r="E501" s="1">
        <f>Tabela3[[#This Row],[Força (N)]]/$I$5</f>
        <v>25254260.175737433</v>
      </c>
      <c r="F501" s="1">
        <f>Tabela3[[#This Row],[Tensão (Pa)]]/1000000</f>
        <v>25.254260175737432</v>
      </c>
    </row>
    <row r="502" spans="1:6" x14ac:dyDescent="0.3">
      <c r="A502" s="2">
        <v>47.966999999999999</v>
      </c>
      <c r="B502" s="2">
        <v>3.9902000000000002</v>
      </c>
      <c r="C502" s="1">
        <f>Tabela3[[#This Row],[Alongamento (mm/mm)]]/$I$2</f>
        <v>7.9804E-2</v>
      </c>
      <c r="D502" s="2">
        <v>1074.2</v>
      </c>
      <c r="E502" s="1">
        <f>Tabela3[[#This Row],[Força (N)]]/$I$5</f>
        <v>25448523.715550799</v>
      </c>
      <c r="F502" s="1">
        <f>Tabela3[[#This Row],[Tensão (Pa)]]/1000000</f>
        <v>25.448523715550799</v>
      </c>
    </row>
    <row r="503" spans="1:6" x14ac:dyDescent="0.3">
      <c r="A503" s="2">
        <v>48.133000000000003</v>
      </c>
      <c r="B503" s="2">
        <v>4.0041000000000002</v>
      </c>
      <c r="C503" s="1">
        <f>Tabela3[[#This Row],[Alongamento (mm/mm)]]/$I$2</f>
        <v>8.0082E-2</v>
      </c>
      <c r="D503" s="2">
        <v>1082.3</v>
      </c>
      <c r="E503" s="1">
        <f>Tabela3[[#This Row],[Força (N)]]/$I$5</f>
        <v>25640418.187805463</v>
      </c>
      <c r="F503" s="1">
        <f>Tabela3[[#This Row],[Tensão (Pa)]]/1000000</f>
        <v>25.640418187805462</v>
      </c>
    </row>
    <row r="504" spans="1:6" x14ac:dyDescent="0.3">
      <c r="A504" s="2">
        <v>48.3</v>
      </c>
      <c r="B504" s="2">
        <v>4.0180999999999996</v>
      </c>
      <c r="C504" s="1">
        <f>Tabela3[[#This Row],[Alongamento (mm/mm)]]/$I$2</f>
        <v>8.0361999999999989E-2</v>
      </c>
      <c r="D504" s="2">
        <v>1090.5</v>
      </c>
      <c r="E504" s="1">
        <f>Tabela3[[#This Row],[Força (N)]]/$I$5</f>
        <v>25834681.727618828</v>
      </c>
      <c r="F504" s="1">
        <f>Tabela3[[#This Row],[Tensão (Pa)]]/1000000</f>
        <v>25.834681727618829</v>
      </c>
    </row>
    <row r="505" spans="1:6" x14ac:dyDescent="0.3">
      <c r="A505" s="2">
        <v>48.482999999999997</v>
      </c>
      <c r="B505" s="2">
        <v>4.0331999999999999</v>
      </c>
      <c r="C505" s="1">
        <f>Tabela3[[#This Row],[Alongamento (mm/mm)]]/$I$2</f>
        <v>8.0664E-2</v>
      </c>
      <c r="D505" s="2">
        <v>1099.2</v>
      </c>
      <c r="E505" s="1">
        <f>Tabela3[[#This Row],[Força (N)]]/$I$5</f>
        <v>26040790.60522569</v>
      </c>
      <c r="F505" s="1">
        <f>Tabela3[[#This Row],[Tensão (Pa)]]/1000000</f>
        <v>26.040790605225691</v>
      </c>
    </row>
    <row r="506" spans="1:6" x14ac:dyDescent="0.3">
      <c r="A506" s="2">
        <v>48.667000000000002</v>
      </c>
      <c r="B506" s="2">
        <v>4.0486000000000004</v>
      </c>
      <c r="C506" s="1">
        <f>Tabela3[[#This Row],[Alongamento (mm/mm)]]/$I$2</f>
        <v>8.0972000000000002E-2</v>
      </c>
      <c r="D506" s="2">
        <v>1108</v>
      </c>
      <c r="E506" s="1">
        <f>Tabela3[[#This Row],[Força (N)]]/$I$5</f>
        <v>26249268.550391253</v>
      </c>
      <c r="F506" s="1">
        <f>Tabela3[[#This Row],[Tensão (Pa)]]/1000000</f>
        <v>26.249268550391253</v>
      </c>
    </row>
    <row r="507" spans="1:6" x14ac:dyDescent="0.3">
      <c r="A507" s="2">
        <v>48.85</v>
      </c>
      <c r="B507" s="2">
        <v>4.0637999999999996</v>
      </c>
      <c r="C507" s="1">
        <f>Tabela3[[#This Row],[Alongamento (mm/mm)]]/$I$2</f>
        <v>8.1275999999999987E-2</v>
      </c>
      <c r="D507" s="2">
        <v>1116.9000000000001</v>
      </c>
      <c r="E507" s="1">
        <f>Tabela3[[#This Row],[Força (N)]]/$I$5</f>
        <v>26460115.563115515</v>
      </c>
      <c r="F507" s="1">
        <f>Tabela3[[#This Row],[Tensão (Pa)]]/1000000</f>
        <v>26.460115563115515</v>
      </c>
    </row>
    <row r="508" spans="1:6" x14ac:dyDescent="0.3">
      <c r="A508" s="2">
        <v>49.033000000000001</v>
      </c>
      <c r="B508" s="2">
        <v>4.0791000000000004</v>
      </c>
      <c r="C508" s="1">
        <f>Tabela3[[#This Row],[Alongamento (mm/mm)]]/$I$2</f>
        <v>8.1582000000000002E-2</v>
      </c>
      <c r="D508" s="2">
        <v>1125.9000000000001</v>
      </c>
      <c r="E508" s="1">
        <f>Tabela3[[#This Row],[Força (N)]]/$I$5</f>
        <v>26673331.643398479</v>
      </c>
      <c r="F508" s="1">
        <f>Tabela3[[#This Row],[Tensão (Pa)]]/1000000</f>
        <v>26.67333164339848</v>
      </c>
    </row>
    <row r="509" spans="1:6" x14ac:dyDescent="0.3">
      <c r="A509" s="2">
        <v>49.216999999999999</v>
      </c>
      <c r="B509" s="2">
        <v>4.0944000000000003</v>
      </c>
      <c r="C509" s="1">
        <f>Tabela3[[#This Row],[Alongamento (mm/mm)]]/$I$2</f>
        <v>8.1888000000000002E-2</v>
      </c>
      <c r="D509" s="2">
        <v>1134.5999999999999</v>
      </c>
      <c r="E509" s="1">
        <f>Tabela3[[#This Row],[Força (N)]]/$I$5</f>
        <v>26879440.521005336</v>
      </c>
      <c r="F509" s="1">
        <f>Tabela3[[#This Row],[Tensão (Pa)]]/1000000</f>
        <v>26.879440521005336</v>
      </c>
    </row>
    <row r="510" spans="1:6" x14ac:dyDescent="0.3">
      <c r="A510" s="2">
        <v>49.4</v>
      </c>
      <c r="B510" s="2">
        <v>4.1097000000000001</v>
      </c>
      <c r="C510" s="1">
        <f>Tabela3[[#This Row],[Alongamento (mm/mm)]]/$I$2</f>
        <v>8.2194000000000003E-2</v>
      </c>
      <c r="D510" s="2">
        <v>1143.4000000000001</v>
      </c>
      <c r="E510" s="1">
        <f>Tabela3[[#This Row],[Força (N)]]/$I$5</f>
        <v>27087918.466170903</v>
      </c>
      <c r="F510" s="1">
        <f>Tabela3[[#This Row],[Tensão (Pa)]]/1000000</f>
        <v>27.087918466170905</v>
      </c>
    </row>
    <row r="511" spans="1:6" x14ac:dyDescent="0.3">
      <c r="A511" s="2">
        <v>49.582999999999998</v>
      </c>
      <c r="B511" s="2">
        <v>4.1249000000000002</v>
      </c>
      <c r="C511" s="1">
        <f>Tabela3[[#This Row],[Alongamento (mm/mm)]]/$I$2</f>
        <v>8.2498000000000002E-2</v>
      </c>
      <c r="D511" s="2">
        <v>1152.2</v>
      </c>
      <c r="E511" s="1">
        <f>Tabela3[[#This Row],[Força (N)]]/$I$5</f>
        <v>27296396.411336463</v>
      </c>
      <c r="F511" s="1">
        <f>Tabela3[[#This Row],[Tensão (Pa)]]/1000000</f>
        <v>27.296396411336463</v>
      </c>
    </row>
    <row r="512" spans="1:6" x14ac:dyDescent="0.3">
      <c r="A512" s="2">
        <v>49.767000000000003</v>
      </c>
      <c r="B512" s="2">
        <v>4.1402000000000001</v>
      </c>
      <c r="C512" s="1">
        <f>Tabela3[[#This Row],[Alongamento (mm/mm)]]/$I$2</f>
        <v>8.2804000000000003E-2</v>
      </c>
      <c r="D512" s="2">
        <v>1161.0999999999999</v>
      </c>
      <c r="E512" s="1">
        <f>Tabela3[[#This Row],[Força (N)]]/$I$5</f>
        <v>27507243.424060721</v>
      </c>
      <c r="F512" s="1">
        <f>Tabela3[[#This Row],[Tensão (Pa)]]/1000000</f>
        <v>27.507243424060722</v>
      </c>
    </row>
    <row r="513" spans="1:6" x14ac:dyDescent="0.3">
      <c r="A513" s="2">
        <v>49.95</v>
      </c>
      <c r="B513" s="2">
        <v>4.1555</v>
      </c>
      <c r="C513" s="1">
        <f>Tabela3[[#This Row],[Alongamento (mm/mm)]]/$I$2</f>
        <v>8.3110000000000003E-2</v>
      </c>
      <c r="D513" s="2">
        <v>1169.9000000000001</v>
      </c>
      <c r="E513" s="1">
        <f>Tabela3[[#This Row],[Força (N)]]/$I$5</f>
        <v>27715721.369226288</v>
      </c>
      <c r="F513" s="1">
        <f>Tabela3[[#This Row],[Tensão (Pa)]]/1000000</f>
        <v>27.715721369226287</v>
      </c>
    </row>
    <row r="514" spans="1:6" x14ac:dyDescent="0.3">
      <c r="A514" s="2">
        <v>50.133000000000003</v>
      </c>
      <c r="B514" s="2">
        <v>4.1707999999999998</v>
      </c>
      <c r="C514" s="1">
        <f>Tabela3[[#This Row],[Alongamento (mm/mm)]]/$I$2</f>
        <v>8.341599999999999E-2</v>
      </c>
      <c r="D514" s="2">
        <v>1178.8</v>
      </c>
      <c r="E514" s="1">
        <f>Tabela3[[#This Row],[Força (N)]]/$I$5</f>
        <v>27926568.381950546</v>
      </c>
      <c r="F514" s="1">
        <f>Tabela3[[#This Row],[Tensão (Pa)]]/1000000</f>
        <v>27.926568381950545</v>
      </c>
    </row>
    <row r="515" spans="1:6" x14ac:dyDescent="0.3">
      <c r="A515" s="2">
        <v>50.332999999999998</v>
      </c>
      <c r="B515" s="2">
        <v>4.1874000000000002</v>
      </c>
      <c r="C515" s="1">
        <f>Tabela3[[#This Row],[Alongamento (mm/mm)]]/$I$2</f>
        <v>8.3748000000000003E-2</v>
      </c>
      <c r="D515" s="2">
        <v>1188.5</v>
      </c>
      <c r="E515" s="1">
        <f>Tabela3[[#This Row],[Força (N)]]/$I$5</f>
        <v>28156367.935144406</v>
      </c>
      <c r="F515" s="1">
        <f>Tabela3[[#This Row],[Tensão (Pa)]]/1000000</f>
        <v>28.156367935144406</v>
      </c>
    </row>
    <row r="516" spans="1:6" x14ac:dyDescent="0.3">
      <c r="A516" s="2">
        <v>50.533000000000001</v>
      </c>
      <c r="B516" s="2">
        <v>4.2041000000000004</v>
      </c>
      <c r="C516" s="1">
        <f>Tabela3[[#This Row],[Alongamento (mm/mm)]]/$I$2</f>
        <v>8.4082000000000004E-2</v>
      </c>
      <c r="D516" s="2">
        <v>1198</v>
      </c>
      <c r="E516" s="1">
        <f>Tabela3[[#This Row],[Força (N)]]/$I$5</f>
        <v>28381429.353220865</v>
      </c>
      <c r="F516" s="1">
        <f>Tabela3[[#This Row],[Tensão (Pa)]]/1000000</f>
        <v>28.381429353220867</v>
      </c>
    </row>
    <row r="517" spans="1:6" x14ac:dyDescent="0.3">
      <c r="A517" s="2">
        <v>50.732999999999997</v>
      </c>
      <c r="B517" s="2">
        <v>4.2206999999999999</v>
      </c>
      <c r="C517" s="1">
        <f>Tabela3[[#This Row],[Alongamento (mm/mm)]]/$I$2</f>
        <v>8.4414000000000003E-2</v>
      </c>
      <c r="D517" s="2">
        <v>1207.5</v>
      </c>
      <c r="E517" s="1">
        <f>Tabela3[[#This Row],[Força (N)]]/$I$5</f>
        <v>28606490.771297324</v>
      </c>
      <c r="F517" s="1">
        <f>Tabela3[[#This Row],[Tensão (Pa)]]/1000000</f>
        <v>28.606490771297324</v>
      </c>
    </row>
    <row r="518" spans="1:6" x14ac:dyDescent="0.3">
      <c r="A518" s="2">
        <v>50.933</v>
      </c>
      <c r="B518" s="2">
        <v>4.2374999999999998</v>
      </c>
      <c r="C518" s="1">
        <f>Tabela3[[#This Row],[Alongamento (mm/mm)]]/$I$2</f>
        <v>8.4749999999999992E-2</v>
      </c>
      <c r="D518" s="2">
        <v>1217.0999999999999</v>
      </c>
      <c r="E518" s="1">
        <f>Tabela3[[#This Row],[Força (N)]]/$I$5</f>
        <v>28833921.256932482</v>
      </c>
      <c r="F518" s="1">
        <f>Tabela3[[#This Row],[Tensão (Pa)]]/1000000</f>
        <v>28.833921256932481</v>
      </c>
    </row>
    <row r="519" spans="1:6" x14ac:dyDescent="0.3">
      <c r="A519" s="2">
        <v>51.133000000000003</v>
      </c>
      <c r="B519" s="2">
        <v>4.2541000000000002</v>
      </c>
      <c r="C519" s="1">
        <f>Tabela3[[#This Row],[Alongamento (mm/mm)]]/$I$2</f>
        <v>8.5082000000000005E-2</v>
      </c>
      <c r="D519" s="2">
        <v>1226.5999999999999</v>
      </c>
      <c r="E519" s="1">
        <f>Tabela3[[#This Row],[Força (N)]]/$I$5</f>
        <v>29058982.675008941</v>
      </c>
      <c r="F519" s="1">
        <f>Tabela3[[#This Row],[Tensão (Pa)]]/1000000</f>
        <v>29.058982675008941</v>
      </c>
    </row>
    <row r="520" spans="1:6" x14ac:dyDescent="0.3">
      <c r="A520" s="2">
        <v>51.332999999999998</v>
      </c>
      <c r="B520" s="2">
        <v>4.2708000000000004</v>
      </c>
      <c r="C520" s="1">
        <f>Tabela3[[#This Row],[Alongamento (mm/mm)]]/$I$2</f>
        <v>8.5416000000000006E-2</v>
      </c>
      <c r="D520" s="2">
        <v>1236.3</v>
      </c>
      <c r="E520" s="1">
        <f>Tabela3[[#This Row],[Força (N)]]/$I$5</f>
        <v>29288782.228202801</v>
      </c>
      <c r="F520" s="1">
        <f>Tabela3[[#This Row],[Tensão (Pa)]]/1000000</f>
        <v>29.288782228202802</v>
      </c>
    </row>
    <row r="521" spans="1:6" x14ac:dyDescent="0.3">
      <c r="A521" s="2">
        <v>51.533000000000001</v>
      </c>
      <c r="B521" s="2">
        <v>4.2873999999999999</v>
      </c>
      <c r="C521" s="1">
        <f>Tabela3[[#This Row],[Alongamento (mm/mm)]]/$I$2</f>
        <v>8.5747999999999991E-2</v>
      </c>
      <c r="D521" s="2">
        <v>1245.8</v>
      </c>
      <c r="E521" s="1">
        <f>Tabela3[[#This Row],[Força (N)]]/$I$5</f>
        <v>29513843.646279261</v>
      </c>
      <c r="F521" s="1">
        <f>Tabela3[[#This Row],[Tensão (Pa)]]/1000000</f>
        <v>29.513843646279259</v>
      </c>
    </row>
    <row r="522" spans="1:6" x14ac:dyDescent="0.3">
      <c r="A522" s="2">
        <v>51.732999999999997</v>
      </c>
      <c r="B522" s="2">
        <v>4.3041</v>
      </c>
      <c r="C522" s="1">
        <f>Tabela3[[#This Row],[Alongamento (mm/mm)]]/$I$2</f>
        <v>8.6082000000000006E-2</v>
      </c>
      <c r="D522" s="2">
        <v>1255.3</v>
      </c>
      <c r="E522" s="1">
        <f>Tabela3[[#This Row],[Força (N)]]/$I$5</f>
        <v>29738905.06435572</v>
      </c>
      <c r="F522" s="1">
        <f>Tabela3[[#This Row],[Tensão (Pa)]]/1000000</f>
        <v>29.73890506435572</v>
      </c>
    </row>
    <row r="523" spans="1:6" x14ac:dyDescent="0.3">
      <c r="A523" s="2">
        <v>51.933</v>
      </c>
      <c r="B523" s="2">
        <v>4.3208000000000002</v>
      </c>
      <c r="C523" s="1">
        <f>Tabela3[[#This Row],[Alongamento (mm/mm)]]/$I$2</f>
        <v>8.6416000000000007E-2</v>
      </c>
      <c r="D523" s="2">
        <v>1265.7</v>
      </c>
      <c r="E523" s="1">
        <f>Tabela3[[#This Row],[Força (N)]]/$I$5</f>
        <v>29985288.090460479</v>
      </c>
      <c r="F523" s="1">
        <f>Tabela3[[#This Row],[Tensão (Pa)]]/1000000</f>
        <v>29.985288090460479</v>
      </c>
    </row>
    <row r="524" spans="1:6" x14ac:dyDescent="0.3">
      <c r="A524" s="2">
        <v>52.15</v>
      </c>
      <c r="B524" s="2">
        <v>4.3387000000000002</v>
      </c>
      <c r="C524" s="1">
        <f>Tabela3[[#This Row],[Alongamento (mm/mm)]]/$I$2</f>
        <v>8.6774000000000004E-2</v>
      </c>
      <c r="D524" s="2">
        <v>1276.3</v>
      </c>
      <c r="E524" s="1">
        <f>Tabela3[[#This Row],[Força (N)]]/$I$5</f>
        <v>30236409.251682632</v>
      </c>
      <c r="F524" s="1">
        <f>Tabela3[[#This Row],[Tensão (Pa)]]/1000000</f>
        <v>30.23640925168263</v>
      </c>
    </row>
    <row r="525" spans="1:6" x14ac:dyDescent="0.3">
      <c r="A525" s="2">
        <v>52.35</v>
      </c>
      <c r="B525" s="2">
        <v>4.3555000000000001</v>
      </c>
      <c r="C525" s="1">
        <f>Tabela3[[#This Row],[Alongamento (mm/mm)]]/$I$2</f>
        <v>8.7110000000000007E-2</v>
      </c>
      <c r="D525" s="2">
        <v>1286.0999999999999</v>
      </c>
      <c r="E525" s="1">
        <f>Tabela3[[#This Row],[Força (N)]]/$I$5</f>
        <v>30468577.872435186</v>
      </c>
      <c r="F525" s="1">
        <f>Tabela3[[#This Row],[Tensão (Pa)]]/1000000</f>
        <v>30.468577872435187</v>
      </c>
    </row>
    <row r="526" spans="1:6" x14ac:dyDescent="0.3">
      <c r="A526" s="2">
        <v>52.55</v>
      </c>
      <c r="B526" s="2">
        <v>4.3720999999999997</v>
      </c>
      <c r="C526" s="1">
        <f>Tabela3[[#This Row],[Alongamento (mm/mm)]]/$I$2</f>
        <v>8.7441999999999992E-2</v>
      </c>
      <c r="D526" s="2">
        <v>1296</v>
      </c>
      <c r="E526" s="1">
        <f>Tabela3[[#This Row],[Força (N)]]/$I$5</f>
        <v>30703115.560746446</v>
      </c>
      <c r="F526" s="1">
        <f>Tabela3[[#This Row],[Tensão (Pa)]]/1000000</f>
        <v>30.703115560746447</v>
      </c>
    </row>
    <row r="527" spans="1:6" x14ac:dyDescent="0.3">
      <c r="A527" s="2">
        <v>52.75</v>
      </c>
      <c r="B527" s="2">
        <v>4.3888999999999996</v>
      </c>
      <c r="C527" s="1">
        <f>Tabela3[[#This Row],[Alongamento (mm/mm)]]/$I$2</f>
        <v>8.7777999999999995E-2</v>
      </c>
      <c r="D527" s="2">
        <v>1305.8</v>
      </c>
      <c r="E527" s="1">
        <f>Tabela3[[#This Row],[Força (N)]]/$I$5</f>
        <v>30935284.181499004</v>
      </c>
      <c r="F527" s="1">
        <f>Tabela3[[#This Row],[Tensão (Pa)]]/1000000</f>
        <v>30.935284181499004</v>
      </c>
    </row>
    <row r="528" spans="1:6" x14ac:dyDescent="0.3">
      <c r="A528" s="2">
        <v>52.966999999999999</v>
      </c>
      <c r="B528" s="2">
        <v>4.4069000000000003</v>
      </c>
      <c r="C528" s="1">
        <f>Tabela3[[#This Row],[Alongamento (mm/mm)]]/$I$2</f>
        <v>8.8138000000000008E-2</v>
      </c>
      <c r="D528" s="2">
        <v>1316.4</v>
      </c>
      <c r="E528" s="1">
        <f>Tabela3[[#This Row],[Força (N)]]/$I$5</f>
        <v>31186405.342721161</v>
      </c>
      <c r="F528" s="1">
        <f>Tabela3[[#This Row],[Tensão (Pa)]]/1000000</f>
        <v>31.186405342721162</v>
      </c>
    </row>
    <row r="529" spans="1:6" x14ac:dyDescent="0.3">
      <c r="A529" s="2">
        <v>53.183</v>
      </c>
      <c r="B529" s="2">
        <v>4.4249000000000001</v>
      </c>
      <c r="C529" s="1">
        <f>Tabela3[[#This Row],[Alongamento (mm/mm)]]/$I$2</f>
        <v>8.8498000000000007E-2</v>
      </c>
      <c r="D529" s="2">
        <v>1327.1</v>
      </c>
      <c r="E529" s="1">
        <f>Tabela3[[#This Row],[Força (N)]]/$I$5</f>
        <v>31439895.571502011</v>
      </c>
      <c r="F529" s="1">
        <f>Tabela3[[#This Row],[Tensão (Pa)]]/1000000</f>
        <v>31.43989557150201</v>
      </c>
    </row>
    <row r="530" spans="1:6" x14ac:dyDescent="0.3">
      <c r="A530" s="2">
        <v>53.4</v>
      </c>
      <c r="B530" s="2">
        <v>4.4429999999999996</v>
      </c>
      <c r="C530" s="1">
        <f>Tabela3[[#This Row],[Alongamento (mm/mm)]]/$I$2</f>
        <v>8.8859999999999995E-2</v>
      </c>
      <c r="D530" s="2">
        <v>1337.7</v>
      </c>
      <c r="E530" s="1">
        <f>Tabela3[[#This Row],[Força (N)]]/$I$5</f>
        <v>31691016.732724167</v>
      </c>
      <c r="F530" s="1">
        <f>Tabela3[[#This Row],[Tensão (Pa)]]/1000000</f>
        <v>31.691016732724169</v>
      </c>
    </row>
    <row r="531" spans="1:6" x14ac:dyDescent="0.3">
      <c r="A531" s="2">
        <v>53.616999999999997</v>
      </c>
      <c r="B531" s="2">
        <v>4.4611000000000001</v>
      </c>
      <c r="C531" s="1">
        <f>Tabela3[[#This Row],[Alongamento (mm/mm)]]/$I$2</f>
        <v>8.9221999999999996E-2</v>
      </c>
      <c r="D531" s="2">
        <v>1348.2</v>
      </c>
      <c r="E531" s="1">
        <f>Tabela3[[#This Row],[Força (N)]]/$I$5</f>
        <v>31939768.826387625</v>
      </c>
      <c r="F531" s="1">
        <f>Tabela3[[#This Row],[Tensão (Pa)]]/1000000</f>
        <v>31.939768826387624</v>
      </c>
    </row>
    <row r="532" spans="1:6" x14ac:dyDescent="0.3">
      <c r="A532" s="2">
        <v>53.832999999999998</v>
      </c>
      <c r="B532" s="2">
        <v>4.4790999999999999</v>
      </c>
      <c r="C532" s="1">
        <f>Tabela3[[#This Row],[Alongamento (mm/mm)]]/$I$2</f>
        <v>8.9581999999999995E-2</v>
      </c>
      <c r="D532" s="2">
        <v>1358.7</v>
      </c>
      <c r="E532" s="1">
        <f>Tabela3[[#This Row],[Força (N)]]/$I$5</f>
        <v>32188520.920051079</v>
      </c>
      <c r="F532" s="1">
        <f>Tabela3[[#This Row],[Tensão (Pa)]]/1000000</f>
        <v>32.188520920051076</v>
      </c>
    </row>
    <row r="533" spans="1:6" x14ac:dyDescent="0.3">
      <c r="A533" s="2">
        <v>54.05</v>
      </c>
      <c r="B533" s="2">
        <v>4.4970999999999997</v>
      </c>
      <c r="C533" s="1">
        <f>Tabela3[[#This Row],[Alongamento (mm/mm)]]/$I$2</f>
        <v>8.9941999999999994E-2</v>
      </c>
      <c r="D533" s="2">
        <v>1369.5</v>
      </c>
      <c r="E533" s="1">
        <f>Tabela3[[#This Row],[Força (N)]]/$I$5</f>
        <v>32444380.216390632</v>
      </c>
      <c r="F533" s="1">
        <f>Tabela3[[#This Row],[Tensão (Pa)]]/1000000</f>
        <v>32.444380216390634</v>
      </c>
    </row>
    <row r="534" spans="1:6" x14ac:dyDescent="0.3">
      <c r="A534" s="2">
        <v>54.267000000000003</v>
      </c>
      <c r="B534" s="2">
        <v>4.5152000000000001</v>
      </c>
      <c r="C534" s="1">
        <f>Tabela3[[#This Row],[Alongamento (mm/mm)]]/$I$2</f>
        <v>9.0303999999999995E-2</v>
      </c>
      <c r="D534" s="2">
        <v>1380</v>
      </c>
      <c r="E534" s="1">
        <f>Tabela3[[#This Row],[Força (N)]]/$I$5</f>
        <v>32693132.310054086</v>
      </c>
      <c r="F534" s="1">
        <f>Tabela3[[#This Row],[Tensão (Pa)]]/1000000</f>
        <v>32.693132310054089</v>
      </c>
    </row>
    <row r="535" spans="1:6" x14ac:dyDescent="0.3">
      <c r="A535" s="2">
        <v>54.482999999999997</v>
      </c>
      <c r="B535" s="2">
        <v>4.5332999999999997</v>
      </c>
      <c r="C535" s="1">
        <f>Tabela3[[#This Row],[Alongamento (mm/mm)]]/$I$2</f>
        <v>9.0665999999999997E-2</v>
      </c>
      <c r="D535" s="2">
        <v>1390.7</v>
      </c>
      <c r="E535" s="1">
        <f>Tabela3[[#This Row],[Força (N)]]/$I$5</f>
        <v>32946622.538834941</v>
      </c>
      <c r="F535" s="1">
        <f>Tabela3[[#This Row],[Tensão (Pa)]]/1000000</f>
        <v>32.946622538834937</v>
      </c>
    </row>
    <row r="536" spans="1:6" x14ac:dyDescent="0.3">
      <c r="A536" s="2">
        <v>54.7</v>
      </c>
      <c r="B536" s="2">
        <v>4.5513000000000003</v>
      </c>
      <c r="C536" s="1">
        <f>Tabela3[[#This Row],[Alongamento (mm/mm)]]/$I$2</f>
        <v>9.102600000000001E-2</v>
      </c>
      <c r="D536" s="2">
        <v>1401.4</v>
      </c>
      <c r="E536" s="1">
        <f>Tabela3[[#This Row],[Força (N)]]/$I$5</f>
        <v>33200112.767615799</v>
      </c>
      <c r="F536" s="1">
        <f>Tabela3[[#This Row],[Tensão (Pa)]]/1000000</f>
        <v>33.200112767615799</v>
      </c>
    </row>
    <row r="537" spans="1:6" x14ac:dyDescent="0.3">
      <c r="A537" s="2">
        <v>54.933</v>
      </c>
      <c r="B537" s="2">
        <v>4.5708000000000002</v>
      </c>
      <c r="C537" s="1">
        <f>Tabela3[[#This Row],[Alongamento (mm/mm)]]/$I$2</f>
        <v>9.1415999999999997E-2</v>
      </c>
      <c r="D537" s="2">
        <v>1412.7</v>
      </c>
      <c r="E537" s="1">
        <f>Tabela3[[#This Row],[Força (N)]]/$I$5</f>
        <v>33467817.401748847</v>
      </c>
      <c r="F537" s="1">
        <f>Tabela3[[#This Row],[Tensão (Pa)]]/1000000</f>
        <v>33.467817401748846</v>
      </c>
    </row>
    <row r="538" spans="1:6" x14ac:dyDescent="0.3">
      <c r="A538" s="2">
        <v>55.167000000000002</v>
      </c>
      <c r="B538" s="2">
        <v>4.5902000000000003</v>
      </c>
      <c r="C538" s="1">
        <f>Tabela3[[#This Row],[Alongamento (mm/mm)]]/$I$2</f>
        <v>9.1804000000000011E-2</v>
      </c>
      <c r="D538" s="2">
        <v>1423.7</v>
      </c>
      <c r="E538" s="1">
        <f>Tabela3[[#This Row],[Força (N)]]/$I$5</f>
        <v>33728414.833205797</v>
      </c>
      <c r="F538" s="1">
        <f>Tabela3[[#This Row],[Tensão (Pa)]]/1000000</f>
        <v>33.728414833205797</v>
      </c>
    </row>
    <row r="539" spans="1:6" x14ac:dyDescent="0.3">
      <c r="A539" s="2">
        <v>55.4</v>
      </c>
      <c r="B539" s="2">
        <v>4.6096000000000004</v>
      </c>
      <c r="C539" s="1">
        <f>Tabela3[[#This Row],[Alongamento (mm/mm)]]/$I$2</f>
        <v>9.219200000000001E-2</v>
      </c>
      <c r="D539" s="2">
        <v>1435</v>
      </c>
      <c r="E539" s="1">
        <f>Tabela3[[#This Row],[Força (N)]]/$I$5</f>
        <v>33996119.467338853</v>
      </c>
      <c r="F539" s="1">
        <f>Tabela3[[#This Row],[Tensão (Pa)]]/1000000</f>
        <v>33.99611946733885</v>
      </c>
    </row>
    <row r="540" spans="1:6" x14ac:dyDescent="0.3">
      <c r="A540" s="2">
        <v>55.633000000000003</v>
      </c>
      <c r="B540" s="2">
        <v>4.6291000000000002</v>
      </c>
      <c r="C540" s="1">
        <f>Tabela3[[#This Row],[Alongamento (mm/mm)]]/$I$2</f>
        <v>9.2581999999999998E-2</v>
      </c>
      <c r="D540" s="2">
        <v>1446.2</v>
      </c>
      <c r="E540" s="1">
        <f>Tabela3[[#This Row],[Força (N)]]/$I$5</f>
        <v>34261455.033913203</v>
      </c>
      <c r="F540" s="1">
        <f>Tabela3[[#This Row],[Tensão (Pa)]]/1000000</f>
        <v>34.261455033913201</v>
      </c>
    </row>
    <row r="541" spans="1:6" x14ac:dyDescent="0.3">
      <c r="A541" s="2">
        <v>55.866999999999997</v>
      </c>
      <c r="B541" s="2">
        <v>4.6485000000000003</v>
      </c>
      <c r="C541" s="1">
        <f>Tabela3[[#This Row],[Alongamento (mm/mm)]]/$I$2</f>
        <v>9.2970000000000011E-2</v>
      </c>
      <c r="D541" s="2">
        <v>1457.4</v>
      </c>
      <c r="E541" s="1">
        <f>Tabela3[[#This Row],[Força (N)]]/$I$5</f>
        <v>34526790.60048756</v>
      </c>
      <c r="F541" s="1">
        <f>Tabela3[[#This Row],[Tensão (Pa)]]/1000000</f>
        <v>34.526790600487558</v>
      </c>
    </row>
    <row r="542" spans="1:6" x14ac:dyDescent="0.3">
      <c r="A542" s="2">
        <v>56.116999999999997</v>
      </c>
      <c r="B542" s="2">
        <v>4.6694000000000004</v>
      </c>
      <c r="C542" s="1">
        <f>Tabela3[[#This Row],[Alongamento (mm/mm)]]/$I$2</f>
        <v>9.3388000000000013E-2</v>
      </c>
      <c r="D542" s="2">
        <v>1469.3</v>
      </c>
      <c r="E542" s="1">
        <f>Tabela3[[#This Row],[Força (N)]]/$I$5</f>
        <v>34808709.639972806</v>
      </c>
      <c r="F542" s="1">
        <f>Tabela3[[#This Row],[Tensão (Pa)]]/1000000</f>
        <v>34.808709639972804</v>
      </c>
    </row>
    <row r="543" spans="1:6" x14ac:dyDescent="0.3">
      <c r="A543" s="2">
        <v>56.35</v>
      </c>
      <c r="B543" s="2">
        <v>4.6887999999999996</v>
      </c>
      <c r="C543" s="1">
        <f>Tabela3[[#This Row],[Alongamento (mm/mm)]]/$I$2</f>
        <v>9.3775999999999998E-2</v>
      </c>
      <c r="D543" s="2">
        <v>1480.5</v>
      </c>
      <c r="E543" s="1">
        <f>Tabela3[[#This Row],[Força (N)]]/$I$5</f>
        <v>35074045.206547156</v>
      </c>
      <c r="F543" s="1">
        <f>Tabela3[[#This Row],[Tensão (Pa)]]/1000000</f>
        <v>35.074045206547154</v>
      </c>
    </row>
    <row r="544" spans="1:6" x14ac:dyDescent="0.3">
      <c r="A544" s="2">
        <v>56.6</v>
      </c>
      <c r="B544" s="2">
        <v>4.7096999999999998</v>
      </c>
      <c r="C544" s="1">
        <f>Tabela3[[#This Row],[Alongamento (mm/mm)]]/$I$2</f>
        <v>9.4194E-2</v>
      </c>
      <c r="D544" s="2">
        <v>1492.3</v>
      </c>
      <c r="E544" s="1">
        <f>Tabela3[[#This Row],[Força (N)]]/$I$5</f>
        <v>35353595.178473704</v>
      </c>
      <c r="F544" s="1">
        <f>Tabela3[[#This Row],[Tensão (Pa)]]/1000000</f>
        <v>35.353595178473704</v>
      </c>
    </row>
    <row r="545" spans="1:6" x14ac:dyDescent="0.3">
      <c r="A545" s="2">
        <v>56.85</v>
      </c>
      <c r="B545" s="2">
        <v>4.7305000000000001</v>
      </c>
      <c r="C545" s="1">
        <f>Tabela3[[#This Row],[Alongamento (mm/mm)]]/$I$2</f>
        <v>9.461E-2</v>
      </c>
      <c r="D545" s="2">
        <v>1504.2</v>
      </c>
      <c r="E545" s="1">
        <f>Tabela3[[#This Row],[Força (N)]]/$I$5</f>
        <v>35635514.217958957</v>
      </c>
      <c r="F545" s="1">
        <f>Tabela3[[#This Row],[Tensão (Pa)]]/1000000</f>
        <v>35.635514217958956</v>
      </c>
    </row>
    <row r="546" spans="1:6" x14ac:dyDescent="0.3">
      <c r="A546" s="2">
        <v>57.1</v>
      </c>
      <c r="B546" s="2">
        <v>4.7514000000000003</v>
      </c>
      <c r="C546" s="1">
        <f>Tabela3[[#This Row],[Alongamento (mm/mm)]]/$I$2</f>
        <v>9.5028000000000001E-2</v>
      </c>
      <c r="D546" s="2">
        <v>1515.9</v>
      </c>
      <c r="E546" s="1">
        <f>Tabela3[[#This Row],[Força (N)]]/$I$5</f>
        <v>35912695.122326806</v>
      </c>
      <c r="F546" s="1">
        <f>Tabela3[[#This Row],[Tensão (Pa)]]/1000000</f>
        <v>35.912695122326809</v>
      </c>
    </row>
    <row r="547" spans="1:6" x14ac:dyDescent="0.3">
      <c r="A547" s="2">
        <v>57.35</v>
      </c>
      <c r="B547" s="2">
        <v>4.7721999999999998</v>
      </c>
      <c r="C547" s="1">
        <f>Tabela3[[#This Row],[Alongamento (mm/mm)]]/$I$2</f>
        <v>9.5444000000000001E-2</v>
      </c>
      <c r="D547" s="2">
        <v>1527.8</v>
      </c>
      <c r="E547" s="1">
        <f>Tabela3[[#This Row],[Força (N)]]/$I$5</f>
        <v>36194614.161812052</v>
      </c>
      <c r="F547" s="1">
        <f>Tabela3[[#This Row],[Tensão (Pa)]]/1000000</f>
        <v>36.194614161812055</v>
      </c>
    </row>
    <row r="548" spans="1:6" x14ac:dyDescent="0.3">
      <c r="A548" s="2">
        <v>57.616999999999997</v>
      </c>
      <c r="B548" s="2">
        <v>4.7942999999999998</v>
      </c>
      <c r="C548" s="1">
        <f>Tabela3[[#This Row],[Alongamento (mm/mm)]]/$I$2</f>
        <v>9.5885999999999999E-2</v>
      </c>
      <c r="D548" s="2">
        <v>1540.2</v>
      </c>
      <c r="E548" s="1">
        <f>Tabela3[[#This Row],[Força (N)]]/$I$5</f>
        <v>36488378.539090805</v>
      </c>
      <c r="F548" s="1">
        <f>Tabela3[[#This Row],[Tensão (Pa)]]/1000000</f>
        <v>36.488378539090803</v>
      </c>
    </row>
    <row r="549" spans="1:6" x14ac:dyDescent="0.3">
      <c r="A549" s="2">
        <v>57.883000000000003</v>
      </c>
      <c r="B549" s="2">
        <v>4.8166000000000002</v>
      </c>
      <c r="C549" s="1">
        <f>Tabela3[[#This Row],[Alongamento (mm/mm)]]/$I$2</f>
        <v>9.6332000000000001E-2</v>
      </c>
      <c r="D549" s="2">
        <v>1552.8</v>
      </c>
      <c r="E549" s="1">
        <f>Tabela3[[#This Row],[Força (N)]]/$I$5</f>
        <v>36786881.051486947</v>
      </c>
      <c r="F549" s="1">
        <f>Tabela3[[#This Row],[Tensão (Pa)]]/1000000</f>
        <v>36.786881051486944</v>
      </c>
    </row>
    <row r="550" spans="1:6" x14ac:dyDescent="0.3">
      <c r="A550" s="2">
        <v>58.133000000000003</v>
      </c>
      <c r="B550" s="2">
        <v>4.8373999999999997</v>
      </c>
      <c r="C550" s="1">
        <f>Tabela3[[#This Row],[Alongamento (mm/mm)]]/$I$2</f>
        <v>9.6748000000000001E-2</v>
      </c>
      <c r="D550" s="2">
        <v>1564.7</v>
      </c>
      <c r="E550" s="1">
        <f>Tabela3[[#This Row],[Força (N)]]/$I$5</f>
        <v>37068800.090972193</v>
      </c>
      <c r="F550" s="1">
        <f>Tabela3[[#This Row],[Tensão (Pa)]]/1000000</f>
        <v>37.068800090972189</v>
      </c>
    </row>
    <row r="551" spans="1:6" x14ac:dyDescent="0.3">
      <c r="A551" s="2">
        <v>58.383000000000003</v>
      </c>
      <c r="B551" s="2">
        <v>4.8582999999999998</v>
      </c>
      <c r="C551" s="1">
        <f>Tabela3[[#This Row],[Alongamento (mm/mm)]]/$I$2</f>
        <v>9.7166000000000002E-2</v>
      </c>
      <c r="D551" s="2">
        <v>1576.6</v>
      </c>
      <c r="E551" s="1">
        <f>Tabela3[[#This Row],[Força (N)]]/$I$5</f>
        <v>37350719.130457439</v>
      </c>
      <c r="F551" s="1">
        <f>Tabela3[[#This Row],[Tensão (Pa)]]/1000000</f>
        <v>37.350719130457442</v>
      </c>
    </row>
    <row r="552" spans="1:6" x14ac:dyDescent="0.3">
      <c r="A552" s="2">
        <v>58.65</v>
      </c>
      <c r="B552" s="2">
        <v>4.8804999999999996</v>
      </c>
      <c r="C552" s="1">
        <f>Tabela3[[#This Row],[Alongamento (mm/mm)]]/$I$2</f>
        <v>9.7609999999999988E-2</v>
      </c>
      <c r="D552" s="2">
        <v>1589.4</v>
      </c>
      <c r="E552" s="1">
        <f>Tabela3[[#This Row],[Força (N)]]/$I$5</f>
        <v>37653959.777970992</v>
      </c>
      <c r="F552" s="1">
        <f>Tabela3[[#This Row],[Tensão (Pa)]]/1000000</f>
        <v>37.653959777970989</v>
      </c>
    </row>
    <row r="553" spans="1:6" x14ac:dyDescent="0.3">
      <c r="A553" s="2">
        <v>58.917000000000002</v>
      </c>
      <c r="B553" s="2">
        <v>4.9027000000000003</v>
      </c>
      <c r="C553" s="1">
        <f>Tabela3[[#This Row],[Alongamento (mm/mm)]]/$I$2</f>
        <v>9.8054000000000002E-2</v>
      </c>
      <c r="D553" s="2">
        <v>1602.3</v>
      </c>
      <c r="E553" s="1">
        <f>Tabela3[[#This Row],[Força (N)]]/$I$5</f>
        <v>37959569.493043236</v>
      </c>
      <c r="F553" s="1">
        <f>Tabela3[[#This Row],[Tensão (Pa)]]/1000000</f>
        <v>37.959569493043233</v>
      </c>
    </row>
    <row r="554" spans="1:6" x14ac:dyDescent="0.3">
      <c r="A554" s="2">
        <v>59.183</v>
      </c>
      <c r="B554" s="2">
        <v>4.9249000000000001</v>
      </c>
      <c r="C554" s="1">
        <f>Tabela3[[#This Row],[Alongamento (mm/mm)]]/$I$2</f>
        <v>9.8498000000000002E-2</v>
      </c>
      <c r="D554" s="2">
        <v>1615.3</v>
      </c>
      <c r="E554" s="1">
        <f>Tabela3[[#This Row],[Força (N)]]/$I$5</f>
        <v>38267548.275674179</v>
      </c>
      <c r="F554" s="1">
        <f>Tabela3[[#This Row],[Tensão (Pa)]]/1000000</f>
        <v>38.26754827567418</v>
      </c>
    </row>
    <row r="555" spans="1:6" x14ac:dyDescent="0.3">
      <c r="A555" s="2">
        <v>59.45</v>
      </c>
      <c r="B555" s="2">
        <v>4.9471999999999996</v>
      </c>
      <c r="C555" s="1">
        <f>Tabela3[[#This Row],[Alongamento (mm/mm)]]/$I$2</f>
        <v>9.894399999999999E-2</v>
      </c>
      <c r="D555" s="2">
        <v>1628</v>
      </c>
      <c r="E555" s="1">
        <f>Tabela3[[#This Row],[Força (N)]]/$I$5</f>
        <v>38568419.855629027</v>
      </c>
      <c r="F555" s="1">
        <f>Tabela3[[#This Row],[Tensão (Pa)]]/1000000</f>
        <v>38.568419855629024</v>
      </c>
    </row>
    <row r="556" spans="1:6" x14ac:dyDescent="0.3">
      <c r="A556" s="2">
        <v>59.716999999999999</v>
      </c>
      <c r="B556" s="2">
        <v>4.9692999999999996</v>
      </c>
      <c r="C556" s="1">
        <f>Tabela3[[#This Row],[Alongamento (mm/mm)]]/$I$2</f>
        <v>9.9385999999999988E-2</v>
      </c>
      <c r="D556" s="2">
        <v>1640.8</v>
      </c>
      <c r="E556" s="1">
        <f>Tabela3[[#This Row],[Força (N)]]/$I$5</f>
        <v>38871660.503142565</v>
      </c>
      <c r="F556" s="1">
        <f>Tabela3[[#This Row],[Tensão (Pa)]]/1000000</f>
        <v>38.871660503142564</v>
      </c>
    </row>
    <row r="557" spans="1:6" x14ac:dyDescent="0.3">
      <c r="A557" s="2">
        <v>59.982999999999997</v>
      </c>
      <c r="B557" s="2">
        <v>4.9916</v>
      </c>
      <c r="C557" s="1">
        <f>Tabela3[[#This Row],[Alongamento (mm/mm)]]/$I$2</f>
        <v>9.9832000000000004E-2</v>
      </c>
      <c r="D557" s="2">
        <v>1653.7</v>
      </c>
      <c r="E557" s="1">
        <f>Tabela3[[#This Row],[Força (N)]]/$I$5</f>
        <v>39177270.218214817</v>
      </c>
      <c r="F557" s="1">
        <f>Tabela3[[#This Row],[Tensão (Pa)]]/1000000</f>
        <v>39.177270218214815</v>
      </c>
    </row>
    <row r="558" spans="1:6" x14ac:dyDescent="0.3">
      <c r="A558" s="2">
        <v>60.25</v>
      </c>
      <c r="B558" s="2">
        <v>5.0138999999999996</v>
      </c>
      <c r="C558" s="1">
        <f>Tabela3[[#This Row],[Alongamento (mm/mm)]]/$I$2</f>
        <v>0.10027799999999999</v>
      </c>
      <c r="D558" s="2">
        <v>1666.5</v>
      </c>
      <c r="E558" s="1">
        <f>Tabela3[[#This Row],[Força (N)]]/$I$5</f>
        <v>39480510.865728356</v>
      </c>
      <c r="F558" s="1">
        <f>Tabela3[[#This Row],[Tensão (Pa)]]/1000000</f>
        <v>39.480510865728355</v>
      </c>
    </row>
    <row r="559" spans="1:6" x14ac:dyDescent="0.3">
      <c r="A559" s="2">
        <v>60.533000000000001</v>
      </c>
      <c r="B559" s="2">
        <v>5.0373999999999999</v>
      </c>
      <c r="C559" s="1">
        <f>Tabela3[[#This Row],[Alongamento (mm/mm)]]/$I$2</f>
        <v>0.100748</v>
      </c>
      <c r="D559" s="2">
        <v>1679.7</v>
      </c>
      <c r="E559" s="1">
        <f>Tabela3[[#This Row],[Força (N)]]/$I$5</f>
        <v>39793227.783476703</v>
      </c>
      <c r="F559" s="1">
        <f>Tabela3[[#This Row],[Tensão (Pa)]]/1000000</f>
        <v>39.793227783476702</v>
      </c>
    </row>
    <row r="560" spans="1:6" x14ac:dyDescent="0.3">
      <c r="A560" s="2">
        <v>60.817</v>
      </c>
      <c r="B560" s="2">
        <v>5.0610999999999997</v>
      </c>
      <c r="C560" s="1">
        <f>Tabela3[[#This Row],[Alongamento (mm/mm)]]/$I$2</f>
        <v>0.10122199999999999</v>
      </c>
      <c r="D560" s="2">
        <v>1692.8</v>
      </c>
      <c r="E560" s="1">
        <f>Tabela3[[#This Row],[Força (N)]]/$I$5</f>
        <v>40103575.633666344</v>
      </c>
      <c r="F560" s="1">
        <f>Tabela3[[#This Row],[Tensão (Pa)]]/1000000</f>
        <v>40.103575633666345</v>
      </c>
    </row>
    <row r="561" spans="1:6" x14ac:dyDescent="0.3">
      <c r="A561" s="2">
        <v>61.1</v>
      </c>
      <c r="B561" s="2">
        <v>5.0846999999999998</v>
      </c>
      <c r="C561" s="1">
        <f>Tabela3[[#This Row],[Alongamento (mm/mm)]]/$I$2</f>
        <v>0.10169399999999999</v>
      </c>
      <c r="D561" s="2">
        <v>1705.8</v>
      </c>
      <c r="E561" s="1">
        <f>Tabela3[[#This Row],[Força (N)]]/$I$5</f>
        <v>40411554.416297287</v>
      </c>
      <c r="F561" s="1">
        <f>Tabela3[[#This Row],[Tensão (Pa)]]/1000000</f>
        <v>40.411554416297285</v>
      </c>
    </row>
    <row r="562" spans="1:6" x14ac:dyDescent="0.3">
      <c r="A562" s="2">
        <v>61.4</v>
      </c>
      <c r="B562" s="2">
        <v>5.1094999999999997</v>
      </c>
      <c r="C562" s="1">
        <f>Tabela3[[#This Row],[Alongamento (mm/mm)]]/$I$2</f>
        <v>0.10218999999999999</v>
      </c>
      <c r="D562" s="2">
        <v>1719.4</v>
      </c>
      <c r="E562" s="1">
        <f>Tabela3[[#This Row],[Força (N)]]/$I$5</f>
        <v>40733747.604280435</v>
      </c>
      <c r="F562" s="1">
        <f>Tabela3[[#This Row],[Tensão (Pa)]]/1000000</f>
        <v>40.733747604280431</v>
      </c>
    </row>
    <row r="563" spans="1:6" x14ac:dyDescent="0.3">
      <c r="A563" s="2">
        <v>61.7</v>
      </c>
      <c r="B563" s="2">
        <v>5.1346999999999996</v>
      </c>
      <c r="C563" s="1">
        <f>Tabela3[[#This Row],[Alongamento (mm/mm)]]/$I$2</f>
        <v>0.10269399999999999</v>
      </c>
      <c r="D563" s="2">
        <v>1732.8</v>
      </c>
      <c r="E563" s="1">
        <f>Tabela3[[#This Row],[Força (N)]]/$I$5</f>
        <v>41051202.657146171</v>
      </c>
      <c r="F563" s="1">
        <f>Tabela3[[#This Row],[Tensão (Pa)]]/1000000</f>
        <v>41.05120265714617</v>
      </c>
    </row>
    <row r="564" spans="1:6" x14ac:dyDescent="0.3">
      <c r="A564" s="2">
        <v>62</v>
      </c>
      <c r="B564" s="2">
        <v>5.1597</v>
      </c>
      <c r="C564" s="1">
        <f>Tabela3[[#This Row],[Alongamento (mm/mm)]]/$I$2</f>
        <v>0.10319399999999999</v>
      </c>
      <c r="D564" s="2">
        <v>1746.4</v>
      </c>
      <c r="E564" s="1">
        <f>Tabela3[[#This Row],[Força (N)]]/$I$5</f>
        <v>41373395.845129319</v>
      </c>
      <c r="F564" s="1">
        <f>Tabela3[[#This Row],[Tensão (Pa)]]/1000000</f>
        <v>41.373395845129316</v>
      </c>
    </row>
    <row r="565" spans="1:6" x14ac:dyDescent="0.3">
      <c r="A565" s="2">
        <v>62.317</v>
      </c>
      <c r="B565" s="2">
        <v>5.1859999999999999</v>
      </c>
      <c r="C565" s="1">
        <f>Tabela3[[#This Row],[Alongamento (mm/mm)]]/$I$2</f>
        <v>0.10371999999999999</v>
      </c>
      <c r="D565" s="2">
        <v>1760.5</v>
      </c>
      <c r="E565" s="1">
        <f>Tabela3[[#This Row],[Força (N)]]/$I$5</f>
        <v>41707434.370905958</v>
      </c>
      <c r="F565" s="1">
        <f>Tabela3[[#This Row],[Tensão (Pa)]]/1000000</f>
        <v>41.707434370905958</v>
      </c>
    </row>
    <row r="566" spans="1:6" x14ac:dyDescent="0.3">
      <c r="A566" s="2">
        <v>62.633000000000003</v>
      </c>
      <c r="B566" s="2">
        <v>5.2123999999999997</v>
      </c>
      <c r="C566" s="1">
        <f>Tabela3[[#This Row],[Alongamento (mm/mm)]]/$I$2</f>
        <v>0.10424799999999999</v>
      </c>
      <c r="D566" s="2">
        <v>1774.6</v>
      </c>
      <c r="E566" s="1">
        <f>Tabela3[[#This Row],[Força (N)]]/$I$5</f>
        <v>42041472.89668259</v>
      </c>
      <c r="F566" s="1">
        <f>Tabela3[[#This Row],[Tensão (Pa)]]/1000000</f>
        <v>42.041472896682592</v>
      </c>
    </row>
    <row r="567" spans="1:6" x14ac:dyDescent="0.3">
      <c r="A567" s="2">
        <v>62.95</v>
      </c>
      <c r="B567" s="2">
        <v>5.2388000000000003</v>
      </c>
      <c r="C567" s="1">
        <f>Tabela3[[#This Row],[Alongamento (mm/mm)]]/$I$2</f>
        <v>0.10477600000000001</v>
      </c>
      <c r="D567" s="2">
        <v>1788.6</v>
      </c>
      <c r="E567" s="1">
        <f>Tabela3[[#This Row],[Força (N)]]/$I$5</f>
        <v>42373142.354900531</v>
      </c>
      <c r="F567" s="1">
        <f>Tabela3[[#This Row],[Tensão (Pa)]]/1000000</f>
        <v>42.37314235490053</v>
      </c>
    </row>
    <row r="568" spans="1:6" x14ac:dyDescent="0.3">
      <c r="A568" s="2">
        <v>63.267000000000003</v>
      </c>
      <c r="B568" s="2">
        <v>5.2651000000000003</v>
      </c>
      <c r="C568" s="1">
        <f>Tabela3[[#This Row],[Alongamento (mm/mm)]]/$I$2</f>
        <v>0.10530200000000001</v>
      </c>
      <c r="D568" s="2">
        <v>1802.5</v>
      </c>
      <c r="E568" s="1">
        <f>Tabela3[[#This Row],[Força (N)]]/$I$5</f>
        <v>42702442.745559774</v>
      </c>
      <c r="F568" s="1">
        <f>Tabela3[[#This Row],[Tensão (Pa)]]/1000000</f>
        <v>42.702442745559772</v>
      </c>
    </row>
    <row r="569" spans="1:6" x14ac:dyDescent="0.3">
      <c r="A569" s="2">
        <v>63.6</v>
      </c>
      <c r="B569" s="2">
        <v>5.2930000000000001</v>
      </c>
      <c r="C569" s="1">
        <f>Tabela3[[#This Row],[Alongamento (mm/mm)]]/$I$2</f>
        <v>0.10586000000000001</v>
      </c>
      <c r="D569" s="2">
        <v>1817</v>
      </c>
      <c r="E569" s="1">
        <f>Tabela3[[#This Row],[Força (N)]]/$I$5</f>
        <v>43045957.541571215</v>
      </c>
      <c r="F569" s="1">
        <f>Tabela3[[#This Row],[Tensão (Pa)]]/1000000</f>
        <v>43.045957541571212</v>
      </c>
    </row>
    <row r="570" spans="1:6" x14ac:dyDescent="0.3">
      <c r="A570" s="2">
        <v>63.933</v>
      </c>
      <c r="B570" s="2">
        <v>5.3208000000000002</v>
      </c>
      <c r="C570" s="1">
        <f>Tabela3[[#This Row],[Alongamento (mm/mm)]]/$I$2</f>
        <v>0.10641600000000001</v>
      </c>
      <c r="D570" s="2">
        <v>1831.6</v>
      </c>
      <c r="E570" s="1">
        <f>Tabela3[[#This Row],[Força (N)]]/$I$5</f>
        <v>43391841.405141346</v>
      </c>
      <c r="F570" s="1">
        <f>Tabela3[[#This Row],[Tensão (Pa)]]/1000000</f>
        <v>43.391841405141349</v>
      </c>
    </row>
    <row r="571" spans="1:6" x14ac:dyDescent="0.3">
      <c r="A571" s="2">
        <v>64.266999999999996</v>
      </c>
      <c r="B571" s="2">
        <v>5.3484999999999996</v>
      </c>
      <c r="C571" s="1">
        <f>Tabela3[[#This Row],[Alongamento (mm/mm)]]/$I$2</f>
        <v>0.10697</v>
      </c>
      <c r="D571" s="2">
        <v>1846.6</v>
      </c>
      <c r="E571" s="1">
        <f>Tabela3[[#This Row],[Força (N)]]/$I$5</f>
        <v>43747201.538946286</v>
      </c>
      <c r="F571" s="1">
        <f>Tabela3[[#This Row],[Tensão (Pa)]]/1000000</f>
        <v>43.747201538946285</v>
      </c>
    </row>
    <row r="572" spans="1:6" x14ac:dyDescent="0.3">
      <c r="A572" s="2">
        <v>64.599999999999994</v>
      </c>
      <c r="B572" s="2">
        <v>5.3762999999999996</v>
      </c>
      <c r="C572" s="1">
        <f>Tabela3[[#This Row],[Alongamento (mm/mm)]]/$I$2</f>
        <v>0.107526</v>
      </c>
      <c r="D572" s="2">
        <v>1861.1</v>
      </c>
      <c r="E572" s="1">
        <f>Tabela3[[#This Row],[Força (N)]]/$I$5</f>
        <v>44090716.334957726</v>
      </c>
      <c r="F572" s="1">
        <f>Tabela3[[#This Row],[Tensão (Pa)]]/1000000</f>
        <v>44.090716334957726</v>
      </c>
    </row>
    <row r="573" spans="1:6" x14ac:dyDescent="0.3">
      <c r="A573" s="2">
        <v>64.933000000000007</v>
      </c>
      <c r="B573" s="2">
        <v>5.4040999999999997</v>
      </c>
      <c r="C573" s="1">
        <f>Tabela3[[#This Row],[Alongamento (mm/mm)]]/$I$2</f>
        <v>0.108082</v>
      </c>
      <c r="D573" s="2">
        <v>1876</v>
      </c>
      <c r="E573" s="1">
        <f>Tabela3[[#This Row],[Força (N)]]/$I$5</f>
        <v>44443707.40120396</v>
      </c>
      <c r="F573" s="1">
        <f>Tabela3[[#This Row],[Tensão (Pa)]]/1000000</f>
        <v>44.443707401203959</v>
      </c>
    </row>
    <row r="574" spans="1:6" x14ac:dyDescent="0.3">
      <c r="A574" s="2">
        <v>65.266999999999996</v>
      </c>
      <c r="B574" s="2">
        <v>5.4318999999999997</v>
      </c>
      <c r="C574" s="1">
        <f>Tabela3[[#This Row],[Alongamento (mm/mm)]]/$I$2</f>
        <v>0.108638</v>
      </c>
      <c r="D574" s="2">
        <v>1890.8</v>
      </c>
      <c r="E574" s="1">
        <f>Tabela3[[#This Row],[Força (N)]]/$I$5</f>
        <v>44794329.399891496</v>
      </c>
      <c r="F574" s="1">
        <f>Tabela3[[#This Row],[Tensão (Pa)]]/1000000</f>
        <v>44.794329399891495</v>
      </c>
    </row>
    <row r="575" spans="1:6" x14ac:dyDescent="0.3">
      <c r="A575" s="2">
        <v>65.599999999999994</v>
      </c>
      <c r="B575" s="2">
        <v>5.4596999999999998</v>
      </c>
      <c r="C575" s="1">
        <f>Tabela3[[#This Row],[Alongamento (mm/mm)]]/$I$2</f>
        <v>0.109194</v>
      </c>
      <c r="D575" s="2">
        <v>1905.4</v>
      </c>
      <c r="E575" s="1">
        <f>Tabela3[[#This Row],[Força (N)]]/$I$5</f>
        <v>45140213.263461635</v>
      </c>
      <c r="F575" s="1">
        <f>Tabela3[[#This Row],[Tensão (Pa)]]/1000000</f>
        <v>45.140213263461632</v>
      </c>
    </row>
    <row r="576" spans="1:6" x14ac:dyDescent="0.3">
      <c r="A576" s="2">
        <v>65.95</v>
      </c>
      <c r="B576" s="2">
        <v>5.4888000000000003</v>
      </c>
      <c r="C576" s="1">
        <f>Tabela3[[#This Row],[Alongamento (mm/mm)]]/$I$2</f>
        <v>0.10977600000000001</v>
      </c>
      <c r="D576" s="2">
        <v>1920.6</v>
      </c>
      <c r="E576" s="1">
        <f>Tabela3[[#This Row],[Força (N)]]/$I$5</f>
        <v>45500311.532383971</v>
      </c>
      <c r="F576" s="1">
        <f>Tabela3[[#This Row],[Tensão (Pa)]]/1000000</f>
        <v>45.500311532383968</v>
      </c>
    </row>
    <row r="577" spans="1:6" x14ac:dyDescent="0.3">
      <c r="A577" s="2">
        <v>66.316999999999993</v>
      </c>
      <c r="B577" s="2">
        <v>5.5194000000000001</v>
      </c>
      <c r="C577" s="1">
        <f>Tabela3[[#This Row],[Alongamento (mm/mm)]]/$I$2</f>
        <v>0.110388</v>
      </c>
      <c r="D577" s="2">
        <v>1935.9</v>
      </c>
      <c r="E577" s="1">
        <f>Tabela3[[#This Row],[Força (N)]]/$I$5</f>
        <v>45862778.868865006</v>
      </c>
      <c r="F577" s="1">
        <f>Tabela3[[#This Row],[Tensão (Pa)]]/1000000</f>
        <v>45.862778868865007</v>
      </c>
    </row>
    <row r="578" spans="1:6" x14ac:dyDescent="0.3">
      <c r="A578" s="2">
        <v>66.683000000000007</v>
      </c>
      <c r="B578" s="2">
        <v>5.55</v>
      </c>
      <c r="C578" s="1">
        <f>Tabela3[[#This Row],[Alongamento (mm/mm)]]/$I$2</f>
        <v>0.111</v>
      </c>
      <c r="D578" s="2">
        <v>1951.4</v>
      </c>
      <c r="E578" s="1">
        <f>Tabela3[[#This Row],[Força (N)]]/$I$5</f>
        <v>46229984.340463437</v>
      </c>
      <c r="F578" s="1">
        <f>Tabela3[[#This Row],[Tensão (Pa)]]/1000000</f>
        <v>46.229984340463439</v>
      </c>
    </row>
    <row r="579" spans="1:6" x14ac:dyDescent="0.3">
      <c r="A579" s="2">
        <v>67.05</v>
      </c>
      <c r="B579" s="2">
        <v>5.5804999999999998</v>
      </c>
      <c r="C579" s="1">
        <f>Tabela3[[#This Row],[Alongamento (mm/mm)]]/$I$2</f>
        <v>0.11161</v>
      </c>
      <c r="D579" s="2">
        <v>1966.7</v>
      </c>
      <c r="E579" s="1">
        <f>Tabela3[[#This Row],[Força (N)]]/$I$5</f>
        <v>46592451.676944472</v>
      </c>
      <c r="F579" s="1">
        <f>Tabela3[[#This Row],[Tensão (Pa)]]/1000000</f>
        <v>46.592451676944471</v>
      </c>
    </row>
    <row r="580" spans="1:6" x14ac:dyDescent="0.3">
      <c r="A580" s="2">
        <v>67.433000000000007</v>
      </c>
      <c r="B580" s="2">
        <v>5.6124000000000001</v>
      </c>
      <c r="C580" s="1">
        <f>Tabela3[[#This Row],[Alongamento (mm/mm)]]/$I$2</f>
        <v>0.112248</v>
      </c>
      <c r="D580" s="2">
        <v>1982.2</v>
      </c>
      <c r="E580" s="1">
        <f>Tabela3[[#This Row],[Força (N)]]/$I$5</f>
        <v>46959657.148542911</v>
      </c>
      <c r="F580" s="1">
        <f>Tabela3[[#This Row],[Tensão (Pa)]]/1000000</f>
        <v>46.95965714854291</v>
      </c>
    </row>
    <row r="581" spans="1:6" x14ac:dyDescent="0.3">
      <c r="A581" s="2">
        <v>67.832999999999998</v>
      </c>
      <c r="B581" s="2">
        <v>5.6458000000000004</v>
      </c>
      <c r="C581" s="1">
        <f>Tabela3[[#This Row],[Alongamento (mm/mm)]]/$I$2</f>
        <v>0.112916</v>
      </c>
      <c r="D581" s="2">
        <v>1997.8</v>
      </c>
      <c r="E581" s="1">
        <f>Tabela3[[#This Row],[Força (N)]]/$I$5</f>
        <v>47329231.687700041</v>
      </c>
      <c r="F581" s="1">
        <f>Tabela3[[#This Row],[Tensão (Pa)]]/1000000</f>
        <v>47.329231687700037</v>
      </c>
    </row>
    <row r="582" spans="1:6" x14ac:dyDescent="0.3">
      <c r="A582" s="2">
        <v>68.233000000000004</v>
      </c>
      <c r="B582" s="2">
        <v>5.6791</v>
      </c>
      <c r="C582" s="1">
        <f>Tabela3[[#This Row],[Alongamento (mm/mm)]]/$I$2</f>
        <v>0.113582</v>
      </c>
      <c r="D582" s="2">
        <v>2013.5</v>
      </c>
      <c r="E582" s="1">
        <f>Tabela3[[#This Row],[Força (N)]]/$I$5</f>
        <v>47701175.294415869</v>
      </c>
      <c r="F582" s="1">
        <f>Tabela3[[#This Row],[Tensão (Pa)]]/1000000</f>
        <v>47.701175294415869</v>
      </c>
    </row>
    <row r="583" spans="1:6" x14ac:dyDescent="0.3">
      <c r="A583" s="2">
        <v>68.667000000000002</v>
      </c>
      <c r="B583" s="2">
        <v>5.7152000000000003</v>
      </c>
      <c r="C583" s="1">
        <f>Tabela3[[#This Row],[Alongamento (mm/mm)]]/$I$2</f>
        <v>0.114304</v>
      </c>
      <c r="D583" s="2">
        <v>2029.4</v>
      </c>
      <c r="E583" s="1">
        <f>Tabela3[[#This Row],[Força (N)]]/$I$5</f>
        <v>48077857.036249109</v>
      </c>
      <c r="F583" s="1">
        <f>Tabela3[[#This Row],[Tensão (Pa)]]/1000000</f>
        <v>48.077857036249107</v>
      </c>
    </row>
    <row r="584" spans="1:6" x14ac:dyDescent="0.3">
      <c r="A584" s="2">
        <v>69.132999999999996</v>
      </c>
      <c r="B584" s="2">
        <v>5.7541000000000002</v>
      </c>
      <c r="C584" s="1">
        <f>Tabela3[[#This Row],[Alongamento (mm/mm)]]/$I$2</f>
        <v>0.115082</v>
      </c>
      <c r="D584" s="2">
        <v>2045.4</v>
      </c>
      <c r="E584" s="1">
        <f>Tabela3[[#This Row],[Força (N)]]/$I$5</f>
        <v>48456907.845641039</v>
      </c>
      <c r="F584" s="1">
        <f>Tabela3[[#This Row],[Tensão (Pa)]]/1000000</f>
        <v>48.456907845641041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9E5A-C668-4866-9453-2D86E3056D10}">
  <dimension ref="A1:K596"/>
  <sheetViews>
    <sheetView topLeftCell="A579" workbookViewId="0">
      <selection activeCell="G596" sqref="G596"/>
    </sheetView>
  </sheetViews>
  <sheetFormatPr defaultRowHeight="14.4" x14ac:dyDescent="0.3"/>
  <cols>
    <col min="1" max="1" width="11.88671875" bestFit="1" customWidth="1"/>
    <col min="2" max="2" width="25.5546875" bestFit="1" customWidth="1"/>
    <col min="3" max="3" width="24.44140625" bestFit="1" customWidth="1"/>
    <col min="4" max="4" width="11.44140625" bestFit="1" customWidth="1"/>
    <col min="5" max="5" width="13.5546875" bestFit="1" customWidth="1"/>
    <col min="6" max="6" width="15.5546875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2">
        <v>0.16667000000000001</v>
      </c>
      <c r="B2" s="2">
        <v>7.3515999999999998E-3</v>
      </c>
      <c r="C2" s="1">
        <f>Tabela5[[#This Row],[Alongamento (mm/mm)]]/$I$2</f>
        <v>1.4703199999999998E-4</v>
      </c>
      <c r="D2" s="2">
        <v>0</v>
      </c>
      <c r="E2" s="1">
        <f>Tabela5[[#This Row],[Força (N)]]/$I$5</f>
        <v>0</v>
      </c>
      <c r="F2" s="1">
        <f>Tabela5[[#This Row],[Tensão (Pa)]]/1000000</f>
        <v>0</v>
      </c>
      <c r="H2" t="s">
        <v>10</v>
      </c>
      <c r="I2">
        <v>50</v>
      </c>
      <c r="J2">
        <v>12.83</v>
      </c>
      <c r="K2">
        <v>3.3</v>
      </c>
    </row>
    <row r="3" spans="1:11" x14ac:dyDescent="0.3">
      <c r="A3" s="2">
        <v>9.8167000000000009</v>
      </c>
      <c r="B3" s="2">
        <v>0.81072</v>
      </c>
      <c r="C3" s="1">
        <f>Tabela5[[#This Row],[Alongamento (mm/mm)]]/$I$2</f>
        <v>1.62144E-2</v>
      </c>
      <c r="D3" s="2">
        <v>5.1029999999999998</v>
      </c>
      <c r="E3" s="1">
        <f>Tabela5[[#This Row],[Força (N)]]/$I$5</f>
        <v>120527.17352795295</v>
      </c>
      <c r="F3" s="1">
        <f>Tabela5[[#This Row],[Tensão (Pa)]]/1000000</f>
        <v>0.12052717352795295</v>
      </c>
      <c r="H3" t="s">
        <v>12</v>
      </c>
      <c r="I3">
        <f>I2/1000</f>
        <v>0.05</v>
      </c>
      <c r="J3">
        <f t="shared" ref="J3:K3" si="0">J2/1000</f>
        <v>1.2829999999999999E-2</v>
      </c>
      <c r="K3">
        <f t="shared" si="0"/>
        <v>3.3E-3</v>
      </c>
    </row>
    <row r="4" spans="1:11" x14ac:dyDescent="0.3">
      <c r="A4" s="2">
        <v>9.9</v>
      </c>
      <c r="B4" s="2">
        <v>0.81769999999999998</v>
      </c>
      <c r="C4" s="1">
        <f>Tabela5[[#This Row],[Alongamento (mm/mm)]]/$I$2</f>
        <v>1.6354E-2</v>
      </c>
      <c r="D4" s="2">
        <v>5.1029999999999998</v>
      </c>
      <c r="E4" s="1">
        <f>Tabela5[[#This Row],[Força (N)]]/$I$5</f>
        <v>120527.17352795295</v>
      </c>
      <c r="F4" s="1">
        <f>Tabela5[[#This Row],[Tensão (Pa)]]/1000000</f>
        <v>0.12052717352795295</v>
      </c>
    </row>
    <row r="5" spans="1:11" x14ac:dyDescent="0.3">
      <c r="A5" s="2">
        <v>9.9832999999999998</v>
      </c>
      <c r="B5" s="2">
        <v>0.82459000000000005</v>
      </c>
      <c r="C5" s="1">
        <f>Tabela5[[#This Row],[Alongamento (mm/mm)]]/$I$2</f>
        <v>1.6491800000000001E-2</v>
      </c>
      <c r="D5" s="2">
        <v>5.1029999999999998</v>
      </c>
      <c r="E5" s="1">
        <f>Tabela5[[#This Row],[Força (N)]]/$I$5</f>
        <v>120527.17352795295</v>
      </c>
      <c r="F5" s="1">
        <f>Tabela5[[#This Row],[Tensão (Pa)]]/1000000</f>
        <v>0.12052717352795295</v>
      </c>
      <c r="H5" t="s">
        <v>13</v>
      </c>
      <c r="I5">
        <f>J3*K3</f>
        <v>4.2338999999999996E-5</v>
      </c>
    </row>
    <row r="6" spans="1:11" x14ac:dyDescent="0.3">
      <c r="A6" s="2">
        <v>10.067</v>
      </c>
      <c r="B6" s="2">
        <v>0.83147000000000004</v>
      </c>
      <c r="C6" s="1">
        <f>Tabela5[[#This Row],[Alongamento (mm/mm)]]/$I$2</f>
        <v>1.6629400000000003E-2</v>
      </c>
      <c r="D6" s="2">
        <v>5.1029999999999998</v>
      </c>
      <c r="E6" s="1">
        <f>Tabela5[[#This Row],[Força (N)]]/$I$5</f>
        <v>120527.17352795295</v>
      </c>
      <c r="F6" s="1">
        <f>Tabela5[[#This Row],[Tensão (Pa)]]/1000000</f>
        <v>0.12052717352795295</v>
      </c>
    </row>
    <row r="7" spans="1:11" x14ac:dyDescent="0.3">
      <c r="A7" s="2">
        <v>10.15</v>
      </c>
      <c r="B7" s="2">
        <v>0.83855000000000002</v>
      </c>
      <c r="C7" s="1">
        <f>Tabela5[[#This Row],[Alongamento (mm/mm)]]/$I$2</f>
        <v>1.6771000000000001E-2</v>
      </c>
      <c r="D7" s="2">
        <v>5.2731000000000003</v>
      </c>
      <c r="E7" s="1">
        <f>Tabela5[[#This Row],[Força (N)]]/$I$5</f>
        <v>124544.74597888473</v>
      </c>
      <c r="F7" s="1">
        <f>Tabela5[[#This Row],[Tensão (Pa)]]/1000000</f>
        <v>0.12454474597888474</v>
      </c>
    </row>
    <row r="8" spans="1:11" x14ac:dyDescent="0.3">
      <c r="A8" s="2">
        <v>10.233000000000001</v>
      </c>
      <c r="B8" s="2">
        <v>0.84543000000000001</v>
      </c>
      <c r="C8" s="1">
        <f>Tabela5[[#This Row],[Alongamento (mm/mm)]]/$I$2</f>
        <v>1.6908599999999999E-2</v>
      </c>
      <c r="D8" s="2">
        <v>5.2731000000000003</v>
      </c>
      <c r="E8" s="1">
        <f>Tabela5[[#This Row],[Força (N)]]/$I$5</f>
        <v>124544.74597888473</v>
      </c>
      <c r="F8" s="1">
        <f>Tabela5[[#This Row],[Tensão (Pa)]]/1000000</f>
        <v>0.12454474597888474</v>
      </c>
    </row>
    <row r="9" spans="1:11" x14ac:dyDescent="0.3">
      <c r="A9" s="2">
        <v>10.317</v>
      </c>
      <c r="B9" s="2">
        <v>0.85231999999999997</v>
      </c>
      <c r="C9" s="1">
        <f>Tabela5[[#This Row],[Alongamento (mm/mm)]]/$I$2</f>
        <v>1.70464E-2</v>
      </c>
      <c r="D9" s="2">
        <v>5.2731000000000003</v>
      </c>
      <c r="E9" s="1">
        <f>Tabela5[[#This Row],[Força (N)]]/$I$5</f>
        <v>124544.74597888473</v>
      </c>
      <c r="F9" s="1">
        <f>Tabela5[[#This Row],[Tensão (Pa)]]/1000000</f>
        <v>0.12454474597888474</v>
      </c>
    </row>
    <row r="10" spans="1:11" x14ac:dyDescent="0.3">
      <c r="A10" s="2">
        <v>10.4</v>
      </c>
      <c r="B10" s="2">
        <v>0.85929999999999995</v>
      </c>
      <c r="C10" s="1">
        <f>Tabela5[[#This Row],[Alongamento (mm/mm)]]/$I$2</f>
        <v>1.7186E-2</v>
      </c>
      <c r="D10" s="2">
        <v>5.1029999999999998</v>
      </c>
      <c r="E10" s="1">
        <f>Tabela5[[#This Row],[Força (N)]]/$I$5</f>
        <v>120527.17352795295</v>
      </c>
      <c r="F10" s="1">
        <f>Tabela5[[#This Row],[Tensão (Pa)]]/1000000</f>
        <v>0.12052717352795295</v>
      </c>
    </row>
    <row r="11" spans="1:11" x14ac:dyDescent="0.3">
      <c r="A11" s="2">
        <v>10.483000000000001</v>
      </c>
      <c r="B11" s="2">
        <v>0.86617999999999995</v>
      </c>
      <c r="C11" s="1">
        <f>Tabela5[[#This Row],[Alongamento (mm/mm)]]/$I$2</f>
        <v>1.7323599999999998E-2</v>
      </c>
      <c r="D11" s="2">
        <v>5.1029999999999998</v>
      </c>
      <c r="E11" s="1">
        <f>Tabela5[[#This Row],[Força (N)]]/$I$5</f>
        <v>120527.17352795295</v>
      </c>
      <c r="F11" s="1">
        <f>Tabela5[[#This Row],[Tensão (Pa)]]/1000000</f>
        <v>0.12052717352795295</v>
      </c>
    </row>
    <row r="12" spans="1:11" x14ac:dyDescent="0.3">
      <c r="A12" s="2">
        <v>10.567</v>
      </c>
      <c r="B12" s="2">
        <v>0.87316000000000005</v>
      </c>
      <c r="C12" s="1">
        <f>Tabela5[[#This Row],[Alongamento (mm/mm)]]/$I$2</f>
        <v>1.7463200000000002E-2</v>
      </c>
      <c r="D12" s="2">
        <v>5.1029999999999998</v>
      </c>
      <c r="E12" s="1">
        <f>Tabela5[[#This Row],[Força (N)]]/$I$5</f>
        <v>120527.17352795295</v>
      </c>
      <c r="F12" s="1">
        <f>Tabela5[[#This Row],[Tensão (Pa)]]/1000000</f>
        <v>0.12052717352795295</v>
      </c>
    </row>
    <row r="13" spans="1:11" x14ac:dyDescent="0.3">
      <c r="A13" s="2">
        <v>10.65</v>
      </c>
      <c r="B13" s="2">
        <v>0.88014000000000003</v>
      </c>
      <c r="C13" s="1">
        <f>Tabela5[[#This Row],[Alongamento (mm/mm)]]/$I$2</f>
        <v>1.7602800000000002E-2</v>
      </c>
      <c r="D13" s="2">
        <v>5.1029999999999998</v>
      </c>
      <c r="E13" s="1">
        <f>Tabela5[[#This Row],[Força (N)]]/$I$5</f>
        <v>120527.17352795295</v>
      </c>
      <c r="F13" s="1">
        <f>Tabela5[[#This Row],[Tensão (Pa)]]/1000000</f>
        <v>0.12052717352795295</v>
      </c>
    </row>
    <row r="14" spans="1:11" x14ac:dyDescent="0.3">
      <c r="A14" s="2">
        <v>10.733000000000001</v>
      </c>
      <c r="B14" s="2">
        <v>0.88702999999999999</v>
      </c>
      <c r="C14" s="1">
        <f>Tabela5[[#This Row],[Alongamento (mm/mm)]]/$I$2</f>
        <v>1.7740599999999999E-2</v>
      </c>
      <c r="D14" s="2">
        <v>5.2731000000000003</v>
      </c>
      <c r="E14" s="1">
        <f>Tabela5[[#This Row],[Força (N)]]/$I$5</f>
        <v>124544.74597888473</v>
      </c>
      <c r="F14" s="1">
        <f>Tabela5[[#This Row],[Tensão (Pa)]]/1000000</f>
        <v>0.12454474597888474</v>
      </c>
    </row>
    <row r="15" spans="1:11" x14ac:dyDescent="0.3">
      <c r="A15" s="2">
        <v>10.817</v>
      </c>
      <c r="B15" s="2">
        <v>0.89410000000000001</v>
      </c>
      <c r="C15" s="1">
        <f>Tabela5[[#This Row],[Alongamento (mm/mm)]]/$I$2</f>
        <v>1.7881999999999999E-2</v>
      </c>
      <c r="D15" s="2">
        <v>5.2731000000000003</v>
      </c>
      <c r="E15" s="1">
        <f>Tabela5[[#This Row],[Força (N)]]/$I$5</f>
        <v>124544.74597888473</v>
      </c>
      <c r="F15" s="1">
        <f>Tabela5[[#This Row],[Tensão (Pa)]]/1000000</f>
        <v>0.12454474597888474</v>
      </c>
    </row>
    <row r="16" spans="1:11" x14ac:dyDescent="0.3">
      <c r="A16" s="2">
        <v>10.917</v>
      </c>
      <c r="B16" s="2">
        <v>0.90229000000000004</v>
      </c>
      <c r="C16" s="1">
        <f>Tabela5[[#This Row],[Alongamento (mm/mm)]]/$I$2</f>
        <v>1.8045800000000001E-2</v>
      </c>
      <c r="D16" s="2">
        <v>5.4432</v>
      </c>
      <c r="E16" s="1">
        <f>Tabela5[[#This Row],[Força (N)]]/$I$5</f>
        <v>128562.3184298165</v>
      </c>
      <c r="F16" s="1">
        <f>Tabela5[[#This Row],[Tensão (Pa)]]/1000000</f>
        <v>0.1285623184298165</v>
      </c>
    </row>
    <row r="17" spans="1:6" x14ac:dyDescent="0.3">
      <c r="A17" s="2">
        <v>11</v>
      </c>
      <c r="B17" s="2">
        <v>0.90927000000000002</v>
      </c>
      <c r="C17" s="1">
        <f>Tabela5[[#This Row],[Alongamento (mm/mm)]]/$I$2</f>
        <v>1.8185400000000001E-2</v>
      </c>
      <c r="D17" s="2">
        <v>5.4432</v>
      </c>
      <c r="E17" s="1">
        <f>Tabela5[[#This Row],[Força (N)]]/$I$5</f>
        <v>128562.3184298165</v>
      </c>
      <c r="F17" s="1">
        <f>Tabela5[[#This Row],[Tensão (Pa)]]/1000000</f>
        <v>0.1285623184298165</v>
      </c>
    </row>
    <row r="18" spans="1:6" x14ac:dyDescent="0.3">
      <c r="A18" s="2">
        <v>11.1</v>
      </c>
      <c r="B18" s="2">
        <v>0.91764000000000001</v>
      </c>
      <c r="C18" s="1">
        <f>Tabela5[[#This Row],[Alongamento (mm/mm)]]/$I$2</f>
        <v>1.8352799999999999E-2</v>
      </c>
      <c r="D18" s="2">
        <v>5.4432</v>
      </c>
      <c r="E18" s="1">
        <f>Tabela5[[#This Row],[Força (N)]]/$I$5</f>
        <v>128562.3184298165</v>
      </c>
      <c r="F18" s="1">
        <f>Tabela5[[#This Row],[Tensão (Pa)]]/1000000</f>
        <v>0.1285623184298165</v>
      </c>
    </row>
    <row r="19" spans="1:6" x14ac:dyDescent="0.3">
      <c r="A19" s="2">
        <v>11.2</v>
      </c>
      <c r="B19" s="2">
        <v>0.92601999999999995</v>
      </c>
      <c r="C19" s="1">
        <f>Tabela5[[#This Row],[Alongamento (mm/mm)]]/$I$2</f>
        <v>1.8520399999999999E-2</v>
      </c>
      <c r="D19" s="2">
        <v>5.4432</v>
      </c>
      <c r="E19" s="1">
        <f>Tabela5[[#This Row],[Força (N)]]/$I$5</f>
        <v>128562.3184298165</v>
      </c>
      <c r="F19" s="1">
        <f>Tabela5[[#This Row],[Tensão (Pa)]]/1000000</f>
        <v>0.1285623184298165</v>
      </c>
    </row>
    <row r="20" spans="1:6" x14ac:dyDescent="0.3">
      <c r="A20" s="2">
        <v>11.3</v>
      </c>
      <c r="B20" s="2">
        <v>0.93430000000000002</v>
      </c>
      <c r="C20" s="1">
        <f>Tabela5[[#This Row],[Alongamento (mm/mm)]]/$I$2</f>
        <v>1.8686000000000001E-2</v>
      </c>
      <c r="D20" s="2">
        <v>5.6132999999999997</v>
      </c>
      <c r="E20" s="1">
        <f>Tabela5[[#This Row],[Força (N)]]/$I$5</f>
        <v>132579.89088074825</v>
      </c>
      <c r="F20" s="1">
        <f>Tabela5[[#This Row],[Tensão (Pa)]]/1000000</f>
        <v>0.13257989088074826</v>
      </c>
    </row>
    <row r="21" spans="1:6" x14ac:dyDescent="0.3">
      <c r="A21" s="2">
        <v>11.4</v>
      </c>
      <c r="B21" s="2">
        <v>0.94267999999999996</v>
      </c>
      <c r="C21" s="1">
        <f>Tabela5[[#This Row],[Alongamento (mm/mm)]]/$I$2</f>
        <v>1.8853599999999998E-2</v>
      </c>
      <c r="D21" s="2">
        <v>5.6132999999999997</v>
      </c>
      <c r="E21" s="1">
        <f>Tabela5[[#This Row],[Força (N)]]/$I$5</f>
        <v>132579.89088074825</v>
      </c>
      <c r="F21" s="1">
        <f>Tabela5[[#This Row],[Tensão (Pa)]]/1000000</f>
        <v>0.13257989088074826</v>
      </c>
    </row>
    <row r="22" spans="1:6" x14ac:dyDescent="0.3">
      <c r="A22" s="2">
        <v>11.5</v>
      </c>
      <c r="B22" s="2">
        <v>0.95096000000000003</v>
      </c>
      <c r="C22" s="1">
        <f>Tabela5[[#This Row],[Alongamento (mm/mm)]]/$I$2</f>
        <v>1.90192E-2</v>
      </c>
      <c r="D22" s="2">
        <v>5.6132999999999997</v>
      </c>
      <c r="E22" s="1">
        <f>Tabela5[[#This Row],[Força (N)]]/$I$5</f>
        <v>132579.89088074825</v>
      </c>
      <c r="F22" s="1">
        <f>Tabela5[[#This Row],[Tensão (Pa)]]/1000000</f>
        <v>0.13257989088074826</v>
      </c>
    </row>
    <row r="23" spans="1:6" x14ac:dyDescent="0.3">
      <c r="A23" s="2">
        <v>11.6</v>
      </c>
      <c r="B23" s="2">
        <v>0.95923999999999998</v>
      </c>
      <c r="C23" s="1">
        <f>Tabela5[[#This Row],[Alongamento (mm/mm)]]/$I$2</f>
        <v>1.9184799999999998E-2</v>
      </c>
      <c r="D23" s="2">
        <v>5.7834000000000003</v>
      </c>
      <c r="E23" s="1">
        <f>Tabela5[[#This Row],[Força (N)]]/$I$5</f>
        <v>136597.46333168005</v>
      </c>
      <c r="F23" s="1">
        <f>Tabela5[[#This Row],[Tensão (Pa)]]/1000000</f>
        <v>0.13659746333168005</v>
      </c>
    </row>
    <row r="24" spans="1:6" x14ac:dyDescent="0.3">
      <c r="A24" s="2">
        <v>11.7</v>
      </c>
      <c r="B24" s="2">
        <v>0.96770999999999996</v>
      </c>
      <c r="C24" s="1">
        <f>Tabela5[[#This Row],[Alongamento (mm/mm)]]/$I$2</f>
        <v>1.9354199999999998E-2</v>
      </c>
      <c r="D24" s="2">
        <v>6.2937000000000003</v>
      </c>
      <c r="E24" s="1">
        <f>Tabela5[[#This Row],[Força (N)]]/$I$5</f>
        <v>148650.18068447532</v>
      </c>
      <c r="F24" s="1">
        <f>Tabela5[[#This Row],[Tensão (Pa)]]/1000000</f>
        <v>0.1486501806844753</v>
      </c>
    </row>
    <row r="25" spans="1:6" x14ac:dyDescent="0.3">
      <c r="A25" s="2">
        <v>11.8</v>
      </c>
      <c r="B25" s="2">
        <v>0.97599000000000002</v>
      </c>
      <c r="C25" s="1">
        <f>Tabela5[[#This Row],[Alongamento (mm/mm)]]/$I$2</f>
        <v>1.95198E-2</v>
      </c>
      <c r="D25" s="2">
        <v>6.8040000000000003</v>
      </c>
      <c r="E25" s="1">
        <f>Tabela5[[#This Row],[Força (N)]]/$I$5</f>
        <v>160702.89803727061</v>
      </c>
      <c r="F25" s="1">
        <f>Tabela5[[#This Row],[Tensão (Pa)]]/1000000</f>
        <v>0.16070289803727061</v>
      </c>
    </row>
    <row r="26" spans="1:6" x14ac:dyDescent="0.3">
      <c r="A26" s="2">
        <v>11.9</v>
      </c>
      <c r="B26" s="2">
        <v>0.98426999999999998</v>
      </c>
      <c r="C26" s="1">
        <f>Tabela5[[#This Row],[Alongamento (mm/mm)]]/$I$2</f>
        <v>1.9685399999999999E-2</v>
      </c>
      <c r="D26" s="2">
        <v>7.3141999999999996</v>
      </c>
      <c r="E26" s="1">
        <f>Tabela5[[#This Row],[Força (N)]]/$I$5</f>
        <v>172753.2535014998</v>
      </c>
      <c r="F26" s="1">
        <f>Tabela5[[#This Row],[Tensão (Pa)]]/1000000</f>
        <v>0.17275325350149981</v>
      </c>
    </row>
    <row r="27" spans="1:6" x14ac:dyDescent="0.3">
      <c r="A27" s="2">
        <v>12</v>
      </c>
      <c r="B27" s="2">
        <v>0.99265000000000003</v>
      </c>
      <c r="C27" s="1">
        <f>Tabela5[[#This Row],[Alongamento (mm/mm)]]/$I$2</f>
        <v>1.9852999999999999E-2</v>
      </c>
      <c r="D27" s="2">
        <v>7.6543999999999999</v>
      </c>
      <c r="E27" s="1">
        <f>Tabela5[[#This Row],[Força (N)]]/$I$5</f>
        <v>180788.39840336333</v>
      </c>
      <c r="F27" s="1">
        <f>Tabela5[[#This Row],[Tensão (Pa)]]/1000000</f>
        <v>0.18078839840336333</v>
      </c>
    </row>
    <row r="28" spans="1:6" x14ac:dyDescent="0.3">
      <c r="A28" s="2">
        <v>12.1</v>
      </c>
      <c r="B28" s="2">
        <v>1.0008999999999999</v>
      </c>
      <c r="C28" s="1">
        <f>Tabela5[[#This Row],[Alongamento (mm/mm)]]/$I$2</f>
        <v>2.0017999999999998E-2</v>
      </c>
      <c r="D28" s="2">
        <v>7.9946000000000002</v>
      </c>
      <c r="E28" s="1">
        <f>Tabela5[[#This Row],[Força (N)]]/$I$5</f>
        <v>188823.54330522689</v>
      </c>
      <c r="F28" s="1">
        <f>Tabela5[[#This Row],[Tensão (Pa)]]/1000000</f>
        <v>0.18882354330522688</v>
      </c>
    </row>
    <row r="29" spans="1:6" x14ac:dyDescent="0.3">
      <c r="A29" s="2">
        <v>12.2</v>
      </c>
      <c r="B29" s="2">
        <v>1.0093000000000001</v>
      </c>
      <c r="C29" s="1">
        <f>Tabela5[[#This Row],[Alongamento (mm/mm)]]/$I$2</f>
        <v>2.0186000000000003E-2</v>
      </c>
      <c r="D29" s="2">
        <v>8.1646999999999998</v>
      </c>
      <c r="E29" s="1">
        <f>Tabela5[[#This Row],[Força (N)]]/$I$5</f>
        <v>192841.11575615863</v>
      </c>
      <c r="F29" s="1">
        <f>Tabela5[[#This Row],[Tensão (Pa)]]/1000000</f>
        <v>0.19284111575615864</v>
      </c>
    </row>
    <row r="30" spans="1:6" x14ac:dyDescent="0.3">
      <c r="A30" s="2">
        <v>12.3</v>
      </c>
      <c r="B30" s="2">
        <v>1.0176000000000001</v>
      </c>
      <c r="C30" s="1">
        <f>Tabela5[[#This Row],[Alongamento (mm/mm)]]/$I$2</f>
        <v>2.0352000000000002E-2</v>
      </c>
      <c r="D30" s="2">
        <v>8.3347999999999995</v>
      </c>
      <c r="E30" s="1">
        <f>Tabela5[[#This Row],[Força (N)]]/$I$5</f>
        <v>196858.6882070904</v>
      </c>
      <c r="F30" s="1">
        <f>Tabela5[[#This Row],[Tensão (Pa)]]/1000000</f>
        <v>0.1968586882070904</v>
      </c>
    </row>
    <row r="31" spans="1:6" x14ac:dyDescent="0.3">
      <c r="A31" s="2">
        <v>12.4</v>
      </c>
      <c r="B31" s="2">
        <v>1.026</v>
      </c>
      <c r="C31" s="1">
        <f>Tabela5[[#This Row],[Alongamento (mm/mm)]]/$I$2</f>
        <v>2.052E-2</v>
      </c>
      <c r="D31" s="2">
        <v>8.5048999999999992</v>
      </c>
      <c r="E31" s="1">
        <f>Tabela5[[#This Row],[Força (N)]]/$I$5</f>
        <v>200876.26065802216</v>
      </c>
      <c r="F31" s="1">
        <f>Tabela5[[#This Row],[Tensão (Pa)]]/1000000</f>
        <v>0.20087626065802217</v>
      </c>
    </row>
    <row r="32" spans="1:6" x14ac:dyDescent="0.3">
      <c r="A32" s="2">
        <v>12.5</v>
      </c>
      <c r="B32" s="2">
        <v>1.0343</v>
      </c>
      <c r="C32" s="1">
        <f>Tabela5[[#This Row],[Alongamento (mm/mm)]]/$I$2</f>
        <v>2.0686E-2</v>
      </c>
      <c r="D32" s="2">
        <v>8.5048999999999992</v>
      </c>
      <c r="E32" s="1">
        <f>Tabela5[[#This Row],[Força (N)]]/$I$5</f>
        <v>200876.26065802216</v>
      </c>
      <c r="F32" s="1">
        <f>Tabela5[[#This Row],[Tensão (Pa)]]/1000000</f>
        <v>0.20087626065802217</v>
      </c>
    </row>
    <row r="33" spans="1:6" x14ac:dyDescent="0.3">
      <c r="A33" s="2">
        <v>12.6</v>
      </c>
      <c r="B33" s="2">
        <v>1.0426</v>
      </c>
      <c r="C33" s="1">
        <f>Tabela5[[#This Row],[Alongamento (mm/mm)]]/$I$2</f>
        <v>2.0851999999999999E-2</v>
      </c>
      <c r="D33" s="2">
        <v>8.5048999999999992</v>
      </c>
      <c r="E33" s="1">
        <f>Tabela5[[#This Row],[Força (N)]]/$I$5</f>
        <v>200876.26065802216</v>
      </c>
      <c r="F33" s="1">
        <f>Tabela5[[#This Row],[Tensão (Pa)]]/1000000</f>
        <v>0.20087626065802217</v>
      </c>
    </row>
    <row r="34" spans="1:6" x14ac:dyDescent="0.3">
      <c r="A34" s="2">
        <v>12.7</v>
      </c>
      <c r="B34" s="2">
        <v>1.0509999999999999</v>
      </c>
      <c r="C34" s="1">
        <f>Tabela5[[#This Row],[Alongamento (mm/mm)]]/$I$2</f>
        <v>2.1019999999999997E-2</v>
      </c>
      <c r="D34" s="2">
        <v>8.5048999999999992</v>
      </c>
      <c r="E34" s="1">
        <f>Tabela5[[#This Row],[Força (N)]]/$I$5</f>
        <v>200876.26065802216</v>
      </c>
      <c r="F34" s="1">
        <f>Tabela5[[#This Row],[Tensão (Pa)]]/1000000</f>
        <v>0.20087626065802217</v>
      </c>
    </row>
    <row r="35" spans="1:6" x14ac:dyDescent="0.3">
      <c r="A35" s="2">
        <v>12.8</v>
      </c>
      <c r="B35" s="2">
        <v>1.0592999999999999</v>
      </c>
      <c r="C35" s="1">
        <f>Tabela5[[#This Row],[Alongamento (mm/mm)]]/$I$2</f>
        <v>2.1185999999999997E-2</v>
      </c>
      <c r="D35" s="2">
        <v>8.5048999999999992</v>
      </c>
      <c r="E35" s="1">
        <f>Tabela5[[#This Row],[Força (N)]]/$I$5</f>
        <v>200876.26065802216</v>
      </c>
      <c r="F35" s="1">
        <f>Tabela5[[#This Row],[Tensão (Pa)]]/1000000</f>
        <v>0.20087626065802217</v>
      </c>
    </row>
    <row r="36" spans="1:6" x14ac:dyDescent="0.3">
      <c r="A36" s="2">
        <v>12.9</v>
      </c>
      <c r="B36" s="2">
        <v>1.0677000000000001</v>
      </c>
      <c r="C36" s="1">
        <f>Tabela5[[#This Row],[Alongamento (mm/mm)]]/$I$2</f>
        <v>2.1354000000000001E-2</v>
      </c>
      <c r="D36" s="2">
        <v>8.5048999999999992</v>
      </c>
      <c r="E36" s="1">
        <f>Tabela5[[#This Row],[Força (N)]]/$I$5</f>
        <v>200876.26065802216</v>
      </c>
      <c r="F36" s="1">
        <f>Tabela5[[#This Row],[Tensão (Pa)]]/1000000</f>
        <v>0.20087626065802217</v>
      </c>
    </row>
    <row r="37" spans="1:6" x14ac:dyDescent="0.3">
      <c r="A37" s="2">
        <v>13</v>
      </c>
      <c r="B37" s="2">
        <v>1.0760000000000001</v>
      </c>
      <c r="C37" s="1">
        <f>Tabela5[[#This Row],[Alongamento (mm/mm)]]/$I$2</f>
        <v>2.1520000000000001E-2</v>
      </c>
      <c r="D37" s="2">
        <v>8.5048999999999992</v>
      </c>
      <c r="E37" s="1">
        <f>Tabela5[[#This Row],[Força (N)]]/$I$5</f>
        <v>200876.26065802216</v>
      </c>
      <c r="F37" s="1">
        <f>Tabela5[[#This Row],[Tensão (Pa)]]/1000000</f>
        <v>0.20087626065802217</v>
      </c>
    </row>
    <row r="38" spans="1:6" x14ac:dyDescent="0.3">
      <c r="A38" s="2">
        <v>13.117000000000001</v>
      </c>
      <c r="B38" s="2">
        <v>1.0857000000000001</v>
      </c>
      <c r="C38" s="1">
        <f>Tabela5[[#This Row],[Alongamento (mm/mm)]]/$I$2</f>
        <v>2.1714000000000001E-2</v>
      </c>
      <c r="D38" s="2">
        <v>8.5048999999999992</v>
      </c>
      <c r="E38" s="1">
        <f>Tabela5[[#This Row],[Força (N)]]/$I$5</f>
        <v>200876.26065802216</v>
      </c>
      <c r="F38" s="1">
        <f>Tabela5[[#This Row],[Tensão (Pa)]]/1000000</f>
        <v>0.20087626065802217</v>
      </c>
    </row>
    <row r="39" spans="1:6" x14ac:dyDescent="0.3">
      <c r="A39" s="2">
        <v>13.233000000000001</v>
      </c>
      <c r="B39" s="2">
        <v>1.0953999999999999</v>
      </c>
      <c r="C39" s="1">
        <f>Tabela5[[#This Row],[Alongamento (mm/mm)]]/$I$2</f>
        <v>2.1907999999999997E-2</v>
      </c>
      <c r="D39" s="2">
        <v>8.5048999999999992</v>
      </c>
      <c r="E39" s="1">
        <f>Tabela5[[#This Row],[Força (N)]]/$I$5</f>
        <v>200876.26065802216</v>
      </c>
      <c r="F39" s="1">
        <f>Tabela5[[#This Row],[Tensão (Pa)]]/1000000</f>
        <v>0.20087626065802217</v>
      </c>
    </row>
    <row r="40" spans="1:6" x14ac:dyDescent="0.3">
      <c r="A40" s="2">
        <v>13.35</v>
      </c>
      <c r="B40" s="2">
        <v>1.1052</v>
      </c>
      <c r="C40" s="1">
        <f>Tabela5[[#This Row],[Alongamento (mm/mm)]]/$I$2</f>
        <v>2.2103999999999999E-2</v>
      </c>
      <c r="D40" s="2">
        <v>8.5048999999999992</v>
      </c>
      <c r="E40" s="1">
        <f>Tabela5[[#This Row],[Força (N)]]/$I$5</f>
        <v>200876.26065802216</v>
      </c>
      <c r="F40" s="1">
        <f>Tabela5[[#This Row],[Tensão (Pa)]]/1000000</f>
        <v>0.20087626065802217</v>
      </c>
    </row>
    <row r="41" spans="1:6" x14ac:dyDescent="0.3">
      <c r="A41" s="2">
        <v>13.467000000000001</v>
      </c>
      <c r="B41" s="2">
        <v>1.1148</v>
      </c>
      <c r="C41" s="1">
        <f>Tabela5[[#This Row],[Alongamento (mm/mm)]]/$I$2</f>
        <v>2.2296E-2</v>
      </c>
      <c r="D41" s="2">
        <v>8.5048999999999992</v>
      </c>
      <c r="E41" s="1">
        <f>Tabela5[[#This Row],[Força (N)]]/$I$5</f>
        <v>200876.26065802216</v>
      </c>
      <c r="F41" s="1">
        <f>Tabela5[[#This Row],[Tensão (Pa)]]/1000000</f>
        <v>0.20087626065802217</v>
      </c>
    </row>
    <row r="42" spans="1:6" x14ac:dyDescent="0.3">
      <c r="A42" s="2">
        <v>13.583</v>
      </c>
      <c r="B42" s="2">
        <v>1.1245000000000001</v>
      </c>
      <c r="C42" s="1">
        <f>Tabela5[[#This Row],[Alongamento (mm/mm)]]/$I$2</f>
        <v>2.249E-2</v>
      </c>
      <c r="D42" s="2">
        <v>8.5048999999999992</v>
      </c>
      <c r="E42" s="1">
        <f>Tabela5[[#This Row],[Força (N)]]/$I$5</f>
        <v>200876.26065802216</v>
      </c>
      <c r="F42" s="1">
        <f>Tabela5[[#This Row],[Tensão (Pa)]]/1000000</f>
        <v>0.20087626065802217</v>
      </c>
    </row>
    <row r="43" spans="1:6" x14ac:dyDescent="0.3">
      <c r="A43" s="2">
        <v>13.7</v>
      </c>
      <c r="B43" s="2">
        <v>1.1343000000000001</v>
      </c>
      <c r="C43" s="1">
        <f>Tabela5[[#This Row],[Alongamento (mm/mm)]]/$I$2</f>
        <v>2.2686000000000001E-2</v>
      </c>
      <c r="D43" s="2">
        <v>8.6750000000000007</v>
      </c>
      <c r="E43" s="1">
        <f>Tabela5[[#This Row],[Força (N)]]/$I$5</f>
        <v>204893.83310895396</v>
      </c>
      <c r="F43" s="1">
        <f>Tabela5[[#This Row],[Tensão (Pa)]]/1000000</f>
        <v>0.20489383310895395</v>
      </c>
    </row>
    <row r="44" spans="1:6" x14ac:dyDescent="0.3">
      <c r="A44" s="2">
        <v>13.817</v>
      </c>
      <c r="B44" s="2">
        <v>1.1440999999999999</v>
      </c>
      <c r="C44" s="1">
        <f>Tabela5[[#This Row],[Alongamento (mm/mm)]]/$I$2</f>
        <v>2.2882E-2</v>
      </c>
      <c r="D44" s="2">
        <v>8.6750000000000007</v>
      </c>
      <c r="E44" s="1">
        <f>Tabela5[[#This Row],[Força (N)]]/$I$5</f>
        <v>204893.83310895396</v>
      </c>
      <c r="F44" s="1">
        <f>Tabela5[[#This Row],[Tensão (Pa)]]/1000000</f>
        <v>0.20489383310895395</v>
      </c>
    </row>
    <row r="45" spans="1:6" x14ac:dyDescent="0.3">
      <c r="A45" s="2">
        <v>13.933</v>
      </c>
      <c r="B45" s="2">
        <v>1.1536999999999999</v>
      </c>
      <c r="C45" s="1">
        <f>Tabela5[[#This Row],[Alongamento (mm/mm)]]/$I$2</f>
        <v>2.3073999999999997E-2</v>
      </c>
      <c r="D45" s="2">
        <v>8.6750000000000007</v>
      </c>
      <c r="E45" s="1">
        <f>Tabela5[[#This Row],[Força (N)]]/$I$5</f>
        <v>204893.83310895396</v>
      </c>
      <c r="F45" s="1">
        <f>Tabela5[[#This Row],[Tensão (Pa)]]/1000000</f>
        <v>0.20489383310895395</v>
      </c>
    </row>
    <row r="46" spans="1:6" x14ac:dyDescent="0.3">
      <c r="A46" s="2">
        <v>14.05</v>
      </c>
      <c r="B46" s="2">
        <v>1.1635</v>
      </c>
      <c r="C46" s="1">
        <f>Tabela5[[#This Row],[Alongamento (mm/mm)]]/$I$2</f>
        <v>2.3269999999999999E-2</v>
      </c>
      <c r="D46" s="2">
        <v>8.5048999999999992</v>
      </c>
      <c r="E46" s="1">
        <f>Tabela5[[#This Row],[Força (N)]]/$I$5</f>
        <v>200876.26065802216</v>
      </c>
      <c r="F46" s="1">
        <f>Tabela5[[#This Row],[Tensão (Pa)]]/1000000</f>
        <v>0.20087626065802217</v>
      </c>
    </row>
    <row r="47" spans="1:6" x14ac:dyDescent="0.3">
      <c r="A47" s="2">
        <v>14.167</v>
      </c>
      <c r="B47" s="2">
        <v>1.1733</v>
      </c>
      <c r="C47" s="1">
        <f>Tabela5[[#This Row],[Alongamento (mm/mm)]]/$I$2</f>
        <v>2.3466000000000001E-2</v>
      </c>
      <c r="D47" s="2">
        <v>8.6750000000000007</v>
      </c>
      <c r="E47" s="1">
        <f>Tabela5[[#This Row],[Força (N)]]/$I$5</f>
        <v>204893.83310895396</v>
      </c>
      <c r="F47" s="1">
        <f>Tabela5[[#This Row],[Tensão (Pa)]]/1000000</f>
        <v>0.20489383310895395</v>
      </c>
    </row>
    <row r="48" spans="1:6" x14ac:dyDescent="0.3">
      <c r="A48" s="2">
        <v>14.282999999999999</v>
      </c>
      <c r="B48" s="2">
        <v>1.1830000000000001</v>
      </c>
      <c r="C48" s="1">
        <f>Tabela5[[#This Row],[Alongamento (mm/mm)]]/$I$2</f>
        <v>2.366E-2</v>
      </c>
      <c r="D48" s="2">
        <v>8.6750000000000007</v>
      </c>
      <c r="E48" s="1">
        <f>Tabela5[[#This Row],[Força (N)]]/$I$5</f>
        <v>204893.83310895396</v>
      </c>
      <c r="F48" s="1">
        <f>Tabela5[[#This Row],[Tensão (Pa)]]/1000000</f>
        <v>0.20489383310895395</v>
      </c>
    </row>
    <row r="49" spans="1:6" x14ac:dyDescent="0.3">
      <c r="A49" s="2">
        <v>14.4</v>
      </c>
      <c r="B49" s="2">
        <v>1.1926000000000001</v>
      </c>
      <c r="C49" s="1">
        <f>Tabela5[[#This Row],[Alongamento (mm/mm)]]/$I$2</f>
        <v>2.3852000000000002E-2</v>
      </c>
      <c r="D49" s="2">
        <v>8.6750000000000007</v>
      </c>
      <c r="E49" s="1">
        <f>Tabela5[[#This Row],[Força (N)]]/$I$5</f>
        <v>204893.83310895396</v>
      </c>
      <c r="F49" s="1">
        <f>Tabela5[[#This Row],[Tensão (Pa)]]/1000000</f>
        <v>0.20489383310895395</v>
      </c>
    </row>
    <row r="50" spans="1:6" x14ac:dyDescent="0.3">
      <c r="A50" s="2">
        <v>14.516999999999999</v>
      </c>
      <c r="B50" s="2">
        <v>1.2022999999999999</v>
      </c>
      <c r="C50" s="1">
        <f>Tabela5[[#This Row],[Alongamento (mm/mm)]]/$I$2</f>
        <v>2.4045999999999998E-2</v>
      </c>
      <c r="D50" s="2">
        <v>8.6750000000000007</v>
      </c>
      <c r="E50" s="1">
        <f>Tabela5[[#This Row],[Força (N)]]/$I$5</f>
        <v>204893.83310895396</v>
      </c>
      <c r="F50" s="1">
        <f>Tabela5[[#This Row],[Tensão (Pa)]]/1000000</f>
        <v>0.20489383310895395</v>
      </c>
    </row>
    <row r="51" spans="1:6" x14ac:dyDescent="0.3">
      <c r="A51" s="2">
        <v>14.632999999999999</v>
      </c>
      <c r="B51" s="2">
        <v>1.2121</v>
      </c>
      <c r="C51" s="1">
        <f>Tabela5[[#This Row],[Alongamento (mm/mm)]]/$I$2</f>
        <v>2.4242E-2</v>
      </c>
      <c r="D51" s="2">
        <v>8.8451000000000004</v>
      </c>
      <c r="E51" s="1">
        <f>Tabela5[[#This Row],[Força (N)]]/$I$5</f>
        <v>208911.40555988572</v>
      </c>
      <c r="F51" s="1">
        <f>Tabela5[[#This Row],[Tensão (Pa)]]/1000000</f>
        <v>0.20891140555988572</v>
      </c>
    </row>
    <row r="52" spans="1:6" x14ac:dyDescent="0.3">
      <c r="A52" s="2">
        <v>14.75</v>
      </c>
      <c r="B52" s="2">
        <v>1.2219</v>
      </c>
      <c r="C52" s="1">
        <f>Tabela5[[#This Row],[Alongamento (mm/mm)]]/$I$2</f>
        <v>2.4438000000000001E-2</v>
      </c>
      <c r="D52" s="2">
        <v>9.0152000000000001</v>
      </c>
      <c r="E52" s="1">
        <f>Tabela5[[#This Row],[Força (N)]]/$I$5</f>
        <v>212928.97801081746</v>
      </c>
      <c r="F52" s="1">
        <f>Tabela5[[#This Row],[Tensão (Pa)]]/1000000</f>
        <v>0.21292897801081745</v>
      </c>
    </row>
    <row r="53" spans="1:6" x14ac:dyDescent="0.3">
      <c r="A53" s="2">
        <v>14.867000000000001</v>
      </c>
      <c r="B53" s="2">
        <v>1.2315</v>
      </c>
      <c r="C53" s="1">
        <f>Tabela5[[#This Row],[Alongamento (mm/mm)]]/$I$2</f>
        <v>2.4629999999999999E-2</v>
      </c>
      <c r="D53" s="2">
        <v>9.1852999999999998</v>
      </c>
      <c r="E53" s="1">
        <f>Tabela5[[#This Row],[Força (N)]]/$I$5</f>
        <v>216946.55046174923</v>
      </c>
      <c r="F53" s="1">
        <f>Tabela5[[#This Row],[Tensão (Pa)]]/1000000</f>
        <v>0.21694655046174924</v>
      </c>
    </row>
    <row r="54" spans="1:6" x14ac:dyDescent="0.3">
      <c r="A54" s="2">
        <v>14.983000000000001</v>
      </c>
      <c r="B54" s="2">
        <v>1.2412000000000001</v>
      </c>
      <c r="C54" s="1">
        <f>Tabela5[[#This Row],[Alongamento (mm/mm)]]/$I$2</f>
        <v>2.4824000000000002E-2</v>
      </c>
      <c r="D54" s="2">
        <v>9.6956000000000007</v>
      </c>
      <c r="E54" s="1">
        <f>Tabela5[[#This Row],[Força (N)]]/$I$5</f>
        <v>228999.26781454455</v>
      </c>
      <c r="F54" s="1">
        <f>Tabela5[[#This Row],[Tensão (Pa)]]/1000000</f>
        <v>0.22899926781454455</v>
      </c>
    </row>
    <row r="55" spans="1:6" x14ac:dyDescent="0.3">
      <c r="A55" s="2">
        <v>15.1</v>
      </c>
      <c r="B55" s="2">
        <v>1.2509999999999999</v>
      </c>
      <c r="C55" s="1">
        <f>Tabela5[[#This Row],[Alongamento (mm/mm)]]/$I$2</f>
        <v>2.5019999999999997E-2</v>
      </c>
      <c r="D55" s="2">
        <v>10.206</v>
      </c>
      <c r="E55" s="1">
        <f>Tabela5[[#This Row],[Força (N)]]/$I$5</f>
        <v>241054.34705590591</v>
      </c>
      <c r="F55" s="1">
        <f>Tabela5[[#This Row],[Tensão (Pa)]]/1000000</f>
        <v>0.24105434705590589</v>
      </c>
    </row>
    <row r="56" spans="1:6" x14ac:dyDescent="0.3">
      <c r="A56" s="2">
        <v>15.217000000000001</v>
      </c>
      <c r="B56" s="2">
        <v>1.2606999999999999</v>
      </c>
      <c r="C56" s="1">
        <f>Tabela5[[#This Row],[Alongamento (mm/mm)]]/$I$2</f>
        <v>2.5214E-2</v>
      </c>
      <c r="D56" s="2">
        <v>10.375999999999999</v>
      </c>
      <c r="E56" s="1">
        <f>Tabela5[[#This Row],[Força (N)]]/$I$5</f>
        <v>245069.55761827159</v>
      </c>
      <c r="F56" s="1">
        <f>Tabela5[[#This Row],[Tensão (Pa)]]/1000000</f>
        <v>0.24506955761827159</v>
      </c>
    </row>
    <row r="57" spans="1:6" x14ac:dyDescent="0.3">
      <c r="A57" s="2">
        <v>15.35</v>
      </c>
      <c r="B57" s="2">
        <v>1.2718</v>
      </c>
      <c r="C57" s="1">
        <f>Tabela5[[#This Row],[Alongamento (mm/mm)]]/$I$2</f>
        <v>2.5436E-2</v>
      </c>
      <c r="D57" s="2">
        <v>10.545999999999999</v>
      </c>
      <c r="E57" s="1">
        <f>Tabela5[[#This Row],[Força (N)]]/$I$5</f>
        <v>249084.76818063724</v>
      </c>
      <c r="F57" s="1">
        <f>Tabela5[[#This Row],[Tensão (Pa)]]/1000000</f>
        <v>0.24908476818063724</v>
      </c>
    </row>
    <row r="58" spans="1:6" x14ac:dyDescent="0.3">
      <c r="A58" s="2">
        <v>15.483000000000001</v>
      </c>
      <c r="B58" s="2">
        <v>1.2829999999999999</v>
      </c>
      <c r="C58" s="1">
        <f>Tabela5[[#This Row],[Alongamento (mm/mm)]]/$I$2</f>
        <v>2.5659999999999999E-2</v>
      </c>
      <c r="D58" s="2">
        <v>10.545999999999999</v>
      </c>
      <c r="E58" s="1">
        <f>Tabela5[[#This Row],[Força (N)]]/$I$5</f>
        <v>249084.76818063724</v>
      </c>
      <c r="F58" s="1">
        <f>Tabela5[[#This Row],[Tensão (Pa)]]/1000000</f>
        <v>0.24908476818063724</v>
      </c>
    </row>
    <row r="59" spans="1:6" x14ac:dyDescent="0.3">
      <c r="A59" s="2">
        <v>15.617000000000001</v>
      </c>
      <c r="B59" s="2">
        <v>1.2941</v>
      </c>
      <c r="C59" s="1">
        <f>Tabela5[[#This Row],[Alongamento (mm/mm)]]/$I$2</f>
        <v>2.5882000000000002E-2</v>
      </c>
      <c r="D59" s="2">
        <v>10.545999999999999</v>
      </c>
      <c r="E59" s="1">
        <f>Tabela5[[#This Row],[Força (N)]]/$I$5</f>
        <v>249084.76818063724</v>
      </c>
      <c r="F59" s="1">
        <f>Tabela5[[#This Row],[Tensão (Pa)]]/1000000</f>
        <v>0.24908476818063724</v>
      </c>
    </row>
    <row r="60" spans="1:6" x14ac:dyDescent="0.3">
      <c r="A60" s="2">
        <v>15.75</v>
      </c>
      <c r="B60" s="2">
        <v>1.3050999999999999</v>
      </c>
      <c r="C60" s="1">
        <f>Tabela5[[#This Row],[Alongamento (mm/mm)]]/$I$2</f>
        <v>2.6102E-2</v>
      </c>
      <c r="D60" s="2">
        <v>10.545999999999999</v>
      </c>
      <c r="E60" s="1">
        <f>Tabela5[[#This Row],[Força (N)]]/$I$5</f>
        <v>249084.76818063724</v>
      </c>
      <c r="F60" s="1">
        <f>Tabela5[[#This Row],[Tensão (Pa)]]/1000000</f>
        <v>0.24908476818063724</v>
      </c>
    </row>
    <row r="61" spans="1:6" x14ac:dyDescent="0.3">
      <c r="A61" s="2">
        <v>15.882999999999999</v>
      </c>
      <c r="B61" s="2">
        <v>1.3162</v>
      </c>
      <c r="C61" s="1">
        <f>Tabela5[[#This Row],[Alongamento (mm/mm)]]/$I$2</f>
        <v>2.6324E-2</v>
      </c>
      <c r="D61" s="2">
        <v>10.545999999999999</v>
      </c>
      <c r="E61" s="1">
        <f>Tabela5[[#This Row],[Força (N)]]/$I$5</f>
        <v>249084.76818063724</v>
      </c>
      <c r="F61" s="1">
        <f>Tabela5[[#This Row],[Tensão (Pa)]]/1000000</f>
        <v>0.24908476818063724</v>
      </c>
    </row>
    <row r="62" spans="1:6" x14ac:dyDescent="0.3">
      <c r="A62" s="2">
        <v>16.016999999999999</v>
      </c>
      <c r="B62" s="2">
        <v>1.3272999999999999</v>
      </c>
      <c r="C62" s="1">
        <f>Tabela5[[#This Row],[Alongamento (mm/mm)]]/$I$2</f>
        <v>2.6546E-2</v>
      </c>
      <c r="D62" s="2">
        <v>10.545999999999999</v>
      </c>
      <c r="E62" s="1">
        <f>Tabela5[[#This Row],[Força (N)]]/$I$5</f>
        <v>249084.76818063724</v>
      </c>
      <c r="F62" s="1">
        <f>Tabela5[[#This Row],[Tensão (Pa)]]/1000000</f>
        <v>0.24908476818063724</v>
      </c>
    </row>
    <row r="63" spans="1:6" x14ac:dyDescent="0.3">
      <c r="A63" s="2">
        <v>16.149999999999999</v>
      </c>
      <c r="B63" s="2">
        <v>1.3385</v>
      </c>
      <c r="C63" s="1">
        <f>Tabela5[[#This Row],[Alongamento (mm/mm)]]/$I$2</f>
        <v>2.6770000000000002E-2</v>
      </c>
      <c r="D63" s="2">
        <v>10.545999999999999</v>
      </c>
      <c r="E63" s="1">
        <f>Tabela5[[#This Row],[Força (N)]]/$I$5</f>
        <v>249084.76818063724</v>
      </c>
      <c r="F63" s="1">
        <f>Tabela5[[#This Row],[Tensão (Pa)]]/1000000</f>
        <v>0.24908476818063724</v>
      </c>
    </row>
    <row r="64" spans="1:6" x14ac:dyDescent="0.3">
      <c r="A64" s="2">
        <v>16.283000000000001</v>
      </c>
      <c r="B64" s="2">
        <v>1.3495999999999999</v>
      </c>
      <c r="C64" s="1">
        <f>Tabela5[[#This Row],[Alongamento (mm/mm)]]/$I$2</f>
        <v>2.6991999999999999E-2</v>
      </c>
      <c r="D64" s="2">
        <v>10.715999999999999</v>
      </c>
      <c r="E64" s="1">
        <f>Tabela5[[#This Row],[Força (N)]]/$I$5</f>
        <v>253099.97874300292</v>
      </c>
      <c r="F64" s="1">
        <f>Tabela5[[#This Row],[Tensão (Pa)]]/1000000</f>
        <v>0.25309997874300294</v>
      </c>
    </row>
    <row r="65" spans="1:6" x14ac:dyDescent="0.3">
      <c r="A65" s="2">
        <v>16.417000000000002</v>
      </c>
      <c r="B65" s="2">
        <v>1.3607</v>
      </c>
      <c r="C65" s="1">
        <f>Tabela5[[#This Row],[Alongamento (mm/mm)]]/$I$2</f>
        <v>2.7214000000000002E-2</v>
      </c>
      <c r="D65" s="2">
        <v>10.545999999999999</v>
      </c>
      <c r="E65" s="1">
        <f>Tabela5[[#This Row],[Força (N)]]/$I$5</f>
        <v>249084.76818063724</v>
      </c>
      <c r="F65" s="1">
        <f>Tabela5[[#This Row],[Tensão (Pa)]]/1000000</f>
        <v>0.24908476818063724</v>
      </c>
    </row>
    <row r="66" spans="1:6" x14ac:dyDescent="0.3">
      <c r="A66" s="2">
        <v>16.55</v>
      </c>
      <c r="B66" s="2">
        <v>1.3717999999999999</v>
      </c>
      <c r="C66" s="1">
        <f>Tabela5[[#This Row],[Alongamento (mm/mm)]]/$I$2</f>
        <v>2.7435999999999999E-2</v>
      </c>
      <c r="D66" s="2">
        <v>10.715999999999999</v>
      </c>
      <c r="E66" s="1">
        <f>Tabela5[[#This Row],[Força (N)]]/$I$5</f>
        <v>253099.97874300292</v>
      </c>
      <c r="F66" s="1">
        <f>Tabela5[[#This Row],[Tensão (Pa)]]/1000000</f>
        <v>0.25309997874300294</v>
      </c>
    </row>
    <row r="67" spans="1:6" x14ac:dyDescent="0.3">
      <c r="A67" s="2">
        <v>16.683</v>
      </c>
      <c r="B67" s="2">
        <v>1.3828</v>
      </c>
      <c r="C67" s="1">
        <f>Tabela5[[#This Row],[Alongamento (mm/mm)]]/$I$2</f>
        <v>2.7656E-2</v>
      </c>
      <c r="D67" s="2">
        <v>10.715999999999999</v>
      </c>
      <c r="E67" s="1">
        <f>Tabela5[[#This Row],[Força (N)]]/$I$5</f>
        <v>253099.97874300292</v>
      </c>
      <c r="F67" s="1">
        <f>Tabela5[[#This Row],[Tensão (Pa)]]/1000000</f>
        <v>0.25309997874300294</v>
      </c>
    </row>
    <row r="68" spans="1:6" x14ac:dyDescent="0.3">
      <c r="A68" s="2">
        <v>16.817</v>
      </c>
      <c r="B68" s="2">
        <v>1.3940999999999999</v>
      </c>
      <c r="C68" s="1">
        <f>Tabela5[[#This Row],[Alongamento (mm/mm)]]/$I$2</f>
        <v>2.7881999999999997E-2</v>
      </c>
      <c r="D68" s="2">
        <v>10.715999999999999</v>
      </c>
      <c r="E68" s="1">
        <f>Tabela5[[#This Row],[Força (N)]]/$I$5</f>
        <v>253099.97874300292</v>
      </c>
      <c r="F68" s="1">
        <f>Tabela5[[#This Row],[Tensão (Pa)]]/1000000</f>
        <v>0.25309997874300294</v>
      </c>
    </row>
    <row r="69" spans="1:6" x14ac:dyDescent="0.3">
      <c r="A69" s="2">
        <v>16.95</v>
      </c>
      <c r="B69" s="2">
        <v>1.4052</v>
      </c>
      <c r="C69" s="1">
        <f>Tabela5[[#This Row],[Alongamento (mm/mm)]]/$I$2</f>
        <v>2.8104000000000001E-2</v>
      </c>
      <c r="D69" s="2">
        <v>10.715999999999999</v>
      </c>
      <c r="E69" s="1">
        <f>Tabela5[[#This Row],[Força (N)]]/$I$5</f>
        <v>253099.97874300292</v>
      </c>
      <c r="F69" s="1">
        <f>Tabela5[[#This Row],[Tensão (Pa)]]/1000000</f>
        <v>0.25309997874300294</v>
      </c>
    </row>
    <row r="70" spans="1:6" x14ac:dyDescent="0.3">
      <c r="A70" s="2">
        <v>17.082999999999998</v>
      </c>
      <c r="B70" s="2">
        <v>1.4161999999999999</v>
      </c>
      <c r="C70" s="1">
        <f>Tabela5[[#This Row],[Alongamento (mm/mm)]]/$I$2</f>
        <v>2.8323999999999998E-2</v>
      </c>
      <c r="D70" s="2">
        <v>10.715999999999999</v>
      </c>
      <c r="E70" s="1">
        <f>Tabela5[[#This Row],[Força (N)]]/$I$5</f>
        <v>253099.97874300292</v>
      </c>
      <c r="F70" s="1">
        <f>Tabela5[[#This Row],[Tensão (Pa)]]/1000000</f>
        <v>0.25309997874300294</v>
      </c>
    </row>
    <row r="71" spans="1:6" x14ac:dyDescent="0.3">
      <c r="A71" s="2">
        <v>17.216999999999999</v>
      </c>
      <c r="B71" s="2">
        <v>1.4273</v>
      </c>
      <c r="C71" s="1">
        <f>Tabela5[[#This Row],[Alongamento (mm/mm)]]/$I$2</f>
        <v>2.8546000000000002E-2</v>
      </c>
      <c r="D71" s="2">
        <v>10.715999999999999</v>
      </c>
      <c r="E71" s="1">
        <f>Tabela5[[#This Row],[Força (N)]]/$I$5</f>
        <v>253099.97874300292</v>
      </c>
      <c r="F71" s="1">
        <f>Tabela5[[#This Row],[Tensão (Pa)]]/1000000</f>
        <v>0.25309997874300294</v>
      </c>
    </row>
    <row r="72" spans="1:6" x14ac:dyDescent="0.3">
      <c r="A72" s="2">
        <v>17.350000000000001</v>
      </c>
      <c r="B72" s="2">
        <v>1.4384999999999999</v>
      </c>
      <c r="C72" s="1">
        <f>Tabela5[[#This Row],[Alongamento (mm/mm)]]/$I$2</f>
        <v>2.8769999999999997E-2</v>
      </c>
      <c r="D72" s="2">
        <v>10.715999999999999</v>
      </c>
      <c r="E72" s="1">
        <f>Tabela5[[#This Row],[Força (N)]]/$I$5</f>
        <v>253099.97874300292</v>
      </c>
      <c r="F72" s="1">
        <f>Tabela5[[#This Row],[Tensão (Pa)]]/1000000</f>
        <v>0.25309997874300294</v>
      </c>
    </row>
    <row r="73" spans="1:6" x14ac:dyDescent="0.3">
      <c r="A73" s="2">
        <v>17.5</v>
      </c>
      <c r="B73" s="2">
        <v>1.4510000000000001</v>
      </c>
      <c r="C73" s="1">
        <f>Tabela5[[#This Row],[Alongamento (mm/mm)]]/$I$2</f>
        <v>2.9020000000000001E-2</v>
      </c>
      <c r="D73" s="2">
        <v>10.715999999999999</v>
      </c>
      <c r="E73" s="1">
        <f>Tabela5[[#This Row],[Força (N)]]/$I$5</f>
        <v>253099.97874300292</v>
      </c>
      <c r="F73" s="1">
        <f>Tabela5[[#This Row],[Tensão (Pa)]]/1000000</f>
        <v>0.25309997874300294</v>
      </c>
    </row>
    <row r="74" spans="1:6" x14ac:dyDescent="0.3">
      <c r="A74" s="2">
        <v>17.649999999999999</v>
      </c>
      <c r="B74" s="2">
        <v>1.4635</v>
      </c>
      <c r="C74" s="1">
        <f>Tabela5[[#This Row],[Alongamento (mm/mm)]]/$I$2</f>
        <v>2.9270000000000001E-2</v>
      </c>
      <c r="D74" s="2">
        <v>10.715999999999999</v>
      </c>
      <c r="E74" s="1">
        <f>Tabela5[[#This Row],[Força (N)]]/$I$5</f>
        <v>253099.97874300292</v>
      </c>
      <c r="F74" s="1">
        <f>Tabela5[[#This Row],[Tensão (Pa)]]/1000000</f>
        <v>0.25309997874300294</v>
      </c>
    </row>
    <row r="75" spans="1:6" x14ac:dyDescent="0.3">
      <c r="A75" s="2">
        <v>17.8</v>
      </c>
      <c r="B75" s="2">
        <v>1.476</v>
      </c>
      <c r="C75" s="1">
        <f>Tabela5[[#This Row],[Alongamento (mm/mm)]]/$I$2</f>
        <v>2.9520000000000001E-2</v>
      </c>
      <c r="D75" s="2">
        <v>10.715999999999999</v>
      </c>
      <c r="E75" s="1">
        <f>Tabela5[[#This Row],[Força (N)]]/$I$5</f>
        <v>253099.97874300292</v>
      </c>
      <c r="F75" s="1">
        <f>Tabela5[[#This Row],[Tensão (Pa)]]/1000000</f>
        <v>0.25309997874300294</v>
      </c>
    </row>
    <row r="76" spans="1:6" x14ac:dyDescent="0.3">
      <c r="A76" s="2">
        <v>17.95</v>
      </c>
      <c r="B76" s="2">
        <v>1.4884999999999999</v>
      </c>
      <c r="C76" s="1">
        <f>Tabela5[[#This Row],[Alongamento (mm/mm)]]/$I$2</f>
        <v>2.9769999999999998E-2</v>
      </c>
      <c r="D76" s="2">
        <v>10.885999999999999</v>
      </c>
      <c r="E76" s="1">
        <f>Tabela5[[#This Row],[Força (N)]]/$I$5</f>
        <v>257115.18930536858</v>
      </c>
      <c r="F76" s="1">
        <f>Tabela5[[#This Row],[Tensão (Pa)]]/1000000</f>
        <v>0.25711518930536859</v>
      </c>
    </row>
    <row r="77" spans="1:6" x14ac:dyDescent="0.3">
      <c r="A77" s="2">
        <v>18.100000000000001</v>
      </c>
      <c r="B77" s="2">
        <v>1.5009999999999999</v>
      </c>
      <c r="C77" s="1">
        <f>Tabela5[[#This Row],[Alongamento (mm/mm)]]/$I$2</f>
        <v>3.0019999999999998E-2</v>
      </c>
      <c r="D77" s="2">
        <v>10.885999999999999</v>
      </c>
      <c r="E77" s="1">
        <f>Tabela5[[#This Row],[Força (N)]]/$I$5</f>
        <v>257115.18930536858</v>
      </c>
      <c r="F77" s="1">
        <f>Tabela5[[#This Row],[Tensão (Pa)]]/1000000</f>
        <v>0.25711518930536859</v>
      </c>
    </row>
    <row r="78" spans="1:6" x14ac:dyDescent="0.3">
      <c r="A78" s="2">
        <v>18.25</v>
      </c>
      <c r="B78" s="2">
        <v>1.5134000000000001</v>
      </c>
      <c r="C78" s="1">
        <f>Tabela5[[#This Row],[Alongamento (mm/mm)]]/$I$2</f>
        <v>3.0268000000000003E-2</v>
      </c>
      <c r="D78" s="2">
        <v>10.885999999999999</v>
      </c>
      <c r="E78" s="1">
        <f>Tabela5[[#This Row],[Força (N)]]/$I$5</f>
        <v>257115.18930536858</v>
      </c>
      <c r="F78" s="1">
        <f>Tabela5[[#This Row],[Tensão (Pa)]]/1000000</f>
        <v>0.25711518930536859</v>
      </c>
    </row>
    <row r="79" spans="1:6" x14ac:dyDescent="0.3">
      <c r="A79" s="2">
        <v>18.399999999999999</v>
      </c>
      <c r="B79" s="2">
        <v>1.526</v>
      </c>
      <c r="C79" s="1">
        <f>Tabela5[[#This Row],[Alongamento (mm/mm)]]/$I$2</f>
        <v>3.0520000000000002E-2</v>
      </c>
      <c r="D79" s="2">
        <v>10.885999999999999</v>
      </c>
      <c r="E79" s="1">
        <f>Tabela5[[#This Row],[Força (N)]]/$I$5</f>
        <v>257115.18930536858</v>
      </c>
      <c r="F79" s="1">
        <f>Tabela5[[#This Row],[Tensão (Pa)]]/1000000</f>
        <v>0.25711518930536859</v>
      </c>
    </row>
    <row r="80" spans="1:6" x14ac:dyDescent="0.3">
      <c r="A80" s="2">
        <v>18.55</v>
      </c>
      <c r="B80" s="2">
        <v>1.5384</v>
      </c>
      <c r="C80" s="1">
        <f>Tabela5[[#This Row],[Alongamento (mm/mm)]]/$I$2</f>
        <v>3.0768E-2</v>
      </c>
      <c r="D80" s="2">
        <v>10.885999999999999</v>
      </c>
      <c r="E80" s="1">
        <f>Tabela5[[#This Row],[Força (N)]]/$I$5</f>
        <v>257115.18930536858</v>
      </c>
      <c r="F80" s="1">
        <f>Tabela5[[#This Row],[Tensão (Pa)]]/1000000</f>
        <v>0.25711518930536859</v>
      </c>
    </row>
    <row r="81" spans="1:6" x14ac:dyDescent="0.3">
      <c r="A81" s="2">
        <v>18.7</v>
      </c>
      <c r="B81" s="2">
        <v>1.5509999999999999</v>
      </c>
      <c r="C81" s="1">
        <f>Tabela5[[#This Row],[Alongamento (mm/mm)]]/$I$2</f>
        <v>3.1019999999999999E-2</v>
      </c>
      <c r="D81" s="2">
        <v>11.055999999999999</v>
      </c>
      <c r="E81" s="1">
        <f>Tabela5[[#This Row],[Força (N)]]/$I$5</f>
        <v>261130.39986773426</v>
      </c>
      <c r="F81" s="1">
        <f>Tabela5[[#This Row],[Tensão (Pa)]]/1000000</f>
        <v>0.26113039986773429</v>
      </c>
    </row>
    <row r="82" spans="1:6" x14ac:dyDescent="0.3">
      <c r="A82" s="2">
        <v>18.850000000000001</v>
      </c>
      <c r="B82" s="2">
        <v>1.5634999999999999</v>
      </c>
      <c r="C82" s="1">
        <f>Tabela5[[#This Row],[Alongamento (mm/mm)]]/$I$2</f>
        <v>3.1269999999999999E-2</v>
      </c>
      <c r="D82" s="2">
        <v>11.227</v>
      </c>
      <c r="E82" s="1">
        <f>Tabela5[[#This Row],[Força (N)]]/$I$5</f>
        <v>265169.22931576089</v>
      </c>
      <c r="F82" s="1">
        <f>Tabela5[[#This Row],[Tensão (Pa)]]/1000000</f>
        <v>0.26516922931576087</v>
      </c>
    </row>
    <row r="83" spans="1:6" x14ac:dyDescent="0.3">
      <c r="A83" s="2">
        <v>19</v>
      </c>
      <c r="B83" s="2">
        <v>1.5759000000000001</v>
      </c>
      <c r="C83" s="1">
        <f>Tabela5[[#This Row],[Alongamento (mm/mm)]]/$I$2</f>
        <v>3.1518000000000004E-2</v>
      </c>
      <c r="D83" s="2">
        <v>11.567</v>
      </c>
      <c r="E83" s="1">
        <f>Tabela5[[#This Row],[Força (N)]]/$I$5</f>
        <v>273199.65044049226</v>
      </c>
      <c r="F83" s="1">
        <f>Tabela5[[#This Row],[Tensão (Pa)]]/1000000</f>
        <v>0.27319965044049227</v>
      </c>
    </row>
    <row r="84" spans="1:6" x14ac:dyDescent="0.3">
      <c r="A84" s="2">
        <v>19.149999999999999</v>
      </c>
      <c r="B84" s="2">
        <v>1.5885</v>
      </c>
      <c r="C84" s="1">
        <f>Tabela5[[#This Row],[Alongamento (mm/mm)]]/$I$2</f>
        <v>3.177E-2</v>
      </c>
      <c r="D84" s="2">
        <v>11.907</v>
      </c>
      <c r="E84" s="1">
        <f>Tabela5[[#This Row],[Força (N)]]/$I$5</f>
        <v>281230.07156522357</v>
      </c>
      <c r="F84" s="1">
        <f>Tabela5[[#This Row],[Tensão (Pa)]]/1000000</f>
        <v>0.28123007156522356</v>
      </c>
    </row>
    <row r="85" spans="1:6" x14ac:dyDescent="0.3">
      <c r="A85" s="2">
        <v>19.3</v>
      </c>
      <c r="B85" s="2">
        <v>1.601</v>
      </c>
      <c r="C85" s="1">
        <f>Tabela5[[#This Row],[Alongamento (mm/mm)]]/$I$2</f>
        <v>3.202E-2</v>
      </c>
      <c r="D85" s="2">
        <v>12.077</v>
      </c>
      <c r="E85" s="1">
        <f>Tabela5[[#This Row],[Força (N)]]/$I$5</f>
        <v>285245.28212758922</v>
      </c>
      <c r="F85" s="1">
        <f>Tabela5[[#This Row],[Tensão (Pa)]]/1000000</f>
        <v>0.28524528212758921</v>
      </c>
    </row>
    <row r="86" spans="1:6" x14ac:dyDescent="0.3">
      <c r="A86" s="2">
        <v>19.45</v>
      </c>
      <c r="B86" s="2">
        <v>1.6133999999999999</v>
      </c>
      <c r="C86" s="1">
        <f>Tabela5[[#This Row],[Alongamento (mm/mm)]]/$I$2</f>
        <v>3.2267999999999998E-2</v>
      </c>
      <c r="D86" s="2">
        <v>12.417</v>
      </c>
      <c r="E86" s="1">
        <f>Tabela5[[#This Row],[Força (N)]]/$I$5</f>
        <v>293275.70325232059</v>
      </c>
      <c r="F86" s="1">
        <f>Tabela5[[#This Row],[Tensão (Pa)]]/1000000</f>
        <v>0.29327570325232061</v>
      </c>
    </row>
    <row r="87" spans="1:6" x14ac:dyDescent="0.3">
      <c r="A87" s="2">
        <v>19.617000000000001</v>
      </c>
      <c r="B87" s="2">
        <v>1.6273</v>
      </c>
      <c r="C87" s="1">
        <f>Tabela5[[#This Row],[Alongamento (mm/mm)]]/$I$2</f>
        <v>3.2545999999999999E-2</v>
      </c>
      <c r="D87" s="2">
        <v>12.757</v>
      </c>
      <c r="E87" s="1">
        <f>Tabela5[[#This Row],[Força (N)]]/$I$5</f>
        <v>301306.12437705189</v>
      </c>
      <c r="F87" s="1">
        <f>Tabela5[[#This Row],[Tensão (Pa)]]/1000000</f>
        <v>0.3013061243770519</v>
      </c>
    </row>
    <row r="88" spans="1:6" x14ac:dyDescent="0.3">
      <c r="A88" s="2">
        <v>19.766999999999999</v>
      </c>
      <c r="B88" s="2">
        <v>1.6398999999999999</v>
      </c>
      <c r="C88" s="1">
        <f>Tabela5[[#This Row],[Alongamento (mm/mm)]]/$I$2</f>
        <v>3.2798000000000001E-2</v>
      </c>
      <c r="D88" s="2">
        <v>13.438000000000001</v>
      </c>
      <c r="E88" s="1">
        <f>Tabela5[[#This Row],[Força (N)]]/$I$5</f>
        <v>317390.58551217557</v>
      </c>
      <c r="F88" s="1">
        <f>Tabela5[[#This Row],[Tensão (Pa)]]/1000000</f>
        <v>0.31739058551217558</v>
      </c>
    </row>
    <row r="89" spans="1:6" x14ac:dyDescent="0.3">
      <c r="A89" s="2">
        <v>19.899999999999999</v>
      </c>
      <c r="B89" s="2">
        <v>1.6509</v>
      </c>
      <c r="C89" s="1">
        <f>Tabela5[[#This Row],[Alongamento (mm/mm)]]/$I$2</f>
        <v>3.3017999999999999E-2</v>
      </c>
      <c r="D89" s="2">
        <v>14.118</v>
      </c>
      <c r="E89" s="1">
        <f>Tabela5[[#This Row],[Força (N)]]/$I$5</f>
        <v>333451.42776163825</v>
      </c>
      <c r="F89" s="1">
        <f>Tabela5[[#This Row],[Tensão (Pa)]]/1000000</f>
        <v>0.33345142776163822</v>
      </c>
    </row>
    <row r="90" spans="1:6" x14ac:dyDescent="0.3">
      <c r="A90" s="2">
        <v>20.033000000000001</v>
      </c>
      <c r="B90" s="2">
        <v>1.6619999999999999</v>
      </c>
      <c r="C90" s="1">
        <f>Tabela5[[#This Row],[Alongamento (mm/mm)]]/$I$2</f>
        <v>3.3239999999999999E-2</v>
      </c>
      <c r="D90" s="2">
        <v>14.798999999999999</v>
      </c>
      <c r="E90" s="1">
        <f>Tabela5[[#This Row],[Força (N)]]/$I$5</f>
        <v>349535.88889676187</v>
      </c>
      <c r="F90" s="1">
        <f>Tabela5[[#This Row],[Tensão (Pa)]]/1000000</f>
        <v>0.34953588889676185</v>
      </c>
    </row>
    <row r="91" spans="1:6" x14ac:dyDescent="0.3">
      <c r="A91" s="2">
        <v>20.149999999999999</v>
      </c>
      <c r="B91" s="2">
        <v>1.6718</v>
      </c>
      <c r="C91" s="1">
        <f>Tabela5[[#This Row],[Alongamento (mm/mm)]]/$I$2</f>
        <v>3.3436E-2</v>
      </c>
      <c r="D91" s="2">
        <v>15.478999999999999</v>
      </c>
      <c r="E91" s="1">
        <f>Tabela5[[#This Row],[Força (N)]]/$I$5</f>
        <v>365596.73114622454</v>
      </c>
      <c r="F91" s="1">
        <f>Tabela5[[#This Row],[Tensão (Pa)]]/1000000</f>
        <v>0.36559673114622454</v>
      </c>
    </row>
    <row r="92" spans="1:6" x14ac:dyDescent="0.3">
      <c r="A92" s="2">
        <v>20.3</v>
      </c>
      <c r="B92" s="2">
        <v>1.6842999999999999</v>
      </c>
      <c r="C92" s="1">
        <f>Tabela5[[#This Row],[Alongamento (mm/mm)]]/$I$2</f>
        <v>3.3686000000000001E-2</v>
      </c>
      <c r="D92" s="2">
        <v>16.158999999999999</v>
      </c>
      <c r="E92" s="1">
        <f>Tabela5[[#This Row],[Força (N)]]/$I$5</f>
        <v>381657.57339568721</v>
      </c>
      <c r="F92" s="1">
        <f>Tabela5[[#This Row],[Tensão (Pa)]]/1000000</f>
        <v>0.38165757339568723</v>
      </c>
    </row>
    <row r="93" spans="1:6" x14ac:dyDescent="0.3">
      <c r="A93" s="2">
        <v>20.433</v>
      </c>
      <c r="B93" s="2">
        <v>1.6954</v>
      </c>
      <c r="C93" s="1">
        <f>Tabela5[[#This Row],[Alongamento (mm/mm)]]/$I$2</f>
        <v>3.3908000000000001E-2</v>
      </c>
      <c r="D93" s="2">
        <v>16.84</v>
      </c>
      <c r="E93" s="1">
        <f>Tabela5[[#This Row],[Força (N)]]/$I$5</f>
        <v>397742.0345308109</v>
      </c>
      <c r="F93" s="1">
        <f>Tabela5[[#This Row],[Tensão (Pa)]]/1000000</f>
        <v>0.39774203453081092</v>
      </c>
    </row>
    <row r="94" spans="1:6" x14ac:dyDescent="0.3">
      <c r="A94" s="2">
        <v>20.567</v>
      </c>
      <c r="B94" s="2">
        <v>1.7064999999999999</v>
      </c>
      <c r="C94" s="1">
        <f>Tabela5[[#This Row],[Alongamento (mm/mm)]]/$I$2</f>
        <v>3.4130000000000001E-2</v>
      </c>
      <c r="D94" s="2">
        <v>17.52</v>
      </c>
      <c r="E94" s="1">
        <f>Tabela5[[#This Row],[Força (N)]]/$I$5</f>
        <v>413802.87678027357</v>
      </c>
      <c r="F94" s="1">
        <f>Tabela5[[#This Row],[Tensão (Pa)]]/1000000</f>
        <v>0.41380287678027355</v>
      </c>
    </row>
    <row r="95" spans="1:6" x14ac:dyDescent="0.3">
      <c r="A95" s="2">
        <v>20.7</v>
      </c>
      <c r="B95" s="2">
        <v>1.7177</v>
      </c>
      <c r="C95" s="1">
        <f>Tabela5[[#This Row],[Alongamento (mm/mm)]]/$I$2</f>
        <v>3.4354000000000003E-2</v>
      </c>
      <c r="D95" s="2">
        <v>18.201000000000001</v>
      </c>
      <c r="E95" s="1">
        <f>Tabela5[[#This Row],[Força (N)]]/$I$5</f>
        <v>429887.33791539719</v>
      </c>
      <c r="F95" s="1">
        <f>Tabela5[[#This Row],[Tensão (Pa)]]/1000000</f>
        <v>0.42988733791539718</v>
      </c>
    </row>
    <row r="96" spans="1:6" x14ac:dyDescent="0.3">
      <c r="A96" s="2">
        <v>20.8</v>
      </c>
      <c r="B96" s="2">
        <v>1.7259</v>
      </c>
      <c r="C96" s="1">
        <f>Tabela5[[#This Row],[Alongamento (mm/mm)]]/$I$2</f>
        <v>3.4518E-2</v>
      </c>
      <c r="D96" s="2">
        <v>18.881</v>
      </c>
      <c r="E96" s="1">
        <f>Tabela5[[#This Row],[Força (N)]]/$I$5</f>
        <v>445948.18016485986</v>
      </c>
      <c r="F96" s="1">
        <f>Tabela5[[#This Row],[Tensão (Pa)]]/1000000</f>
        <v>0.44594818016485988</v>
      </c>
    </row>
    <row r="97" spans="1:6" x14ac:dyDescent="0.3">
      <c r="A97" s="2">
        <v>20.933</v>
      </c>
      <c r="B97" s="2">
        <v>1.7371000000000001</v>
      </c>
      <c r="C97" s="1">
        <f>Tabela5[[#This Row],[Alongamento (mm/mm)]]/$I$2</f>
        <v>3.4742000000000002E-2</v>
      </c>
      <c r="D97" s="2">
        <v>19.561</v>
      </c>
      <c r="E97" s="1">
        <f>Tabela5[[#This Row],[Força (N)]]/$I$5</f>
        <v>462009.02241432254</v>
      </c>
      <c r="F97" s="1">
        <f>Tabela5[[#This Row],[Tensão (Pa)]]/1000000</f>
        <v>0.46200902241432251</v>
      </c>
    </row>
    <row r="98" spans="1:6" x14ac:dyDescent="0.3">
      <c r="A98" s="2">
        <v>21.016999999999999</v>
      </c>
      <c r="B98" s="2">
        <v>1.744</v>
      </c>
      <c r="C98" s="1">
        <f>Tabela5[[#This Row],[Alongamento (mm/mm)]]/$I$2</f>
        <v>3.4880000000000001E-2</v>
      </c>
      <c r="D98" s="2">
        <v>20.242000000000001</v>
      </c>
      <c r="E98" s="1">
        <f>Tabela5[[#This Row],[Força (N)]]/$I$5</f>
        <v>478093.48354944622</v>
      </c>
      <c r="F98" s="1">
        <f>Tabela5[[#This Row],[Tensão (Pa)]]/1000000</f>
        <v>0.4780934835494462</v>
      </c>
    </row>
    <row r="99" spans="1:6" x14ac:dyDescent="0.3">
      <c r="A99" s="2">
        <v>21.15</v>
      </c>
      <c r="B99" s="2">
        <v>1.7551000000000001</v>
      </c>
      <c r="C99" s="1">
        <f>Tabela5[[#This Row],[Alongamento (mm/mm)]]/$I$2</f>
        <v>3.5102000000000001E-2</v>
      </c>
      <c r="D99" s="2">
        <v>21.091999999999999</v>
      </c>
      <c r="E99" s="1">
        <f>Tabela5[[#This Row],[Força (N)]]/$I$5</f>
        <v>498169.53636127448</v>
      </c>
      <c r="F99" s="1">
        <f>Tabela5[[#This Row],[Tensão (Pa)]]/1000000</f>
        <v>0.49816953636127448</v>
      </c>
    </row>
    <row r="100" spans="1:6" x14ac:dyDescent="0.3">
      <c r="A100" s="2">
        <v>21.266999999999999</v>
      </c>
      <c r="B100" s="2">
        <v>1.7648999999999999</v>
      </c>
      <c r="C100" s="1">
        <f>Tabela5[[#This Row],[Alongamento (mm/mm)]]/$I$2</f>
        <v>3.5297999999999996E-2</v>
      </c>
      <c r="D100" s="2">
        <v>21.773</v>
      </c>
      <c r="E100" s="1">
        <f>Tabela5[[#This Row],[Força (N)]]/$I$5</f>
        <v>514253.99749639817</v>
      </c>
      <c r="F100" s="1">
        <f>Tabela5[[#This Row],[Tensão (Pa)]]/1000000</f>
        <v>0.51425399749639822</v>
      </c>
    </row>
    <row r="101" spans="1:6" x14ac:dyDescent="0.3">
      <c r="A101" s="2">
        <v>21.367000000000001</v>
      </c>
      <c r="B101" s="2">
        <v>1.7732000000000001</v>
      </c>
      <c r="C101" s="1">
        <f>Tabela5[[#This Row],[Alongamento (mm/mm)]]/$I$2</f>
        <v>3.5464000000000002E-2</v>
      </c>
      <c r="D101" s="2">
        <v>22.452999999999999</v>
      </c>
      <c r="E101" s="1">
        <f>Tabela5[[#This Row],[Força (N)]]/$I$5</f>
        <v>530314.83974586078</v>
      </c>
      <c r="F101" s="1">
        <f>Tabela5[[#This Row],[Tensão (Pa)]]/1000000</f>
        <v>0.5303148397458608</v>
      </c>
    </row>
    <row r="102" spans="1:6" x14ac:dyDescent="0.3">
      <c r="A102" s="2">
        <v>21.466999999999999</v>
      </c>
      <c r="B102" s="2">
        <v>1.7815000000000001</v>
      </c>
      <c r="C102" s="1">
        <f>Tabela5[[#This Row],[Alongamento (mm/mm)]]/$I$2</f>
        <v>3.5630000000000002E-2</v>
      </c>
      <c r="D102" s="2">
        <v>23.132999999999999</v>
      </c>
      <c r="E102" s="1">
        <f>Tabela5[[#This Row],[Força (N)]]/$I$5</f>
        <v>546375.68199532351</v>
      </c>
      <c r="F102" s="1">
        <f>Tabela5[[#This Row],[Tensão (Pa)]]/1000000</f>
        <v>0.54637568199532349</v>
      </c>
    </row>
    <row r="103" spans="1:6" x14ac:dyDescent="0.3">
      <c r="A103" s="2">
        <v>21.582999999999998</v>
      </c>
      <c r="B103" s="2">
        <v>1.7911999999999999</v>
      </c>
      <c r="C103" s="1">
        <f>Tabela5[[#This Row],[Alongamento (mm/mm)]]/$I$2</f>
        <v>3.5823999999999995E-2</v>
      </c>
      <c r="D103" s="2">
        <v>23.814</v>
      </c>
      <c r="E103" s="1">
        <f>Tabela5[[#This Row],[Força (N)]]/$I$5</f>
        <v>562460.14313044713</v>
      </c>
      <c r="F103" s="1">
        <f>Tabela5[[#This Row],[Tensão (Pa)]]/1000000</f>
        <v>0.56246014313044712</v>
      </c>
    </row>
    <row r="104" spans="1:6" x14ac:dyDescent="0.3">
      <c r="A104" s="2">
        <v>21.683</v>
      </c>
      <c r="B104" s="2">
        <v>1.7996000000000001</v>
      </c>
      <c r="C104" s="1">
        <f>Tabela5[[#This Row],[Alongamento (mm/mm)]]/$I$2</f>
        <v>3.5992000000000003E-2</v>
      </c>
      <c r="D104" s="2">
        <v>24.494</v>
      </c>
      <c r="E104" s="1">
        <f>Tabela5[[#This Row],[Força (N)]]/$I$5</f>
        <v>578520.98537990986</v>
      </c>
      <c r="F104" s="1">
        <f>Tabela5[[#This Row],[Tensão (Pa)]]/1000000</f>
        <v>0.57852098537990981</v>
      </c>
    </row>
    <row r="105" spans="1:6" x14ac:dyDescent="0.3">
      <c r="A105" s="2">
        <v>21.8</v>
      </c>
      <c r="B105" s="2">
        <v>1.8092999999999999</v>
      </c>
      <c r="C105" s="1">
        <f>Tabela5[[#This Row],[Alongamento (mm/mm)]]/$I$2</f>
        <v>3.6185999999999996E-2</v>
      </c>
      <c r="D105" s="2">
        <v>25.175000000000001</v>
      </c>
      <c r="E105" s="1">
        <f>Tabela5[[#This Row],[Força (N)]]/$I$5</f>
        <v>594605.44651503349</v>
      </c>
      <c r="F105" s="1">
        <f>Tabela5[[#This Row],[Tensão (Pa)]]/1000000</f>
        <v>0.59460544651503344</v>
      </c>
    </row>
    <row r="106" spans="1:6" x14ac:dyDescent="0.3">
      <c r="A106" s="2">
        <v>21.9</v>
      </c>
      <c r="B106" s="2">
        <v>1.8176000000000001</v>
      </c>
      <c r="C106" s="1">
        <f>Tabela5[[#This Row],[Alongamento (mm/mm)]]/$I$2</f>
        <v>3.6352000000000002E-2</v>
      </c>
      <c r="D106" s="2">
        <v>25.855</v>
      </c>
      <c r="E106" s="1">
        <f>Tabela5[[#This Row],[Força (N)]]/$I$5</f>
        <v>610666.28876449622</v>
      </c>
      <c r="F106" s="1">
        <f>Tabela5[[#This Row],[Tensão (Pa)]]/1000000</f>
        <v>0.61066628876449625</v>
      </c>
    </row>
    <row r="107" spans="1:6" x14ac:dyDescent="0.3">
      <c r="A107" s="2">
        <v>22</v>
      </c>
      <c r="B107" s="2">
        <v>1.8260000000000001</v>
      </c>
      <c r="C107" s="1">
        <f>Tabela5[[#This Row],[Alongamento (mm/mm)]]/$I$2</f>
        <v>3.6520000000000004E-2</v>
      </c>
      <c r="D107" s="2">
        <v>26.535</v>
      </c>
      <c r="E107" s="1">
        <f>Tabela5[[#This Row],[Força (N)]]/$I$5</f>
        <v>626727.13101395883</v>
      </c>
      <c r="F107" s="1">
        <f>Tabela5[[#This Row],[Tensão (Pa)]]/1000000</f>
        <v>0.62672713101395883</v>
      </c>
    </row>
    <row r="108" spans="1:6" x14ac:dyDescent="0.3">
      <c r="A108" s="2">
        <v>22.117000000000001</v>
      </c>
      <c r="B108" s="2">
        <v>1.8358000000000001</v>
      </c>
      <c r="C108" s="1">
        <f>Tabela5[[#This Row],[Alongamento (mm/mm)]]/$I$2</f>
        <v>3.6715999999999999E-2</v>
      </c>
      <c r="D108" s="2">
        <v>27.216000000000001</v>
      </c>
      <c r="E108" s="1">
        <f>Tabela5[[#This Row],[Força (N)]]/$I$5</f>
        <v>642811.59214908245</v>
      </c>
      <c r="F108" s="1">
        <f>Tabela5[[#This Row],[Tensão (Pa)]]/1000000</f>
        <v>0.64281159214908246</v>
      </c>
    </row>
    <row r="109" spans="1:6" x14ac:dyDescent="0.3">
      <c r="A109" s="2">
        <v>22.216999999999999</v>
      </c>
      <c r="B109" s="2">
        <v>1.8440000000000001</v>
      </c>
      <c r="C109" s="1">
        <f>Tabela5[[#This Row],[Alongamento (mm/mm)]]/$I$2</f>
        <v>3.6880000000000003E-2</v>
      </c>
      <c r="D109" s="2">
        <v>27.896000000000001</v>
      </c>
      <c r="E109" s="1">
        <f>Tabela5[[#This Row],[Força (N)]]/$I$5</f>
        <v>658872.43439854519</v>
      </c>
      <c r="F109" s="1">
        <f>Tabela5[[#This Row],[Tensão (Pa)]]/1000000</f>
        <v>0.65887243439854515</v>
      </c>
    </row>
    <row r="110" spans="1:6" x14ac:dyDescent="0.3">
      <c r="A110" s="2">
        <v>22.3</v>
      </c>
      <c r="B110" s="2">
        <v>1.851</v>
      </c>
      <c r="C110" s="1">
        <f>Tabela5[[#This Row],[Alongamento (mm/mm)]]/$I$2</f>
        <v>3.7019999999999997E-2</v>
      </c>
      <c r="D110" s="2">
        <v>28.577000000000002</v>
      </c>
      <c r="E110" s="1">
        <f>Tabela5[[#This Row],[Força (N)]]/$I$5</f>
        <v>674956.89553366881</v>
      </c>
      <c r="F110" s="1">
        <f>Tabela5[[#This Row],[Tensão (Pa)]]/1000000</f>
        <v>0.67495689553366878</v>
      </c>
    </row>
    <row r="111" spans="1:6" x14ac:dyDescent="0.3">
      <c r="A111" s="2">
        <v>22.4</v>
      </c>
      <c r="B111" s="2">
        <v>1.8592</v>
      </c>
      <c r="C111" s="1">
        <f>Tabela5[[#This Row],[Alongamento (mm/mm)]]/$I$2</f>
        <v>3.7184000000000002E-2</v>
      </c>
      <c r="D111" s="2">
        <v>29.257000000000001</v>
      </c>
      <c r="E111" s="1">
        <f>Tabela5[[#This Row],[Força (N)]]/$I$5</f>
        <v>691017.73778313154</v>
      </c>
      <c r="F111" s="1">
        <f>Tabela5[[#This Row],[Tensão (Pa)]]/1000000</f>
        <v>0.69101773778313158</v>
      </c>
    </row>
    <row r="112" spans="1:6" x14ac:dyDescent="0.3">
      <c r="A112" s="2">
        <v>22.5</v>
      </c>
      <c r="B112" s="2">
        <v>1.8676999999999999</v>
      </c>
      <c r="C112" s="1">
        <f>Tabela5[[#This Row],[Alongamento (mm/mm)]]/$I$2</f>
        <v>3.7353999999999998E-2</v>
      </c>
      <c r="D112" s="2">
        <v>29.937000000000001</v>
      </c>
      <c r="E112" s="1">
        <f>Tabela5[[#This Row],[Força (N)]]/$I$5</f>
        <v>707078.58003259415</v>
      </c>
      <c r="F112" s="1">
        <f>Tabela5[[#This Row],[Tensão (Pa)]]/1000000</f>
        <v>0.70707858003259416</v>
      </c>
    </row>
    <row r="113" spans="1:6" x14ac:dyDescent="0.3">
      <c r="A113" s="2">
        <v>22.582999999999998</v>
      </c>
      <c r="B113" s="2">
        <v>1.8746</v>
      </c>
      <c r="C113" s="1">
        <f>Tabela5[[#This Row],[Alongamento (mm/mm)]]/$I$2</f>
        <v>3.7491999999999998E-2</v>
      </c>
      <c r="D113" s="2">
        <v>30.617999999999999</v>
      </c>
      <c r="E113" s="1">
        <f>Tabela5[[#This Row],[Força (N)]]/$I$5</f>
        <v>723163.04116771778</v>
      </c>
      <c r="F113" s="1">
        <f>Tabela5[[#This Row],[Tensão (Pa)]]/1000000</f>
        <v>0.72316304116771779</v>
      </c>
    </row>
    <row r="114" spans="1:6" x14ac:dyDescent="0.3">
      <c r="A114" s="2">
        <v>22.683</v>
      </c>
      <c r="B114" s="2">
        <v>1.8829</v>
      </c>
      <c r="C114" s="1">
        <f>Tabela5[[#This Row],[Alongamento (mm/mm)]]/$I$2</f>
        <v>3.7657999999999997E-2</v>
      </c>
      <c r="D114" s="2">
        <v>31.297999999999998</v>
      </c>
      <c r="E114" s="1">
        <f>Tabela5[[#This Row],[Força (N)]]/$I$5</f>
        <v>739223.88341718039</v>
      </c>
      <c r="F114" s="1">
        <f>Tabela5[[#This Row],[Tensão (Pa)]]/1000000</f>
        <v>0.73922388341718037</v>
      </c>
    </row>
    <row r="115" spans="1:6" x14ac:dyDescent="0.3">
      <c r="A115" s="2">
        <v>22.766999999999999</v>
      </c>
      <c r="B115" s="2">
        <v>1.8897999999999999</v>
      </c>
      <c r="C115" s="1">
        <f>Tabela5[[#This Row],[Alongamento (mm/mm)]]/$I$2</f>
        <v>3.7795999999999996E-2</v>
      </c>
      <c r="D115" s="2">
        <v>31.978999999999999</v>
      </c>
      <c r="E115" s="1">
        <f>Tabela5[[#This Row],[Força (N)]]/$I$5</f>
        <v>755308.34455230413</v>
      </c>
      <c r="F115" s="1">
        <f>Tabela5[[#This Row],[Tensão (Pa)]]/1000000</f>
        <v>0.75530834455230411</v>
      </c>
    </row>
    <row r="116" spans="1:6" x14ac:dyDescent="0.3">
      <c r="A116" s="2">
        <v>22.85</v>
      </c>
      <c r="B116" s="2">
        <v>1.8968</v>
      </c>
      <c r="C116" s="1">
        <f>Tabela5[[#This Row],[Alongamento (mm/mm)]]/$I$2</f>
        <v>3.7935999999999998E-2</v>
      </c>
      <c r="D116" s="2">
        <v>32.658999999999999</v>
      </c>
      <c r="E116" s="1">
        <f>Tabela5[[#This Row],[Força (N)]]/$I$5</f>
        <v>771369.18680176674</v>
      </c>
      <c r="F116" s="1">
        <f>Tabela5[[#This Row],[Tensão (Pa)]]/1000000</f>
        <v>0.77136918680176669</v>
      </c>
    </row>
    <row r="117" spans="1:6" x14ac:dyDescent="0.3">
      <c r="A117" s="2">
        <v>22.933</v>
      </c>
      <c r="B117" s="2">
        <v>1.9037999999999999</v>
      </c>
      <c r="C117" s="1">
        <f>Tabela5[[#This Row],[Alongamento (mm/mm)]]/$I$2</f>
        <v>3.8075999999999999E-2</v>
      </c>
      <c r="D117" s="2">
        <v>33.338999999999999</v>
      </c>
      <c r="E117" s="1">
        <f>Tabela5[[#This Row],[Força (N)]]/$I$5</f>
        <v>787430.02905122936</v>
      </c>
      <c r="F117" s="1">
        <f>Tabela5[[#This Row],[Tensão (Pa)]]/1000000</f>
        <v>0.78743002905122939</v>
      </c>
    </row>
    <row r="118" spans="1:6" x14ac:dyDescent="0.3">
      <c r="A118" s="2">
        <v>23.016999999999999</v>
      </c>
      <c r="B118" s="2">
        <v>1.9107000000000001</v>
      </c>
      <c r="C118" s="1">
        <f>Tabela5[[#This Row],[Alongamento (mm/mm)]]/$I$2</f>
        <v>3.8213999999999998E-2</v>
      </c>
      <c r="D118" s="2">
        <v>34.020000000000003</v>
      </c>
      <c r="E118" s="1">
        <f>Tabela5[[#This Row],[Força (N)]]/$I$5</f>
        <v>803514.49018635321</v>
      </c>
      <c r="F118" s="1">
        <f>Tabela5[[#This Row],[Tensão (Pa)]]/1000000</f>
        <v>0.80351449018635324</v>
      </c>
    </row>
    <row r="119" spans="1:6" x14ac:dyDescent="0.3">
      <c r="A119" s="2">
        <v>23.1</v>
      </c>
      <c r="B119" s="2">
        <v>1.9176</v>
      </c>
      <c r="C119" s="1">
        <f>Tabela5[[#This Row],[Alongamento (mm/mm)]]/$I$2</f>
        <v>3.8351999999999997E-2</v>
      </c>
      <c r="D119" s="2">
        <v>34.700000000000003</v>
      </c>
      <c r="E119" s="1">
        <f>Tabela5[[#This Row],[Força (N)]]/$I$5</f>
        <v>819575.33243581583</v>
      </c>
      <c r="F119" s="1">
        <f>Tabela5[[#This Row],[Tensão (Pa)]]/1000000</f>
        <v>0.81957533243581582</v>
      </c>
    </row>
    <row r="120" spans="1:6" x14ac:dyDescent="0.3">
      <c r="A120" s="2">
        <v>23.167000000000002</v>
      </c>
      <c r="B120" s="2">
        <v>1.9232</v>
      </c>
      <c r="C120" s="1">
        <f>Tabela5[[#This Row],[Alongamento (mm/mm)]]/$I$2</f>
        <v>3.8463999999999998E-2</v>
      </c>
      <c r="D120" s="2">
        <v>35.381</v>
      </c>
      <c r="E120" s="1">
        <f>Tabela5[[#This Row],[Força (N)]]/$I$5</f>
        <v>835659.79357093945</v>
      </c>
      <c r="F120" s="1">
        <f>Tabela5[[#This Row],[Tensão (Pa)]]/1000000</f>
        <v>0.83565979357093945</v>
      </c>
    </row>
    <row r="121" spans="1:6" x14ac:dyDescent="0.3">
      <c r="A121" s="2">
        <v>23.25</v>
      </c>
      <c r="B121" s="2">
        <v>1.9300999999999999</v>
      </c>
      <c r="C121" s="1">
        <f>Tabela5[[#This Row],[Alongamento (mm/mm)]]/$I$2</f>
        <v>3.8601999999999997E-2</v>
      </c>
      <c r="D121" s="2">
        <v>36.061</v>
      </c>
      <c r="E121" s="1">
        <f>Tabela5[[#This Row],[Força (N)]]/$I$5</f>
        <v>851720.63582040207</v>
      </c>
      <c r="F121" s="1">
        <f>Tabela5[[#This Row],[Tensão (Pa)]]/1000000</f>
        <v>0.85172063582040203</v>
      </c>
    </row>
    <row r="122" spans="1:6" x14ac:dyDescent="0.3">
      <c r="A122" s="2">
        <v>23.332999999999998</v>
      </c>
      <c r="B122" s="2">
        <v>1.9371</v>
      </c>
      <c r="C122" s="1">
        <f>Tabela5[[#This Row],[Alongamento (mm/mm)]]/$I$2</f>
        <v>3.8741999999999999E-2</v>
      </c>
      <c r="D122" s="2">
        <v>36.741</v>
      </c>
      <c r="E122" s="1">
        <f>Tabela5[[#This Row],[Força (N)]]/$I$5</f>
        <v>867781.4780698648</v>
      </c>
      <c r="F122" s="1">
        <f>Tabela5[[#This Row],[Tensão (Pa)]]/1000000</f>
        <v>0.86778147806986483</v>
      </c>
    </row>
    <row r="123" spans="1:6" x14ac:dyDescent="0.3">
      <c r="A123" s="2">
        <v>23.433</v>
      </c>
      <c r="B123" s="2">
        <v>1.9455</v>
      </c>
      <c r="C123" s="1">
        <f>Tabela5[[#This Row],[Alongamento (mm/mm)]]/$I$2</f>
        <v>3.891E-2</v>
      </c>
      <c r="D123" s="2">
        <v>37.421999999999997</v>
      </c>
      <c r="E123" s="1">
        <f>Tabela5[[#This Row],[Força (N)]]/$I$5</f>
        <v>883865.9392049883</v>
      </c>
      <c r="F123" s="1">
        <f>Tabela5[[#This Row],[Tensão (Pa)]]/1000000</f>
        <v>0.88386593920498835</v>
      </c>
    </row>
    <row r="124" spans="1:6" x14ac:dyDescent="0.3">
      <c r="A124" s="2">
        <v>23.516999999999999</v>
      </c>
      <c r="B124" s="2">
        <v>1.9523999999999999</v>
      </c>
      <c r="C124" s="1">
        <f>Tabela5[[#This Row],[Alongamento (mm/mm)]]/$I$2</f>
        <v>3.9047999999999999E-2</v>
      </c>
      <c r="D124" s="2">
        <v>38.101999999999997</v>
      </c>
      <c r="E124" s="1">
        <f>Tabela5[[#This Row],[Força (N)]]/$I$5</f>
        <v>899926.78145445103</v>
      </c>
      <c r="F124" s="1">
        <f>Tabela5[[#This Row],[Tensão (Pa)]]/1000000</f>
        <v>0.89992678145445104</v>
      </c>
    </row>
    <row r="125" spans="1:6" x14ac:dyDescent="0.3">
      <c r="A125" s="2">
        <v>23.6</v>
      </c>
      <c r="B125" s="2">
        <v>1.9593</v>
      </c>
      <c r="C125" s="1">
        <f>Tabela5[[#This Row],[Alongamento (mm/mm)]]/$I$2</f>
        <v>3.9185999999999999E-2</v>
      </c>
      <c r="D125" s="2">
        <v>38.783000000000001</v>
      </c>
      <c r="E125" s="1">
        <f>Tabela5[[#This Row],[Força (N)]]/$I$5</f>
        <v>916011.24258957477</v>
      </c>
      <c r="F125" s="1">
        <f>Tabela5[[#This Row],[Tensão (Pa)]]/1000000</f>
        <v>0.91601124258957478</v>
      </c>
    </row>
    <row r="126" spans="1:6" x14ac:dyDescent="0.3">
      <c r="A126" s="2">
        <v>23.7</v>
      </c>
      <c r="B126" s="2">
        <v>1.9676</v>
      </c>
      <c r="C126" s="1">
        <f>Tabela5[[#This Row],[Alongamento (mm/mm)]]/$I$2</f>
        <v>3.9351999999999998E-2</v>
      </c>
      <c r="D126" s="2">
        <v>39.463000000000001</v>
      </c>
      <c r="E126" s="1">
        <f>Tabela5[[#This Row],[Força (N)]]/$I$5</f>
        <v>932072.08483903739</v>
      </c>
      <c r="F126" s="1">
        <f>Tabela5[[#This Row],[Tensão (Pa)]]/1000000</f>
        <v>0.93207208483903736</v>
      </c>
    </row>
    <row r="127" spans="1:6" x14ac:dyDescent="0.3">
      <c r="A127" s="2">
        <v>23.783000000000001</v>
      </c>
      <c r="B127" s="2">
        <v>1.9745999999999999</v>
      </c>
      <c r="C127" s="1">
        <f>Tabela5[[#This Row],[Alongamento (mm/mm)]]/$I$2</f>
        <v>3.9491999999999999E-2</v>
      </c>
      <c r="D127" s="2">
        <v>40.143000000000001</v>
      </c>
      <c r="E127" s="1">
        <f>Tabela5[[#This Row],[Força (N)]]/$I$5</f>
        <v>948132.92708850012</v>
      </c>
      <c r="F127" s="1">
        <f>Tabela5[[#This Row],[Tensão (Pa)]]/1000000</f>
        <v>0.94813292708850017</v>
      </c>
    </row>
    <row r="128" spans="1:6" x14ac:dyDescent="0.3">
      <c r="A128" s="2">
        <v>23.85</v>
      </c>
      <c r="B128" s="2">
        <v>1.9802</v>
      </c>
      <c r="C128" s="1">
        <f>Tabela5[[#This Row],[Alongamento (mm/mm)]]/$I$2</f>
        <v>3.9604E-2</v>
      </c>
      <c r="D128" s="2">
        <v>40.823999999999998</v>
      </c>
      <c r="E128" s="1">
        <f>Tabela5[[#This Row],[Força (N)]]/$I$5</f>
        <v>964217.38822362362</v>
      </c>
      <c r="F128" s="1">
        <f>Tabela5[[#This Row],[Tensão (Pa)]]/1000000</f>
        <v>0.96421738822362357</v>
      </c>
    </row>
    <row r="129" spans="1:6" x14ac:dyDescent="0.3">
      <c r="A129" s="2">
        <v>23.933</v>
      </c>
      <c r="B129" s="2">
        <v>1.9871000000000001</v>
      </c>
      <c r="C129" s="1">
        <f>Tabela5[[#This Row],[Alongamento (mm/mm)]]/$I$2</f>
        <v>3.9742E-2</v>
      </c>
      <c r="D129" s="2">
        <v>41.503999999999998</v>
      </c>
      <c r="E129" s="1">
        <f>Tabela5[[#This Row],[Força (N)]]/$I$5</f>
        <v>980278.23047308635</v>
      </c>
      <c r="F129" s="1">
        <f>Tabela5[[#This Row],[Tensão (Pa)]]/1000000</f>
        <v>0.98027823047308638</v>
      </c>
    </row>
    <row r="130" spans="1:6" x14ac:dyDescent="0.3">
      <c r="A130" s="2">
        <v>24</v>
      </c>
      <c r="B130" s="2">
        <v>1.9926999999999999</v>
      </c>
      <c r="C130" s="1">
        <f>Tabela5[[#This Row],[Alongamento (mm/mm)]]/$I$2</f>
        <v>3.9854000000000001E-2</v>
      </c>
      <c r="D130" s="2">
        <v>42.185000000000002</v>
      </c>
      <c r="E130" s="1">
        <f>Tabela5[[#This Row],[Força (N)]]/$I$5</f>
        <v>996362.69160821009</v>
      </c>
      <c r="F130" s="1">
        <f>Tabela5[[#This Row],[Tensão (Pa)]]/1000000</f>
        <v>0.99636269160821012</v>
      </c>
    </row>
    <row r="131" spans="1:6" x14ac:dyDescent="0.3">
      <c r="A131" s="2">
        <v>24.082999999999998</v>
      </c>
      <c r="B131" s="2">
        <v>1.9995000000000001</v>
      </c>
      <c r="C131" s="1">
        <f>Tabela5[[#This Row],[Alongamento (mm/mm)]]/$I$2</f>
        <v>3.9989999999999998E-2</v>
      </c>
      <c r="D131" s="2">
        <v>42.865000000000002</v>
      </c>
      <c r="E131" s="1">
        <f>Tabela5[[#This Row],[Força (N)]]/$I$5</f>
        <v>1012423.5338576727</v>
      </c>
      <c r="F131" s="1">
        <f>Tabela5[[#This Row],[Tensão (Pa)]]/1000000</f>
        <v>1.0124235338576728</v>
      </c>
    </row>
    <row r="132" spans="1:6" x14ac:dyDescent="0.3">
      <c r="A132" s="2">
        <v>24.15</v>
      </c>
      <c r="B132" s="2">
        <v>2.0051000000000001</v>
      </c>
      <c r="C132" s="1">
        <f>Tabela5[[#This Row],[Alongamento (mm/mm)]]/$I$2</f>
        <v>4.0101999999999999E-2</v>
      </c>
      <c r="D132" s="2">
        <v>43.545000000000002</v>
      </c>
      <c r="E132" s="1">
        <f>Tabela5[[#This Row],[Força (N)]]/$I$5</f>
        <v>1028484.3761071354</v>
      </c>
      <c r="F132" s="1">
        <f>Tabela5[[#This Row],[Tensão (Pa)]]/1000000</f>
        <v>1.0284843761071354</v>
      </c>
    </row>
    <row r="133" spans="1:6" x14ac:dyDescent="0.3">
      <c r="A133" s="2">
        <v>24.216999999999999</v>
      </c>
      <c r="B133" s="2">
        <v>2.0106999999999999</v>
      </c>
      <c r="C133" s="1">
        <f>Tabela5[[#This Row],[Alongamento (mm/mm)]]/$I$2</f>
        <v>4.0214E-2</v>
      </c>
      <c r="D133" s="2">
        <v>44.225999999999999</v>
      </c>
      <c r="E133" s="1">
        <f>Tabela5[[#This Row],[Força (N)]]/$I$5</f>
        <v>1044568.8372422589</v>
      </c>
      <c r="F133" s="1">
        <f>Tabela5[[#This Row],[Tensão (Pa)]]/1000000</f>
        <v>1.044568837242259</v>
      </c>
    </row>
    <row r="134" spans="1:6" x14ac:dyDescent="0.3">
      <c r="A134" s="2">
        <v>24.283000000000001</v>
      </c>
      <c r="B134" s="2">
        <v>2.0163000000000002</v>
      </c>
      <c r="C134" s="1">
        <f>Tabela5[[#This Row],[Alongamento (mm/mm)]]/$I$2</f>
        <v>4.0326000000000001E-2</v>
      </c>
      <c r="D134" s="2">
        <v>45.076000000000001</v>
      </c>
      <c r="E134" s="1">
        <f>Tabela5[[#This Row],[Força (N)]]/$I$5</f>
        <v>1064644.8900540874</v>
      </c>
      <c r="F134" s="1">
        <f>Tabela5[[#This Row],[Tensão (Pa)]]/1000000</f>
        <v>1.0646448900540875</v>
      </c>
    </row>
    <row r="135" spans="1:6" x14ac:dyDescent="0.3">
      <c r="A135" s="2">
        <v>24.35</v>
      </c>
      <c r="B135" s="2">
        <v>2.0219</v>
      </c>
      <c r="C135" s="1">
        <f>Tabela5[[#This Row],[Alongamento (mm/mm)]]/$I$2</f>
        <v>4.0438000000000002E-2</v>
      </c>
      <c r="D135" s="2">
        <v>45.756999999999998</v>
      </c>
      <c r="E135" s="1">
        <f>Tabela5[[#This Row],[Força (N)]]/$I$5</f>
        <v>1080729.351189211</v>
      </c>
      <c r="F135" s="1">
        <f>Tabela5[[#This Row],[Tensão (Pa)]]/1000000</f>
        <v>1.0807293511892111</v>
      </c>
    </row>
    <row r="136" spans="1:6" x14ac:dyDescent="0.3">
      <c r="A136" s="2">
        <v>24.417000000000002</v>
      </c>
      <c r="B136" s="2">
        <v>2.0274000000000001</v>
      </c>
      <c r="C136" s="1">
        <f>Tabela5[[#This Row],[Alongamento (mm/mm)]]/$I$2</f>
        <v>4.0548000000000001E-2</v>
      </c>
      <c r="D136" s="2">
        <v>46.436999999999998</v>
      </c>
      <c r="E136" s="1">
        <f>Tabela5[[#This Row],[Força (N)]]/$I$5</f>
        <v>1096790.1934386736</v>
      </c>
      <c r="F136" s="1">
        <f>Tabela5[[#This Row],[Tensão (Pa)]]/1000000</f>
        <v>1.0967901934386737</v>
      </c>
    </row>
    <row r="137" spans="1:6" x14ac:dyDescent="0.3">
      <c r="A137" s="2">
        <v>24.483000000000001</v>
      </c>
      <c r="B137" s="2">
        <v>2.0329000000000002</v>
      </c>
      <c r="C137" s="1">
        <f>Tabela5[[#This Row],[Alongamento (mm/mm)]]/$I$2</f>
        <v>4.0658E-2</v>
      </c>
      <c r="D137" s="2">
        <v>47.116999999999997</v>
      </c>
      <c r="E137" s="1">
        <f>Tabela5[[#This Row],[Força (N)]]/$I$5</f>
        <v>1112851.0356881362</v>
      </c>
      <c r="F137" s="1">
        <f>Tabela5[[#This Row],[Tensão (Pa)]]/1000000</f>
        <v>1.1128510356881363</v>
      </c>
    </row>
    <row r="138" spans="1:6" x14ac:dyDescent="0.3">
      <c r="A138" s="2">
        <v>24.55</v>
      </c>
      <c r="B138" s="2">
        <v>2.0385</v>
      </c>
      <c r="C138" s="1">
        <f>Tabela5[[#This Row],[Alongamento (mm/mm)]]/$I$2</f>
        <v>4.0770000000000001E-2</v>
      </c>
      <c r="D138" s="2">
        <v>47.798000000000002</v>
      </c>
      <c r="E138" s="1">
        <f>Tabela5[[#This Row],[Força (N)]]/$I$5</f>
        <v>1128935.4968232601</v>
      </c>
      <c r="F138" s="1">
        <f>Tabela5[[#This Row],[Tensão (Pa)]]/1000000</f>
        <v>1.1289354968232601</v>
      </c>
    </row>
    <row r="139" spans="1:6" x14ac:dyDescent="0.3">
      <c r="A139" s="2">
        <v>24.617000000000001</v>
      </c>
      <c r="B139" s="2">
        <v>2.044</v>
      </c>
      <c r="C139" s="1">
        <f>Tabela5[[#This Row],[Alongamento (mm/mm)]]/$I$2</f>
        <v>4.088E-2</v>
      </c>
      <c r="D139" s="2">
        <v>48.478000000000002</v>
      </c>
      <c r="E139" s="1">
        <f>Tabela5[[#This Row],[Força (N)]]/$I$5</f>
        <v>1144996.3390727227</v>
      </c>
      <c r="F139" s="1">
        <f>Tabela5[[#This Row],[Tensão (Pa)]]/1000000</f>
        <v>1.1449963390727227</v>
      </c>
    </row>
    <row r="140" spans="1:6" x14ac:dyDescent="0.3">
      <c r="A140" s="2">
        <v>24.683</v>
      </c>
      <c r="B140" s="2">
        <v>2.0495999999999999</v>
      </c>
      <c r="C140" s="1">
        <f>Tabela5[[#This Row],[Alongamento (mm/mm)]]/$I$2</f>
        <v>4.0992000000000001E-2</v>
      </c>
      <c r="D140" s="2">
        <v>49.329000000000001</v>
      </c>
      <c r="E140" s="1">
        <f>Tabela5[[#This Row],[Força (N)]]/$I$5</f>
        <v>1165096.0107702119</v>
      </c>
      <c r="F140" s="1">
        <f>Tabela5[[#This Row],[Tensão (Pa)]]/1000000</f>
        <v>1.165096010770212</v>
      </c>
    </row>
    <row r="141" spans="1:6" x14ac:dyDescent="0.3">
      <c r="A141" s="2">
        <v>24.75</v>
      </c>
      <c r="B141" s="2">
        <v>2.0550999999999999</v>
      </c>
      <c r="C141" s="1">
        <f>Tabela5[[#This Row],[Alongamento (mm/mm)]]/$I$2</f>
        <v>4.1102E-2</v>
      </c>
      <c r="D141" s="2">
        <v>50.009</v>
      </c>
      <c r="E141" s="1">
        <f>Tabela5[[#This Row],[Força (N)]]/$I$5</f>
        <v>1181156.8530196748</v>
      </c>
      <c r="F141" s="1">
        <f>Tabela5[[#This Row],[Tensão (Pa)]]/1000000</f>
        <v>1.1811568530196748</v>
      </c>
    </row>
    <row r="142" spans="1:6" x14ac:dyDescent="0.3">
      <c r="A142" s="2">
        <v>24.817</v>
      </c>
      <c r="B142" s="2">
        <v>2.0607000000000002</v>
      </c>
      <c r="C142" s="1">
        <f>Tabela5[[#This Row],[Alongamento (mm/mm)]]/$I$2</f>
        <v>4.1214000000000001E-2</v>
      </c>
      <c r="D142" s="2">
        <v>50.689</v>
      </c>
      <c r="E142" s="1">
        <f>Tabela5[[#This Row],[Força (N)]]/$I$5</f>
        <v>1197217.6952691374</v>
      </c>
      <c r="F142" s="1">
        <f>Tabela5[[#This Row],[Tensão (Pa)]]/1000000</f>
        <v>1.1972176952691373</v>
      </c>
    </row>
    <row r="143" spans="1:6" x14ac:dyDescent="0.3">
      <c r="A143" s="2">
        <v>24.882999999999999</v>
      </c>
      <c r="B143" s="2">
        <v>2.0663</v>
      </c>
      <c r="C143" s="1">
        <f>Tabela5[[#This Row],[Alongamento (mm/mm)]]/$I$2</f>
        <v>4.1326000000000002E-2</v>
      </c>
      <c r="D143" s="2">
        <v>51.54</v>
      </c>
      <c r="E143" s="1">
        <f>Tabela5[[#This Row],[Força (N)]]/$I$5</f>
        <v>1217317.3669666266</v>
      </c>
      <c r="F143" s="1">
        <f>Tabela5[[#This Row],[Tensão (Pa)]]/1000000</f>
        <v>1.2173173669666266</v>
      </c>
    </row>
    <row r="144" spans="1:6" x14ac:dyDescent="0.3">
      <c r="A144" s="2">
        <v>24.95</v>
      </c>
      <c r="B144" s="2">
        <v>2.0718000000000001</v>
      </c>
      <c r="C144" s="1">
        <f>Tabela5[[#This Row],[Alongamento (mm/mm)]]/$I$2</f>
        <v>4.1436000000000001E-2</v>
      </c>
      <c r="D144" s="2">
        <v>52.22</v>
      </c>
      <c r="E144" s="1">
        <f>Tabela5[[#This Row],[Força (N)]]/$I$5</f>
        <v>1233378.2092160892</v>
      </c>
      <c r="F144" s="1">
        <f>Tabela5[[#This Row],[Tensão (Pa)]]/1000000</f>
        <v>1.2333782092160892</v>
      </c>
    </row>
    <row r="145" spans="1:6" x14ac:dyDescent="0.3">
      <c r="A145" s="2">
        <v>25</v>
      </c>
      <c r="B145" s="2">
        <v>2.0758999999999999</v>
      </c>
      <c r="C145" s="1">
        <f>Tabela5[[#This Row],[Alongamento (mm/mm)]]/$I$2</f>
        <v>4.1517999999999999E-2</v>
      </c>
      <c r="D145" s="2">
        <v>52.901000000000003</v>
      </c>
      <c r="E145" s="1">
        <f>Tabela5[[#This Row],[Força (N)]]/$I$5</f>
        <v>1249462.6703512131</v>
      </c>
      <c r="F145" s="1">
        <f>Tabela5[[#This Row],[Tensão (Pa)]]/1000000</f>
        <v>1.2494626703512131</v>
      </c>
    </row>
    <row r="146" spans="1:6" x14ac:dyDescent="0.3">
      <c r="A146" s="2">
        <v>25.067</v>
      </c>
      <c r="B146" s="2">
        <v>2.0815000000000001</v>
      </c>
      <c r="C146" s="1">
        <f>Tabela5[[#This Row],[Alongamento (mm/mm)]]/$I$2</f>
        <v>4.163E-2</v>
      </c>
      <c r="D146" s="2">
        <v>53.581000000000003</v>
      </c>
      <c r="E146" s="1">
        <f>Tabela5[[#This Row],[Força (N)]]/$I$5</f>
        <v>1265523.5126006757</v>
      </c>
      <c r="F146" s="1">
        <f>Tabela5[[#This Row],[Tensão (Pa)]]/1000000</f>
        <v>1.2655235126006756</v>
      </c>
    </row>
    <row r="147" spans="1:6" x14ac:dyDescent="0.3">
      <c r="A147" s="2">
        <v>25.132999999999999</v>
      </c>
      <c r="B147" s="2">
        <v>2.0870000000000002</v>
      </c>
      <c r="C147" s="1">
        <f>Tabela5[[#This Row],[Alongamento (mm/mm)]]/$I$2</f>
        <v>4.1740000000000006E-2</v>
      </c>
      <c r="D147" s="2">
        <v>54.432000000000002</v>
      </c>
      <c r="E147" s="1">
        <f>Tabela5[[#This Row],[Força (N)]]/$I$5</f>
        <v>1285623.1842981649</v>
      </c>
      <c r="F147" s="1">
        <f>Tabela5[[#This Row],[Tensão (Pa)]]/1000000</f>
        <v>1.2856231842981649</v>
      </c>
    </row>
    <row r="148" spans="1:6" x14ac:dyDescent="0.3">
      <c r="A148" s="2">
        <v>25.2</v>
      </c>
      <c r="B148" s="2">
        <v>2.0926</v>
      </c>
      <c r="C148" s="1">
        <f>Tabela5[[#This Row],[Alongamento (mm/mm)]]/$I$2</f>
        <v>4.1852E-2</v>
      </c>
      <c r="D148" s="2">
        <v>55.112000000000002</v>
      </c>
      <c r="E148" s="1">
        <f>Tabela5[[#This Row],[Força (N)]]/$I$5</f>
        <v>1301684.0265476278</v>
      </c>
      <c r="F148" s="1">
        <f>Tabela5[[#This Row],[Tensão (Pa)]]/1000000</f>
        <v>1.3016840265476277</v>
      </c>
    </row>
    <row r="149" spans="1:6" x14ac:dyDescent="0.3">
      <c r="A149" s="2">
        <v>25.25</v>
      </c>
      <c r="B149" s="2">
        <v>2.0968</v>
      </c>
      <c r="C149" s="1">
        <f>Tabela5[[#This Row],[Alongamento (mm/mm)]]/$I$2</f>
        <v>4.1936000000000001E-2</v>
      </c>
      <c r="D149" s="2">
        <v>55.792000000000002</v>
      </c>
      <c r="E149" s="1">
        <f>Tabela5[[#This Row],[Força (N)]]/$I$5</f>
        <v>1317744.8687970904</v>
      </c>
      <c r="F149" s="1">
        <f>Tabela5[[#This Row],[Tensão (Pa)]]/1000000</f>
        <v>1.3177448687970903</v>
      </c>
    </row>
    <row r="150" spans="1:6" x14ac:dyDescent="0.3">
      <c r="A150" s="2">
        <v>25.3</v>
      </c>
      <c r="B150" s="2">
        <v>2.101</v>
      </c>
      <c r="C150" s="1">
        <f>Tabela5[[#This Row],[Alongamento (mm/mm)]]/$I$2</f>
        <v>4.2020000000000002E-2</v>
      </c>
      <c r="D150" s="2">
        <v>56.472999999999999</v>
      </c>
      <c r="E150" s="1">
        <f>Tabela5[[#This Row],[Força (N)]]/$I$5</f>
        <v>1333829.329932214</v>
      </c>
      <c r="F150" s="1">
        <f>Tabela5[[#This Row],[Tensão (Pa)]]/1000000</f>
        <v>1.3338293299322139</v>
      </c>
    </row>
    <row r="151" spans="1:6" x14ac:dyDescent="0.3">
      <c r="A151" s="2">
        <v>25.367000000000001</v>
      </c>
      <c r="B151" s="2">
        <v>2.1065999999999998</v>
      </c>
      <c r="C151" s="1">
        <f>Tabela5[[#This Row],[Alongamento (mm/mm)]]/$I$2</f>
        <v>4.2131999999999996E-2</v>
      </c>
      <c r="D151" s="2">
        <v>57.152999999999999</v>
      </c>
      <c r="E151" s="1">
        <f>Tabela5[[#This Row],[Força (N)]]/$I$5</f>
        <v>1349890.1721816766</v>
      </c>
      <c r="F151" s="1">
        <f>Tabela5[[#This Row],[Tensão (Pa)]]/1000000</f>
        <v>1.3498901721816765</v>
      </c>
    </row>
    <row r="152" spans="1:6" x14ac:dyDescent="0.3">
      <c r="A152" s="2">
        <v>25.417000000000002</v>
      </c>
      <c r="B152" s="2">
        <v>2.1105999999999998</v>
      </c>
      <c r="C152" s="1">
        <f>Tabela5[[#This Row],[Alongamento (mm/mm)]]/$I$2</f>
        <v>4.2212E-2</v>
      </c>
      <c r="D152" s="2">
        <v>57.834000000000003</v>
      </c>
      <c r="E152" s="1">
        <f>Tabela5[[#This Row],[Força (N)]]/$I$5</f>
        <v>1365974.6333168002</v>
      </c>
      <c r="F152" s="1">
        <f>Tabela5[[#This Row],[Tensão (Pa)]]/1000000</f>
        <v>1.3659746333168001</v>
      </c>
    </row>
    <row r="153" spans="1:6" x14ac:dyDescent="0.3">
      <c r="A153" s="2">
        <v>25.466999999999999</v>
      </c>
      <c r="B153" s="2">
        <v>2.1147999999999998</v>
      </c>
      <c r="C153" s="1">
        <f>Tabela5[[#This Row],[Alongamento (mm/mm)]]/$I$2</f>
        <v>4.2295999999999993E-2</v>
      </c>
      <c r="D153" s="2">
        <v>58.514000000000003</v>
      </c>
      <c r="E153" s="1">
        <f>Tabela5[[#This Row],[Força (N)]]/$I$5</f>
        <v>1382035.4755662631</v>
      </c>
      <c r="F153" s="1">
        <f>Tabela5[[#This Row],[Tensão (Pa)]]/1000000</f>
        <v>1.3820354755662632</v>
      </c>
    </row>
    <row r="154" spans="1:6" x14ac:dyDescent="0.3">
      <c r="A154" s="2">
        <v>25.516999999999999</v>
      </c>
      <c r="B154" s="2">
        <v>2.1190000000000002</v>
      </c>
      <c r="C154" s="1">
        <f>Tabela5[[#This Row],[Alongamento (mm/mm)]]/$I$2</f>
        <v>4.2380000000000001E-2</v>
      </c>
      <c r="D154" s="2">
        <v>59.194000000000003</v>
      </c>
      <c r="E154" s="1">
        <f>Tabela5[[#This Row],[Força (N)]]/$I$5</f>
        <v>1398096.3178157257</v>
      </c>
      <c r="F154" s="1">
        <f>Tabela5[[#This Row],[Tensão (Pa)]]/1000000</f>
        <v>1.3980963178157257</v>
      </c>
    </row>
    <row r="155" spans="1:6" x14ac:dyDescent="0.3">
      <c r="A155" s="2">
        <v>25.582999999999998</v>
      </c>
      <c r="B155" s="2">
        <v>2.1246</v>
      </c>
      <c r="C155" s="1">
        <f>Tabela5[[#This Row],[Alongamento (mm/mm)]]/$I$2</f>
        <v>4.2492000000000002E-2</v>
      </c>
      <c r="D155" s="2">
        <v>60.045000000000002</v>
      </c>
      <c r="E155" s="1">
        <f>Tabela5[[#This Row],[Força (N)]]/$I$5</f>
        <v>1418195.9895132149</v>
      </c>
      <c r="F155" s="1">
        <f>Tabela5[[#This Row],[Tensão (Pa)]]/1000000</f>
        <v>1.418195989513215</v>
      </c>
    </row>
    <row r="156" spans="1:6" x14ac:dyDescent="0.3">
      <c r="A156" s="2">
        <v>25.65</v>
      </c>
      <c r="B156" s="2">
        <v>2.1301999999999999</v>
      </c>
      <c r="C156" s="1">
        <f>Tabela5[[#This Row],[Alongamento (mm/mm)]]/$I$2</f>
        <v>4.2603999999999996E-2</v>
      </c>
      <c r="D156" s="2">
        <v>60.895000000000003</v>
      </c>
      <c r="E156" s="1">
        <f>Tabela5[[#This Row],[Força (N)]]/$I$5</f>
        <v>1438272.0423250434</v>
      </c>
      <c r="F156" s="1">
        <f>Tabela5[[#This Row],[Tensão (Pa)]]/1000000</f>
        <v>1.4382720423250432</v>
      </c>
    </row>
    <row r="157" spans="1:6" x14ac:dyDescent="0.3">
      <c r="A157" s="2">
        <v>25.716999999999999</v>
      </c>
      <c r="B157" s="2">
        <v>2.1356999999999999</v>
      </c>
      <c r="C157" s="1">
        <f>Tabela5[[#This Row],[Alongamento (mm/mm)]]/$I$2</f>
        <v>4.2714000000000002E-2</v>
      </c>
      <c r="D157" s="2">
        <v>61.746000000000002</v>
      </c>
      <c r="E157" s="1">
        <f>Tabela5[[#This Row],[Força (N)]]/$I$5</f>
        <v>1458371.7140225326</v>
      </c>
      <c r="F157" s="1">
        <f>Tabela5[[#This Row],[Tensão (Pa)]]/1000000</f>
        <v>1.4583717140225325</v>
      </c>
    </row>
    <row r="158" spans="1:6" x14ac:dyDescent="0.3">
      <c r="A158" s="2">
        <v>25.766999999999999</v>
      </c>
      <c r="B158" s="2">
        <v>2.1398999999999999</v>
      </c>
      <c r="C158" s="1">
        <f>Tabela5[[#This Row],[Alongamento (mm/mm)]]/$I$2</f>
        <v>4.2797999999999996E-2</v>
      </c>
      <c r="D158" s="2">
        <v>62.426000000000002</v>
      </c>
      <c r="E158" s="1">
        <f>Tabela5[[#This Row],[Força (N)]]/$I$5</f>
        <v>1474432.5562719952</v>
      </c>
      <c r="F158" s="1">
        <f>Tabela5[[#This Row],[Tensão (Pa)]]/1000000</f>
        <v>1.4744325562719951</v>
      </c>
    </row>
    <row r="159" spans="1:6" x14ac:dyDescent="0.3">
      <c r="A159" s="2">
        <v>25.832999999999998</v>
      </c>
      <c r="B159" s="2">
        <v>2.1455000000000002</v>
      </c>
      <c r="C159" s="1">
        <f>Tabela5[[#This Row],[Alongamento (mm/mm)]]/$I$2</f>
        <v>4.2910000000000004E-2</v>
      </c>
      <c r="D159" s="2">
        <v>63.277000000000001</v>
      </c>
      <c r="E159" s="1">
        <f>Tabela5[[#This Row],[Força (N)]]/$I$5</f>
        <v>1494532.2279694846</v>
      </c>
      <c r="F159" s="1">
        <f>Tabela5[[#This Row],[Tensão (Pa)]]/1000000</f>
        <v>1.4945322279694846</v>
      </c>
    </row>
    <row r="160" spans="1:6" x14ac:dyDescent="0.3">
      <c r="A160" s="2">
        <v>25.882999999999999</v>
      </c>
      <c r="B160" s="2">
        <v>2.1495000000000002</v>
      </c>
      <c r="C160" s="1">
        <f>Tabela5[[#This Row],[Alongamento (mm/mm)]]/$I$2</f>
        <v>4.299E-2</v>
      </c>
      <c r="D160" s="2">
        <v>63.957000000000001</v>
      </c>
      <c r="E160" s="1">
        <f>Tabela5[[#This Row],[Força (N)]]/$I$5</f>
        <v>1510593.0702189473</v>
      </c>
      <c r="F160" s="1">
        <f>Tabela5[[#This Row],[Tensão (Pa)]]/1000000</f>
        <v>1.5105930702189472</v>
      </c>
    </row>
    <row r="161" spans="1:6" x14ac:dyDescent="0.3">
      <c r="A161" s="2">
        <v>25.933</v>
      </c>
      <c r="B161" s="2">
        <v>2.1537000000000002</v>
      </c>
      <c r="C161" s="1">
        <f>Tabela5[[#This Row],[Alongamento (mm/mm)]]/$I$2</f>
        <v>4.3074000000000001E-2</v>
      </c>
      <c r="D161" s="2">
        <v>64.638000000000005</v>
      </c>
      <c r="E161" s="1">
        <f>Tabela5[[#This Row],[Força (N)]]/$I$5</f>
        <v>1526677.5313540711</v>
      </c>
      <c r="F161" s="1">
        <f>Tabela5[[#This Row],[Tensão (Pa)]]/1000000</f>
        <v>1.526677531354071</v>
      </c>
    </row>
    <row r="162" spans="1:6" x14ac:dyDescent="0.3">
      <c r="A162" s="2">
        <v>26</v>
      </c>
      <c r="B162" s="2">
        <v>2.1593</v>
      </c>
      <c r="C162" s="1">
        <f>Tabela5[[#This Row],[Alongamento (mm/mm)]]/$I$2</f>
        <v>4.3186000000000002E-2</v>
      </c>
      <c r="D162" s="2">
        <v>65.488</v>
      </c>
      <c r="E162" s="1">
        <f>Tabela5[[#This Row],[Força (N)]]/$I$5</f>
        <v>1546753.5841658993</v>
      </c>
      <c r="F162" s="1">
        <f>Tabela5[[#This Row],[Tensão (Pa)]]/1000000</f>
        <v>1.5467535841658993</v>
      </c>
    </row>
    <row r="163" spans="1:6" x14ac:dyDescent="0.3">
      <c r="A163" s="2">
        <v>26.05</v>
      </c>
      <c r="B163" s="2">
        <v>2.1634000000000002</v>
      </c>
      <c r="C163" s="1">
        <f>Tabela5[[#This Row],[Alongamento (mm/mm)]]/$I$2</f>
        <v>4.3268000000000001E-2</v>
      </c>
      <c r="D163" s="2">
        <v>66.168000000000006</v>
      </c>
      <c r="E163" s="1">
        <f>Tabela5[[#This Row],[Força (N)]]/$I$5</f>
        <v>1562814.4264153619</v>
      </c>
      <c r="F163" s="1">
        <f>Tabela5[[#This Row],[Tensão (Pa)]]/1000000</f>
        <v>1.5628144264153618</v>
      </c>
    </row>
    <row r="164" spans="1:6" x14ac:dyDescent="0.3">
      <c r="A164" s="2">
        <v>26.1</v>
      </c>
      <c r="B164" s="2">
        <v>2.1677</v>
      </c>
      <c r="C164" s="1">
        <f>Tabela5[[#This Row],[Alongamento (mm/mm)]]/$I$2</f>
        <v>4.3353999999999997E-2</v>
      </c>
      <c r="D164" s="2">
        <v>66.849000000000004</v>
      </c>
      <c r="E164" s="1">
        <f>Tabela5[[#This Row],[Força (N)]]/$I$5</f>
        <v>1578898.8875504856</v>
      </c>
      <c r="F164" s="1">
        <f>Tabela5[[#This Row],[Tensão (Pa)]]/1000000</f>
        <v>1.5788988875504855</v>
      </c>
    </row>
    <row r="165" spans="1:6" x14ac:dyDescent="0.3">
      <c r="A165" s="2">
        <v>26.15</v>
      </c>
      <c r="B165" s="2">
        <v>2.1718000000000002</v>
      </c>
      <c r="C165" s="1">
        <f>Tabela5[[#This Row],[Alongamento (mm/mm)]]/$I$2</f>
        <v>4.3436000000000002E-2</v>
      </c>
      <c r="D165" s="2">
        <v>67.528999999999996</v>
      </c>
      <c r="E165" s="1">
        <f>Tabela5[[#This Row],[Força (N)]]/$I$5</f>
        <v>1594959.7297999482</v>
      </c>
      <c r="F165" s="1">
        <f>Tabela5[[#This Row],[Tensão (Pa)]]/1000000</f>
        <v>1.5949597297999483</v>
      </c>
    </row>
    <row r="166" spans="1:6" x14ac:dyDescent="0.3">
      <c r="A166" s="2">
        <v>26.2</v>
      </c>
      <c r="B166" s="2">
        <v>2.1760000000000002</v>
      </c>
      <c r="C166" s="1">
        <f>Tabela5[[#This Row],[Alongamento (mm/mm)]]/$I$2</f>
        <v>4.3520000000000003E-2</v>
      </c>
      <c r="D166" s="2">
        <v>68.209999999999994</v>
      </c>
      <c r="E166" s="1">
        <f>Tabela5[[#This Row],[Força (N)]]/$I$5</f>
        <v>1611044.1909350718</v>
      </c>
      <c r="F166" s="1">
        <f>Tabela5[[#This Row],[Tensão (Pa)]]/1000000</f>
        <v>1.6110441909350719</v>
      </c>
    </row>
    <row r="167" spans="1:6" x14ac:dyDescent="0.3">
      <c r="A167" s="2">
        <v>26.25</v>
      </c>
      <c r="B167" s="2">
        <v>2.1800999999999999</v>
      </c>
      <c r="C167" s="1">
        <f>Tabela5[[#This Row],[Alongamento (mm/mm)]]/$I$2</f>
        <v>4.3602000000000002E-2</v>
      </c>
      <c r="D167" s="2">
        <v>68.89</v>
      </c>
      <c r="E167" s="1">
        <f>Tabela5[[#This Row],[Força (N)]]/$I$5</f>
        <v>1627105.0331845346</v>
      </c>
      <c r="F167" s="1">
        <f>Tabela5[[#This Row],[Tensão (Pa)]]/1000000</f>
        <v>1.6271050331845347</v>
      </c>
    </row>
    <row r="168" spans="1:6" x14ac:dyDescent="0.3">
      <c r="A168" s="2">
        <v>26.3</v>
      </c>
      <c r="B168" s="2">
        <v>2.1842999999999999</v>
      </c>
      <c r="C168" s="1">
        <f>Tabela5[[#This Row],[Alongamento (mm/mm)]]/$I$2</f>
        <v>4.3685999999999996E-2</v>
      </c>
      <c r="D168" s="2">
        <v>69.569999999999993</v>
      </c>
      <c r="E168" s="1">
        <f>Tabela5[[#This Row],[Força (N)]]/$I$5</f>
        <v>1643165.875433997</v>
      </c>
      <c r="F168" s="1">
        <f>Tabela5[[#This Row],[Tensão (Pa)]]/1000000</f>
        <v>1.6431658754339971</v>
      </c>
    </row>
    <row r="169" spans="1:6" x14ac:dyDescent="0.3">
      <c r="A169" s="2">
        <v>26.35</v>
      </c>
      <c r="B169" s="2">
        <v>2.1884000000000001</v>
      </c>
      <c r="C169" s="1">
        <f>Tabela5[[#This Row],[Alongamento (mm/mm)]]/$I$2</f>
        <v>4.3768000000000001E-2</v>
      </c>
      <c r="D169" s="2">
        <v>70.251000000000005</v>
      </c>
      <c r="E169" s="1">
        <f>Tabela5[[#This Row],[Força (N)]]/$I$5</f>
        <v>1659250.3365691209</v>
      </c>
      <c r="F169" s="1">
        <f>Tabela5[[#This Row],[Tensão (Pa)]]/1000000</f>
        <v>1.6592503365691209</v>
      </c>
    </row>
    <row r="170" spans="1:6" x14ac:dyDescent="0.3">
      <c r="A170" s="2">
        <v>26.4</v>
      </c>
      <c r="B170" s="2">
        <v>2.1926999999999999</v>
      </c>
      <c r="C170" s="1">
        <f>Tabela5[[#This Row],[Alongamento (mm/mm)]]/$I$2</f>
        <v>4.3853999999999997E-2</v>
      </c>
      <c r="D170" s="2">
        <v>70.930999999999997</v>
      </c>
      <c r="E170" s="1">
        <f>Tabela5[[#This Row],[Força (N)]]/$I$5</f>
        <v>1675311.1788185835</v>
      </c>
      <c r="F170" s="1">
        <f>Tabela5[[#This Row],[Tensão (Pa)]]/1000000</f>
        <v>1.6753111788185835</v>
      </c>
    </row>
    <row r="171" spans="1:6" x14ac:dyDescent="0.3">
      <c r="A171" s="2">
        <v>26.45</v>
      </c>
      <c r="B171" s="2">
        <v>2.1968000000000001</v>
      </c>
      <c r="C171" s="1">
        <f>Tabela5[[#This Row],[Alongamento (mm/mm)]]/$I$2</f>
        <v>4.3936000000000003E-2</v>
      </c>
      <c r="D171" s="2">
        <v>71.611999999999995</v>
      </c>
      <c r="E171" s="1">
        <f>Tabela5[[#This Row],[Força (N)]]/$I$5</f>
        <v>1691395.6399537071</v>
      </c>
      <c r="F171" s="1">
        <f>Tabela5[[#This Row],[Tensão (Pa)]]/1000000</f>
        <v>1.6913956399537071</v>
      </c>
    </row>
    <row r="172" spans="1:6" x14ac:dyDescent="0.3">
      <c r="A172" s="2">
        <v>26.5</v>
      </c>
      <c r="B172" s="2">
        <v>2.2008999999999999</v>
      </c>
      <c r="C172" s="1">
        <f>Tabela5[[#This Row],[Alongamento (mm/mm)]]/$I$2</f>
        <v>4.4017999999999995E-2</v>
      </c>
      <c r="D172" s="2">
        <v>72.292000000000002</v>
      </c>
      <c r="E172" s="1">
        <f>Tabela5[[#This Row],[Força (N)]]/$I$5</f>
        <v>1707456.48220317</v>
      </c>
      <c r="F172" s="1">
        <f>Tabela5[[#This Row],[Tensão (Pa)]]/1000000</f>
        <v>1.7074564822031699</v>
      </c>
    </row>
    <row r="173" spans="1:6" x14ac:dyDescent="0.3">
      <c r="A173" s="2">
        <v>26.55</v>
      </c>
      <c r="B173" s="2">
        <v>2.2050999999999998</v>
      </c>
      <c r="C173" s="1">
        <f>Tabela5[[#This Row],[Alongamento (mm/mm)]]/$I$2</f>
        <v>4.4101999999999995E-2</v>
      </c>
      <c r="D173" s="2">
        <v>73.141999999999996</v>
      </c>
      <c r="E173" s="1">
        <f>Tabela5[[#This Row],[Força (N)]]/$I$5</f>
        <v>1727532.5350149982</v>
      </c>
      <c r="F173" s="1">
        <f>Tabela5[[#This Row],[Tensão (Pa)]]/1000000</f>
        <v>1.7275325350149981</v>
      </c>
    </row>
    <row r="174" spans="1:6" x14ac:dyDescent="0.3">
      <c r="A174" s="2">
        <v>26.6</v>
      </c>
      <c r="B174" s="2">
        <v>2.2092999999999998</v>
      </c>
      <c r="C174" s="1">
        <f>Tabela5[[#This Row],[Alongamento (mm/mm)]]/$I$2</f>
        <v>4.4185999999999996E-2</v>
      </c>
      <c r="D174" s="2">
        <v>73.822999999999993</v>
      </c>
      <c r="E174" s="1">
        <f>Tabela5[[#This Row],[Força (N)]]/$I$5</f>
        <v>1743616.9961501216</v>
      </c>
      <c r="F174" s="1">
        <f>Tabela5[[#This Row],[Tensão (Pa)]]/1000000</f>
        <v>1.7436169961501216</v>
      </c>
    </row>
    <row r="175" spans="1:6" x14ac:dyDescent="0.3">
      <c r="A175" s="2">
        <v>26.65</v>
      </c>
      <c r="B175" s="2">
        <v>2.2136</v>
      </c>
      <c r="C175" s="1">
        <f>Tabela5[[#This Row],[Alongamento (mm/mm)]]/$I$2</f>
        <v>4.4271999999999999E-2</v>
      </c>
      <c r="D175" s="2">
        <v>74.503</v>
      </c>
      <c r="E175" s="1">
        <f>Tabela5[[#This Row],[Força (N)]]/$I$5</f>
        <v>1759677.8383995844</v>
      </c>
      <c r="F175" s="1">
        <f>Tabela5[[#This Row],[Tensão (Pa)]]/1000000</f>
        <v>1.7596778383995844</v>
      </c>
    </row>
    <row r="176" spans="1:6" x14ac:dyDescent="0.3">
      <c r="A176" s="2">
        <v>26.7</v>
      </c>
      <c r="B176" s="2">
        <v>2.2176999999999998</v>
      </c>
      <c r="C176" s="1">
        <f>Tabela5[[#This Row],[Alongamento (mm/mm)]]/$I$2</f>
        <v>4.4353999999999998E-2</v>
      </c>
      <c r="D176" s="2">
        <v>75.183999999999997</v>
      </c>
      <c r="E176" s="1">
        <f>Tabela5[[#This Row],[Força (N)]]/$I$5</f>
        <v>1775762.299534708</v>
      </c>
      <c r="F176" s="1">
        <f>Tabela5[[#This Row],[Tensão (Pa)]]/1000000</f>
        <v>1.775762299534708</v>
      </c>
    </row>
    <row r="177" spans="1:6" x14ac:dyDescent="0.3">
      <c r="A177" s="2">
        <v>26.75</v>
      </c>
      <c r="B177" s="2">
        <v>2.2218</v>
      </c>
      <c r="C177" s="1">
        <f>Tabela5[[#This Row],[Alongamento (mm/mm)]]/$I$2</f>
        <v>4.4436000000000003E-2</v>
      </c>
      <c r="D177" s="2">
        <v>76.034000000000006</v>
      </c>
      <c r="E177" s="1">
        <f>Tabela5[[#This Row],[Força (N)]]/$I$5</f>
        <v>1795838.3523465367</v>
      </c>
      <c r="F177" s="1">
        <f>Tabela5[[#This Row],[Tensão (Pa)]]/1000000</f>
        <v>1.7958383523465367</v>
      </c>
    </row>
    <row r="178" spans="1:6" x14ac:dyDescent="0.3">
      <c r="A178" s="2">
        <v>26.8</v>
      </c>
      <c r="B178" s="2">
        <v>2.2259000000000002</v>
      </c>
      <c r="C178" s="1">
        <f>Tabela5[[#This Row],[Alongamento (mm/mm)]]/$I$2</f>
        <v>4.4518000000000002E-2</v>
      </c>
      <c r="D178" s="2">
        <v>76.715000000000003</v>
      </c>
      <c r="E178" s="1">
        <f>Tabela5[[#This Row],[Força (N)]]/$I$5</f>
        <v>1811922.8134816601</v>
      </c>
      <c r="F178" s="1">
        <f>Tabela5[[#This Row],[Tensão (Pa)]]/1000000</f>
        <v>1.8119228134816601</v>
      </c>
    </row>
    <row r="179" spans="1:6" x14ac:dyDescent="0.3">
      <c r="A179" s="2">
        <v>26.85</v>
      </c>
      <c r="B179" s="2">
        <v>2.2301000000000002</v>
      </c>
      <c r="C179" s="1">
        <f>Tabela5[[#This Row],[Alongamento (mm/mm)]]/$I$2</f>
        <v>4.4602000000000003E-2</v>
      </c>
      <c r="D179" s="2">
        <v>77.394999999999996</v>
      </c>
      <c r="E179" s="1">
        <f>Tabela5[[#This Row],[Força (N)]]/$I$5</f>
        <v>1827983.6557311227</v>
      </c>
      <c r="F179" s="1">
        <f>Tabela5[[#This Row],[Tensão (Pa)]]/1000000</f>
        <v>1.8279836557311226</v>
      </c>
    </row>
    <row r="180" spans="1:6" x14ac:dyDescent="0.3">
      <c r="A180" s="2">
        <v>26.9</v>
      </c>
      <c r="B180" s="2">
        <v>2.2343000000000002</v>
      </c>
      <c r="C180" s="1">
        <f>Tabela5[[#This Row],[Alongamento (mm/mm)]]/$I$2</f>
        <v>4.4686000000000003E-2</v>
      </c>
      <c r="D180" s="2">
        <v>78.245000000000005</v>
      </c>
      <c r="E180" s="1">
        <f>Tabela5[[#This Row],[Força (N)]]/$I$5</f>
        <v>1848059.7085429511</v>
      </c>
      <c r="F180" s="1">
        <f>Tabela5[[#This Row],[Tensão (Pa)]]/1000000</f>
        <v>1.8480597085429511</v>
      </c>
    </row>
    <row r="181" spans="1:6" x14ac:dyDescent="0.3">
      <c r="A181" s="2">
        <v>26.95</v>
      </c>
      <c r="B181" s="2">
        <v>2.2385000000000002</v>
      </c>
      <c r="C181" s="1">
        <f>Tabela5[[#This Row],[Alongamento (mm/mm)]]/$I$2</f>
        <v>4.4770000000000004E-2</v>
      </c>
      <c r="D181" s="2">
        <v>78.926000000000002</v>
      </c>
      <c r="E181" s="1">
        <f>Tabela5[[#This Row],[Força (N)]]/$I$5</f>
        <v>1864144.1696780748</v>
      </c>
      <c r="F181" s="1">
        <f>Tabela5[[#This Row],[Tensão (Pa)]]/1000000</f>
        <v>1.8641441696780747</v>
      </c>
    </row>
    <row r="182" spans="1:6" x14ac:dyDescent="0.3">
      <c r="A182" s="2">
        <v>27</v>
      </c>
      <c r="B182" s="2">
        <v>2.2427000000000001</v>
      </c>
      <c r="C182" s="1">
        <f>Tabela5[[#This Row],[Alongamento (mm/mm)]]/$I$2</f>
        <v>4.4854000000000005E-2</v>
      </c>
      <c r="D182" s="2">
        <v>79.775999999999996</v>
      </c>
      <c r="E182" s="1">
        <f>Tabela5[[#This Row],[Força (N)]]/$I$5</f>
        <v>1884220.222489903</v>
      </c>
      <c r="F182" s="1">
        <f>Tabela5[[#This Row],[Tensão (Pa)]]/1000000</f>
        <v>1.884220222489903</v>
      </c>
    </row>
    <row r="183" spans="1:6" x14ac:dyDescent="0.3">
      <c r="A183" s="2">
        <v>27.05</v>
      </c>
      <c r="B183" s="2">
        <v>2.2467999999999999</v>
      </c>
      <c r="C183" s="1">
        <f>Tabela5[[#This Row],[Alongamento (mm/mm)]]/$I$2</f>
        <v>4.4935999999999997E-2</v>
      </c>
      <c r="D183" s="2">
        <v>80.456999999999994</v>
      </c>
      <c r="E183" s="1">
        <f>Tabela5[[#This Row],[Força (N)]]/$I$5</f>
        <v>1900304.6836250266</v>
      </c>
      <c r="F183" s="1">
        <f>Tabela5[[#This Row],[Tensão (Pa)]]/1000000</f>
        <v>1.9003046836250266</v>
      </c>
    </row>
    <row r="184" spans="1:6" x14ac:dyDescent="0.3">
      <c r="A184" s="2">
        <v>27.1</v>
      </c>
      <c r="B184" s="2">
        <v>2.2509999999999999</v>
      </c>
      <c r="C184" s="1">
        <f>Tabela5[[#This Row],[Alongamento (mm/mm)]]/$I$2</f>
        <v>4.5019999999999998E-2</v>
      </c>
      <c r="D184" s="2">
        <v>81.137</v>
      </c>
      <c r="E184" s="1">
        <f>Tabela5[[#This Row],[Força (N)]]/$I$5</f>
        <v>1916365.5258744895</v>
      </c>
      <c r="F184" s="1">
        <f>Tabela5[[#This Row],[Tensão (Pa)]]/1000000</f>
        <v>1.9163655258744894</v>
      </c>
    </row>
    <row r="185" spans="1:6" x14ac:dyDescent="0.3">
      <c r="A185" s="2">
        <v>27.15</v>
      </c>
      <c r="B185" s="2">
        <v>2.2551999999999999</v>
      </c>
      <c r="C185" s="1">
        <f>Tabela5[[#This Row],[Alongamento (mm/mm)]]/$I$2</f>
        <v>4.5103999999999998E-2</v>
      </c>
      <c r="D185" s="2">
        <v>81.988</v>
      </c>
      <c r="E185" s="1">
        <f>Tabela5[[#This Row],[Força (N)]]/$I$5</f>
        <v>1936465.1975719787</v>
      </c>
      <c r="F185" s="1">
        <f>Tabela5[[#This Row],[Tensão (Pa)]]/1000000</f>
        <v>1.9364651975719787</v>
      </c>
    </row>
    <row r="186" spans="1:6" x14ac:dyDescent="0.3">
      <c r="A186" s="2">
        <v>27.2</v>
      </c>
      <c r="B186" s="2">
        <v>2.2593999999999999</v>
      </c>
      <c r="C186" s="1">
        <f>Tabela5[[#This Row],[Alongamento (mm/mm)]]/$I$2</f>
        <v>4.5187999999999999E-2</v>
      </c>
      <c r="D186" s="2">
        <v>82.668000000000006</v>
      </c>
      <c r="E186" s="1">
        <f>Tabela5[[#This Row],[Força (N)]]/$I$5</f>
        <v>1952526.0398214415</v>
      </c>
      <c r="F186" s="1">
        <f>Tabela5[[#This Row],[Tensão (Pa)]]/1000000</f>
        <v>1.9525260398214415</v>
      </c>
    </row>
    <row r="187" spans="1:6" x14ac:dyDescent="0.3">
      <c r="A187" s="2">
        <v>27.25</v>
      </c>
      <c r="B187" s="2">
        <v>2.2633999999999999</v>
      </c>
      <c r="C187" s="1">
        <f>Tabela5[[#This Row],[Alongamento (mm/mm)]]/$I$2</f>
        <v>4.5267999999999996E-2</v>
      </c>
      <c r="D187" s="2">
        <v>83.519000000000005</v>
      </c>
      <c r="E187" s="1">
        <f>Tabela5[[#This Row],[Força (N)]]/$I$5</f>
        <v>1972625.711518931</v>
      </c>
      <c r="F187" s="1">
        <f>Tabela5[[#This Row],[Tensão (Pa)]]/1000000</f>
        <v>1.972625711518931</v>
      </c>
    </row>
    <row r="188" spans="1:6" x14ac:dyDescent="0.3">
      <c r="A188" s="2">
        <v>27.3</v>
      </c>
      <c r="B188" s="2">
        <v>2.2675999999999998</v>
      </c>
      <c r="C188" s="1">
        <f>Tabela5[[#This Row],[Alongamento (mm/mm)]]/$I$2</f>
        <v>4.5351999999999996E-2</v>
      </c>
      <c r="D188" s="2">
        <v>84.198999999999998</v>
      </c>
      <c r="E188" s="1">
        <f>Tabela5[[#This Row],[Força (N)]]/$I$5</f>
        <v>1988686.5537683934</v>
      </c>
      <c r="F188" s="1">
        <f>Tabela5[[#This Row],[Tensão (Pa)]]/1000000</f>
        <v>1.9886865537683933</v>
      </c>
    </row>
    <row r="189" spans="1:6" x14ac:dyDescent="0.3">
      <c r="A189" s="2">
        <v>27.35</v>
      </c>
      <c r="B189" s="2">
        <v>2.2717999999999998</v>
      </c>
      <c r="C189" s="1">
        <f>Tabela5[[#This Row],[Alongamento (mm/mm)]]/$I$2</f>
        <v>4.5435999999999997E-2</v>
      </c>
      <c r="D189" s="2">
        <v>85.049000000000007</v>
      </c>
      <c r="E189" s="1">
        <f>Tabela5[[#This Row],[Força (N)]]/$I$5</f>
        <v>2008762.6065802218</v>
      </c>
      <c r="F189" s="1">
        <f>Tabela5[[#This Row],[Tensão (Pa)]]/1000000</f>
        <v>2.008762606580222</v>
      </c>
    </row>
    <row r="190" spans="1:6" x14ac:dyDescent="0.3">
      <c r="A190" s="2">
        <v>27.4</v>
      </c>
      <c r="B190" s="2">
        <v>2.2759999999999998</v>
      </c>
      <c r="C190" s="1">
        <f>Tabela5[[#This Row],[Alongamento (mm/mm)]]/$I$2</f>
        <v>4.5519999999999998E-2</v>
      </c>
      <c r="D190" s="2">
        <v>85.73</v>
      </c>
      <c r="E190" s="1">
        <f>Tabela5[[#This Row],[Força (N)]]/$I$5</f>
        <v>2024847.0677153454</v>
      </c>
      <c r="F190" s="1">
        <f>Tabela5[[#This Row],[Tensão (Pa)]]/1000000</f>
        <v>2.0248470677153456</v>
      </c>
    </row>
    <row r="191" spans="1:6" x14ac:dyDescent="0.3">
      <c r="A191" s="2">
        <v>27.45</v>
      </c>
      <c r="B191" s="2">
        <v>2.2801</v>
      </c>
      <c r="C191" s="1">
        <f>Tabela5[[#This Row],[Alongamento (mm/mm)]]/$I$2</f>
        <v>4.5602000000000004E-2</v>
      </c>
      <c r="D191" s="2">
        <v>86.58</v>
      </c>
      <c r="E191" s="1">
        <f>Tabela5[[#This Row],[Força (N)]]/$I$5</f>
        <v>2044923.1205271736</v>
      </c>
      <c r="F191" s="1">
        <f>Tabela5[[#This Row],[Tensão (Pa)]]/1000000</f>
        <v>2.0449231205271738</v>
      </c>
    </row>
    <row r="192" spans="1:6" x14ac:dyDescent="0.3">
      <c r="A192" s="2">
        <v>27.5</v>
      </c>
      <c r="B192" s="2">
        <v>2.2843</v>
      </c>
      <c r="C192" s="1">
        <f>Tabela5[[#This Row],[Alongamento (mm/mm)]]/$I$2</f>
        <v>4.5685999999999997E-2</v>
      </c>
      <c r="D192" s="2">
        <v>87.430999999999997</v>
      </c>
      <c r="E192" s="1">
        <f>Tabela5[[#This Row],[Força (N)]]/$I$5</f>
        <v>2065022.7922246631</v>
      </c>
      <c r="F192" s="1">
        <f>Tabela5[[#This Row],[Tensão (Pa)]]/1000000</f>
        <v>2.0650227922246631</v>
      </c>
    </row>
    <row r="193" spans="1:6" x14ac:dyDescent="0.3">
      <c r="A193" s="2">
        <v>27.55</v>
      </c>
      <c r="B193" s="2">
        <v>2.2884000000000002</v>
      </c>
      <c r="C193" s="1">
        <f>Tabela5[[#This Row],[Alongamento (mm/mm)]]/$I$2</f>
        <v>4.5768000000000003E-2</v>
      </c>
      <c r="D193" s="2">
        <v>88.111000000000004</v>
      </c>
      <c r="E193" s="1">
        <f>Tabela5[[#This Row],[Força (N)]]/$I$5</f>
        <v>2081083.6344741259</v>
      </c>
      <c r="F193" s="1">
        <f>Tabela5[[#This Row],[Tensão (Pa)]]/1000000</f>
        <v>2.0810836344741261</v>
      </c>
    </row>
    <row r="194" spans="1:6" x14ac:dyDescent="0.3">
      <c r="A194" s="2">
        <v>27.6</v>
      </c>
      <c r="B194" s="2">
        <v>2.2927</v>
      </c>
      <c r="C194" s="1">
        <f>Tabela5[[#This Row],[Alongamento (mm/mm)]]/$I$2</f>
        <v>4.5853999999999999E-2</v>
      </c>
      <c r="D194" s="2">
        <v>88.962000000000003</v>
      </c>
      <c r="E194" s="1">
        <f>Tabela5[[#This Row],[Força (N)]]/$I$5</f>
        <v>2101183.3061716151</v>
      </c>
      <c r="F194" s="1">
        <f>Tabela5[[#This Row],[Tensão (Pa)]]/1000000</f>
        <v>2.101183306171615</v>
      </c>
    </row>
    <row r="195" spans="1:6" x14ac:dyDescent="0.3">
      <c r="A195" s="2">
        <v>27.65</v>
      </c>
      <c r="B195" s="2">
        <v>2.2968999999999999</v>
      </c>
      <c r="C195" s="1">
        <f>Tabela5[[#This Row],[Alongamento (mm/mm)]]/$I$2</f>
        <v>4.5938E-2</v>
      </c>
      <c r="D195" s="2">
        <v>89.811999999999998</v>
      </c>
      <c r="E195" s="1">
        <f>Tabela5[[#This Row],[Força (N)]]/$I$5</f>
        <v>2121259.3589834431</v>
      </c>
      <c r="F195" s="1">
        <f>Tabela5[[#This Row],[Tensão (Pa)]]/1000000</f>
        <v>2.1212593589834432</v>
      </c>
    </row>
    <row r="196" spans="1:6" x14ac:dyDescent="0.3">
      <c r="A196" s="2">
        <v>27.7</v>
      </c>
      <c r="B196" s="2">
        <v>2.3010000000000002</v>
      </c>
      <c r="C196" s="1">
        <f>Tabela5[[#This Row],[Alongamento (mm/mm)]]/$I$2</f>
        <v>4.6020000000000005E-2</v>
      </c>
      <c r="D196" s="2">
        <v>90.492999999999995</v>
      </c>
      <c r="E196" s="1">
        <f>Tabela5[[#This Row],[Força (N)]]/$I$5</f>
        <v>2137343.820118567</v>
      </c>
      <c r="F196" s="1">
        <f>Tabela5[[#This Row],[Tensão (Pa)]]/1000000</f>
        <v>2.1373438201185668</v>
      </c>
    </row>
    <row r="197" spans="1:6" x14ac:dyDescent="0.3">
      <c r="A197" s="2">
        <v>27.733000000000001</v>
      </c>
      <c r="B197" s="2">
        <v>2.3037000000000001</v>
      </c>
      <c r="C197" s="1">
        <f>Tabela5[[#This Row],[Alongamento (mm/mm)]]/$I$2</f>
        <v>4.6074000000000004E-2</v>
      </c>
      <c r="D197" s="2">
        <v>91.173000000000002</v>
      </c>
      <c r="E197" s="1">
        <f>Tabela5[[#This Row],[Força (N)]]/$I$5</f>
        <v>2153404.6623680298</v>
      </c>
      <c r="F197" s="1">
        <f>Tabela5[[#This Row],[Tensão (Pa)]]/1000000</f>
        <v>2.1534046623680299</v>
      </c>
    </row>
    <row r="198" spans="1:6" x14ac:dyDescent="0.3">
      <c r="A198" s="2">
        <v>27.783000000000001</v>
      </c>
      <c r="B198" s="2">
        <v>2.3079000000000001</v>
      </c>
      <c r="C198" s="1">
        <f>Tabela5[[#This Row],[Alongamento (mm/mm)]]/$I$2</f>
        <v>4.6158000000000005E-2</v>
      </c>
      <c r="D198" s="2">
        <v>91.852999999999994</v>
      </c>
      <c r="E198" s="1">
        <f>Tabela5[[#This Row],[Força (N)]]/$I$5</f>
        <v>2169465.5046174922</v>
      </c>
      <c r="F198" s="1">
        <f>Tabela5[[#This Row],[Tensão (Pa)]]/1000000</f>
        <v>2.169465504617492</v>
      </c>
    </row>
    <row r="199" spans="1:6" x14ac:dyDescent="0.3">
      <c r="A199" s="2">
        <v>27.817</v>
      </c>
      <c r="B199" s="2">
        <v>2.3107000000000002</v>
      </c>
      <c r="C199" s="1">
        <f>Tabela5[[#This Row],[Alongamento (mm/mm)]]/$I$2</f>
        <v>4.6214000000000005E-2</v>
      </c>
      <c r="D199" s="2">
        <v>92.534000000000006</v>
      </c>
      <c r="E199" s="1">
        <f>Tabela5[[#This Row],[Força (N)]]/$I$5</f>
        <v>2185549.9657526161</v>
      </c>
      <c r="F199" s="1">
        <f>Tabela5[[#This Row],[Tensão (Pa)]]/1000000</f>
        <v>2.1855499657526161</v>
      </c>
    </row>
    <row r="200" spans="1:6" x14ac:dyDescent="0.3">
      <c r="A200" s="2">
        <v>27.867000000000001</v>
      </c>
      <c r="B200" s="2">
        <v>2.3148</v>
      </c>
      <c r="C200" s="1">
        <f>Tabela5[[#This Row],[Alongamento (mm/mm)]]/$I$2</f>
        <v>4.6295999999999997E-2</v>
      </c>
      <c r="D200" s="2">
        <v>93.213999999999999</v>
      </c>
      <c r="E200" s="1">
        <f>Tabela5[[#This Row],[Força (N)]]/$I$5</f>
        <v>2201610.8080020784</v>
      </c>
      <c r="F200" s="1">
        <f>Tabela5[[#This Row],[Tensão (Pa)]]/1000000</f>
        <v>2.2016108080020786</v>
      </c>
    </row>
    <row r="201" spans="1:6" x14ac:dyDescent="0.3">
      <c r="A201" s="2">
        <v>27.9</v>
      </c>
      <c r="B201" s="2">
        <v>2.3176999999999999</v>
      </c>
      <c r="C201" s="1">
        <f>Tabela5[[#This Row],[Alongamento (mm/mm)]]/$I$2</f>
        <v>4.6353999999999999E-2</v>
      </c>
      <c r="D201" s="2">
        <v>93.894999999999996</v>
      </c>
      <c r="E201" s="1">
        <f>Tabela5[[#This Row],[Força (N)]]/$I$5</f>
        <v>2217695.2691372023</v>
      </c>
      <c r="F201" s="1">
        <f>Tabela5[[#This Row],[Tensão (Pa)]]/1000000</f>
        <v>2.2176952691372023</v>
      </c>
    </row>
    <row r="202" spans="1:6" x14ac:dyDescent="0.3">
      <c r="A202" s="2">
        <v>27.95</v>
      </c>
      <c r="B202" s="2">
        <v>2.3218999999999999</v>
      </c>
      <c r="C202" s="1">
        <f>Tabela5[[#This Row],[Alongamento (mm/mm)]]/$I$2</f>
        <v>4.6438E-2</v>
      </c>
      <c r="D202" s="2">
        <v>94.575000000000003</v>
      </c>
      <c r="E202" s="1">
        <f>Tabela5[[#This Row],[Força (N)]]/$I$5</f>
        <v>2233756.1113866651</v>
      </c>
      <c r="F202" s="1">
        <f>Tabela5[[#This Row],[Tensão (Pa)]]/1000000</f>
        <v>2.2337561113866653</v>
      </c>
    </row>
    <row r="203" spans="1:6" x14ac:dyDescent="0.3">
      <c r="A203" s="2">
        <v>27.983000000000001</v>
      </c>
      <c r="B203" s="2">
        <v>2.3246000000000002</v>
      </c>
      <c r="C203" s="1">
        <f>Tabela5[[#This Row],[Alongamento (mm/mm)]]/$I$2</f>
        <v>4.6492000000000006E-2</v>
      </c>
      <c r="D203" s="2">
        <v>95.254999999999995</v>
      </c>
      <c r="E203" s="1">
        <f>Tabela5[[#This Row],[Força (N)]]/$I$5</f>
        <v>2249816.9536361275</v>
      </c>
      <c r="F203" s="1">
        <f>Tabela5[[#This Row],[Tensão (Pa)]]/1000000</f>
        <v>2.2498169536361274</v>
      </c>
    </row>
    <row r="204" spans="1:6" x14ac:dyDescent="0.3">
      <c r="A204" s="2">
        <v>28.033000000000001</v>
      </c>
      <c r="B204" s="2">
        <v>2.3288000000000002</v>
      </c>
      <c r="C204" s="1">
        <f>Tabela5[[#This Row],[Alongamento (mm/mm)]]/$I$2</f>
        <v>4.6576000000000006E-2</v>
      </c>
      <c r="D204" s="2">
        <v>96.105999999999995</v>
      </c>
      <c r="E204" s="1">
        <f>Tabela5[[#This Row],[Força (N)]]/$I$5</f>
        <v>2269916.625333617</v>
      </c>
      <c r="F204" s="1">
        <f>Tabela5[[#This Row],[Tensão (Pa)]]/1000000</f>
        <v>2.2699166253336172</v>
      </c>
    </row>
    <row r="205" spans="1:6" x14ac:dyDescent="0.3">
      <c r="A205" s="2">
        <v>28.082999999999998</v>
      </c>
      <c r="B205" s="2">
        <v>2.3330000000000002</v>
      </c>
      <c r="C205" s="1">
        <f>Tabela5[[#This Row],[Alongamento (mm/mm)]]/$I$2</f>
        <v>4.6660000000000007E-2</v>
      </c>
      <c r="D205" s="2">
        <v>96.786000000000001</v>
      </c>
      <c r="E205" s="1">
        <f>Tabela5[[#This Row],[Força (N)]]/$I$5</f>
        <v>2285977.4675830798</v>
      </c>
      <c r="F205" s="1">
        <f>Tabela5[[#This Row],[Tensão (Pa)]]/1000000</f>
        <v>2.2859774675830797</v>
      </c>
    </row>
    <row r="206" spans="1:6" x14ac:dyDescent="0.3">
      <c r="A206" s="2">
        <v>28.117000000000001</v>
      </c>
      <c r="B206" s="2">
        <v>2.3357000000000001</v>
      </c>
      <c r="C206" s="1">
        <f>Tabela5[[#This Row],[Alongamento (mm/mm)]]/$I$2</f>
        <v>4.6714000000000006E-2</v>
      </c>
      <c r="D206" s="2">
        <v>97.466999999999999</v>
      </c>
      <c r="E206" s="1">
        <f>Tabela5[[#This Row],[Força (N)]]/$I$5</f>
        <v>2302061.9287182032</v>
      </c>
      <c r="F206" s="1">
        <f>Tabela5[[#This Row],[Tensão (Pa)]]/1000000</f>
        <v>2.3020619287182034</v>
      </c>
    </row>
    <row r="207" spans="1:6" x14ac:dyDescent="0.3">
      <c r="A207" s="2">
        <v>28.167000000000002</v>
      </c>
      <c r="B207" s="2">
        <v>2.3399000000000001</v>
      </c>
      <c r="C207" s="1">
        <f>Tabela5[[#This Row],[Alongamento (mm/mm)]]/$I$2</f>
        <v>4.6797999999999999E-2</v>
      </c>
      <c r="D207" s="2">
        <v>98.316999999999993</v>
      </c>
      <c r="E207" s="1">
        <f>Tabela5[[#This Row],[Força (N)]]/$I$5</f>
        <v>2322137.9815300317</v>
      </c>
      <c r="F207" s="1">
        <f>Tabela5[[#This Row],[Tensão (Pa)]]/1000000</f>
        <v>2.3221379815300316</v>
      </c>
    </row>
    <row r="208" spans="1:6" x14ac:dyDescent="0.3">
      <c r="A208" s="2">
        <v>28.216999999999999</v>
      </c>
      <c r="B208" s="2">
        <v>2.3439999999999999</v>
      </c>
      <c r="C208" s="1">
        <f>Tabela5[[#This Row],[Alongamento (mm/mm)]]/$I$2</f>
        <v>4.6879999999999998E-2</v>
      </c>
      <c r="D208" s="2">
        <v>98.998000000000005</v>
      </c>
      <c r="E208" s="1">
        <f>Tabela5[[#This Row],[Força (N)]]/$I$5</f>
        <v>2338222.4426651555</v>
      </c>
      <c r="F208" s="1">
        <f>Tabela5[[#This Row],[Tensão (Pa)]]/1000000</f>
        <v>2.3382224426651557</v>
      </c>
    </row>
    <row r="209" spans="1:6" x14ac:dyDescent="0.3">
      <c r="A209" s="2">
        <v>28.25</v>
      </c>
      <c r="B209" s="2">
        <v>2.3468</v>
      </c>
      <c r="C209" s="1">
        <f>Tabela5[[#This Row],[Alongamento (mm/mm)]]/$I$2</f>
        <v>4.6935999999999999E-2</v>
      </c>
      <c r="D209" s="2">
        <v>99.677999999999997</v>
      </c>
      <c r="E209" s="1">
        <f>Tabela5[[#This Row],[Força (N)]]/$I$5</f>
        <v>2354283.2849146179</v>
      </c>
      <c r="F209" s="1">
        <f>Tabela5[[#This Row],[Tensão (Pa)]]/1000000</f>
        <v>2.3542832849146178</v>
      </c>
    </row>
    <row r="210" spans="1:6" x14ac:dyDescent="0.3">
      <c r="A210" s="2">
        <v>28.3</v>
      </c>
      <c r="B210" s="2">
        <v>2.3509000000000002</v>
      </c>
      <c r="C210" s="1">
        <f>Tabela5[[#This Row],[Alongamento (mm/mm)]]/$I$2</f>
        <v>4.7018000000000004E-2</v>
      </c>
      <c r="D210" s="2">
        <v>100.53</v>
      </c>
      <c r="E210" s="1">
        <f>Tabela5[[#This Row],[Força (N)]]/$I$5</f>
        <v>2374406.5754977684</v>
      </c>
      <c r="F210" s="1">
        <f>Tabela5[[#This Row],[Tensão (Pa)]]/1000000</f>
        <v>2.3744065754977686</v>
      </c>
    </row>
    <row r="211" spans="1:6" x14ac:dyDescent="0.3">
      <c r="A211" s="2">
        <v>28.35</v>
      </c>
      <c r="B211" s="2">
        <v>2.3551000000000002</v>
      </c>
      <c r="C211" s="1">
        <f>Tabela5[[#This Row],[Alongamento (mm/mm)]]/$I$2</f>
        <v>4.7102000000000005E-2</v>
      </c>
      <c r="D211" s="2">
        <v>101.21</v>
      </c>
      <c r="E211" s="1">
        <f>Tabela5[[#This Row],[Força (N)]]/$I$5</f>
        <v>2390467.4177472307</v>
      </c>
      <c r="F211" s="1">
        <f>Tabela5[[#This Row],[Tensão (Pa)]]/1000000</f>
        <v>2.3904674177472307</v>
      </c>
    </row>
    <row r="212" spans="1:6" x14ac:dyDescent="0.3">
      <c r="A212" s="2">
        <v>28.382999999999999</v>
      </c>
      <c r="B212" s="2">
        <v>2.3578999999999999</v>
      </c>
      <c r="C212" s="1">
        <f>Tabela5[[#This Row],[Alongamento (mm/mm)]]/$I$2</f>
        <v>4.7157999999999999E-2</v>
      </c>
      <c r="D212" s="2">
        <v>101.89</v>
      </c>
      <c r="E212" s="1">
        <f>Tabela5[[#This Row],[Força (N)]]/$I$5</f>
        <v>2406528.2599966936</v>
      </c>
      <c r="F212" s="1">
        <f>Tabela5[[#This Row],[Tensão (Pa)]]/1000000</f>
        <v>2.4065282599966937</v>
      </c>
    </row>
    <row r="213" spans="1:6" x14ac:dyDescent="0.3">
      <c r="A213" s="2">
        <v>28.433</v>
      </c>
      <c r="B213" s="2">
        <v>2.3620999999999999</v>
      </c>
      <c r="C213" s="1">
        <f>Tabela5[[#This Row],[Alongamento (mm/mm)]]/$I$2</f>
        <v>4.7241999999999999E-2</v>
      </c>
      <c r="D213" s="2">
        <v>102.74</v>
      </c>
      <c r="E213" s="1">
        <f>Tabela5[[#This Row],[Força (N)]]/$I$5</f>
        <v>2426604.312808522</v>
      </c>
      <c r="F213" s="1">
        <f>Tabela5[[#This Row],[Tensão (Pa)]]/1000000</f>
        <v>2.426604312808522</v>
      </c>
    </row>
    <row r="214" spans="1:6" x14ac:dyDescent="0.3">
      <c r="A214" s="2">
        <v>28.483000000000001</v>
      </c>
      <c r="B214" s="2">
        <v>2.3662000000000001</v>
      </c>
      <c r="C214" s="1">
        <f>Tabela5[[#This Row],[Alongamento (mm/mm)]]/$I$2</f>
        <v>4.7324000000000005E-2</v>
      </c>
      <c r="D214" s="2">
        <v>103.59</v>
      </c>
      <c r="E214" s="1">
        <f>Tabela5[[#This Row],[Força (N)]]/$I$5</f>
        <v>2446680.3656203505</v>
      </c>
      <c r="F214" s="1">
        <f>Tabela5[[#This Row],[Tensão (Pa)]]/1000000</f>
        <v>2.4466803656203506</v>
      </c>
    </row>
    <row r="215" spans="1:6" x14ac:dyDescent="0.3">
      <c r="A215" s="2">
        <v>28.533000000000001</v>
      </c>
      <c r="B215" s="2">
        <v>2.3704000000000001</v>
      </c>
      <c r="C215" s="1">
        <f>Tabela5[[#This Row],[Alongamento (mm/mm)]]/$I$2</f>
        <v>4.7407999999999999E-2</v>
      </c>
      <c r="D215" s="2">
        <v>104.44</v>
      </c>
      <c r="E215" s="1">
        <f>Tabela5[[#This Row],[Força (N)]]/$I$5</f>
        <v>2466756.4184321784</v>
      </c>
      <c r="F215" s="1">
        <f>Tabela5[[#This Row],[Tensão (Pa)]]/1000000</f>
        <v>2.4667564184321784</v>
      </c>
    </row>
    <row r="216" spans="1:6" x14ac:dyDescent="0.3">
      <c r="A216" s="2">
        <v>28.582999999999998</v>
      </c>
      <c r="B216" s="2">
        <v>2.3746999999999998</v>
      </c>
      <c r="C216" s="1">
        <f>Tabela5[[#This Row],[Alongamento (mm/mm)]]/$I$2</f>
        <v>4.7493999999999995E-2</v>
      </c>
      <c r="D216" s="2">
        <v>105.29</v>
      </c>
      <c r="E216" s="1">
        <f>Tabela5[[#This Row],[Força (N)]]/$I$5</f>
        <v>2486832.4712440069</v>
      </c>
      <c r="F216" s="1">
        <f>Tabela5[[#This Row],[Tensão (Pa)]]/1000000</f>
        <v>2.4868324712440071</v>
      </c>
    </row>
    <row r="217" spans="1:6" x14ac:dyDescent="0.3">
      <c r="A217" s="2">
        <v>28.632999999999999</v>
      </c>
      <c r="B217" s="2">
        <v>2.3786999999999998</v>
      </c>
      <c r="C217" s="1">
        <f>Tabela5[[#This Row],[Alongamento (mm/mm)]]/$I$2</f>
        <v>4.7573999999999998E-2</v>
      </c>
      <c r="D217" s="2">
        <v>106.14</v>
      </c>
      <c r="E217" s="1">
        <f>Tabela5[[#This Row],[Força (N)]]/$I$5</f>
        <v>2506908.5240558353</v>
      </c>
      <c r="F217" s="1">
        <f>Tabela5[[#This Row],[Tensão (Pa)]]/1000000</f>
        <v>2.5069085240558353</v>
      </c>
    </row>
    <row r="218" spans="1:6" x14ac:dyDescent="0.3">
      <c r="A218" s="2">
        <v>28.683</v>
      </c>
      <c r="B218" s="2">
        <v>2.3828999999999998</v>
      </c>
      <c r="C218" s="1">
        <f>Tabela5[[#This Row],[Alongamento (mm/mm)]]/$I$2</f>
        <v>4.7657999999999999E-2</v>
      </c>
      <c r="D218" s="2">
        <v>106.99</v>
      </c>
      <c r="E218" s="1">
        <f>Tabela5[[#This Row],[Força (N)]]/$I$5</f>
        <v>2526984.5768676633</v>
      </c>
      <c r="F218" s="1">
        <f>Tabela5[[#This Row],[Tensão (Pa)]]/1000000</f>
        <v>2.5269845768676631</v>
      </c>
    </row>
    <row r="219" spans="1:6" x14ac:dyDescent="0.3">
      <c r="A219" s="2">
        <v>28.733000000000001</v>
      </c>
      <c r="B219" s="2">
        <v>2.387</v>
      </c>
      <c r="C219" s="1">
        <f>Tabela5[[#This Row],[Alongamento (mm/mm)]]/$I$2</f>
        <v>4.7739999999999998E-2</v>
      </c>
      <c r="D219" s="2">
        <v>107.84</v>
      </c>
      <c r="E219" s="1">
        <f>Tabela5[[#This Row],[Força (N)]]/$I$5</f>
        <v>2547060.6296794922</v>
      </c>
      <c r="F219" s="1">
        <f>Tabela5[[#This Row],[Tensão (Pa)]]/1000000</f>
        <v>2.5470606296794922</v>
      </c>
    </row>
    <row r="220" spans="1:6" x14ac:dyDescent="0.3">
      <c r="A220" s="2">
        <v>28.783000000000001</v>
      </c>
      <c r="B220" s="2">
        <v>2.3912</v>
      </c>
      <c r="C220" s="1">
        <f>Tabela5[[#This Row],[Alongamento (mm/mm)]]/$I$2</f>
        <v>4.7823999999999998E-2</v>
      </c>
      <c r="D220" s="2">
        <v>108.69</v>
      </c>
      <c r="E220" s="1">
        <f>Tabela5[[#This Row],[Força (N)]]/$I$5</f>
        <v>2567136.6824913202</v>
      </c>
      <c r="F220" s="1">
        <f>Tabela5[[#This Row],[Tensão (Pa)]]/1000000</f>
        <v>2.56713668249132</v>
      </c>
    </row>
    <row r="221" spans="1:6" x14ac:dyDescent="0.3">
      <c r="A221" s="2">
        <v>28.832999999999998</v>
      </c>
      <c r="B221" s="2">
        <v>2.3954</v>
      </c>
      <c r="C221" s="1">
        <f>Tabela5[[#This Row],[Alongamento (mm/mm)]]/$I$2</f>
        <v>4.7907999999999999E-2</v>
      </c>
      <c r="D221" s="2">
        <v>109.54</v>
      </c>
      <c r="E221" s="1">
        <f>Tabela5[[#This Row],[Força (N)]]/$I$5</f>
        <v>2587212.7353031486</v>
      </c>
      <c r="F221" s="1">
        <f>Tabela5[[#This Row],[Tensão (Pa)]]/1000000</f>
        <v>2.5872127353031487</v>
      </c>
    </row>
    <row r="222" spans="1:6" x14ac:dyDescent="0.3">
      <c r="A222" s="2">
        <v>28.882999999999999</v>
      </c>
      <c r="B222" s="2">
        <v>2.3996</v>
      </c>
      <c r="C222" s="1">
        <f>Tabela5[[#This Row],[Alongamento (mm/mm)]]/$I$2</f>
        <v>4.7992E-2</v>
      </c>
      <c r="D222" s="2">
        <v>110.39</v>
      </c>
      <c r="E222" s="1">
        <f>Tabela5[[#This Row],[Força (N)]]/$I$5</f>
        <v>2607288.7881149771</v>
      </c>
      <c r="F222" s="1">
        <f>Tabela5[[#This Row],[Tensão (Pa)]]/1000000</f>
        <v>2.6072887881149769</v>
      </c>
    </row>
    <row r="223" spans="1:6" x14ac:dyDescent="0.3">
      <c r="A223" s="2">
        <v>28.917000000000002</v>
      </c>
      <c r="B223" s="2">
        <v>2.4022999999999999</v>
      </c>
      <c r="C223" s="1">
        <f>Tabela5[[#This Row],[Alongamento (mm/mm)]]/$I$2</f>
        <v>4.8045999999999998E-2</v>
      </c>
      <c r="D223" s="2">
        <v>111.07</v>
      </c>
      <c r="E223" s="1">
        <f>Tabela5[[#This Row],[Força (N)]]/$I$5</f>
        <v>2623349.6303644395</v>
      </c>
      <c r="F223" s="1">
        <f>Tabela5[[#This Row],[Tensão (Pa)]]/1000000</f>
        <v>2.6233496303644395</v>
      </c>
    </row>
    <row r="224" spans="1:6" x14ac:dyDescent="0.3">
      <c r="A224" s="2">
        <v>28.966999999999999</v>
      </c>
      <c r="B224" s="2">
        <v>2.4064999999999999</v>
      </c>
      <c r="C224" s="1">
        <f>Tabela5[[#This Row],[Alongamento (mm/mm)]]/$I$2</f>
        <v>4.8129999999999999E-2</v>
      </c>
      <c r="D224" s="2">
        <v>111.75</v>
      </c>
      <c r="E224" s="1">
        <f>Tabela5[[#This Row],[Força (N)]]/$I$5</f>
        <v>2639410.4726139023</v>
      </c>
      <c r="F224" s="1">
        <f>Tabela5[[#This Row],[Tensão (Pa)]]/1000000</f>
        <v>2.6394104726139025</v>
      </c>
    </row>
    <row r="225" spans="1:6" x14ac:dyDescent="0.3">
      <c r="A225" s="2">
        <v>29</v>
      </c>
      <c r="B225" s="2">
        <v>2.4094000000000002</v>
      </c>
      <c r="C225" s="1">
        <f>Tabela5[[#This Row],[Alongamento (mm/mm)]]/$I$2</f>
        <v>4.8188000000000002E-2</v>
      </c>
      <c r="D225" s="2">
        <v>112.44</v>
      </c>
      <c r="E225" s="1">
        <f>Tabela5[[#This Row],[Força (N)]]/$I$5</f>
        <v>2655707.5037199748</v>
      </c>
      <c r="F225" s="1">
        <f>Tabela5[[#This Row],[Tensão (Pa)]]/1000000</f>
        <v>2.6557075037199747</v>
      </c>
    </row>
    <row r="226" spans="1:6" x14ac:dyDescent="0.3">
      <c r="A226" s="2">
        <v>29.05</v>
      </c>
      <c r="B226" s="2">
        <v>2.4135</v>
      </c>
      <c r="C226" s="1">
        <f>Tabela5[[#This Row],[Alongamento (mm/mm)]]/$I$2</f>
        <v>4.827E-2</v>
      </c>
      <c r="D226" s="2">
        <v>113.29</v>
      </c>
      <c r="E226" s="1">
        <f>Tabela5[[#This Row],[Força (N)]]/$I$5</f>
        <v>2675783.5565318032</v>
      </c>
      <c r="F226" s="1">
        <f>Tabela5[[#This Row],[Tensão (Pa)]]/1000000</f>
        <v>2.6757835565318033</v>
      </c>
    </row>
    <row r="227" spans="1:6" x14ac:dyDescent="0.3">
      <c r="A227" s="2">
        <v>29.1</v>
      </c>
      <c r="B227" s="2">
        <v>2.4176000000000002</v>
      </c>
      <c r="C227" s="1">
        <f>Tabela5[[#This Row],[Alongamento (mm/mm)]]/$I$2</f>
        <v>4.8352000000000006E-2</v>
      </c>
      <c r="D227" s="2">
        <v>114.14</v>
      </c>
      <c r="E227" s="1">
        <f>Tabela5[[#This Row],[Força (N)]]/$I$5</f>
        <v>2695859.6093436317</v>
      </c>
      <c r="F227" s="1">
        <f>Tabela5[[#This Row],[Tensão (Pa)]]/1000000</f>
        <v>2.6958596093436316</v>
      </c>
    </row>
    <row r="228" spans="1:6" x14ac:dyDescent="0.3">
      <c r="A228" s="2">
        <v>29.15</v>
      </c>
      <c r="B228" s="2">
        <v>2.4218000000000002</v>
      </c>
      <c r="C228" s="1">
        <f>Tabela5[[#This Row],[Alongamento (mm/mm)]]/$I$2</f>
        <v>4.8436000000000007E-2</v>
      </c>
      <c r="D228" s="2">
        <v>114.99</v>
      </c>
      <c r="E228" s="1">
        <f>Tabela5[[#This Row],[Força (N)]]/$I$5</f>
        <v>2715935.6621554596</v>
      </c>
      <c r="F228" s="1">
        <f>Tabela5[[#This Row],[Tensão (Pa)]]/1000000</f>
        <v>2.7159356621554598</v>
      </c>
    </row>
    <row r="229" spans="1:6" x14ac:dyDescent="0.3">
      <c r="A229" s="2">
        <v>29.2</v>
      </c>
      <c r="B229" s="2">
        <v>2.4260000000000002</v>
      </c>
      <c r="C229" s="1">
        <f>Tabela5[[#This Row],[Alongamento (mm/mm)]]/$I$2</f>
        <v>4.8520000000000001E-2</v>
      </c>
      <c r="D229" s="2">
        <v>115.84</v>
      </c>
      <c r="E229" s="1">
        <f>Tabela5[[#This Row],[Força (N)]]/$I$5</f>
        <v>2736011.7149672881</v>
      </c>
      <c r="F229" s="1">
        <f>Tabela5[[#This Row],[Tensão (Pa)]]/1000000</f>
        <v>2.736011714967288</v>
      </c>
    </row>
    <row r="230" spans="1:6" x14ac:dyDescent="0.3">
      <c r="A230" s="2">
        <v>29.233000000000001</v>
      </c>
      <c r="B230" s="2">
        <v>2.4287999999999998</v>
      </c>
      <c r="C230" s="1">
        <f>Tabela5[[#This Row],[Alongamento (mm/mm)]]/$I$2</f>
        <v>4.8575999999999994E-2</v>
      </c>
      <c r="D230" s="2">
        <v>116.52</v>
      </c>
      <c r="E230" s="1">
        <f>Tabela5[[#This Row],[Força (N)]]/$I$5</f>
        <v>2752072.5572167509</v>
      </c>
      <c r="F230" s="1">
        <f>Tabela5[[#This Row],[Tensão (Pa)]]/1000000</f>
        <v>2.752072557216751</v>
      </c>
    </row>
    <row r="231" spans="1:6" x14ac:dyDescent="0.3">
      <c r="A231" s="2">
        <v>29.283000000000001</v>
      </c>
      <c r="B231" s="2">
        <v>2.4329000000000001</v>
      </c>
      <c r="C231" s="1">
        <f>Tabela5[[#This Row],[Alongamento (mm/mm)]]/$I$2</f>
        <v>4.8658E-2</v>
      </c>
      <c r="D231" s="2">
        <v>117.37</v>
      </c>
      <c r="E231" s="1">
        <f>Tabela5[[#This Row],[Força (N)]]/$I$5</f>
        <v>2772148.6100285794</v>
      </c>
      <c r="F231" s="1">
        <f>Tabela5[[#This Row],[Tensão (Pa)]]/1000000</f>
        <v>2.7721486100285793</v>
      </c>
    </row>
    <row r="232" spans="1:6" x14ac:dyDescent="0.3">
      <c r="A232" s="2">
        <v>29.332999999999998</v>
      </c>
      <c r="B232" s="2">
        <v>2.4371</v>
      </c>
      <c r="C232" s="1">
        <f>Tabela5[[#This Row],[Alongamento (mm/mm)]]/$I$2</f>
        <v>4.8742000000000001E-2</v>
      </c>
      <c r="D232" s="2">
        <v>118.22</v>
      </c>
      <c r="E232" s="1">
        <f>Tabela5[[#This Row],[Força (N)]]/$I$5</f>
        <v>2792224.6628404073</v>
      </c>
      <c r="F232" s="1">
        <f>Tabela5[[#This Row],[Tensão (Pa)]]/1000000</f>
        <v>2.7922246628404075</v>
      </c>
    </row>
    <row r="233" spans="1:6" x14ac:dyDescent="0.3">
      <c r="A233" s="2">
        <v>29.382999999999999</v>
      </c>
      <c r="B233" s="2">
        <v>2.4413</v>
      </c>
      <c r="C233" s="1">
        <f>Tabela5[[#This Row],[Alongamento (mm/mm)]]/$I$2</f>
        <v>4.8826000000000001E-2</v>
      </c>
      <c r="D233" s="2">
        <v>119.07</v>
      </c>
      <c r="E233" s="1">
        <f>Tabela5[[#This Row],[Força (N)]]/$I$5</f>
        <v>2812300.7156522358</v>
      </c>
      <c r="F233" s="1">
        <f>Tabela5[[#This Row],[Tensão (Pa)]]/1000000</f>
        <v>2.8123007156522357</v>
      </c>
    </row>
    <row r="234" spans="1:6" x14ac:dyDescent="0.3">
      <c r="A234" s="2">
        <v>29.433</v>
      </c>
      <c r="B234" s="2">
        <v>2.4455</v>
      </c>
      <c r="C234" s="1">
        <f>Tabela5[[#This Row],[Alongamento (mm/mm)]]/$I$2</f>
        <v>4.8910000000000002E-2</v>
      </c>
      <c r="D234" s="2">
        <v>119.92</v>
      </c>
      <c r="E234" s="1">
        <f>Tabela5[[#This Row],[Força (N)]]/$I$5</f>
        <v>2832376.7684640642</v>
      </c>
      <c r="F234" s="1">
        <f>Tabela5[[#This Row],[Tensão (Pa)]]/1000000</f>
        <v>2.8323767684640644</v>
      </c>
    </row>
    <row r="235" spans="1:6" x14ac:dyDescent="0.3">
      <c r="A235" s="2">
        <v>29.466999999999999</v>
      </c>
      <c r="B235" s="2">
        <v>2.4481999999999999</v>
      </c>
      <c r="C235" s="1">
        <f>Tabela5[[#This Row],[Alongamento (mm/mm)]]/$I$2</f>
        <v>4.8964000000000001E-2</v>
      </c>
      <c r="D235" s="2">
        <v>120.6</v>
      </c>
      <c r="E235" s="1">
        <f>Tabela5[[#This Row],[Força (N)]]/$I$5</f>
        <v>2848437.6107135266</v>
      </c>
      <c r="F235" s="1">
        <f>Tabela5[[#This Row],[Tensão (Pa)]]/1000000</f>
        <v>2.8484376107135265</v>
      </c>
    </row>
    <row r="236" spans="1:6" x14ac:dyDescent="0.3">
      <c r="A236" s="2">
        <v>29.516999999999999</v>
      </c>
      <c r="B236" s="2">
        <v>2.4523999999999999</v>
      </c>
      <c r="C236" s="1">
        <f>Tabela5[[#This Row],[Alongamento (mm/mm)]]/$I$2</f>
        <v>4.9048000000000001E-2</v>
      </c>
      <c r="D236" s="2">
        <v>121.45</v>
      </c>
      <c r="E236" s="1">
        <f>Tabela5[[#This Row],[Força (N)]]/$I$5</f>
        <v>2868513.663525355</v>
      </c>
      <c r="F236" s="1">
        <f>Tabela5[[#This Row],[Tensão (Pa)]]/1000000</f>
        <v>2.8685136635253552</v>
      </c>
    </row>
    <row r="237" spans="1:6" x14ac:dyDescent="0.3">
      <c r="A237" s="2">
        <v>29.567</v>
      </c>
      <c r="B237" s="2">
        <v>2.4565000000000001</v>
      </c>
      <c r="C237" s="1">
        <f>Tabela5[[#This Row],[Alongamento (mm/mm)]]/$I$2</f>
        <v>4.913E-2</v>
      </c>
      <c r="D237" s="2">
        <v>122.3</v>
      </c>
      <c r="E237" s="1">
        <f>Tabela5[[#This Row],[Força (N)]]/$I$5</f>
        <v>2888589.7163371835</v>
      </c>
      <c r="F237" s="1">
        <f>Tabela5[[#This Row],[Tensão (Pa)]]/1000000</f>
        <v>2.8885897163371834</v>
      </c>
    </row>
    <row r="238" spans="1:6" x14ac:dyDescent="0.3">
      <c r="A238" s="2">
        <v>29.6</v>
      </c>
      <c r="B238" s="2">
        <v>2.4592000000000001</v>
      </c>
      <c r="C238" s="1">
        <f>Tabela5[[#This Row],[Alongamento (mm/mm)]]/$I$2</f>
        <v>4.9183999999999999E-2</v>
      </c>
      <c r="D238" s="2">
        <v>122.98</v>
      </c>
      <c r="E238" s="1">
        <f>Tabela5[[#This Row],[Força (N)]]/$I$5</f>
        <v>2904650.5585866463</v>
      </c>
      <c r="F238" s="1">
        <f>Tabela5[[#This Row],[Tensão (Pa)]]/1000000</f>
        <v>2.9046505585866464</v>
      </c>
    </row>
    <row r="239" spans="1:6" x14ac:dyDescent="0.3">
      <c r="A239" s="2">
        <v>29.65</v>
      </c>
      <c r="B239" s="2">
        <v>2.4634</v>
      </c>
      <c r="C239" s="1">
        <f>Tabela5[[#This Row],[Alongamento (mm/mm)]]/$I$2</f>
        <v>4.9267999999999999E-2</v>
      </c>
      <c r="D239" s="2">
        <v>123.83</v>
      </c>
      <c r="E239" s="1">
        <f>Tabela5[[#This Row],[Força (N)]]/$I$5</f>
        <v>2924726.6113984743</v>
      </c>
      <c r="F239" s="1">
        <f>Tabela5[[#This Row],[Tensão (Pa)]]/1000000</f>
        <v>2.9247266113984742</v>
      </c>
    </row>
    <row r="240" spans="1:6" x14ac:dyDescent="0.3">
      <c r="A240" s="2">
        <v>29.683</v>
      </c>
      <c r="B240" s="2">
        <v>2.4662999999999999</v>
      </c>
      <c r="C240" s="1">
        <f>Tabela5[[#This Row],[Alongamento (mm/mm)]]/$I$2</f>
        <v>4.9326000000000002E-2</v>
      </c>
      <c r="D240" s="2">
        <v>124.51</v>
      </c>
      <c r="E240" s="1">
        <f>Tabela5[[#This Row],[Força (N)]]/$I$5</f>
        <v>2940787.4536479372</v>
      </c>
      <c r="F240" s="1">
        <f>Tabela5[[#This Row],[Tensão (Pa)]]/1000000</f>
        <v>2.9407874536479373</v>
      </c>
    </row>
    <row r="241" spans="1:6" x14ac:dyDescent="0.3">
      <c r="A241" s="2">
        <v>29.733000000000001</v>
      </c>
      <c r="B241" s="2">
        <v>2.4704000000000002</v>
      </c>
      <c r="C241" s="1">
        <f>Tabela5[[#This Row],[Alongamento (mm/mm)]]/$I$2</f>
        <v>4.9408000000000001E-2</v>
      </c>
      <c r="D241" s="2">
        <v>125.36</v>
      </c>
      <c r="E241" s="1">
        <f>Tabela5[[#This Row],[Força (N)]]/$I$5</f>
        <v>2960863.5064597656</v>
      </c>
      <c r="F241" s="1">
        <f>Tabela5[[#This Row],[Tensão (Pa)]]/1000000</f>
        <v>2.9608635064597655</v>
      </c>
    </row>
    <row r="242" spans="1:6" x14ac:dyDescent="0.3">
      <c r="A242" s="2">
        <v>29.783000000000001</v>
      </c>
      <c r="B242" s="2">
        <v>2.4744999999999999</v>
      </c>
      <c r="C242" s="1">
        <f>Tabela5[[#This Row],[Alongamento (mm/mm)]]/$I$2</f>
        <v>4.9489999999999999E-2</v>
      </c>
      <c r="D242" s="2">
        <v>126.21</v>
      </c>
      <c r="E242" s="1">
        <f>Tabela5[[#This Row],[Força (N)]]/$I$5</f>
        <v>2980939.5592715936</v>
      </c>
      <c r="F242" s="1">
        <f>Tabela5[[#This Row],[Tensão (Pa)]]/1000000</f>
        <v>2.9809395592715937</v>
      </c>
    </row>
    <row r="243" spans="1:6" x14ac:dyDescent="0.3">
      <c r="A243" s="2">
        <v>29.817</v>
      </c>
      <c r="B243" s="2">
        <v>2.4773999999999998</v>
      </c>
      <c r="C243" s="1">
        <f>Tabela5[[#This Row],[Alongamento (mm/mm)]]/$I$2</f>
        <v>4.9547999999999995E-2</v>
      </c>
      <c r="D243" s="2">
        <v>126.89</v>
      </c>
      <c r="E243" s="1">
        <f>Tabela5[[#This Row],[Força (N)]]/$I$5</f>
        <v>2997000.4015210564</v>
      </c>
      <c r="F243" s="1">
        <f>Tabela5[[#This Row],[Tensão (Pa)]]/1000000</f>
        <v>2.9970004015210563</v>
      </c>
    </row>
    <row r="244" spans="1:6" x14ac:dyDescent="0.3">
      <c r="A244" s="2">
        <v>29.867000000000001</v>
      </c>
      <c r="B244" s="2">
        <v>2.4815</v>
      </c>
      <c r="C244" s="1">
        <f>Tabela5[[#This Row],[Alongamento (mm/mm)]]/$I$2</f>
        <v>4.9630000000000001E-2</v>
      </c>
      <c r="D244" s="2">
        <v>127.74</v>
      </c>
      <c r="E244" s="1">
        <f>Tabela5[[#This Row],[Força (N)]]/$I$5</f>
        <v>3017076.4543328849</v>
      </c>
      <c r="F244" s="1">
        <f>Tabela5[[#This Row],[Tensão (Pa)]]/1000000</f>
        <v>3.017076454332885</v>
      </c>
    </row>
    <row r="245" spans="1:6" x14ac:dyDescent="0.3">
      <c r="A245" s="2">
        <v>29.9</v>
      </c>
      <c r="B245" s="2">
        <v>2.4843000000000002</v>
      </c>
      <c r="C245" s="1">
        <f>Tabela5[[#This Row],[Alongamento (mm/mm)]]/$I$2</f>
        <v>4.9686000000000001E-2</v>
      </c>
      <c r="D245" s="2">
        <v>128.41999999999999</v>
      </c>
      <c r="E245" s="1">
        <f>Tabela5[[#This Row],[Força (N)]]/$I$5</f>
        <v>3033137.2965823472</v>
      </c>
      <c r="F245" s="1">
        <f>Tabela5[[#This Row],[Tensão (Pa)]]/1000000</f>
        <v>3.0331372965823471</v>
      </c>
    </row>
    <row r="246" spans="1:6" x14ac:dyDescent="0.3">
      <c r="A246" s="2">
        <v>29.95</v>
      </c>
      <c r="B246" s="2">
        <v>2.4885000000000002</v>
      </c>
      <c r="C246" s="1">
        <f>Tabela5[[#This Row],[Alongamento (mm/mm)]]/$I$2</f>
        <v>4.9770000000000002E-2</v>
      </c>
      <c r="D246" s="2">
        <v>129.28</v>
      </c>
      <c r="E246" s="1">
        <f>Tabela5[[#This Row],[Força (N)]]/$I$5</f>
        <v>3053449.5382507858</v>
      </c>
      <c r="F246" s="1">
        <f>Tabela5[[#This Row],[Tensão (Pa)]]/1000000</f>
        <v>3.0534495382507858</v>
      </c>
    </row>
    <row r="247" spans="1:6" x14ac:dyDescent="0.3">
      <c r="A247" s="2">
        <v>29.983000000000001</v>
      </c>
      <c r="B247" s="2">
        <v>2.4912999999999998</v>
      </c>
      <c r="C247" s="1">
        <f>Tabela5[[#This Row],[Alongamento (mm/mm)]]/$I$2</f>
        <v>4.9825999999999995E-2</v>
      </c>
      <c r="D247" s="2">
        <v>129.96</v>
      </c>
      <c r="E247" s="1">
        <f>Tabela5[[#This Row],[Força (N)]]/$I$5</f>
        <v>3069510.3805002486</v>
      </c>
      <c r="F247" s="1">
        <f>Tabela5[[#This Row],[Tensão (Pa)]]/1000000</f>
        <v>3.0695103805002488</v>
      </c>
    </row>
    <row r="248" spans="1:6" x14ac:dyDescent="0.3">
      <c r="A248" s="2">
        <v>30.033000000000001</v>
      </c>
      <c r="B248" s="2">
        <v>2.4954000000000001</v>
      </c>
      <c r="C248" s="1">
        <f>Tabela5[[#This Row],[Alongamento (mm/mm)]]/$I$2</f>
        <v>4.9908000000000001E-2</v>
      </c>
      <c r="D248" s="2">
        <v>130.81</v>
      </c>
      <c r="E248" s="1">
        <f>Tabela5[[#This Row],[Força (N)]]/$I$5</f>
        <v>3089586.4333120766</v>
      </c>
      <c r="F248" s="1">
        <f>Tabela5[[#This Row],[Tensão (Pa)]]/1000000</f>
        <v>3.0895864333120766</v>
      </c>
    </row>
    <row r="249" spans="1:6" x14ac:dyDescent="0.3">
      <c r="A249" s="2">
        <v>30.1</v>
      </c>
      <c r="B249" s="2">
        <v>2.5009000000000001</v>
      </c>
      <c r="C249" s="1">
        <f>Tabela5[[#This Row],[Alongamento (mm/mm)]]/$I$2</f>
        <v>5.0018E-2</v>
      </c>
      <c r="D249" s="2">
        <v>132</v>
      </c>
      <c r="E249" s="1">
        <f>Tabela5[[#This Row],[Força (N)]]/$I$5</f>
        <v>3117692.9072486362</v>
      </c>
      <c r="F249" s="1">
        <f>Tabela5[[#This Row],[Tensão (Pa)]]/1000000</f>
        <v>3.1176929072486361</v>
      </c>
    </row>
    <row r="250" spans="1:6" x14ac:dyDescent="0.3">
      <c r="A250" s="2">
        <v>30.15</v>
      </c>
      <c r="B250" s="2">
        <v>2.5051000000000001</v>
      </c>
      <c r="C250" s="1">
        <f>Tabela5[[#This Row],[Alongamento (mm/mm)]]/$I$2</f>
        <v>5.0102000000000001E-2</v>
      </c>
      <c r="D250" s="2">
        <v>133.02000000000001</v>
      </c>
      <c r="E250" s="1">
        <f>Tabela5[[#This Row],[Força (N)]]/$I$5</f>
        <v>3141784.1706228307</v>
      </c>
      <c r="F250" s="1">
        <f>Tabela5[[#This Row],[Tensão (Pa)]]/1000000</f>
        <v>3.1417841706228309</v>
      </c>
    </row>
    <row r="251" spans="1:6" x14ac:dyDescent="0.3">
      <c r="A251" s="2">
        <v>30.216999999999999</v>
      </c>
      <c r="B251" s="2">
        <v>2.5106999999999999</v>
      </c>
      <c r="C251" s="1">
        <f>Tabela5[[#This Row],[Alongamento (mm/mm)]]/$I$2</f>
        <v>5.0214000000000002E-2</v>
      </c>
      <c r="D251" s="2">
        <v>134.21</v>
      </c>
      <c r="E251" s="1">
        <f>Tabela5[[#This Row],[Força (N)]]/$I$5</f>
        <v>3169890.6445593904</v>
      </c>
      <c r="F251" s="1">
        <f>Tabela5[[#This Row],[Tensão (Pa)]]/1000000</f>
        <v>3.1698906445593904</v>
      </c>
    </row>
    <row r="252" spans="1:6" x14ac:dyDescent="0.3">
      <c r="A252" s="2">
        <v>30.266999999999999</v>
      </c>
      <c r="B252" s="2">
        <v>2.5148999999999999</v>
      </c>
      <c r="C252" s="1">
        <f>Tabela5[[#This Row],[Alongamento (mm/mm)]]/$I$2</f>
        <v>5.0297999999999995E-2</v>
      </c>
      <c r="D252" s="2">
        <v>135.22999999999999</v>
      </c>
      <c r="E252" s="1">
        <f>Tabela5[[#This Row],[Força (N)]]/$I$5</f>
        <v>3193981.9079335839</v>
      </c>
      <c r="F252" s="1">
        <f>Tabela5[[#This Row],[Tensão (Pa)]]/1000000</f>
        <v>3.1939819079335838</v>
      </c>
    </row>
    <row r="253" spans="1:6" x14ac:dyDescent="0.3">
      <c r="A253" s="2">
        <v>30.332999999999998</v>
      </c>
      <c r="B253" s="2">
        <v>2.5204</v>
      </c>
      <c r="C253" s="1">
        <f>Tabela5[[#This Row],[Alongamento (mm/mm)]]/$I$2</f>
        <v>5.0408000000000001E-2</v>
      </c>
      <c r="D253" s="2">
        <v>136.41999999999999</v>
      </c>
      <c r="E253" s="1">
        <f>Tabela5[[#This Row],[Força (N)]]/$I$5</f>
        <v>3222088.3818701436</v>
      </c>
      <c r="F253" s="1">
        <f>Tabela5[[#This Row],[Tensão (Pa)]]/1000000</f>
        <v>3.2220883818701438</v>
      </c>
    </row>
    <row r="254" spans="1:6" x14ac:dyDescent="0.3">
      <c r="A254" s="2">
        <v>30.382999999999999</v>
      </c>
      <c r="B254" s="2">
        <v>2.5247000000000002</v>
      </c>
      <c r="C254" s="1">
        <f>Tabela5[[#This Row],[Alongamento (mm/mm)]]/$I$2</f>
        <v>5.0494000000000004E-2</v>
      </c>
      <c r="D254" s="2">
        <v>137.44</v>
      </c>
      <c r="E254" s="1">
        <f>Tabela5[[#This Row],[Força (N)]]/$I$5</f>
        <v>3246179.6452443376</v>
      </c>
      <c r="F254" s="1">
        <f>Tabela5[[#This Row],[Tensão (Pa)]]/1000000</f>
        <v>3.2461796452443377</v>
      </c>
    </row>
    <row r="255" spans="1:6" x14ac:dyDescent="0.3">
      <c r="A255" s="2">
        <v>30.45</v>
      </c>
      <c r="B255" s="2">
        <v>2.5301999999999998</v>
      </c>
      <c r="C255" s="1">
        <f>Tabela5[[#This Row],[Alongamento (mm/mm)]]/$I$2</f>
        <v>5.0603999999999996E-2</v>
      </c>
      <c r="D255" s="2">
        <v>138.63</v>
      </c>
      <c r="E255" s="1">
        <f>Tabela5[[#This Row],[Força (N)]]/$I$5</f>
        <v>3274286.1191808973</v>
      </c>
      <c r="F255" s="1">
        <f>Tabela5[[#This Row],[Tensão (Pa)]]/1000000</f>
        <v>3.2742861191808972</v>
      </c>
    </row>
    <row r="256" spans="1:6" x14ac:dyDescent="0.3">
      <c r="A256" s="2">
        <v>30.5</v>
      </c>
      <c r="B256" s="2">
        <v>2.5343</v>
      </c>
      <c r="C256" s="1">
        <f>Tabela5[[#This Row],[Alongamento (mm/mm)]]/$I$2</f>
        <v>5.0686000000000002E-2</v>
      </c>
      <c r="D256" s="2">
        <v>139.65</v>
      </c>
      <c r="E256" s="1">
        <f>Tabela5[[#This Row],[Força (N)]]/$I$5</f>
        <v>3298377.3825550918</v>
      </c>
      <c r="F256" s="1">
        <f>Tabela5[[#This Row],[Tensão (Pa)]]/1000000</f>
        <v>3.2983773825550919</v>
      </c>
    </row>
    <row r="257" spans="1:6" x14ac:dyDescent="0.3">
      <c r="A257" s="2">
        <v>30.567</v>
      </c>
      <c r="B257" s="2">
        <v>2.5398999999999998</v>
      </c>
      <c r="C257" s="1">
        <f>Tabela5[[#This Row],[Alongamento (mm/mm)]]/$I$2</f>
        <v>5.0797999999999996E-2</v>
      </c>
      <c r="D257" s="2">
        <v>140.84</v>
      </c>
      <c r="E257" s="1">
        <f>Tabela5[[#This Row],[Força (N)]]/$I$5</f>
        <v>3326483.8564916509</v>
      </c>
      <c r="F257" s="1">
        <f>Tabela5[[#This Row],[Tensão (Pa)]]/1000000</f>
        <v>3.326483856491651</v>
      </c>
    </row>
    <row r="258" spans="1:6" x14ac:dyDescent="0.3">
      <c r="A258" s="2">
        <v>30.617000000000001</v>
      </c>
      <c r="B258" s="2">
        <v>2.544</v>
      </c>
      <c r="C258" s="1">
        <f>Tabela5[[#This Row],[Alongamento (mm/mm)]]/$I$2</f>
        <v>5.0880000000000002E-2</v>
      </c>
      <c r="D258" s="2">
        <v>141.86000000000001</v>
      </c>
      <c r="E258" s="1">
        <f>Tabela5[[#This Row],[Força (N)]]/$I$5</f>
        <v>3350575.1198658454</v>
      </c>
      <c r="F258" s="1">
        <f>Tabela5[[#This Row],[Tensão (Pa)]]/1000000</f>
        <v>3.3505751198658453</v>
      </c>
    </row>
    <row r="259" spans="1:6" x14ac:dyDescent="0.3">
      <c r="A259" s="2">
        <v>30.667000000000002</v>
      </c>
      <c r="B259" s="2">
        <v>2.5482</v>
      </c>
      <c r="C259" s="1">
        <f>Tabela5[[#This Row],[Alongamento (mm/mm)]]/$I$2</f>
        <v>5.0964000000000002E-2</v>
      </c>
      <c r="D259" s="2">
        <v>142.88</v>
      </c>
      <c r="E259" s="1">
        <f>Tabela5[[#This Row],[Força (N)]]/$I$5</f>
        <v>3374666.383240039</v>
      </c>
      <c r="F259" s="1">
        <f>Tabela5[[#This Row],[Tensão (Pa)]]/1000000</f>
        <v>3.3746663832400392</v>
      </c>
    </row>
    <row r="260" spans="1:6" x14ac:dyDescent="0.3">
      <c r="A260" s="2">
        <v>30.716999999999999</v>
      </c>
      <c r="B260" s="2">
        <v>2.5522999999999998</v>
      </c>
      <c r="C260" s="1">
        <f>Tabela5[[#This Row],[Alongamento (mm/mm)]]/$I$2</f>
        <v>5.1045999999999994E-2</v>
      </c>
      <c r="D260" s="2">
        <v>143.9</v>
      </c>
      <c r="E260" s="1">
        <f>Tabela5[[#This Row],[Força (N)]]/$I$5</f>
        <v>3398757.646614233</v>
      </c>
      <c r="F260" s="1">
        <f>Tabela5[[#This Row],[Tensão (Pa)]]/1000000</f>
        <v>3.3987576466142331</v>
      </c>
    </row>
    <row r="261" spans="1:6" x14ac:dyDescent="0.3">
      <c r="A261" s="2">
        <v>30.783000000000001</v>
      </c>
      <c r="B261" s="2">
        <v>2.5579000000000001</v>
      </c>
      <c r="C261" s="1">
        <f>Tabela5[[#This Row],[Alongamento (mm/mm)]]/$I$2</f>
        <v>5.1158000000000002E-2</v>
      </c>
      <c r="D261" s="2">
        <v>145.09</v>
      </c>
      <c r="E261" s="1">
        <f>Tabela5[[#This Row],[Força (N)]]/$I$5</f>
        <v>3426864.1205507927</v>
      </c>
      <c r="F261" s="1">
        <f>Tabela5[[#This Row],[Tensão (Pa)]]/1000000</f>
        <v>3.4268641205507926</v>
      </c>
    </row>
    <row r="262" spans="1:6" x14ac:dyDescent="0.3">
      <c r="A262" s="2">
        <v>30.832999999999998</v>
      </c>
      <c r="B262" s="2">
        <v>2.5621</v>
      </c>
      <c r="C262" s="1">
        <f>Tabela5[[#This Row],[Alongamento (mm/mm)]]/$I$2</f>
        <v>5.1242000000000003E-2</v>
      </c>
      <c r="D262" s="2">
        <v>146.11000000000001</v>
      </c>
      <c r="E262" s="1">
        <f>Tabela5[[#This Row],[Força (N)]]/$I$5</f>
        <v>3450955.3839249872</v>
      </c>
      <c r="F262" s="1">
        <f>Tabela5[[#This Row],[Tensão (Pa)]]/1000000</f>
        <v>3.4509553839249874</v>
      </c>
    </row>
    <row r="263" spans="1:6" x14ac:dyDescent="0.3">
      <c r="A263" s="2">
        <v>30.882999999999999</v>
      </c>
      <c r="B263" s="2">
        <v>2.5663</v>
      </c>
      <c r="C263" s="1">
        <f>Tabela5[[#This Row],[Alongamento (mm/mm)]]/$I$2</f>
        <v>5.1326000000000004E-2</v>
      </c>
      <c r="D263" s="2">
        <v>147.13999999999999</v>
      </c>
      <c r="E263" s="1">
        <f>Tabela5[[#This Row],[Força (N)]]/$I$5</f>
        <v>3475282.8361557904</v>
      </c>
      <c r="F263" s="1">
        <f>Tabela5[[#This Row],[Tensão (Pa)]]/1000000</f>
        <v>3.4752828361557904</v>
      </c>
    </row>
    <row r="264" spans="1:6" x14ac:dyDescent="0.3">
      <c r="A264" s="2">
        <v>30.933</v>
      </c>
      <c r="B264" s="2">
        <v>2.5703999999999998</v>
      </c>
      <c r="C264" s="1">
        <f>Tabela5[[#This Row],[Alongamento (mm/mm)]]/$I$2</f>
        <v>5.1407999999999995E-2</v>
      </c>
      <c r="D264" s="2">
        <v>148.16</v>
      </c>
      <c r="E264" s="1">
        <f>Tabela5[[#This Row],[Força (N)]]/$I$5</f>
        <v>3499374.0995299844</v>
      </c>
      <c r="F264" s="1">
        <f>Tabela5[[#This Row],[Tensão (Pa)]]/1000000</f>
        <v>3.4993740995299842</v>
      </c>
    </row>
    <row r="265" spans="1:6" x14ac:dyDescent="0.3">
      <c r="A265" s="2">
        <v>30.983000000000001</v>
      </c>
      <c r="B265" s="2">
        <v>2.5745</v>
      </c>
      <c r="C265" s="1">
        <f>Tabela5[[#This Row],[Alongamento (mm/mm)]]/$I$2</f>
        <v>5.1490000000000001E-2</v>
      </c>
      <c r="D265" s="2">
        <v>149.18</v>
      </c>
      <c r="E265" s="1">
        <f>Tabela5[[#This Row],[Força (N)]]/$I$5</f>
        <v>3523465.3629041789</v>
      </c>
      <c r="F265" s="1">
        <f>Tabela5[[#This Row],[Tensão (Pa)]]/1000000</f>
        <v>3.523465362904179</v>
      </c>
    </row>
    <row r="266" spans="1:6" x14ac:dyDescent="0.3">
      <c r="A266" s="2">
        <v>31.05</v>
      </c>
      <c r="B266" s="2">
        <v>2.5800999999999998</v>
      </c>
      <c r="C266" s="1">
        <f>Tabela5[[#This Row],[Alongamento (mm/mm)]]/$I$2</f>
        <v>5.1601999999999995E-2</v>
      </c>
      <c r="D266" s="2">
        <v>150.37</v>
      </c>
      <c r="E266" s="1">
        <f>Tabela5[[#This Row],[Força (N)]]/$I$5</f>
        <v>3551571.8368407385</v>
      </c>
      <c r="F266" s="1">
        <f>Tabela5[[#This Row],[Tensão (Pa)]]/1000000</f>
        <v>3.5515718368407385</v>
      </c>
    </row>
    <row r="267" spans="1:6" x14ac:dyDescent="0.3">
      <c r="A267" s="2">
        <v>31.1</v>
      </c>
      <c r="B267" s="2">
        <v>2.5842999999999998</v>
      </c>
      <c r="C267" s="1">
        <f>Tabela5[[#This Row],[Alongamento (mm/mm)]]/$I$2</f>
        <v>5.1685999999999996E-2</v>
      </c>
      <c r="D267" s="2">
        <v>151.38999999999999</v>
      </c>
      <c r="E267" s="1">
        <f>Tabela5[[#This Row],[Força (N)]]/$I$5</f>
        <v>3575663.1002149321</v>
      </c>
      <c r="F267" s="1">
        <f>Tabela5[[#This Row],[Tensão (Pa)]]/1000000</f>
        <v>3.5756631002149319</v>
      </c>
    </row>
    <row r="268" spans="1:6" x14ac:dyDescent="0.3">
      <c r="A268" s="2">
        <v>31.15</v>
      </c>
      <c r="B268" s="2">
        <v>2.5884</v>
      </c>
      <c r="C268" s="1">
        <f>Tabela5[[#This Row],[Alongamento (mm/mm)]]/$I$2</f>
        <v>5.1768000000000002E-2</v>
      </c>
      <c r="D268" s="2">
        <v>152.41</v>
      </c>
      <c r="E268" s="1">
        <f>Tabela5[[#This Row],[Força (N)]]/$I$5</f>
        <v>3599754.3635891262</v>
      </c>
      <c r="F268" s="1">
        <f>Tabela5[[#This Row],[Tensão (Pa)]]/1000000</f>
        <v>3.5997543635891263</v>
      </c>
    </row>
    <row r="269" spans="1:6" x14ac:dyDescent="0.3">
      <c r="A269" s="2">
        <v>31.2</v>
      </c>
      <c r="B269" s="2">
        <v>2.5926</v>
      </c>
      <c r="C269" s="1">
        <f>Tabela5[[#This Row],[Alongamento (mm/mm)]]/$I$2</f>
        <v>5.1852000000000002E-2</v>
      </c>
      <c r="D269" s="2">
        <v>153.43</v>
      </c>
      <c r="E269" s="1">
        <f>Tabela5[[#This Row],[Força (N)]]/$I$5</f>
        <v>3623845.6269633202</v>
      </c>
      <c r="F269" s="1">
        <f>Tabela5[[#This Row],[Tensão (Pa)]]/1000000</f>
        <v>3.6238456269633201</v>
      </c>
    </row>
    <row r="270" spans="1:6" x14ac:dyDescent="0.3">
      <c r="A270" s="2">
        <v>31.266999999999999</v>
      </c>
      <c r="B270" s="2">
        <v>2.5981000000000001</v>
      </c>
      <c r="C270" s="1">
        <f>Tabela5[[#This Row],[Alongamento (mm/mm)]]/$I$2</f>
        <v>5.1962000000000001E-2</v>
      </c>
      <c r="D270" s="2">
        <v>154.62</v>
      </c>
      <c r="E270" s="1">
        <f>Tabela5[[#This Row],[Força (N)]]/$I$5</f>
        <v>3651952.1008998798</v>
      </c>
      <c r="F270" s="1">
        <f>Tabela5[[#This Row],[Tensão (Pa)]]/1000000</f>
        <v>3.6519521008998796</v>
      </c>
    </row>
    <row r="271" spans="1:6" x14ac:dyDescent="0.3">
      <c r="A271" s="2">
        <v>31.317</v>
      </c>
      <c r="B271" s="2">
        <v>2.6023999999999998</v>
      </c>
      <c r="C271" s="1">
        <f>Tabela5[[#This Row],[Alongamento (mm/mm)]]/$I$2</f>
        <v>5.2047999999999997E-2</v>
      </c>
      <c r="D271" s="2">
        <v>155.63999999999999</v>
      </c>
      <c r="E271" s="1">
        <f>Tabela5[[#This Row],[Força (N)]]/$I$5</f>
        <v>3676043.3642740734</v>
      </c>
      <c r="F271" s="1">
        <f>Tabela5[[#This Row],[Tensão (Pa)]]/1000000</f>
        <v>3.6760433642740735</v>
      </c>
    </row>
    <row r="272" spans="1:6" x14ac:dyDescent="0.3">
      <c r="A272" s="2">
        <v>31.367000000000001</v>
      </c>
      <c r="B272" s="2">
        <v>2.6065999999999998</v>
      </c>
      <c r="C272" s="1">
        <f>Tabela5[[#This Row],[Alongamento (mm/mm)]]/$I$2</f>
        <v>5.2131999999999998E-2</v>
      </c>
      <c r="D272" s="2">
        <v>156.66</v>
      </c>
      <c r="E272" s="1">
        <f>Tabela5[[#This Row],[Força (N)]]/$I$5</f>
        <v>3700134.6276482679</v>
      </c>
      <c r="F272" s="1">
        <f>Tabela5[[#This Row],[Tensão (Pa)]]/1000000</f>
        <v>3.7001346276482678</v>
      </c>
    </row>
    <row r="273" spans="1:6" x14ac:dyDescent="0.3">
      <c r="A273" s="2">
        <v>31.433</v>
      </c>
      <c r="B273" s="2">
        <v>2.6120999999999999</v>
      </c>
      <c r="C273" s="1">
        <f>Tabela5[[#This Row],[Alongamento (mm/mm)]]/$I$2</f>
        <v>5.2241999999999997E-2</v>
      </c>
      <c r="D273" s="2">
        <v>157.85</v>
      </c>
      <c r="E273" s="1">
        <f>Tabela5[[#This Row],[Força (N)]]/$I$5</f>
        <v>3728241.1015848275</v>
      </c>
      <c r="F273" s="1">
        <f>Tabela5[[#This Row],[Tensão (Pa)]]/1000000</f>
        <v>3.7282411015848274</v>
      </c>
    </row>
    <row r="274" spans="1:6" x14ac:dyDescent="0.3">
      <c r="A274" s="2">
        <v>31.483000000000001</v>
      </c>
      <c r="B274" s="2">
        <v>2.6162999999999998</v>
      </c>
      <c r="C274" s="1">
        <f>Tabela5[[#This Row],[Alongamento (mm/mm)]]/$I$2</f>
        <v>5.2325999999999998E-2</v>
      </c>
      <c r="D274" s="2">
        <v>158.87</v>
      </c>
      <c r="E274" s="1">
        <f>Tabela5[[#This Row],[Força (N)]]/$I$5</f>
        <v>3752332.3649590216</v>
      </c>
      <c r="F274" s="1">
        <f>Tabela5[[#This Row],[Tensão (Pa)]]/1000000</f>
        <v>3.7523323649590217</v>
      </c>
    </row>
    <row r="275" spans="1:6" x14ac:dyDescent="0.3">
      <c r="A275" s="2">
        <v>31.533000000000001</v>
      </c>
      <c r="B275" s="2">
        <v>2.6204000000000001</v>
      </c>
      <c r="C275" s="1">
        <f>Tabela5[[#This Row],[Alongamento (mm/mm)]]/$I$2</f>
        <v>5.2408000000000003E-2</v>
      </c>
      <c r="D275" s="2">
        <v>159.88999999999999</v>
      </c>
      <c r="E275" s="1">
        <f>Tabela5[[#This Row],[Força (N)]]/$I$5</f>
        <v>3776423.6283332151</v>
      </c>
      <c r="F275" s="1">
        <f>Tabela5[[#This Row],[Tensão (Pa)]]/1000000</f>
        <v>3.7764236283332151</v>
      </c>
    </row>
    <row r="276" spans="1:6" x14ac:dyDescent="0.3">
      <c r="A276" s="2">
        <v>31.582999999999998</v>
      </c>
      <c r="B276" s="2">
        <v>2.6244999999999998</v>
      </c>
      <c r="C276" s="1">
        <f>Tabela5[[#This Row],[Alongamento (mm/mm)]]/$I$2</f>
        <v>5.2489999999999995E-2</v>
      </c>
      <c r="D276" s="2">
        <v>160.91</v>
      </c>
      <c r="E276" s="1">
        <f>Tabela5[[#This Row],[Força (N)]]/$I$5</f>
        <v>3800514.8917074096</v>
      </c>
      <c r="F276" s="1">
        <f>Tabela5[[#This Row],[Tensão (Pa)]]/1000000</f>
        <v>3.8005148917074099</v>
      </c>
    </row>
    <row r="277" spans="1:6" x14ac:dyDescent="0.3">
      <c r="A277" s="2">
        <v>31.632999999999999</v>
      </c>
      <c r="B277" s="2">
        <v>2.6286999999999998</v>
      </c>
      <c r="C277" s="1">
        <f>Tabela5[[#This Row],[Alongamento (mm/mm)]]/$I$2</f>
        <v>5.2573999999999996E-2</v>
      </c>
      <c r="D277" s="2">
        <v>161.93</v>
      </c>
      <c r="E277" s="1">
        <f>Tabela5[[#This Row],[Força (N)]]/$I$5</f>
        <v>3824606.1550816037</v>
      </c>
      <c r="F277" s="1">
        <f>Tabela5[[#This Row],[Tensão (Pa)]]/1000000</f>
        <v>3.8246061550816037</v>
      </c>
    </row>
    <row r="278" spans="1:6" x14ac:dyDescent="0.3">
      <c r="A278" s="2">
        <v>31.683</v>
      </c>
      <c r="B278" s="2">
        <v>2.633</v>
      </c>
      <c r="C278" s="1">
        <f>Tabela5[[#This Row],[Alongamento (mm/mm)]]/$I$2</f>
        <v>5.2659999999999998E-2</v>
      </c>
      <c r="D278" s="2">
        <v>162.94999999999999</v>
      </c>
      <c r="E278" s="1">
        <f>Tabela5[[#This Row],[Força (N)]]/$I$5</f>
        <v>3848697.4184557972</v>
      </c>
      <c r="F278" s="1">
        <f>Tabela5[[#This Row],[Tensão (Pa)]]/1000000</f>
        <v>3.8486974184557972</v>
      </c>
    </row>
    <row r="279" spans="1:6" x14ac:dyDescent="0.3">
      <c r="A279" s="2">
        <v>31.733000000000001</v>
      </c>
      <c r="B279" s="2">
        <v>2.6371000000000002</v>
      </c>
      <c r="C279" s="1">
        <f>Tabela5[[#This Row],[Alongamento (mm/mm)]]/$I$2</f>
        <v>5.2742000000000004E-2</v>
      </c>
      <c r="D279" s="2">
        <v>163.98</v>
      </c>
      <c r="E279" s="1">
        <f>Tabela5[[#This Row],[Força (N)]]/$I$5</f>
        <v>3873024.8706866014</v>
      </c>
      <c r="F279" s="1">
        <f>Tabela5[[#This Row],[Tensão (Pa)]]/1000000</f>
        <v>3.8730248706866015</v>
      </c>
    </row>
    <row r="280" spans="1:6" x14ac:dyDescent="0.3">
      <c r="A280" s="2">
        <v>31.783000000000001</v>
      </c>
      <c r="B280" s="2">
        <v>2.6413000000000002</v>
      </c>
      <c r="C280" s="1">
        <f>Tabela5[[#This Row],[Alongamento (mm/mm)]]/$I$2</f>
        <v>5.2826000000000005E-2</v>
      </c>
      <c r="D280" s="2">
        <v>165</v>
      </c>
      <c r="E280" s="1">
        <f>Tabela5[[#This Row],[Força (N)]]/$I$5</f>
        <v>3897116.1340607954</v>
      </c>
      <c r="F280" s="1">
        <f>Tabela5[[#This Row],[Tensão (Pa)]]/1000000</f>
        <v>3.8971161340607954</v>
      </c>
    </row>
    <row r="281" spans="1:6" x14ac:dyDescent="0.3">
      <c r="A281" s="2">
        <v>31.832999999999998</v>
      </c>
      <c r="B281" s="2">
        <v>2.6454</v>
      </c>
      <c r="C281" s="1">
        <f>Tabela5[[#This Row],[Alongamento (mm/mm)]]/$I$2</f>
        <v>5.2907999999999997E-2</v>
      </c>
      <c r="D281" s="2">
        <v>166.02</v>
      </c>
      <c r="E281" s="1">
        <f>Tabela5[[#This Row],[Força (N)]]/$I$5</f>
        <v>3921207.3974349895</v>
      </c>
      <c r="F281" s="1">
        <f>Tabela5[[#This Row],[Tensão (Pa)]]/1000000</f>
        <v>3.9212073974349893</v>
      </c>
    </row>
    <row r="282" spans="1:6" x14ac:dyDescent="0.3">
      <c r="A282" s="2">
        <v>31.882999999999999</v>
      </c>
      <c r="B282" s="2">
        <v>2.6495000000000002</v>
      </c>
      <c r="C282" s="1">
        <f>Tabela5[[#This Row],[Alongamento (mm/mm)]]/$I$2</f>
        <v>5.2990000000000002E-2</v>
      </c>
      <c r="D282" s="2">
        <v>167.04</v>
      </c>
      <c r="E282" s="1">
        <f>Tabela5[[#This Row],[Força (N)]]/$I$5</f>
        <v>3945298.660809183</v>
      </c>
      <c r="F282" s="1">
        <f>Tabela5[[#This Row],[Tensão (Pa)]]/1000000</f>
        <v>3.9452986608091831</v>
      </c>
    </row>
    <row r="283" spans="1:6" x14ac:dyDescent="0.3">
      <c r="A283" s="2">
        <v>31.933</v>
      </c>
      <c r="B283" s="2">
        <v>2.6537000000000002</v>
      </c>
      <c r="C283" s="1">
        <f>Tabela5[[#This Row],[Alongamento (mm/mm)]]/$I$2</f>
        <v>5.3074000000000003E-2</v>
      </c>
      <c r="D283" s="2">
        <v>168.23</v>
      </c>
      <c r="E283" s="1">
        <f>Tabela5[[#This Row],[Força (N)]]/$I$5</f>
        <v>3973405.1347457427</v>
      </c>
      <c r="F283" s="1">
        <f>Tabela5[[#This Row],[Tensão (Pa)]]/1000000</f>
        <v>3.9734051347457426</v>
      </c>
    </row>
    <row r="284" spans="1:6" x14ac:dyDescent="0.3">
      <c r="A284" s="2">
        <v>31.983000000000001</v>
      </c>
      <c r="B284" s="2">
        <v>2.6579000000000002</v>
      </c>
      <c r="C284" s="1">
        <f>Tabela5[[#This Row],[Alongamento (mm/mm)]]/$I$2</f>
        <v>5.3158000000000004E-2</v>
      </c>
      <c r="D284" s="2">
        <v>169.25</v>
      </c>
      <c r="E284" s="1">
        <f>Tabela5[[#This Row],[Força (N)]]/$I$5</f>
        <v>3997496.3981199372</v>
      </c>
      <c r="F284" s="1">
        <f>Tabela5[[#This Row],[Tensão (Pa)]]/1000000</f>
        <v>3.997496398119937</v>
      </c>
    </row>
    <row r="285" spans="1:6" x14ac:dyDescent="0.3">
      <c r="A285" s="2">
        <v>32.033000000000001</v>
      </c>
      <c r="B285" s="2">
        <v>2.6621000000000001</v>
      </c>
      <c r="C285" s="1">
        <f>Tabela5[[#This Row],[Alongamento (mm/mm)]]/$I$2</f>
        <v>5.3242000000000005E-2</v>
      </c>
      <c r="D285" s="2">
        <v>170.27</v>
      </c>
      <c r="E285" s="1">
        <f>Tabela5[[#This Row],[Força (N)]]/$I$5</f>
        <v>4021587.6614941312</v>
      </c>
      <c r="F285" s="1">
        <f>Tabela5[[#This Row],[Tensão (Pa)]]/1000000</f>
        <v>4.0215876614941308</v>
      </c>
    </row>
    <row r="286" spans="1:6" x14ac:dyDescent="0.3">
      <c r="A286" s="2">
        <v>32.082999999999998</v>
      </c>
      <c r="B286" s="2">
        <v>2.6661999999999999</v>
      </c>
      <c r="C286" s="1">
        <f>Tabela5[[#This Row],[Alongamento (mm/mm)]]/$I$2</f>
        <v>5.3323999999999996E-2</v>
      </c>
      <c r="D286" s="2">
        <v>171.29</v>
      </c>
      <c r="E286" s="1">
        <f>Tabela5[[#This Row],[Força (N)]]/$I$5</f>
        <v>4045678.9248683248</v>
      </c>
      <c r="F286" s="1">
        <f>Tabela5[[#This Row],[Tensão (Pa)]]/1000000</f>
        <v>4.0456789248683247</v>
      </c>
    </row>
    <row r="287" spans="1:6" x14ac:dyDescent="0.3">
      <c r="A287" s="2">
        <v>32.133000000000003</v>
      </c>
      <c r="B287" s="2">
        <v>2.6703999999999999</v>
      </c>
      <c r="C287" s="1">
        <f>Tabela5[[#This Row],[Alongamento (mm/mm)]]/$I$2</f>
        <v>5.3407999999999997E-2</v>
      </c>
      <c r="D287" s="2">
        <v>172.31</v>
      </c>
      <c r="E287" s="1">
        <f>Tabela5[[#This Row],[Força (N)]]/$I$5</f>
        <v>4069770.1882425193</v>
      </c>
      <c r="F287" s="1">
        <f>Tabela5[[#This Row],[Tensão (Pa)]]/1000000</f>
        <v>4.0697701882425195</v>
      </c>
    </row>
    <row r="288" spans="1:6" x14ac:dyDescent="0.3">
      <c r="A288" s="2">
        <v>32.183</v>
      </c>
      <c r="B288" s="2">
        <v>2.6745999999999999</v>
      </c>
      <c r="C288" s="1">
        <f>Tabela5[[#This Row],[Alongamento (mm/mm)]]/$I$2</f>
        <v>5.3491999999999998E-2</v>
      </c>
      <c r="D288" s="2">
        <v>173.5</v>
      </c>
      <c r="E288" s="1">
        <f>Tabela5[[#This Row],[Força (N)]]/$I$5</f>
        <v>4097876.6621790789</v>
      </c>
      <c r="F288" s="1">
        <f>Tabela5[[#This Row],[Tensão (Pa)]]/1000000</f>
        <v>4.097876662179079</v>
      </c>
    </row>
    <row r="289" spans="1:6" x14ac:dyDescent="0.3">
      <c r="A289" s="2">
        <v>32.232999999999997</v>
      </c>
      <c r="B289" s="2">
        <v>2.6787999999999998</v>
      </c>
      <c r="C289" s="1">
        <f>Tabela5[[#This Row],[Alongamento (mm/mm)]]/$I$2</f>
        <v>5.3575999999999999E-2</v>
      </c>
      <c r="D289" s="2">
        <v>174.52</v>
      </c>
      <c r="E289" s="1">
        <f>Tabela5[[#This Row],[Força (N)]]/$I$5</f>
        <v>4121967.9255532729</v>
      </c>
      <c r="F289" s="1">
        <f>Tabela5[[#This Row],[Tensão (Pa)]]/1000000</f>
        <v>4.1219679255532728</v>
      </c>
    </row>
    <row r="290" spans="1:6" x14ac:dyDescent="0.3">
      <c r="A290" s="2">
        <v>32.299999999999997</v>
      </c>
      <c r="B290" s="2">
        <v>2.6844000000000001</v>
      </c>
      <c r="C290" s="1">
        <f>Tabela5[[#This Row],[Alongamento (mm/mm)]]/$I$2</f>
        <v>5.3688E-2</v>
      </c>
      <c r="D290" s="2">
        <v>176.05</v>
      </c>
      <c r="E290" s="1">
        <f>Tabela5[[#This Row],[Força (N)]]/$I$5</f>
        <v>4158104.8206145642</v>
      </c>
      <c r="F290" s="1">
        <f>Tabela5[[#This Row],[Tensão (Pa)]]/1000000</f>
        <v>4.1581048206145645</v>
      </c>
    </row>
    <row r="291" spans="1:6" x14ac:dyDescent="0.3">
      <c r="A291" s="2">
        <v>32.366999999999997</v>
      </c>
      <c r="B291" s="2">
        <v>2.6898</v>
      </c>
      <c r="C291" s="1">
        <f>Tabela5[[#This Row],[Alongamento (mm/mm)]]/$I$2</f>
        <v>5.3795999999999997E-2</v>
      </c>
      <c r="D291" s="2">
        <v>177.41</v>
      </c>
      <c r="E291" s="1">
        <f>Tabela5[[#This Row],[Força (N)]]/$I$5</f>
        <v>4190226.505113489</v>
      </c>
      <c r="F291" s="1">
        <f>Tabela5[[#This Row],[Tensão (Pa)]]/1000000</f>
        <v>4.1902265051134888</v>
      </c>
    </row>
    <row r="292" spans="1:6" x14ac:dyDescent="0.3">
      <c r="A292" s="2">
        <v>32.433</v>
      </c>
      <c r="B292" s="2">
        <v>2.6955</v>
      </c>
      <c r="C292" s="1">
        <f>Tabela5[[#This Row],[Alongamento (mm/mm)]]/$I$2</f>
        <v>5.391E-2</v>
      </c>
      <c r="D292" s="2">
        <v>178.77</v>
      </c>
      <c r="E292" s="1">
        <f>Tabela5[[#This Row],[Força (N)]]/$I$5</f>
        <v>4222348.1896124147</v>
      </c>
      <c r="F292" s="1">
        <f>Tabela5[[#This Row],[Tensão (Pa)]]/1000000</f>
        <v>4.2223481896124149</v>
      </c>
    </row>
    <row r="293" spans="1:6" x14ac:dyDescent="0.3">
      <c r="A293" s="2">
        <v>32.5</v>
      </c>
      <c r="B293" s="2">
        <v>2.7010000000000001</v>
      </c>
      <c r="C293" s="1">
        <f>Tabela5[[#This Row],[Alongamento (mm/mm)]]/$I$2</f>
        <v>5.4019999999999999E-2</v>
      </c>
      <c r="D293" s="2">
        <v>180.3</v>
      </c>
      <c r="E293" s="1">
        <f>Tabela5[[#This Row],[Força (N)]]/$I$5</f>
        <v>4258485.0846737055</v>
      </c>
      <c r="F293" s="1">
        <f>Tabela5[[#This Row],[Tensão (Pa)]]/1000000</f>
        <v>4.2584850846737057</v>
      </c>
    </row>
    <row r="294" spans="1:6" x14ac:dyDescent="0.3">
      <c r="A294" s="2">
        <v>32.567</v>
      </c>
      <c r="B294" s="2">
        <v>2.7065000000000001</v>
      </c>
      <c r="C294" s="1">
        <f>Tabela5[[#This Row],[Alongamento (mm/mm)]]/$I$2</f>
        <v>5.4130000000000005E-2</v>
      </c>
      <c r="D294" s="2">
        <v>181.84</v>
      </c>
      <c r="E294" s="1">
        <f>Tabela5[[#This Row],[Força (N)]]/$I$5</f>
        <v>4294858.1685916064</v>
      </c>
      <c r="F294" s="1">
        <f>Tabela5[[#This Row],[Tensão (Pa)]]/1000000</f>
        <v>4.2948581685916061</v>
      </c>
    </row>
    <row r="295" spans="1:6" x14ac:dyDescent="0.3">
      <c r="A295" s="2">
        <v>32.633000000000003</v>
      </c>
      <c r="B295" s="2">
        <v>2.7121</v>
      </c>
      <c r="C295" s="1">
        <f>Tabela5[[#This Row],[Alongamento (mm/mm)]]/$I$2</f>
        <v>5.4241999999999999E-2</v>
      </c>
      <c r="D295" s="2">
        <v>183.2</v>
      </c>
      <c r="E295" s="1">
        <f>Tabela5[[#This Row],[Força (N)]]/$I$5</f>
        <v>4326979.8530905312</v>
      </c>
      <c r="F295" s="1">
        <f>Tabela5[[#This Row],[Tensão (Pa)]]/1000000</f>
        <v>4.3269798530905312</v>
      </c>
    </row>
    <row r="296" spans="1:6" x14ac:dyDescent="0.3">
      <c r="A296" s="2">
        <v>32.700000000000003</v>
      </c>
      <c r="B296" s="2">
        <v>2.7176</v>
      </c>
      <c r="C296" s="1">
        <f>Tabela5[[#This Row],[Alongamento (mm/mm)]]/$I$2</f>
        <v>5.4351999999999998E-2</v>
      </c>
      <c r="D296" s="2">
        <v>184.73</v>
      </c>
      <c r="E296" s="1">
        <f>Tabela5[[#This Row],[Força (N)]]/$I$5</f>
        <v>4363116.748151822</v>
      </c>
      <c r="F296" s="1">
        <f>Tabela5[[#This Row],[Tensão (Pa)]]/1000000</f>
        <v>4.363116748151822</v>
      </c>
    </row>
    <row r="297" spans="1:6" x14ac:dyDescent="0.3">
      <c r="A297" s="2">
        <v>32.767000000000003</v>
      </c>
      <c r="B297" s="2">
        <v>2.7231999999999998</v>
      </c>
      <c r="C297" s="1">
        <f>Tabela5[[#This Row],[Alongamento (mm/mm)]]/$I$2</f>
        <v>5.4463999999999999E-2</v>
      </c>
      <c r="D297" s="2">
        <v>186.26</v>
      </c>
      <c r="E297" s="1">
        <f>Tabela5[[#This Row],[Força (N)]]/$I$5</f>
        <v>4399253.6432131138</v>
      </c>
      <c r="F297" s="1">
        <f>Tabela5[[#This Row],[Tensão (Pa)]]/1000000</f>
        <v>4.3992536432131137</v>
      </c>
    </row>
    <row r="298" spans="1:6" x14ac:dyDescent="0.3">
      <c r="A298" s="2">
        <v>32.832999999999998</v>
      </c>
      <c r="B298" s="2">
        <v>2.7286999999999999</v>
      </c>
      <c r="C298" s="1">
        <f>Tabela5[[#This Row],[Alongamento (mm/mm)]]/$I$2</f>
        <v>5.4573999999999998E-2</v>
      </c>
      <c r="D298" s="2">
        <v>187.62</v>
      </c>
      <c r="E298" s="1">
        <f>Tabela5[[#This Row],[Força (N)]]/$I$5</f>
        <v>4431375.3277120395</v>
      </c>
      <c r="F298" s="1">
        <f>Tabela5[[#This Row],[Tensão (Pa)]]/1000000</f>
        <v>4.4313753277120398</v>
      </c>
    </row>
    <row r="299" spans="1:6" x14ac:dyDescent="0.3">
      <c r="A299" s="2">
        <v>32.9</v>
      </c>
      <c r="B299" s="2">
        <v>2.7343000000000002</v>
      </c>
      <c r="C299" s="1">
        <f>Tabela5[[#This Row],[Alongamento (mm/mm)]]/$I$2</f>
        <v>5.4686000000000005E-2</v>
      </c>
      <c r="D299" s="2">
        <v>189.15</v>
      </c>
      <c r="E299" s="1">
        <f>Tabela5[[#This Row],[Força (N)]]/$I$5</f>
        <v>4467512.2227733303</v>
      </c>
      <c r="F299" s="1">
        <f>Tabela5[[#This Row],[Tensão (Pa)]]/1000000</f>
        <v>4.4675122227733306</v>
      </c>
    </row>
    <row r="300" spans="1:6" x14ac:dyDescent="0.3">
      <c r="A300" s="2">
        <v>32.966999999999999</v>
      </c>
      <c r="B300" s="2">
        <v>2.7399</v>
      </c>
      <c r="C300" s="1">
        <f>Tabela5[[#This Row],[Alongamento (mm/mm)]]/$I$2</f>
        <v>5.4797999999999999E-2</v>
      </c>
      <c r="D300" s="2">
        <v>190.68</v>
      </c>
      <c r="E300" s="1">
        <f>Tabela5[[#This Row],[Força (N)]]/$I$5</f>
        <v>4503649.1178346211</v>
      </c>
      <c r="F300" s="1">
        <f>Tabela5[[#This Row],[Tensão (Pa)]]/1000000</f>
        <v>4.5036491178346214</v>
      </c>
    </row>
    <row r="301" spans="1:6" x14ac:dyDescent="0.3">
      <c r="A301" s="2">
        <v>33.033000000000001</v>
      </c>
      <c r="B301" s="2">
        <v>2.7454000000000001</v>
      </c>
      <c r="C301" s="1">
        <f>Tabela5[[#This Row],[Alongamento (mm/mm)]]/$I$2</f>
        <v>5.4907999999999998E-2</v>
      </c>
      <c r="D301" s="2">
        <v>192.21</v>
      </c>
      <c r="E301" s="1">
        <f>Tabela5[[#This Row],[Força (N)]]/$I$5</f>
        <v>4539786.0128959119</v>
      </c>
      <c r="F301" s="1">
        <f>Tabela5[[#This Row],[Tensão (Pa)]]/1000000</f>
        <v>4.5397860128959122</v>
      </c>
    </row>
    <row r="302" spans="1:6" x14ac:dyDescent="0.3">
      <c r="A302" s="2">
        <v>33.1</v>
      </c>
      <c r="B302" s="2">
        <v>2.7509999999999999</v>
      </c>
      <c r="C302" s="1">
        <f>Tabela5[[#This Row],[Alongamento (mm/mm)]]/$I$2</f>
        <v>5.5019999999999999E-2</v>
      </c>
      <c r="D302" s="2">
        <v>193.74</v>
      </c>
      <c r="E302" s="1">
        <f>Tabela5[[#This Row],[Força (N)]]/$I$5</f>
        <v>4575922.9079572037</v>
      </c>
      <c r="F302" s="1">
        <f>Tabela5[[#This Row],[Tensão (Pa)]]/1000000</f>
        <v>4.5759229079572039</v>
      </c>
    </row>
    <row r="303" spans="1:6" x14ac:dyDescent="0.3">
      <c r="A303" s="2">
        <v>33.167000000000002</v>
      </c>
      <c r="B303" s="2">
        <v>2.7566000000000002</v>
      </c>
      <c r="C303" s="1">
        <f>Tabela5[[#This Row],[Alongamento (mm/mm)]]/$I$2</f>
        <v>5.5132E-2</v>
      </c>
      <c r="D303" s="2">
        <v>195.27</v>
      </c>
      <c r="E303" s="1">
        <f>Tabela5[[#This Row],[Força (N)]]/$I$5</f>
        <v>4612059.8030184945</v>
      </c>
      <c r="F303" s="1">
        <f>Tabela5[[#This Row],[Tensão (Pa)]]/1000000</f>
        <v>4.6120598030184947</v>
      </c>
    </row>
    <row r="304" spans="1:6" x14ac:dyDescent="0.3">
      <c r="A304" s="2">
        <v>33.232999999999997</v>
      </c>
      <c r="B304" s="2">
        <v>2.7621000000000002</v>
      </c>
      <c r="C304" s="1">
        <f>Tabela5[[#This Row],[Alongamento (mm/mm)]]/$I$2</f>
        <v>5.5242000000000006E-2</v>
      </c>
      <c r="D304" s="2">
        <v>196.8</v>
      </c>
      <c r="E304" s="1">
        <f>Tabela5[[#This Row],[Força (N)]]/$I$5</f>
        <v>4648196.6980797853</v>
      </c>
      <c r="F304" s="1">
        <f>Tabela5[[#This Row],[Tensão (Pa)]]/1000000</f>
        <v>4.6481966980797855</v>
      </c>
    </row>
    <row r="305" spans="1:6" x14ac:dyDescent="0.3">
      <c r="A305" s="2">
        <v>33.299999999999997</v>
      </c>
      <c r="B305" s="2">
        <v>2.7675999999999998</v>
      </c>
      <c r="C305" s="1">
        <f>Tabela5[[#This Row],[Alongamento (mm/mm)]]/$I$2</f>
        <v>5.5351999999999998E-2</v>
      </c>
      <c r="D305" s="2">
        <v>198.34</v>
      </c>
      <c r="E305" s="1">
        <f>Tabela5[[#This Row],[Força (N)]]/$I$5</f>
        <v>4684569.7819976863</v>
      </c>
      <c r="F305" s="1">
        <f>Tabela5[[#This Row],[Tensão (Pa)]]/1000000</f>
        <v>4.6845697819976859</v>
      </c>
    </row>
    <row r="306" spans="1:6" x14ac:dyDescent="0.3">
      <c r="A306" s="2">
        <v>33.366999999999997</v>
      </c>
      <c r="B306" s="2">
        <v>2.7732000000000001</v>
      </c>
      <c r="C306" s="1">
        <f>Tabela5[[#This Row],[Alongamento (mm/mm)]]/$I$2</f>
        <v>5.5463999999999999E-2</v>
      </c>
      <c r="D306" s="2">
        <v>199.87</v>
      </c>
      <c r="E306" s="1">
        <f>Tabela5[[#This Row],[Força (N)]]/$I$5</f>
        <v>4720706.6770589771</v>
      </c>
      <c r="F306" s="1">
        <f>Tabela5[[#This Row],[Tensão (Pa)]]/1000000</f>
        <v>4.7207066770589767</v>
      </c>
    </row>
    <row r="307" spans="1:6" x14ac:dyDescent="0.3">
      <c r="A307" s="2">
        <v>33.433</v>
      </c>
      <c r="B307" s="2">
        <v>2.7787000000000002</v>
      </c>
      <c r="C307" s="1">
        <f>Tabela5[[#This Row],[Alongamento (mm/mm)]]/$I$2</f>
        <v>5.5574000000000005E-2</v>
      </c>
      <c r="D307" s="2">
        <v>201.4</v>
      </c>
      <c r="E307" s="1">
        <f>Tabela5[[#This Row],[Força (N)]]/$I$5</f>
        <v>4756843.5721202679</v>
      </c>
      <c r="F307" s="1">
        <f>Tabela5[[#This Row],[Tensão (Pa)]]/1000000</f>
        <v>4.7568435721202675</v>
      </c>
    </row>
    <row r="308" spans="1:6" x14ac:dyDescent="0.3">
      <c r="A308" s="2">
        <v>33.5</v>
      </c>
      <c r="B308" s="2">
        <v>2.7841999999999998</v>
      </c>
      <c r="C308" s="1">
        <f>Tabela5[[#This Row],[Alongamento (mm/mm)]]/$I$2</f>
        <v>5.5683999999999997E-2</v>
      </c>
      <c r="D308" s="2">
        <v>202.93</v>
      </c>
      <c r="E308" s="1">
        <f>Tabela5[[#This Row],[Força (N)]]/$I$5</f>
        <v>4792980.4671815587</v>
      </c>
      <c r="F308" s="1">
        <f>Tabela5[[#This Row],[Tensão (Pa)]]/1000000</f>
        <v>4.7929804671815583</v>
      </c>
    </row>
    <row r="309" spans="1:6" x14ac:dyDescent="0.3">
      <c r="A309" s="2">
        <v>33.567</v>
      </c>
      <c r="B309" s="2">
        <v>2.7898000000000001</v>
      </c>
      <c r="C309" s="1">
        <f>Tabela5[[#This Row],[Alongamento (mm/mm)]]/$I$2</f>
        <v>5.5795999999999998E-2</v>
      </c>
      <c r="D309" s="2">
        <v>204.46</v>
      </c>
      <c r="E309" s="1">
        <f>Tabela5[[#This Row],[Força (N)]]/$I$5</f>
        <v>4829117.3622428505</v>
      </c>
      <c r="F309" s="1">
        <f>Tabela5[[#This Row],[Tensão (Pa)]]/1000000</f>
        <v>4.82911736224285</v>
      </c>
    </row>
    <row r="310" spans="1:6" x14ac:dyDescent="0.3">
      <c r="A310" s="2">
        <v>33.633000000000003</v>
      </c>
      <c r="B310" s="2">
        <v>2.7955000000000001</v>
      </c>
      <c r="C310" s="1">
        <f>Tabela5[[#This Row],[Alongamento (mm/mm)]]/$I$2</f>
        <v>5.5910000000000001E-2</v>
      </c>
      <c r="D310" s="2">
        <v>205.99</v>
      </c>
      <c r="E310" s="1">
        <f>Tabela5[[#This Row],[Força (N)]]/$I$5</f>
        <v>4865254.2573041413</v>
      </c>
      <c r="F310" s="1">
        <f>Tabela5[[#This Row],[Tensão (Pa)]]/1000000</f>
        <v>4.8652542573041417</v>
      </c>
    </row>
    <row r="311" spans="1:6" x14ac:dyDescent="0.3">
      <c r="A311" s="2">
        <v>33.700000000000003</v>
      </c>
      <c r="B311" s="2">
        <v>2.8010000000000002</v>
      </c>
      <c r="C311" s="1">
        <f>Tabela5[[#This Row],[Alongamento (mm/mm)]]/$I$2</f>
        <v>5.602E-2</v>
      </c>
      <c r="D311" s="2">
        <v>207.69</v>
      </c>
      <c r="E311" s="1">
        <f>Tabela5[[#This Row],[Força (N)]]/$I$5</f>
        <v>4905406.3629277973</v>
      </c>
      <c r="F311" s="1">
        <f>Tabela5[[#This Row],[Tensão (Pa)]]/1000000</f>
        <v>4.9054063629277973</v>
      </c>
    </row>
    <row r="312" spans="1:6" x14ac:dyDescent="0.3">
      <c r="A312" s="2">
        <v>33.767000000000003</v>
      </c>
      <c r="B312" s="2">
        <v>2.8065000000000002</v>
      </c>
      <c r="C312" s="1">
        <f>Tabela5[[#This Row],[Alongamento (mm/mm)]]/$I$2</f>
        <v>5.6130000000000006E-2</v>
      </c>
      <c r="D312" s="2">
        <v>209.22</v>
      </c>
      <c r="E312" s="1">
        <f>Tabela5[[#This Row],[Força (N)]]/$I$5</f>
        <v>4941543.257989089</v>
      </c>
      <c r="F312" s="1">
        <f>Tabela5[[#This Row],[Tensão (Pa)]]/1000000</f>
        <v>4.941543257989089</v>
      </c>
    </row>
    <row r="313" spans="1:6" x14ac:dyDescent="0.3">
      <c r="A313" s="2">
        <v>33.832999999999998</v>
      </c>
      <c r="B313" s="2">
        <v>2.8121</v>
      </c>
      <c r="C313" s="1">
        <f>Tabela5[[#This Row],[Alongamento (mm/mm)]]/$I$2</f>
        <v>5.6242E-2</v>
      </c>
      <c r="D313" s="2">
        <v>210.75</v>
      </c>
      <c r="E313" s="1">
        <f>Tabela5[[#This Row],[Força (N)]]/$I$5</f>
        <v>4977680.1530503798</v>
      </c>
      <c r="F313" s="1">
        <f>Tabela5[[#This Row],[Tensão (Pa)]]/1000000</f>
        <v>4.9776801530503798</v>
      </c>
    </row>
    <row r="314" spans="1:6" x14ac:dyDescent="0.3">
      <c r="A314" s="2">
        <v>33.9</v>
      </c>
      <c r="B314" s="2">
        <v>2.8176999999999999</v>
      </c>
      <c r="C314" s="1">
        <f>Tabela5[[#This Row],[Alongamento (mm/mm)]]/$I$2</f>
        <v>5.6353999999999994E-2</v>
      </c>
      <c r="D314" s="2">
        <v>212.28</v>
      </c>
      <c r="E314" s="1">
        <f>Tabela5[[#This Row],[Força (N)]]/$I$5</f>
        <v>5013817.0481116707</v>
      </c>
      <c r="F314" s="1">
        <f>Tabela5[[#This Row],[Tensão (Pa)]]/1000000</f>
        <v>5.0138170481116706</v>
      </c>
    </row>
    <row r="315" spans="1:6" x14ac:dyDescent="0.3">
      <c r="A315" s="2">
        <v>33.950000000000003</v>
      </c>
      <c r="B315" s="2">
        <v>2.8218000000000001</v>
      </c>
      <c r="C315" s="1">
        <f>Tabela5[[#This Row],[Alongamento (mm/mm)]]/$I$2</f>
        <v>5.6436E-2</v>
      </c>
      <c r="D315" s="2">
        <v>213.64</v>
      </c>
      <c r="E315" s="1">
        <f>Tabela5[[#This Row],[Força (N)]]/$I$5</f>
        <v>5045938.7326105954</v>
      </c>
      <c r="F315" s="1">
        <f>Tabela5[[#This Row],[Tensão (Pa)]]/1000000</f>
        <v>5.0459387326105958</v>
      </c>
    </row>
    <row r="316" spans="1:6" x14ac:dyDescent="0.3">
      <c r="A316" s="2">
        <v>34.017000000000003</v>
      </c>
      <c r="B316" s="2">
        <v>2.8273999999999999</v>
      </c>
      <c r="C316" s="1">
        <f>Tabela5[[#This Row],[Alongamento (mm/mm)]]/$I$2</f>
        <v>5.6548000000000001E-2</v>
      </c>
      <c r="D316" s="2">
        <v>215.35</v>
      </c>
      <c r="E316" s="1">
        <f>Tabela5[[#This Row],[Força (N)]]/$I$5</f>
        <v>5086327.0270908624</v>
      </c>
      <c r="F316" s="1">
        <f>Tabela5[[#This Row],[Tensão (Pa)]]/1000000</f>
        <v>5.0863270270908627</v>
      </c>
    </row>
    <row r="317" spans="1:6" x14ac:dyDescent="0.3">
      <c r="A317" s="2">
        <v>34.082999999999998</v>
      </c>
      <c r="B317" s="2">
        <v>2.8329</v>
      </c>
      <c r="C317" s="1">
        <f>Tabela5[[#This Row],[Alongamento (mm/mm)]]/$I$2</f>
        <v>5.6658E-2</v>
      </c>
      <c r="D317" s="2">
        <v>216.88</v>
      </c>
      <c r="E317" s="1">
        <f>Tabela5[[#This Row],[Força (N)]]/$I$5</f>
        <v>5122463.9221521532</v>
      </c>
      <c r="F317" s="1">
        <f>Tabela5[[#This Row],[Tensão (Pa)]]/1000000</f>
        <v>5.1224639221521535</v>
      </c>
    </row>
    <row r="318" spans="1:6" x14ac:dyDescent="0.3">
      <c r="A318" s="2">
        <v>34.133000000000003</v>
      </c>
      <c r="B318" s="2">
        <v>2.8371</v>
      </c>
      <c r="C318" s="1">
        <f>Tabela5[[#This Row],[Alongamento (mm/mm)]]/$I$2</f>
        <v>5.6742000000000001E-2</v>
      </c>
      <c r="D318" s="2">
        <v>218.24</v>
      </c>
      <c r="E318" s="1">
        <f>Tabela5[[#This Row],[Força (N)]]/$I$5</f>
        <v>5154585.6066510789</v>
      </c>
      <c r="F318" s="1">
        <f>Tabela5[[#This Row],[Tensão (Pa)]]/1000000</f>
        <v>5.1545856066510787</v>
      </c>
    </row>
    <row r="319" spans="1:6" x14ac:dyDescent="0.3">
      <c r="A319" s="2">
        <v>34.200000000000003</v>
      </c>
      <c r="B319" s="2">
        <v>2.8426</v>
      </c>
      <c r="C319" s="1">
        <f>Tabela5[[#This Row],[Alongamento (mm/mm)]]/$I$2</f>
        <v>5.6852E-2</v>
      </c>
      <c r="D319" s="2">
        <v>219.94</v>
      </c>
      <c r="E319" s="1">
        <f>Tabela5[[#This Row],[Força (N)]]/$I$5</f>
        <v>5194737.7122747358</v>
      </c>
      <c r="F319" s="1">
        <f>Tabela5[[#This Row],[Tensão (Pa)]]/1000000</f>
        <v>5.194737712274736</v>
      </c>
    </row>
    <row r="320" spans="1:6" x14ac:dyDescent="0.3">
      <c r="A320" s="2">
        <v>34.283000000000001</v>
      </c>
      <c r="B320" s="2">
        <v>2.8496000000000001</v>
      </c>
      <c r="C320" s="1">
        <f>Tabela5[[#This Row],[Alongamento (mm/mm)]]/$I$2</f>
        <v>5.6992000000000001E-2</v>
      </c>
      <c r="D320" s="2">
        <v>221.98</v>
      </c>
      <c r="E320" s="1">
        <f>Tabela5[[#This Row],[Força (N)]]/$I$5</f>
        <v>5242920.2390231229</v>
      </c>
      <c r="F320" s="1">
        <f>Tabela5[[#This Row],[Tensão (Pa)]]/1000000</f>
        <v>5.2429202390231229</v>
      </c>
    </row>
    <row r="321" spans="1:6" x14ac:dyDescent="0.3">
      <c r="A321" s="2">
        <v>34.366999999999997</v>
      </c>
      <c r="B321" s="2">
        <v>2.8565</v>
      </c>
      <c r="C321" s="1">
        <f>Tabela5[[#This Row],[Alongamento (mm/mm)]]/$I$2</f>
        <v>5.713E-2</v>
      </c>
      <c r="D321" s="2">
        <v>224.02</v>
      </c>
      <c r="E321" s="1">
        <f>Tabela5[[#This Row],[Força (N)]]/$I$5</f>
        <v>5291102.7657715119</v>
      </c>
      <c r="F321" s="1">
        <f>Tabela5[[#This Row],[Tensão (Pa)]]/1000000</f>
        <v>5.2911027657715115</v>
      </c>
    </row>
    <row r="322" spans="1:6" x14ac:dyDescent="0.3">
      <c r="A322" s="2">
        <v>34.450000000000003</v>
      </c>
      <c r="B322" s="2">
        <v>2.8635000000000002</v>
      </c>
      <c r="C322" s="1">
        <f>Tabela5[[#This Row],[Alongamento (mm/mm)]]/$I$2</f>
        <v>5.7270000000000001E-2</v>
      </c>
      <c r="D322" s="2">
        <v>226.06</v>
      </c>
      <c r="E322" s="1">
        <f>Tabela5[[#This Row],[Força (N)]]/$I$5</f>
        <v>5339285.2925198991</v>
      </c>
      <c r="F322" s="1">
        <f>Tabela5[[#This Row],[Tensão (Pa)]]/1000000</f>
        <v>5.3392852925198993</v>
      </c>
    </row>
    <row r="323" spans="1:6" x14ac:dyDescent="0.3">
      <c r="A323" s="2">
        <v>34.533000000000001</v>
      </c>
      <c r="B323" s="2">
        <v>2.8704999999999998</v>
      </c>
      <c r="C323" s="1">
        <f>Tabela5[[#This Row],[Alongamento (mm/mm)]]/$I$2</f>
        <v>5.7409999999999996E-2</v>
      </c>
      <c r="D323" s="2">
        <v>228.1</v>
      </c>
      <c r="E323" s="1">
        <f>Tabela5[[#This Row],[Força (N)]]/$I$5</f>
        <v>5387467.8192682872</v>
      </c>
      <c r="F323" s="1">
        <f>Tabela5[[#This Row],[Tensão (Pa)]]/1000000</f>
        <v>5.387467819268287</v>
      </c>
    </row>
    <row r="324" spans="1:6" x14ac:dyDescent="0.3">
      <c r="A324" s="2">
        <v>34.616999999999997</v>
      </c>
      <c r="B324" s="2">
        <v>2.8773</v>
      </c>
      <c r="C324" s="1">
        <f>Tabela5[[#This Row],[Alongamento (mm/mm)]]/$I$2</f>
        <v>5.7546E-2</v>
      </c>
      <c r="D324" s="2">
        <v>230.14</v>
      </c>
      <c r="E324" s="1">
        <f>Tabela5[[#This Row],[Força (N)]]/$I$5</f>
        <v>5435650.3460166752</v>
      </c>
      <c r="F324" s="1">
        <f>Tabela5[[#This Row],[Tensão (Pa)]]/1000000</f>
        <v>5.4356503460166756</v>
      </c>
    </row>
    <row r="325" spans="1:6" x14ac:dyDescent="0.3">
      <c r="A325" s="2">
        <v>34.683</v>
      </c>
      <c r="B325" s="2">
        <v>2.8828999999999998</v>
      </c>
      <c r="C325" s="1">
        <f>Tabela5[[#This Row],[Alongamento (mm/mm)]]/$I$2</f>
        <v>5.7657999999999994E-2</v>
      </c>
      <c r="D325" s="2">
        <v>231.84</v>
      </c>
      <c r="E325" s="1">
        <f>Tabela5[[#This Row],[Força (N)]]/$I$5</f>
        <v>5475802.4516403321</v>
      </c>
      <c r="F325" s="1">
        <f>Tabela5[[#This Row],[Tensão (Pa)]]/1000000</f>
        <v>5.4758024516403321</v>
      </c>
    </row>
    <row r="326" spans="1:6" x14ac:dyDescent="0.3">
      <c r="A326" s="2">
        <v>34.767000000000003</v>
      </c>
      <c r="B326" s="2">
        <v>2.8898999999999999</v>
      </c>
      <c r="C326" s="1">
        <f>Tabela5[[#This Row],[Alongamento (mm/mm)]]/$I$2</f>
        <v>5.7797999999999995E-2</v>
      </c>
      <c r="D326" s="2">
        <v>233.89</v>
      </c>
      <c r="E326" s="1">
        <f>Tabela5[[#This Row],[Força (N)]]/$I$5</f>
        <v>5524221.1672453294</v>
      </c>
      <c r="F326" s="1">
        <f>Tabela5[[#This Row],[Tensão (Pa)]]/1000000</f>
        <v>5.5242211672453294</v>
      </c>
    </row>
    <row r="327" spans="1:6" x14ac:dyDescent="0.3">
      <c r="A327" s="2">
        <v>34.832999999999998</v>
      </c>
      <c r="B327" s="2">
        <v>2.8955000000000002</v>
      </c>
      <c r="C327" s="1">
        <f>Tabela5[[#This Row],[Alongamento (mm/mm)]]/$I$2</f>
        <v>5.7910000000000003E-2</v>
      </c>
      <c r="D327" s="2">
        <v>235.59</v>
      </c>
      <c r="E327" s="1">
        <f>Tabela5[[#This Row],[Força (N)]]/$I$5</f>
        <v>5564373.2728689862</v>
      </c>
      <c r="F327" s="1">
        <f>Tabela5[[#This Row],[Tensão (Pa)]]/1000000</f>
        <v>5.5643732728689859</v>
      </c>
    </row>
    <row r="328" spans="1:6" x14ac:dyDescent="0.3">
      <c r="A328" s="2">
        <v>34.9</v>
      </c>
      <c r="B328" s="2">
        <v>2.9009999999999998</v>
      </c>
      <c r="C328" s="1">
        <f>Tabela5[[#This Row],[Alongamento (mm/mm)]]/$I$2</f>
        <v>5.8019999999999995E-2</v>
      </c>
      <c r="D328" s="2">
        <v>237.29</v>
      </c>
      <c r="E328" s="1">
        <f>Tabela5[[#This Row],[Força (N)]]/$I$5</f>
        <v>5604525.3784926431</v>
      </c>
      <c r="F328" s="1">
        <f>Tabela5[[#This Row],[Tensão (Pa)]]/1000000</f>
        <v>5.6045253784926432</v>
      </c>
    </row>
    <row r="329" spans="1:6" x14ac:dyDescent="0.3">
      <c r="A329" s="2">
        <v>34.966999999999999</v>
      </c>
      <c r="B329" s="2">
        <v>2.9066000000000001</v>
      </c>
      <c r="C329" s="1">
        <f>Tabela5[[#This Row],[Alongamento (mm/mm)]]/$I$2</f>
        <v>5.8132000000000003E-2</v>
      </c>
      <c r="D329" s="2">
        <v>238.99</v>
      </c>
      <c r="E329" s="1">
        <f>Tabela5[[#This Row],[Força (N)]]/$I$5</f>
        <v>5644677.4841163</v>
      </c>
      <c r="F329" s="1">
        <f>Tabela5[[#This Row],[Tensão (Pa)]]/1000000</f>
        <v>5.6446774841162997</v>
      </c>
    </row>
    <row r="330" spans="1:6" x14ac:dyDescent="0.3">
      <c r="A330" s="2">
        <v>35.033000000000001</v>
      </c>
      <c r="B330" s="2">
        <v>2.9121000000000001</v>
      </c>
      <c r="C330" s="1">
        <f>Tabela5[[#This Row],[Alongamento (mm/mm)]]/$I$2</f>
        <v>5.8242000000000002E-2</v>
      </c>
      <c r="D330" s="2">
        <v>240.86</v>
      </c>
      <c r="E330" s="1">
        <f>Tabela5[[#This Row],[Força (N)]]/$I$5</f>
        <v>5688844.800302323</v>
      </c>
      <c r="F330" s="1">
        <f>Tabela5[[#This Row],[Tensão (Pa)]]/1000000</f>
        <v>5.6888448003023226</v>
      </c>
    </row>
    <row r="331" spans="1:6" x14ac:dyDescent="0.3">
      <c r="A331" s="2">
        <v>35.1</v>
      </c>
      <c r="B331" s="2">
        <v>2.9176000000000002</v>
      </c>
      <c r="C331" s="1">
        <f>Tabela5[[#This Row],[Alongamento (mm/mm)]]/$I$2</f>
        <v>5.8352000000000001E-2</v>
      </c>
      <c r="D331" s="2">
        <v>242.56</v>
      </c>
      <c r="E331" s="1">
        <f>Tabela5[[#This Row],[Força (N)]]/$I$5</f>
        <v>5728996.9059259789</v>
      </c>
      <c r="F331" s="1">
        <f>Tabela5[[#This Row],[Tensão (Pa)]]/1000000</f>
        <v>5.7289969059259791</v>
      </c>
    </row>
    <row r="332" spans="1:6" x14ac:dyDescent="0.3">
      <c r="A332" s="2">
        <v>35.167000000000002</v>
      </c>
      <c r="B332" s="2">
        <v>2.9230999999999998</v>
      </c>
      <c r="C332" s="1">
        <f>Tabela5[[#This Row],[Alongamento (mm/mm)]]/$I$2</f>
        <v>5.8461999999999993E-2</v>
      </c>
      <c r="D332" s="2">
        <v>244.26</v>
      </c>
      <c r="E332" s="1">
        <f>Tabela5[[#This Row],[Força (N)]]/$I$5</f>
        <v>5769149.0115496358</v>
      </c>
      <c r="F332" s="1">
        <f>Tabela5[[#This Row],[Tensão (Pa)]]/1000000</f>
        <v>5.7691490115496356</v>
      </c>
    </row>
    <row r="333" spans="1:6" x14ac:dyDescent="0.3">
      <c r="A333" s="2">
        <v>35.232999999999997</v>
      </c>
      <c r="B333" s="2">
        <v>2.9287000000000001</v>
      </c>
      <c r="C333" s="1">
        <f>Tabela5[[#This Row],[Alongamento (mm/mm)]]/$I$2</f>
        <v>5.8574000000000001E-2</v>
      </c>
      <c r="D333" s="2">
        <v>245.96</v>
      </c>
      <c r="E333" s="1">
        <f>Tabela5[[#This Row],[Força (N)]]/$I$5</f>
        <v>5809301.1171732927</v>
      </c>
      <c r="F333" s="1">
        <f>Tabela5[[#This Row],[Tensão (Pa)]]/1000000</f>
        <v>5.8093011171732929</v>
      </c>
    </row>
    <row r="334" spans="1:6" x14ac:dyDescent="0.3">
      <c r="A334" s="2">
        <v>35.299999999999997</v>
      </c>
      <c r="B334" s="2">
        <v>2.9342999999999999</v>
      </c>
      <c r="C334" s="1">
        <f>Tabela5[[#This Row],[Alongamento (mm/mm)]]/$I$2</f>
        <v>5.8685999999999995E-2</v>
      </c>
      <c r="D334" s="2">
        <v>247.66</v>
      </c>
      <c r="E334" s="1">
        <f>Tabela5[[#This Row],[Força (N)]]/$I$5</f>
        <v>5849453.2227969486</v>
      </c>
      <c r="F334" s="1">
        <f>Tabela5[[#This Row],[Tensão (Pa)]]/1000000</f>
        <v>5.8494532227969485</v>
      </c>
    </row>
    <row r="335" spans="1:6" x14ac:dyDescent="0.3">
      <c r="A335" s="2">
        <v>35.366999999999997</v>
      </c>
      <c r="B335" s="2">
        <v>2.9398</v>
      </c>
      <c r="C335" s="1">
        <f>Tabela5[[#This Row],[Alongamento (mm/mm)]]/$I$2</f>
        <v>5.8796000000000001E-2</v>
      </c>
      <c r="D335" s="2">
        <v>249.36</v>
      </c>
      <c r="E335" s="1">
        <f>Tabela5[[#This Row],[Força (N)]]/$I$5</f>
        <v>5889605.3284206064</v>
      </c>
      <c r="F335" s="1">
        <f>Tabela5[[#This Row],[Tensão (Pa)]]/1000000</f>
        <v>5.8896053284206067</v>
      </c>
    </row>
    <row r="336" spans="1:6" x14ac:dyDescent="0.3">
      <c r="A336" s="2">
        <v>35.433</v>
      </c>
      <c r="B336" s="2">
        <v>2.9453999999999998</v>
      </c>
      <c r="C336" s="1">
        <f>Tabela5[[#This Row],[Alongamento (mm/mm)]]/$I$2</f>
        <v>5.8907999999999995E-2</v>
      </c>
      <c r="D336" s="2">
        <v>251.24</v>
      </c>
      <c r="E336" s="1">
        <f>Tabela5[[#This Row],[Força (N)]]/$I$5</f>
        <v>5934008.8334632376</v>
      </c>
      <c r="F336" s="1">
        <f>Tabela5[[#This Row],[Tensão (Pa)]]/1000000</f>
        <v>5.9340088334632375</v>
      </c>
    </row>
    <row r="337" spans="1:6" x14ac:dyDescent="0.3">
      <c r="A337" s="2">
        <v>35.5</v>
      </c>
      <c r="B337" s="2">
        <v>2.9510000000000001</v>
      </c>
      <c r="C337" s="1">
        <f>Tabela5[[#This Row],[Alongamento (mm/mm)]]/$I$2</f>
        <v>5.9020000000000003E-2</v>
      </c>
      <c r="D337" s="2">
        <v>252.94</v>
      </c>
      <c r="E337" s="1">
        <f>Tabela5[[#This Row],[Força (N)]]/$I$5</f>
        <v>5974160.9390868945</v>
      </c>
      <c r="F337" s="1">
        <f>Tabela5[[#This Row],[Tensão (Pa)]]/1000000</f>
        <v>5.9741609390868948</v>
      </c>
    </row>
    <row r="338" spans="1:6" x14ac:dyDescent="0.3">
      <c r="A338" s="2">
        <v>35.567</v>
      </c>
      <c r="B338" s="2">
        <v>2.9565000000000001</v>
      </c>
      <c r="C338" s="1">
        <f>Tabela5[[#This Row],[Alongamento (mm/mm)]]/$I$2</f>
        <v>5.9130000000000002E-2</v>
      </c>
      <c r="D338" s="2">
        <v>254.64</v>
      </c>
      <c r="E338" s="1">
        <f>Tabela5[[#This Row],[Força (N)]]/$I$5</f>
        <v>6014313.0447105505</v>
      </c>
      <c r="F338" s="1">
        <f>Tabela5[[#This Row],[Tensão (Pa)]]/1000000</f>
        <v>6.0143130447105504</v>
      </c>
    </row>
    <row r="339" spans="1:6" x14ac:dyDescent="0.3">
      <c r="A339" s="2">
        <v>35.633000000000003</v>
      </c>
      <c r="B339" s="2">
        <v>2.9620000000000002</v>
      </c>
      <c r="C339" s="1">
        <f>Tabela5[[#This Row],[Alongamento (mm/mm)]]/$I$2</f>
        <v>5.9240000000000001E-2</v>
      </c>
      <c r="D339" s="2">
        <v>256.33999999999997</v>
      </c>
      <c r="E339" s="1">
        <f>Tabela5[[#This Row],[Força (N)]]/$I$5</f>
        <v>6054465.1503342073</v>
      </c>
      <c r="F339" s="1">
        <f>Tabela5[[#This Row],[Tensão (Pa)]]/1000000</f>
        <v>6.0544651503342077</v>
      </c>
    </row>
    <row r="340" spans="1:6" x14ac:dyDescent="0.3">
      <c r="A340" s="2">
        <v>35.700000000000003</v>
      </c>
      <c r="B340" s="2">
        <v>2.9676999999999998</v>
      </c>
      <c r="C340" s="1">
        <f>Tabela5[[#This Row],[Alongamento (mm/mm)]]/$I$2</f>
        <v>5.9353999999999997E-2</v>
      </c>
      <c r="D340" s="2">
        <v>258.20999999999998</v>
      </c>
      <c r="E340" s="1">
        <f>Tabela5[[#This Row],[Força (N)]]/$I$5</f>
        <v>6098632.4665202294</v>
      </c>
      <c r="F340" s="1">
        <f>Tabela5[[#This Row],[Tensão (Pa)]]/1000000</f>
        <v>6.0986324665202289</v>
      </c>
    </row>
    <row r="341" spans="1:6" x14ac:dyDescent="0.3">
      <c r="A341" s="2">
        <v>35.767000000000003</v>
      </c>
      <c r="B341" s="2">
        <v>2.9731999999999998</v>
      </c>
      <c r="C341" s="1">
        <f>Tabela5[[#This Row],[Alongamento (mm/mm)]]/$I$2</f>
        <v>5.9463999999999996E-2</v>
      </c>
      <c r="D341" s="2">
        <v>259.91000000000003</v>
      </c>
      <c r="E341" s="1">
        <f>Tabela5[[#This Row],[Força (N)]]/$I$5</f>
        <v>6138784.5721438872</v>
      </c>
      <c r="F341" s="1">
        <f>Tabela5[[#This Row],[Tensão (Pa)]]/1000000</f>
        <v>6.1387845721438872</v>
      </c>
    </row>
    <row r="342" spans="1:6" x14ac:dyDescent="0.3">
      <c r="A342" s="2">
        <v>35.832999999999998</v>
      </c>
      <c r="B342" s="2">
        <v>2.9788000000000001</v>
      </c>
      <c r="C342" s="1">
        <f>Tabela5[[#This Row],[Alongamento (mm/mm)]]/$I$2</f>
        <v>5.9576000000000004E-2</v>
      </c>
      <c r="D342" s="2">
        <v>261.61</v>
      </c>
      <c r="E342" s="1">
        <f>Tabela5[[#This Row],[Força (N)]]/$I$5</f>
        <v>6178936.6777675441</v>
      </c>
      <c r="F342" s="1">
        <f>Tabela5[[#This Row],[Tensão (Pa)]]/1000000</f>
        <v>6.1789366777675436</v>
      </c>
    </row>
    <row r="343" spans="1:6" x14ac:dyDescent="0.3">
      <c r="A343" s="2">
        <v>35.917000000000002</v>
      </c>
      <c r="B343" s="2">
        <v>2.9857</v>
      </c>
      <c r="C343" s="1">
        <f>Tabela5[[#This Row],[Alongamento (mm/mm)]]/$I$2</f>
        <v>5.9714000000000003E-2</v>
      </c>
      <c r="D343" s="2">
        <v>263.82</v>
      </c>
      <c r="E343" s="1">
        <f>Tabela5[[#This Row],[Força (N)]]/$I$5</f>
        <v>6231134.4150782973</v>
      </c>
      <c r="F343" s="1">
        <f>Tabela5[[#This Row],[Tensão (Pa)]]/1000000</f>
        <v>6.231134415078297</v>
      </c>
    </row>
    <row r="344" spans="1:6" x14ac:dyDescent="0.3">
      <c r="A344" s="2">
        <v>36</v>
      </c>
      <c r="B344" s="2">
        <v>2.9927000000000001</v>
      </c>
      <c r="C344" s="1">
        <f>Tabela5[[#This Row],[Alongamento (mm/mm)]]/$I$2</f>
        <v>5.9854000000000004E-2</v>
      </c>
      <c r="D344" s="2">
        <v>266.02999999999997</v>
      </c>
      <c r="E344" s="1">
        <f>Tabela5[[#This Row],[Força (N)]]/$I$5</f>
        <v>6283332.1523890505</v>
      </c>
      <c r="F344" s="1">
        <f>Tabela5[[#This Row],[Tensão (Pa)]]/1000000</f>
        <v>6.2833321523890504</v>
      </c>
    </row>
    <row r="345" spans="1:6" x14ac:dyDescent="0.3">
      <c r="A345" s="2">
        <v>36.082999999999998</v>
      </c>
      <c r="B345" s="2">
        <v>2.9996</v>
      </c>
      <c r="C345" s="1">
        <f>Tabela5[[#This Row],[Alongamento (mm/mm)]]/$I$2</f>
        <v>5.9992000000000004E-2</v>
      </c>
      <c r="D345" s="2">
        <v>268.25</v>
      </c>
      <c r="E345" s="1">
        <f>Tabela5[[#This Row],[Força (N)]]/$I$5</f>
        <v>6335766.0785564147</v>
      </c>
      <c r="F345" s="1">
        <f>Tabela5[[#This Row],[Tensão (Pa)]]/1000000</f>
        <v>6.3357660785564143</v>
      </c>
    </row>
    <row r="346" spans="1:6" x14ac:dyDescent="0.3">
      <c r="A346" s="2">
        <v>36.167000000000002</v>
      </c>
      <c r="B346" s="2">
        <v>3.0065</v>
      </c>
      <c r="C346" s="1">
        <f>Tabela5[[#This Row],[Alongamento (mm/mm)]]/$I$2</f>
        <v>6.0129999999999996E-2</v>
      </c>
      <c r="D346" s="2">
        <v>270.63</v>
      </c>
      <c r="E346" s="1">
        <f>Tabela5[[#This Row],[Força (N)]]/$I$5</f>
        <v>6391979.026429534</v>
      </c>
      <c r="F346" s="1">
        <f>Tabela5[[#This Row],[Tensão (Pa)]]/1000000</f>
        <v>6.3919790264295342</v>
      </c>
    </row>
    <row r="347" spans="1:6" x14ac:dyDescent="0.3">
      <c r="A347" s="2">
        <v>36.25</v>
      </c>
      <c r="B347" s="2">
        <v>3.0135000000000001</v>
      </c>
      <c r="C347" s="1">
        <f>Tabela5[[#This Row],[Alongamento (mm/mm)]]/$I$2</f>
        <v>6.0270000000000004E-2</v>
      </c>
      <c r="D347" s="2">
        <v>272.83999999999997</v>
      </c>
      <c r="E347" s="1">
        <f>Tabela5[[#This Row],[Força (N)]]/$I$5</f>
        <v>6444176.7637402872</v>
      </c>
      <c r="F347" s="1">
        <f>Tabela5[[#This Row],[Tensão (Pa)]]/1000000</f>
        <v>6.4441767637402876</v>
      </c>
    </row>
    <row r="348" spans="1:6" x14ac:dyDescent="0.3">
      <c r="A348" s="2">
        <v>36.332999999999998</v>
      </c>
      <c r="B348" s="2">
        <v>3.0205000000000002</v>
      </c>
      <c r="C348" s="1">
        <f>Tabela5[[#This Row],[Alongamento (mm/mm)]]/$I$2</f>
        <v>6.0410000000000005E-2</v>
      </c>
      <c r="D348" s="2">
        <v>275.22000000000003</v>
      </c>
      <c r="E348" s="1">
        <f>Tabela5[[#This Row],[Força (N)]]/$I$5</f>
        <v>6500389.7116134074</v>
      </c>
      <c r="F348" s="1">
        <f>Tabela5[[#This Row],[Tensão (Pa)]]/1000000</f>
        <v>6.5003897116134075</v>
      </c>
    </row>
    <row r="349" spans="1:6" x14ac:dyDescent="0.3">
      <c r="A349" s="2">
        <v>36.417000000000002</v>
      </c>
      <c r="B349" s="2">
        <v>3.0274000000000001</v>
      </c>
      <c r="C349" s="1">
        <f>Tabela5[[#This Row],[Alongamento (mm/mm)]]/$I$2</f>
        <v>6.0548000000000005E-2</v>
      </c>
      <c r="D349" s="2">
        <v>277.43</v>
      </c>
      <c r="E349" s="1">
        <f>Tabela5[[#This Row],[Força (N)]]/$I$5</f>
        <v>6552587.4489241606</v>
      </c>
      <c r="F349" s="1">
        <f>Tabela5[[#This Row],[Tensão (Pa)]]/1000000</f>
        <v>6.5525874489241609</v>
      </c>
    </row>
    <row r="350" spans="1:6" x14ac:dyDescent="0.3">
      <c r="A350" s="2">
        <v>36.5</v>
      </c>
      <c r="B350" s="2">
        <v>3.0343</v>
      </c>
      <c r="C350" s="1">
        <f>Tabela5[[#This Row],[Alongamento (mm/mm)]]/$I$2</f>
        <v>6.0685999999999997E-2</v>
      </c>
      <c r="D350" s="2">
        <v>279.81</v>
      </c>
      <c r="E350" s="1">
        <f>Tabela5[[#This Row],[Força (N)]]/$I$5</f>
        <v>6608800.3967972798</v>
      </c>
      <c r="F350" s="1">
        <f>Tabela5[[#This Row],[Tensão (Pa)]]/1000000</f>
        <v>6.6088003967972799</v>
      </c>
    </row>
    <row r="351" spans="1:6" x14ac:dyDescent="0.3">
      <c r="A351" s="2">
        <v>36.582999999999998</v>
      </c>
      <c r="B351" s="2">
        <v>3.0411999999999999</v>
      </c>
      <c r="C351" s="1">
        <f>Tabela5[[#This Row],[Alongamento (mm/mm)]]/$I$2</f>
        <v>6.0823999999999996E-2</v>
      </c>
      <c r="D351" s="2">
        <v>282.02</v>
      </c>
      <c r="E351" s="1">
        <f>Tabela5[[#This Row],[Força (N)]]/$I$5</f>
        <v>6660998.134108033</v>
      </c>
      <c r="F351" s="1">
        <f>Tabela5[[#This Row],[Tensão (Pa)]]/1000000</f>
        <v>6.6609981341080333</v>
      </c>
    </row>
    <row r="352" spans="1:6" x14ac:dyDescent="0.3">
      <c r="A352" s="2">
        <v>36.667000000000002</v>
      </c>
      <c r="B352" s="2">
        <v>3.0480999999999998</v>
      </c>
      <c r="C352" s="1">
        <f>Tabela5[[#This Row],[Alongamento (mm/mm)]]/$I$2</f>
        <v>6.0961999999999995E-2</v>
      </c>
      <c r="D352" s="2">
        <v>284.41000000000003</v>
      </c>
      <c r="E352" s="1">
        <f>Tabela5[[#This Row],[Força (N)]]/$I$5</f>
        <v>6717447.2708377633</v>
      </c>
      <c r="F352" s="1">
        <f>Tabela5[[#This Row],[Tensão (Pa)]]/1000000</f>
        <v>6.7174472708377637</v>
      </c>
    </row>
    <row r="353" spans="1:6" x14ac:dyDescent="0.3">
      <c r="A353" s="2">
        <v>36.75</v>
      </c>
      <c r="B353" s="2">
        <v>3.0550999999999999</v>
      </c>
      <c r="C353" s="1">
        <f>Tabela5[[#This Row],[Alongamento (mm/mm)]]/$I$2</f>
        <v>6.1101999999999997E-2</v>
      </c>
      <c r="D353" s="2">
        <v>286.79000000000002</v>
      </c>
      <c r="E353" s="1">
        <f>Tabela5[[#This Row],[Força (N)]]/$I$5</f>
        <v>6773660.2187108826</v>
      </c>
      <c r="F353" s="1">
        <f>Tabela5[[#This Row],[Tensão (Pa)]]/1000000</f>
        <v>6.7736602187108828</v>
      </c>
    </row>
    <row r="354" spans="1:6" x14ac:dyDescent="0.3">
      <c r="A354" s="2">
        <v>36.832999999999998</v>
      </c>
      <c r="B354" s="2">
        <v>3.0621</v>
      </c>
      <c r="C354" s="1">
        <f>Tabela5[[#This Row],[Alongamento (mm/mm)]]/$I$2</f>
        <v>6.1241999999999998E-2</v>
      </c>
      <c r="D354" s="2">
        <v>289</v>
      </c>
      <c r="E354" s="1">
        <f>Tabela5[[#This Row],[Força (N)]]/$I$5</f>
        <v>6825857.9560216358</v>
      </c>
      <c r="F354" s="1">
        <f>Tabela5[[#This Row],[Tensão (Pa)]]/1000000</f>
        <v>6.8258579560216361</v>
      </c>
    </row>
    <row r="355" spans="1:6" x14ac:dyDescent="0.3">
      <c r="A355" s="2">
        <v>36.917000000000002</v>
      </c>
      <c r="B355" s="2">
        <v>3.0691000000000002</v>
      </c>
      <c r="C355" s="1">
        <f>Tabela5[[#This Row],[Alongamento (mm/mm)]]/$I$2</f>
        <v>6.1382000000000006E-2</v>
      </c>
      <c r="D355" s="2">
        <v>291.38</v>
      </c>
      <c r="E355" s="1">
        <f>Tabela5[[#This Row],[Força (N)]]/$I$5</f>
        <v>6882070.9038947551</v>
      </c>
      <c r="F355" s="1">
        <f>Tabela5[[#This Row],[Tensão (Pa)]]/1000000</f>
        <v>6.8820709038947552</v>
      </c>
    </row>
    <row r="356" spans="1:6" x14ac:dyDescent="0.3">
      <c r="A356" s="2">
        <v>37</v>
      </c>
      <c r="B356" s="2">
        <v>3.0760000000000001</v>
      </c>
      <c r="C356" s="1">
        <f>Tabela5[[#This Row],[Alongamento (mm/mm)]]/$I$2</f>
        <v>6.1519999999999998E-2</v>
      </c>
      <c r="D356" s="2">
        <v>293.76</v>
      </c>
      <c r="E356" s="1">
        <f>Tabela5[[#This Row],[Força (N)]]/$I$5</f>
        <v>6938283.8517678743</v>
      </c>
      <c r="F356" s="1">
        <f>Tabela5[[#This Row],[Tensão (Pa)]]/1000000</f>
        <v>6.9382838517678742</v>
      </c>
    </row>
    <row r="357" spans="1:6" x14ac:dyDescent="0.3">
      <c r="A357" s="2">
        <v>37.082999999999998</v>
      </c>
      <c r="B357" s="2">
        <v>3.0829</v>
      </c>
      <c r="C357" s="1">
        <f>Tabela5[[#This Row],[Alongamento (mm/mm)]]/$I$2</f>
        <v>6.1657999999999998E-2</v>
      </c>
      <c r="D357" s="2">
        <v>296.14</v>
      </c>
      <c r="E357" s="1">
        <f>Tabela5[[#This Row],[Força (N)]]/$I$5</f>
        <v>6994496.7996409936</v>
      </c>
      <c r="F357" s="1">
        <f>Tabela5[[#This Row],[Tensão (Pa)]]/1000000</f>
        <v>6.9944967996409932</v>
      </c>
    </row>
    <row r="358" spans="1:6" x14ac:dyDescent="0.3">
      <c r="A358" s="2">
        <v>37.167000000000002</v>
      </c>
      <c r="B358" s="2">
        <v>3.0897999999999999</v>
      </c>
      <c r="C358" s="1">
        <f>Tabela5[[#This Row],[Alongamento (mm/mm)]]/$I$2</f>
        <v>6.1795999999999997E-2</v>
      </c>
      <c r="D358" s="2">
        <v>298.35000000000002</v>
      </c>
      <c r="E358" s="1">
        <f>Tabela5[[#This Row],[Força (N)]]/$I$5</f>
        <v>7046694.5369517477</v>
      </c>
      <c r="F358" s="1">
        <f>Tabela5[[#This Row],[Tensão (Pa)]]/1000000</f>
        <v>7.0466945369517475</v>
      </c>
    </row>
    <row r="359" spans="1:6" x14ac:dyDescent="0.3">
      <c r="A359" s="2">
        <v>37.25</v>
      </c>
      <c r="B359" s="2">
        <v>3.0968</v>
      </c>
      <c r="C359" s="1">
        <f>Tabela5[[#This Row],[Alongamento (mm/mm)]]/$I$2</f>
        <v>6.1935999999999998E-2</v>
      </c>
      <c r="D359" s="2">
        <v>300.73</v>
      </c>
      <c r="E359" s="1">
        <f>Tabela5[[#This Row],[Força (N)]]/$I$5</f>
        <v>7102907.484824867</v>
      </c>
      <c r="F359" s="1">
        <f>Tabela5[[#This Row],[Tensão (Pa)]]/1000000</f>
        <v>7.1029074848248666</v>
      </c>
    </row>
    <row r="360" spans="1:6" x14ac:dyDescent="0.3">
      <c r="A360" s="2">
        <v>37.332999999999998</v>
      </c>
      <c r="B360" s="2">
        <v>3.1038000000000001</v>
      </c>
      <c r="C360" s="1">
        <f>Tabela5[[#This Row],[Alongamento (mm/mm)]]/$I$2</f>
        <v>6.2075999999999999E-2</v>
      </c>
      <c r="D360" s="2">
        <v>303.12</v>
      </c>
      <c r="E360" s="1">
        <f>Tabela5[[#This Row],[Força (N)]]/$I$5</f>
        <v>7159356.6215545963</v>
      </c>
      <c r="F360" s="1">
        <f>Tabela5[[#This Row],[Tensão (Pa)]]/1000000</f>
        <v>7.1593566215545961</v>
      </c>
    </row>
    <row r="361" spans="1:6" x14ac:dyDescent="0.3">
      <c r="A361" s="2">
        <v>37.417000000000002</v>
      </c>
      <c r="B361" s="2">
        <v>3.1105999999999998</v>
      </c>
      <c r="C361" s="1">
        <f>Tabela5[[#This Row],[Alongamento (mm/mm)]]/$I$2</f>
        <v>6.2211999999999996E-2</v>
      </c>
      <c r="D361" s="2">
        <v>305.5</v>
      </c>
      <c r="E361" s="1">
        <f>Tabela5[[#This Row],[Força (N)]]/$I$5</f>
        <v>7215569.5694277147</v>
      </c>
      <c r="F361" s="1">
        <f>Tabela5[[#This Row],[Tensão (Pa)]]/1000000</f>
        <v>7.2155695694277151</v>
      </c>
    </row>
    <row r="362" spans="1:6" x14ac:dyDescent="0.3">
      <c r="A362" s="2">
        <v>37.5</v>
      </c>
      <c r="B362" s="2">
        <v>3.1175999999999999</v>
      </c>
      <c r="C362" s="1">
        <f>Tabela5[[#This Row],[Alongamento (mm/mm)]]/$I$2</f>
        <v>6.2351999999999998E-2</v>
      </c>
      <c r="D362" s="2">
        <v>307.88</v>
      </c>
      <c r="E362" s="1">
        <f>Tabela5[[#This Row],[Força (N)]]/$I$5</f>
        <v>7271782.5173008339</v>
      </c>
      <c r="F362" s="1">
        <f>Tabela5[[#This Row],[Tensão (Pa)]]/1000000</f>
        <v>7.2717825173008341</v>
      </c>
    </row>
    <row r="363" spans="1:6" x14ac:dyDescent="0.3">
      <c r="A363" s="2">
        <v>37.582999999999998</v>
      </c>
      <c r="B363" s="2">
        <v>3.1246</v>
      </c>
      <c r="C363" s="1">
        <f>Tabela5[[#This Row],[Alongamento (mm/mm)]]/$I$2</f>
        <v>6.2491999999999999E-2</v>
      </c>
      <c r="D363" s="2">
        <v>310.26</v>
      </c>
      <c r="E363" s="1">
        <f>Tabela5[[#This Row],[Força (N)]]/$I$5</f>
        <v>7327995.4651739532</v>
      </c>
      <c r="F363" s="1">
        <f>Tabela5[[#This Row],[Tensão (Pa)]]/1000000</f>
        <v>7.3279954651739532</v>
      </c>
    </row>
    <row r="364" spans="1:6" x14ac:dyDescent="0.3">
      <c r="A364" s="2">
        <v>37.667000000000002</v>
      </c>
      <c r="B364" s="2">
        <v>3.1315</v>
      </c>
      <c r="C364" s="1">
        <f>Tabela5[[#This Row],[Alongamento (mm/mm)]]/$I$2</f>
        <v>6.2630000000000005E-2</v>
      </c>
      <c r="D364" s="2">
        <v>312.81</v>
      </c>
      <c r="E364" s="1">
        <f>Tabela5[[#This Row],[Força (N)]]/$I$5</f>
        <v>7388223.6236094385</v>
      </c>
      <c r="F364" s="1">
        <f>Tabela5[[#This Row],[Tensão (Pa)]]/1000000</f>
        <v>7.3882236236094387</v>
      </c>
    </row>
    <row r="365" spans="1:6" x14ac:dyDescent="0.3">
      <c r="A365" s="2">
        <v>37.75</v>
      </c>
      <c r="B365" s="2">
        <v>3.1385000000000001</v>
      </c>
      <c r="C365" s="1">
        <f>Tabela5[[#This Row],[Alongamento (mm/mm)]]/$I$2</f>
        <v>6.2770000000000006E-2</v>
      </c>
      <c r="D365" s="2">
        <v>315.19</v>
      </c>
      <c r="E365" s="1">
        <f>Tabela5[[#This Row],[Força (N)]]/$I$5</f>
        <v>7444436.5714825578</v>
      </c>
      <c r="F365" s="1">
        <f>Tabela5[[#This Row],[Tensão (Pa)]]/1000000</f>
        <v>7.4444365714825578</v>
      </c>
    </row>
    <row r="366" spans="1:6" x14ac:dyDescent="0.3">
      <c r="A366" s="2">
        <v>37.832999999999998</v>
      </c>
      <c r="B366" s="2">
        <v>3.1455000000000002</v>
      </c>
      <c r="C366" s="1">
        <f>Tabela5[[#This Row],[Alongamento (mm/mm)]]/$I$2</f>
        <v>6.2910000000000008E-2</v>
      </c>
      <c r="D366" s="2">
        <v>317.57</v>
      </c>
      <c r="E366" s="1">
        <f>Tabela5[[#This Row],[Força (N)]]/$I$5</f>
        <v>7500649.5193556771</v>
      </c>
      <c r="F366" s="1">
        <f>Tabela5[[#This Row],[Tensão (Pa)]]/1000000</f>
        <v>7.5006495193556768</v>
      </c>
    </row>
    <row r="367" spans="1:6" x14ac:dyDescent="0.3">
      <c r="A367" s="2">
        <v>37.917000000000002</v>
      </c>
      <c r="B367" s="2">
        <v>3.1522999999999999</v>
      </c>
      <c r="C367" s="1">
        <f>Tabela5[[#This Row],[Alongamento (mm/mm)]]/$I$2</f>
        <v>6.3045999999999991E-2</v>
      </c>
      <c r="D367" s="2">
        <v>320.13</v>
      </c>
      <c r="E367" s="1">
        <f>Tabela5[[#This Row],[Força (N)]]/$I$5</f>
        <v>7561113.8666477725</v>
      </c>
      <c r="F367" s="1">
        <f>Tabela5[[#This Row],[Tensão (Pa)]]/1000000</f>
        <v>7.5611138666477729</v>
      </c>
    </row>
    <row r="368" spans="1:6" x14ac:dyDescent="0.3">
      <c r="A368" s="2">
        <v>38</v>
      </c>
      <c r="B368" s="2">
        <v>3.1593</v>
      </c>
      <c r="C368" s="1">
        <f>Tabela5[[#This Row],[Alongamento (mm/mm)]]/$I$2</f>
        <v>6.3186000000000006E-2</v>
      </c>
      <c r="D368" s="2">
        <v>322.51</v>
      </c>
      <c r="E368" s="1">
        <f>Tabela5[[#This Row],[Força (N)]]/$I$5</f>
        <v>7617326.8145208918</v>
      </c>
      <c r="F368" s="1">
        <f>Tabela5[[#This Row],[Tensão (Pa)]]/1000000</f>
        <v>7.6173268145208919</v>
      </c>
    </row>
    <row r="369" spans="1:6" x14ac:dyDescent="0.3">
      <c r="A369" s="2">
        <v>38.082999999999998</v>
      </c>
      <c r="B369" s="2">
        <v>3.1663000000000001</v>
      </c>
      <c r="C369" s="1">
        <f>Tabela5[[#This Row],[Alongamento (mm/mm)]]/$I$2</f>
        <v>6.3326000000000007E-2</v>
      </c>
      <c r="D369" s="2">
        <v>325.06</v>
      </c>
      <c r="E369" s="1">
        <f>Tabela5[[#This Row],[Força (N)]]/$I$5</f>
        <v>7677554.9729563771</v>
      </c>
      <c r="F369" s="1">
        <f>Tabela5[[#This Row],[Tensão (Pa)]]/1000000</f>
        <v>7.6775549729563775</v>
      </c>
    </row>
    <row r="370" spans="1:6" x14ac:dyDescent="0.3">
      <c r="A370" s="2">
        <v>38.167000000000002</v>
      </c>
      <c r="B370" s="2">
        <v>3.1732</v>
      </c>
      <c r="C370" s="1">
        <f>Tabela5[[#This Row],[Alongamento (mm/mm)]]/$I$2</f>
        <v>6.3464000000000007E-2</v>
      </c>
      <c r="D370" s="2">
        <v>327.44</v>
      </c>
      <c r="E370" s="1">
        <f>Tabela5[[#This Row],[Força (N)]]/$I$5</f>
        <v>7733767.9208294963</v>
      </c>
      <c r="F370" s="1">
        <f>Tabela5[[#This Row],[Tensão (Pa)]]/1000000</f>
        <v>7.7337679208294965</v>
      </c>
    </row>
    <row r="371" spans="1:6" x14ac:dyDescent="0.3">
      <c r="A371" s="2">
        <v>38.25</v>
      </c>
      <c r="B371" s="2">
        <v>3.1802000000000001</v>
      </c>
      <c r="C371" s="1">
        <f>Tabela5[[#This Row],[Alongamento (mm/mm)]]/$I$2</f>
        <v>6.3604000000000008E-2</v>
      </c>
      <c r="D371" s="2">
        <v>329.99</v>
      </c>
      <c r="E371" s="1">
        <f>Tabela5[[#This Row],[Força (N)]]/$I$5</f>
        <v>7793996.0792649817</v>
      </c>
      <c r="F371" s="1">
        <f>Tabela5[[#This Row],[Tensão (Pa)]]/1000000</f>
        <v>7.7939960792649821</v>
      </c>
    </row>
    <row r="372" spans="1:6" x14ac:dyDescent="0.3">
      <c r="A372" s="2">
        <v>38.332999999999998</v>
      </c>
      <c r="B372" s="2">
        <v>3.1871</v>
      </c>
      <c r="C372" s="1">
        <f>Tabela5[[#This Row],[Alongamento (mm/mm)]]/$I$2</f>
        <v>6.3742000000000007E-2</v>
      </c>
      <c r="D372" s="2">
        <v>332.37</v>
      </c>
      <c r="E372" s="1">
        <f>Tabela5[[#This Row],[Força (N)]]/$I$5</f>
        <v>7850209.0271381009</v>
      </c>
      <c r="F372" s="1">
        <f>Tabela5[[#This Row],[Tensão (Pa)]]/1000000</f>
        <v>7.8502090271381011</v>
      </c>
    </row>
    <row r="373" spans="1:6" x14ac:dyDescent="0.3">
      <c r="A373" s="2">
        <v>38.417000000000002</v>
      </c>
      <c r="B373" s="2">
        <v>3.194</v>
      </c>
      <c r="C373" s="1">
        <f>Tabela5[[#This Row],[Alongamento (mm/mm)]]/$I$2</f>
        <v>6.3879999999999992E-2</v>
      </c>
      <c r="D373" s="2">
        <v>334.92</v>
      </c>
      <c r="E373" s="1">
        <f>Tabela5[[#This Row],[Força (N)]]/$I$5</f>
        <v>7910437.1855735863</v>
      </c>
      <c r="F373" s="1">
        <f>Tabela5[[#This Row],[Tensão (Pa)]]/1000000</f>
        <v>7.9104371855735867</v>
      </c>
    </row>
    <row r="374" spans="1:6" x14ac:dyDescent="0.3">
      <c r="A374" s="2">
        <v>38.5</v>
      </c>
      <c r="B374" s="2">
        <v>3.2010000000000001</v>
      </c>
      <c r="C374" s="1">
        <f>Tabela5[[#This Row],[Alongamento (mm/mm)]]/$I$2</f>
        <v>6.4020000000000007E-2</v>
      </c>
      <c r="D374" s="2">
        <v>337.31</v>
      </c>
      <c r="E374" s="1">
        <f>Tabela5[[#This Row],[Força (N)]]/$I$5</f>
        <v>7966886.3223033147</v>
      </c>
      <c r="F374" s="1">
        <f>Tabela5[[#This Row],[Tensão (Pa)]]/1000000</f>
        <v>7.9668863223033144</v>
      </c>
    </row>
    <row r="375" spans="1:6" x14ac:dyDescent="0.3">
      <c r="A375" s="2">
        <v>38.582999999999998</v>
      </c>
      <c r="B375" s="2">
        <v>3.2079</v>
      </c>
      <c r="C375" s="1">
        <f>Tabela5[[#This Row],[Alongamento (mm/mm)]]/$I$2</f>
        <v>6.4157999999999993E-2</v>
      </c>
      <c r="D375" s="2">
        <v>339.69</v>
      </c>
      <c r="E375" s="1">
        <f>Tabela5[[#This Row],[Força (N)]]/$I$5</f>
        <v>8023099.270176434</v>
      </c>
      <c r="F375" s="1">
        <f>Tabela5[[#This Row],[Tensão (Pa)]]/1000000</f>
        <v>8.0230992701764343</v>
      </c>
    </row>
    <row r="376" spans="1:6" x14ac:dyDescent="0.3">
      <c r="A376" s="2">
        <v>38.667000000000002</v>
      </c>
      <c r="B376" s="2">
        <v>3.2149000000000001</v>
      </c>
      <c r="C376" s="1">
        <f>Tabela5[[#This Row],[Alongamento (mm/mm)]]/$I$2</f>
        <v>6.4298000000000008E-2</v>
      </c>
      <c r="D376" s="2">
        <v>342.24</v>
      </c>
      <c r="E376" s="1">
        <f>Tabela5[[#This Row],[Força (N)]]/$I$5</f>
        <v>8083327.4286119193</v>
      </c>
      <c r="F376" s="1">
        <f>Tabela5[[#This Row],[Tensão (Pa)]]/1000000</f>
        <v>8.0833274286119199</v>
      </c>
    </row>
    <row r="377" spans="1:6" x14ac:dyDescent="0.3">
      <c r="A377" s="2">
        <v>38.75</v>
      </c>
      <c r="B377" s="2">
        <v>3.2219000000000002</v>
      </c>
      <c r="C377" s="1">
        <f>Tabela5[[#This Row],[Alongamento (mm/mm)]]/$I$2</f>
        <v>6.4438000000000009E-2</v>
      </c>
      <c r="D377" s="2">
        <v>344.79</v>
      </c>
      <c r="E377" s="1">
        <f>Tabela5[[#This Row],[Força (N)]]/$I$5</f>
        <v>8143555.5870474046</v>
      </c>
      <c r="F377" s="1">
        <f>Tabela5[[#This Row],[Tensão (Pa)]]/1000000</f>
        <v>8.1435555870474055</v>
      </c>
    </row>
    <row r="378" spans="1:6" x14ac:dyDescent="0.3">
      <c r="A378" s="2">
        <v>38.832999999999998</v>
      </c>
      <c r="B378" s="2">
        <v>3.2286999999999999</v>
      </c>
      <c r="C378" s="1">
        <f>Tabela5[[#This Row],[Alongamento (mm/mm)]]/$I$2</f>
        <v>6.4573999999999993E-2</v>
      </c>
      <c r="D378" s="2">
        <v>347.34</v>
      </c>
      <c r="E378" s="1">
        <f>Tabela5[[#This Row],[Força (N)]]/$I$5</f>
        <v>8203783.7454828881</v>
      </c>
      <c r="F378" s="1">
        <f>Tabela5[[#This Row],[Tensão (Pa)]]/1000000</f>
        <v>8.2037837454828875</v>
      </c>
    </row>
    <row r="379" spans="1:6" x14ac:dyDescent="0.3">
      <c r="A379" s="2">
        <v>38.917000000000002</v>
      </c>
      <c r="B379" s="2">
        <v>3.2357</v>
      </c>
      <c r="C379" s="1">
        <f>Tabela5[[#This Row],[Alongamento (mm/mm)]]/$I$2</f>
        <v>6.4713999999999994E-2</v>
      </c>
      <c r="D379" s="2">
        <v>349.72</v>
      </c>
      <c r="E379" s="1">
        <f>Tabela5[[#This Row],[Força (N)]]/$I$5</f>
        <v>8259996.6933560092</v>
      </c>
      <c r="F379" s="1">
        <f>Tabela5[[#This Row],[Tensão (Pa)]]/1000000</f>
        <v>8.2599966933560101</v>
      </c>
    </row>
    <row r="380" spans="1:6" x14ac:dyDescent="0.3">
      <c r="A380" s="2">
        <v>39.017000000000003</v>
      </c>
      <c r="B380" s="2">
        <v>3.2440000000000002</v>
      </c>
      <c r="C380" s="1">
        <f>Tabela5[[#This Row],[Alongamento (mm/mm)]]/$I$2</f>
        <v>6.4880000000000007E-2</v>
      </c>
      <c r="D380" s="2">
        <v>352.78</v>
      </c>
      <c r="E380" s="1">
        <f>Tabela5[[#This Row],[Força (N)]]/$I$5</f>
        <v>8332270.4834785899</v>
      </c>
      <c r="F380" s="1">
        <f>Tabela5[[#This Row],[Tensão (Pa)]]/1000000</f>
        <v>8.3322704834785899</v>
      </c>
    </row>
    <row r="381" spans="1:6" x14ac:dyDescent="0.3">
      <c r="A381" s="2">
        <v>39.116999999999997</v>
      </c>
      <c r="B381" s="2">
        <v>3.2524000000000002</v>
      </c>
      <c r="C381" s="1">
        <f>Tabela5[[#This Row],[Alongamento (mm/mm)]]/$I$2</f>
        <v>6.5048000000000009E-2</v>
      </c>
      <c r="D381" s="2">
        <v>355.68</v>
      </c>
      <c r="E381" s="1">
        <f>Tabela5[[#This Row],[Força (N)]]/$I$5</f>
        <v>8400765.2518954165</v>
      </c>
      <c r="F381" s="1">
        <f>Tabela5[[#This Row],[Tensão (Pa)]]/1000000</f>
        <v>8.4007652518954163</v>
      </c>
    </row>
    <row r="382" spans="1:6" x14ac:dyDescent="0.3">
      <c r="A382" s="2">
        <v>39.216999999999999</v>
      </c>
      <c r="B382" s="2">
        <v>3.2608000000000001</v>
      </c>
      <c r="C382" s="1">
        <f>Tabela5[[#This Row],[Alongamento (mm/mm)]]/$I$2</f>
        <v>6.5215999999999996E-2</v>
      </c>
      <c r="D382" s="2">
        <v>358.74</v>
      </c>
      <c r="E382" s="1">
        <f>Tabela5[[#This Row],[Força (N)]]/$I$5</f>
        <v>8473039.0420179982</v>
      </c>
      <c r="F382" s="1">
        <f>Tabela5[[#This Row],[Tensão (Pa)]]/1000000</f>
        <v>8.473039042017998</v>
      </c>
    </row>
    <row r="383" spans="1:6" x14ac:dyDescent="0.3">
      <c r="A383" s="2">
        <v>39.317</v>
      </c>
      <c r="B383" s="2">
        <v>3.2690999999999999</v>
      </c>
      <c r="C383" s="1">
        <f>Tabela5[[#This Row],[Alongamento (mm/mm)]]/$I$2</f>
        <v>6.5381999999999996E-2</v>
      </c>
      <c r="D383" s="2">
        <v>361.63</v>
      </c>
      <c r="E383" s="1">
        <f>Tabela5[[#This Row],[Força (N)]]/$I$5</f>
        <v>8541297.6215782147</v>
      </c>
      <c r="F383" s="1">
        <f>Tabela5[[#This Row],[Tensão (Pa)]]/1000000</f>
        <v>8.5412976215782148</v>
      </c>
    </row>
    <row r="384" spans="1:6" x14ac:dyDescent="0.3">
      <c r="A384" s="2">
        <v>39.417000000000002</v>
      </c>
      <c r="B384" s="2">
        <v>3.2774000000000001</v>
      </c>
      <c r="C384" s="1">
        <f>Tabela5[[#This Row],[Alongamento (mm/mm)]]/$I$2</f>
        <v>6.5547999999999995E-2</v>
      </c>
      <c r="D384" s="2">
        <v>364.69</v>
      </c>
      <c r="E384" s="1">
        <f>Tabela5[[#This Row],[Força (N)]]/$I$5</f>
        <v>8613571.4117007963</v>
      </c>
      <c r="F384" s="1">
        <f>Tabela5[[#This Row],[Tensão (Pa)]]/1000000</f>
        <v>8.6135714117007964</v>
      </c>
    </row>
    <row r="385" spans="1:6" x14ac:dyDescent="0.3">
      <c r="A385" s="2">
        <v>39.517000000000003</v>
      </c>
      <c r="B385" s="2">
        <v>3.2856999999999998</v>
      </c>
      <c r="C385" s="1">
        <f>Tabela5[[#This Row],[Alongamento (mm/mm)]]/$I$2</f>
        <v>6.5713999999999995E-2</v>
      </c>
      <c r="D385" s="2">
        <v>367.58</v>
      </c>
      <c r="E385" s="1">
        <f>Tabela5[[#This Row],[Força (N)]]/$I$5</f>
        <v>8681829.9912610129</v>
      </c>
      <c r="F385" s="1">
        <f>Tabela5[[#This Row],[Tensão (Pa)]]/1000000</f>
        <v>8.6818299912610133</v>
      </c>
    </row>
    <row r="386" spans="1:6" x14ac:dyDescent="0.3">
      <c r="A386" s="2">
        <v>39.616999999999997</v>
      </c>
      <c r="B386" s="2">
        <v>3.2940999999999998</v>
      </c>
      <c r="C386" s="1">
        <f>Tabela5[[#This Row],[Alongamento (mm/mm)]]/$I$2</f>
        <v>6.5881999999999996E-2</v>
      </c>
      <c r="D386" s="2">
        <v>370.65</v>
      </c>
      <c r="E386" s="1">
        <f>Tabela5[[#This Row],[Força (N)]]/$I$5</f>
        <v>8754339.9702402037</v>
      </c>
      <c r="F386" s="1">
        <f>Tabela5[[#This Row],[Tensão (Pa)]]/1000000</f>
        <v>8.7543399702402045</v>
      </c>
    </row>
    <row r="387" spans="1:6" x14ac:dyDescent="0.3">
      <c r="A387" s="2">
        <v>39.716999999999999</v>
      </c>
      <c r="B387" s="2">
        <v>3.3022999999999998</v>
      </c>
      <c r="C387" s="1">
        <f>Tabela5[[#This Row],[Alongamento (mm/mm)]]/$I$2</f>
        <v>6.6045999999999994E-2</v>
      </c>
      <c r="D387" s="2">
        <v>373.71</v>
      </c>
      <c r="E387" s="1">
        <f>Tabela5[[#This Row],[Força (N)]]/$I$5</f>
        <v>8826613.7603627872</v>
      </c>
      <c r="F387" s="1">
        <f>Tabela5[[#This Row],[Tensão (Pa)]]/1000000</f>
        <v>8.8266137603627879</v>
      </c>
    </row>
    <row r="388" spans="1:6" x14ac:dyDescent="0.3">
      <c r="A388" s="2">
        <v>39.817</v>
      </c>
      <c r="B388" s="2">
        <v>3.3107000000000002</v>
      </c>
      <c r="C388" s="1">
        <f>Tabela5[[#This Row],[Alongamento (mm/mm)]]/$I$2</f>
        <v>6.6214000000000009E-2</v>
      </c>
      <c r="D388" s="2">
        <v>376.77</v>
      </c>
      <c r="E388" s="1">
        <f>Tabela5[[#This Row],[Força (N)]]/$I$5</f>
        <v>8898887.5504853688</v>
      </c>
      <c r="F388" s="1">
        <f>Tabela5[[#This Row],[Tensão (Pa)]]/1000000</f>
        <v>8.8988875504853695</v>
      </c>
    </row>
    <row r="389" spans="1:6" x14ac:dyDescent="0.3">
      <c r="A389" s="2">
        <v>39.917000000000002</v>
      </c>
      <c r="B389" s="2">
        <v>3.319</v>
      </c>
      <c r="C389" s="1">
        <f>Tabela5[[#This Row],[Alongamento (mm/mm)]]/$I$2</f>
        <v>6.6379999999999995E-2</v>
      </c>
      <c r="D389" s="2">
        <v>379.83</v>
      </c>
      <c r="E389" s="1">
        <f>Tabela5[[#This Row],[Força (N)]]/$I$5</f>
        <v>8971161.3406079505</v>
      </c>
      <c r="F389" s="1">
        <f>Tabela5[[#This Row],[Tensão (Pa)]]/1000000</f>
        <v>8.9711613406079511</v>
      </c>
    </row>
    <row r="390" spans="1:6" x14ac:dyDescent="0.3">
      <c r="A390" s="2">
        <v>40</v>
      </c>
      <c r="B390" s="2">
        <v>3.3260000000000001</v>
      </c>
      <c r="C390" s="1">
        <f>Tabela5[[#This Row],[Alongamento (mm/mm)]]/$I$2</f>
        <v>6.6519999999999996E-2</v>
      </c>
      <c r="D390" s="2">
        <v>382.55</v>
      </c>
      <c r="E390" s="1">
        <f>Tabela5[[#This Row],[Força (N)]]/$I$5</f>
        <v>9035404.7096058019</v>
      </c>
      <c r="F390" s="1">
        <f>Tabela5[[#This Row],[Tensão (Pa)]]/1000000</f>
        <v>9.0354047096058014</v>
      </c>
    </row>
    <row r="391" spans="1:6" x14ac:dyDescent="0.3">
      <c r="A391" s="2">
        <v>40.1</v>
      </c>
      <c r="B391" s="2">
        <v>3.3342999999999998</v>
      </c>
      <c r="C391" s="1">
        <f>Tabela5[[#This Row],[Alongamento (mm/mm)]]/$I$2</f>
        <v>6.6685999999999995E-2</v>
      </c>
      <c r="D391" s="2">
        <v>385.78</v>
      </c>
      <c r="E391" s="1">
        <f>Tabela5[[#This Row],[Força (N)]]/$I$5</f>
        <v>9111693.7102907486</v>
      </c>
      <c r="F391" s="1">
        <f>Tabela5[[#This Row],[Tensão (Pa)]]/1000000</f>
        <v>9.1116937102907478</v>
      </c>
    </row>
    <row r="392" spans="1:6" x14ac:dyDescent="0.3">
      <c r="A392" s="2">
        <v>40.200000000000003</v>
      </c>
      <c r="B392" s="2">
        <v>3.3426</v>
      </c>
      <c r="C392" s="1">
        <f>Tabela5[[#This Row],[Alongamento (mm/mm)]]/$I$2</f>
        <v>6.6851999999999995E-2</v>
      </c>
      <c r="D392" s="2">
        <v>388.85</v>
      </c>
      <c r="E392" s="1">
        <f>Tabela5[[#This Row],[Força (N)]]/$I$5</f>
        <v>9184203.6892699413</v>
      </c>
      <c r="F392" s="1">
        <f>Tabela5[[#This Row],[Tensão (Pa)]]/1000000</f>
        <v>9.1842036892699408</v>
      </c>
    </row>
    <row r="393" spans="1:6" x14ac:dyDescent="0.3">
      <c r="A393" s="2">
        <v>40.283000000000001</v>
      </c>
      <c r="B393" s="2">
        <v>3.3494999999999999</v>
      </c>
      <c r="C393" s="1">
        <f>Tabela5[[#This Row],[Alongamento (mm/mm)]]/$I$2</f>
        <v>6.6989999999999994E-2</v>
      </c>
      <c r="D393" s="2">
        <v>391.57</v>
      </c>
      <c r="E393" s="1">
        <f>Tabela5[[#This Row],[Força (N)]]/$I$5</f>
        <v>9248447.0582677908</v>
      </c>
      <c r="F393" s="1">
        <f>Tabela5[[#This Row],[Tensão (Pa)]]/1000000</f>
        <v>9.2484470582677911</v>
      </c>
    </row>
    <row r="394" spans="1:6" x14ac:dyDescent="0.3">
      <c r="A394" s="2">
        <v>40.383000000000003</v>
      </c>
      <c r="B394" s="2">
        <v>3.3578999999999999</v>
      </c>
      <c r="C394" s="1">
        <f>Tabela5[[#This Row],[Alongamento (mm/mm)]]/$I$2</f>
        <v>6.7157999999999995E-2</v>
      </c>
      <c r="D394" s="2">
        <v>394.8</v>
      </c>
      <c r="E394" s="1">
        <f>Tabela5[[#This Row],[Força (N)]]/$I$5</f>
        <v>9324736.0589527395</v>
      </c>
      <c r="F394" s="1">
        <f>Tabela5[[#This Row],[Tensão (Pa)]]/1000000</f>
        <v>9.3247360589527393</v>
      </c>
    </row>
    <row r="395" spans="1:6" x14ac:dyDescent="0.3">
      <c r="A395" s="2">
        <v>40.482999999999997</v>
      </c>
      <c r="B395" s="2">
        <v>3.3662999999999998</v>
      </c>
      <c r="C395" s="1">
        <f>Tabela5[[#This Row],[Alongamento (mm/mm)]]/$I$2</f>
        <v>6.7325999999999997E-2</v>
      </c>
      <c r="D395" s="2">
        <v>397.86</v>
      </c>
      <c r="E395" s="1">
        <f>Tabela5[[#This Row],[Força (N)]]/$I$5</f>
        <v>9397009.8490753211</v>
      </c>
      <c r="F395" s="1">
        <f>Tabela5[[#This Row],[Tensão (Pa)]]/1000000</f>
        <v>9.3970098490753209</v>
      </c>
    </row>
    <row r="396" spans="1:6" x14ac:dyDescent="0.3">
      <c r="A396" s="2">
        <v>40.582999999999998</v>
      </c>
      <c r="B396" s="2">
        <v>3.3746</v>
      </c>
      <c r="C396" s="1">
        <f>Tabela5[[#This Row],[Alongamento (mm/mm)]]/$I$2</f>
        <v>6.7491999999999996E-2</v>
      </c>
      <c r="D396" s="2">
        <v>401.09</v>
      </c>
      <c r="E396" s="1">
        <f>Tabela5[[#This Row],[Força (N)]]/$I$5</f>
        <v>9473298.8497602679</v>
      </c>
      <c r="F396" s="1">
        <f>Tabela5[[#This Row],[Tensão (Pa)]]/1000000</f>
        <v>9.4732988497602673</v>
      </c>
    </row>
    <row r="397" spans="1:6" x14ac:dyDescent="0.3">
      <c r="A397" s="2">
        <v>40.683</v>
      </c>
      <c r="B397" s="2">
        <v>3.3828999999999998</v>
      </c>
      <c r="C397" s="1">
        <f>Tabela5[[#This Row],[Alongamento (mm/mm)]]/$I$2</f>
        <v>6.7657999999999996E-2</v>
      </c>
      <c r="D397" s="2">
        <v>404.15</v>
      </c>
      <c r="E397" s="1">
        <f>Tabela5[[#This Row],[Força (N)]]/$I$5</f>
        <v>9545572.6398828514</v>
      </c>
      <c r="F397" s="1">
        <f>Tabela5[[#This Row],[Tensão (Pa)]]/1000000</f>
        <v>9.5455726398828507</v>
      </c>
    </row>
    <row r="398" spans="1:6" x14ac:dyDescent="0.3">
      <c r="A398" s="2">
        <v>40.783000000000001</v>
      </c>
      <c r="B398" s="2">
        <v>3.3912</v>
      </c>
      <c r="C398" s="1">
        <f>Tabela5[[#This Row],[Alongamento (mm/mm)]]/$I$2</f>
        <v>6.7823999999999995E-2</v>
      </c>
      <c r="D398" s="2">
        <v>407.56</v>
      </c>
      <c r="E398" s="1">
        <f>Tabela5[[#This Row],[Força (N)]]/$I$5</f>
        <v>9626113.0399867743</v>
      </c>
      <c r="F398" s="1">
        <f>Tabela5[[#This Row],[Tensão (Pa)]]/1000000</f>
        <v>9.6261130399867749</v>
      </c>
    </row>
    <row r="399" spans="1:6" x14ac:dyDescent="0.3">
      <c r="A399" s="2">
        <v>40.883000000000003</v>
      </c>
      <c r="B399" s="2">
        <v>3.3996</v>
      </c>
      <c r="C399" s="1">
        <f>Tabela5[[#This Row],[Alongamento (mm/mm)]]/$I$2</f>
        <v>6.7991999999999997E-2</v>
      </c>
      <c r="D399" s="2">
        <v>410.79</v>
      </c>
      <c r="E399" s="1">
        <f>Tabela5[[#This Row],[Força (N)]]/$I$5</f>
        <v>9702402.040671723</v>
      </c>
      <c r="F399" s="1">
        <f>Tabela5[[#This Row],[Tensão (Pa)]]/1000000</f>
        <v>9.7024020406717231</v>
      </c>
    </row>
    <row r="400" spans="1:6" x14ac:dyDescent="0.3">
      <c r="A400" s="2">
        <v>40.982999999999997</v>
      </c>
      <c r="B400" s="2">
        <v>3.4079999999999999</v>
      </c>
      <c r="C400" s="1">
        <f>Tabela5[[#This Row],[Alongamento (mm/mm)]]/$I$2</f>
        <v>6.8159999999999998E-2</v>
      </c>
      <c r="D400" s="2">
        <v>414.02</v>
      </c>
      <c r="E400" s="1">
        <f>Tabela5[[#This Row],[Força (N)]]/$I$5</f>
        <v>9778691.0413566697</v>
      </c>
      <c r="F400" s="1">
        <f>Tabela5[[#This Row],[Tensão (Pa)]]/1000000</f>
        <v>9.7786910413566694</v>
      </c>
    </row>
    <row r="401" spans="1:6" x14ac:dyDescent="0.3">
      <c r="A401" s="2">
        <v>41.082999999999998</v>
      </c>
      <c r="B401" s="2">
        <v>3.4163000000000001</v>
      </c>
      <c r="C401" s="1">
        <f>Tabela5[[#This Row],[Alongamento (mm/mm)]]/$I$2</f>
        <v>6.8325999999999998E-2</v>
      </c>
      <c r="D401" s="2">
        <v>417.42</v>
      </c>
      <c r="E401" s="1">
        <f>Tabela5[[#This Row],[Força (N)]]/$I$5</f>
        <v>9858995.2526039835</v>
      </c>
      <c r="F401" s="1">
        <f>Tabela5[[#This Row],[Tensão (Pa)]]/1000000</f>
        <v>9.8589952526039841</v>
      </c>
    </row>
    <row r="402" spans="1:6" x14ac:dyDescent="0.3">
      <c r="A402" s="2">
        <v>41.183</v>
      </c>
      <c r="B402" s="2">
        <v>3.4245999999999999</v>
      </c>
      <c r="C402" s="1">
        <f>Tabela5[[#This Row],[Alongamento (mm/mm)]]/$I$2</f>
        <v>6.8491999999999997E-2</v>
      </c>
      <c r="D402" s="2">
        <v>420.65</v>
      </c>
      <c r="E402" s="1">
        <f>Tabela5[[#This Row],[Força (N)]]/$I$5</f>
        <v>9935284.2532889303</v>
      </c>
      <c r="F402" s="1">
        <f>Tabela5[[#This Row],[Tensão (Pa)]]/1000000</f>
        <v>9.9352842532889305</v>
      </c>
    </row>
    <row r="403" spans="1:6" x14ac:dyDescent="0.3">
      <c r="A403" s="2">
        <v>41.283000000000001</v>
      </c>
      <c r="B403" s="2">
        <v>3.4329000000000001</v>
      </c>
      <c r="C403" s="1">
        <f>Tabela5[[#This Row],[Alongamento (mm/mm)]]/$I$2</f>
        <v>6.8657999999999997E-2</v>
      </c>
      <c r="D403" s="2">
        <v>423.89</v>
      </c>
      <c r="E403" s="1">
        <f>Tabela5[[#This Row],[Força (N)]]/$I$5</f>
        <v>10011809.442830488</v>
      </c>
      <c r="F403" s="1">
        <f>Tabela5[[#This Row],[Tensão (Pa)]]/1000000</f>
        <v>10.011809442830488</v>
      </c>
    </row>
    <row r="404" spans="1:6" x14ac:dyDescent="0.3">
      <c r="A404" s="2">
        <v>41.383000000000003</v>
      </c>
      <c r="B404" s="2">
        <v>3.4413</v>
      </c>
      <c r="C404" s="1">
        <f>Tabela5[[#This Row],[Alongamento (mm/mm)]]/$I$2</f>
        <v>6.8825999999999998E-2</v>
      </c>
      <c r="D404" s="2">
        <v>427.29</v>
      </c>
      <c r="E404" s="1">
        <f>Tabela5[[#This Row],[Força (N)]]/$I$5</f>
        <v>10092113.654077802</v>
      </c>
      <c r="F404" s="1">
        <f>Tabela5[[#This Row],[Tensão (Pa)]]/1000000</f>
        <v>10.092113654077801</v>
      </c>
    </row>
    <row r="405" spans="1:6" x14ac:dyDescent="0.3">
      <c r="A405" s="2">
        <v>41.482999999999997</v>
      </c>
      <c r="B405" s="2">
        <v>3.4497</v>
      </c>
      <c r="C405" s="1">
        <f>Tabela5[[#This Row],[Alongamento (mm/mm)]]/$I$2</f>
        <v>6.8994E-2</v>
      </c>
      <c r="D405" s="2">
        <v>430.69</v>
      </c>
      <c r="E405" s="1">
        <f>Tabela5[[#This Row],[Força (N)]]/$I$5</f>
        <v>10172417.865325116</v>
      </c>
      <c r="F405" s="1">
        <f>Tabela5[[#This Row],[Tensão (Pa)]]/1000000</f>
        <v>10.172417865325116</v>
      </c>
    </row>
    <row r="406" spans="1:6" x14ac:dyDescent="0.3">
      <c r="A406" s="2">
        <v>41.582999999999998</v>
      </c>
      <c r="B406" s="2">
        <v>3.4579</v>
      </c>
      <c r="C406" s="1">
        <f>Tabela5[[#This Row],[Alongamento (mm/mm)]]/$I$2</f>
        <v>6.9157999999999997E-2</v>
      </c>
      <c r="D406" s="2">
        <v>433.92</v>
      </c>
      <c r="E406" s="1">
        <f>Tabela5[[#This Row],[Força (N)]]/$I$5</f>
        <v>10248706.866010062</v>
      </c>
      <c r="F406" s="1">
        <f>Tabela5[[#This Row],[Tensão (Pa)]]/1000000</f>
        <v>10.248706866010062</v>
      </c>
    </row>
    <row r="407" spans="1:6" x14ac:dyDescent="0.3">
      <c r="A407" s="2">
        <v>41.683</v>
      </c>
      <c r="B407" s="2">
        <v>3.4662000000000002</v>
      </c>
      <c r="C407" s="1">
        <f>Tabela5[[#This Row],[Alongamento (mm/mm)]]/$I$2</f>
        <v>6.9323999999999997E-2</v>
      </c>
      <c r="D407" s="2">
        <v>437.32</v>
      </c>
      <c r="E407" s="1">
        <f>Tabela5[[#This Row],[Força (N)]]/$I$5</f>
        <v>10329011.077257376</v>
      </c>
      <c r="F407" s="1">
        <f>Tabela5[[#This Row],[Tensão (Pa)]]/1000000</f>
        <v>10.329011077257377</v>
      </c>
    </row>
    <row r="408" spans="1:6" x14ac:dyDescent="0.3">
      <c r="A408" s="2">
        <v>41.783000000000001</v>
      </c>
      <c r="B408" s="2">
        <v>3.4746000000000001</v>
      </c>
      <c r="C408" s="1">
        <f>Tabela5[[#This Row],[Alongamento (mm/mm)]]/$I$2</f>
        <v>6.9491999999999998E-2</v>
      </c>
      <c r="D408" s="2">
        <v>440.73</v>
      </c>
      <c r="E408" s="1">
        <f>Tabela5[[#This Row],[Força (N)]]/$I$5</f>
        <v>10409551.477361299</v>
      </c>
      <c r="F408" s="1">
        <f>Tabela5[[#This Row],[Tensão (Pa)]]/1000000</f>
        <v>10.409551477361299</v>
      </c>
    </row>
    <row r="409" spans="1:6" x14ac:dyDescent="0.3">
      <c r="A409" s="2">
        <v>41.883000000000003</v>
      </c>
      <c r="B409" s="2">
        <v>3.4828999999999999</v>
      </c>
      <c r="C409" s="1">
        <f>Tabela5[[#This Row],[Alongamento (mm/mm)]]/$I$2</f>
        <v>6.9657999999999998E-2</v>
      </c>
      <c r="D409" s="2">
        <v>444.13</v>
      </c>
      <c r="E409" s="1">
        <f>Tabela5[[#This Row],[Força (N)]]/$I$5</f>
        <v>10489855.688608613</v>
      </c>
      <c r="F409" s="1">
        <f>Tabela5[[#This Row],[Tensão (Pa)]]/1000000</f>
        <v>10.489855688608612</v>
      </c>
    </row>
    <row r="410" spans="1:6" x14ac:dyDescent="0.3">
      <c r="A410" s="2">
        <v>41.982999999999997</v>
      </c>
      <c r="B410" s="2">
        <v>3.4912999999999998</v>
      </c>
      <c r="C410" s="1">
        <f>Tabela5[[#This Row],[Alongamento (mm/mm)]]/$I$2</f>
        <v>6.9825999999999999E-2</v>
      </c>
      <c r="D410" s="2">
        <v>447.53</v>
      </c>
      <c r="E410" s="1">
        <f>Tabela5[[#This Row],[Força (N)]]/$I$5</f>
        <v>10570159.899855925</v>
      </c>
      <c r="F410" s="1">
        <f>Tabela5[[#This Row],[Tensão (Pa)]]/1000000</f>
        <v>10.570159899855925</v>
      </c>
    </row>
    <row r="411" spans="1:6" x14ac:dyDescent="0.3">
      <c r="A411" s="2">
        <v>42.082999999999998</v>
      </c>
      <c r="B411" s="2">
        <v>3.4996</v>
      </c>
      <c r="C411" s="1">
        <f>Tabela5[[#This Row],[Alongamento (mm/mm)]]/$I$2</f>
        <v>6.9991999999999999E-2</v>
      </c>
      <c r="D411" s="2">
        <v>450.93</v>
      </c>
      <c r="E411" s="1">
        <f>Tabela5[[#This Row],[Força (N)]]/$I$5</f>
        <v>10650464.111103239</v>
      </c>
      <c r="F411" s="1">
        <f>Tabela5[[#This Row],[Tensão (Pa)]]/1000000</f>
        <v>10.650464111103238</v>
      </c>
    </row>
    <row r="412" spans="1:6" x14ac:dyDescent="0.3">
      <c r="A412" s="2">
        <v>42.183</v>
      </c>
      <c r="B412" s="2">
        <v>3.5078999999999998</v>
      </c>
      <c r="C412" s="1">
        <f>Tabela5[[#This Row],[Alongamento (mm/mm)]]/$I$2</f>
        <v>7.0157999999999998E-2</v>
      </c>
      <c r="D412" s="2">
        <v>454.33</v>
      </c>
      <c r="E412" s="1">
        <f>Tabela5[[#This Row],[Força (N)]]/$I$5</f>
        <v>10730768.322350552</v>
      </c>
      <c r="F412" s="1">
        <f>Tabela5[[#This Row],[Tensão (Pa)]]/1000000</f>
        <v>10.730768322350553</v>
      </c>
    </row>
    <row r="413" spans="1:6" x14ac:dyDescent="0.3">
      <c r="A413" s="2">
        <v>42.283000000000001</v>
      </c>
      <c r="B413" s="2">
        <v>3.5163000000000002</v>
      </c>
      <c r="C413" s="1">
        <f>Tabela5[[#This Row],[Alongamento (mm/mm)]]/$I$2</f>
        <v>7.0326E-2</v>
      </c>
      <c r="D413" s="2">
        <v>457.74</v>
      </c>
      <c r="E413" s="1">
        <f>Tabela5[[#This Row],[Força (N)]]/$I$5</f>
        <v>10811308.722454475</v>
      </c>
      <c r="F413" s="1">
        <f>Tabela5[[#This Row],[Tensão (Pa)]]/1000000</f>
        <v>10.811308722454475</v>
      </c>
    </row>
    <row r="414" spans="1:6" x14ac:dyDescent="0.3">
      <c r="A414" s="2">
        <v>42.383000000000003</v>
      </c>
      <c r="B414" s="2">
        <v>3.5246</v>
      </c>
      <c r="C414" s="1">
        <f>Tabela5[[#This Row],[Alongamento (mm/mm)]]/$I$2</f>
        <v>7.0491999999999999E-2</v>
      </c>
      <c r="D414" s="2">
        <v>461.14</v>
      </c>
      <c r="E414" s="1">
        <f>Tabela5[[#This Row],[Força (N)]]/$I$5</f>
        <v>10891612.933701789</v>
      </c>
      <c r="F414" s="1">
        <f>Tabela5[[#This Row],[Tensão (Pa)]]/1000000</f>
        <v>10.891612933701788</v>
      </c>
    </row>
    <row r="415" spans="1:6" x14ac:dyDescent="0.3">
      <c r="A415" s="2">
        <v>42.5</v>
      </c>
      <c r="B415" s="2">
        <v>3.5341999999999998</v>
      </c>
      <c r="C415" s="1">
        <f>Tabela5[[#This Row],[Alongamento (mm/mm)]]/$I$2</f>
        <v>7.0683999999999997E-2</v>
      </c>
      <c r="D415" s="2">
        <v>465.05</v>
      </c>
      <c r="E415" s="1">
        <f>Tabela5[[#This Row],[Força (N)]]/$I$5</f>
        <v>10983962.7766362</v>
      </c>
      <c r="F415" s="1">
        <f>Tabela5[[#This Row],[Tensão (Pa)]]/1000000</f>
        <v>10.983962776636201</v>
      </c>
    </row>
    <row r="416" spans="1:6" x14ac:dyDescent="0.3">
      <c r="A416" s="2">
        <v>42.616999999999997</v>
      </c>
      <c r="B416" s="2">
        <v>3.544</v>
      </c>
      <c r="C416" s="1">
        <f>Tabela5[[#This Row],[Alongamento (mm/mm)]]/$I$2</f>
        <v>7.0879999999999999E-2</v>
      </c>
      <c r="D416" s="2">
        <v>468.96</v>
      </c>
      <c r="E416" s="1">
        <f>Tabela5[[#This Row],[Força (N)]]/$I$5</f>
        <v>11076312.619570609</v>
      </c>
      <c r="F416" s="1">
        <f>Tabela5[[#This Row],[Tensão (Pa)]]/1000000</f>
        <v>11.07631261957061</v>
      </c>
    </row>
    <row r="417" spans="1:6" x14ac:dyDescent="0.3">
      <c r="A417" s="2">
        <v>42.716999999999999</v>
      </c>
      <c r="B417" s="2">
        <v>3.5524</v>
      </c>
      <c r="C417" s="1">
        <f>Tabela5[[#This Row],[Alongamento (mm/mm)]]/$I$2</f>
        <v>7.1048E-2</v>
      </c>
      <c r="D417" s="2">
        <v>472.36</v>
      </c>
      <c r="E417" s="1">
        <f>Tabela5[[#This Row],[Força (N)]]/$I$5</f>
        <v>11156616.830817923</v>
      </c>
      <c r="F417" s="1">
        <f>Tabela5[[#This Row],[Tensão (Pa)]]/1000000</f>
        <v>11.156616830817923</v>
      </c>
    </row>
    <row r="418" spans="1:6" x14ac:dyDescent="0.3">
      <c r="A418" s="2">
        <v>42.832999999999998</v>
      </c>
      <c r="B418" s="2">
        <v>3.5621</v>
      </c>
      <c r="C418" s="1">
        <f>Tabela5[[#This Row],[Alongamento (mm/mm)]]/$I$2</f>
        <v>7.1242E-2</v>
      </c>
      <c r="D418" s="2">
        <v>476.28</v>
      </c>
      <c r="E418" s="1">
        <f>Tabela5[[#This Row],[Força (N)]]/$I$5</f>
        <v>11249202.862608943</v>
      </c>
      <c r="F418" s="1">
        <f>Tabela5[[#This Row],[Tensão (Pa)]]/1000000</f>
        <v>11.249202862608943</v>
      </c>
    </row>
    <row r="419" spans="1:6" x14ac:dyDescent="0.3">
      <c r="A419" s="2">
        <v>42.95</v>
      </c>
      <c r="B419" s="2">
        <v>3.5718000000000001</v>
      </c>
      <c r="C419" s="1">
        <f>Tabela5[[#This Row],[Alongamento (mm/mm)]]/$I$2</f>
        <v>7.1435999999999999E-2</v>
      </c>
      <c r="D419" s="2">
        <v>480.02</v>
      </c>
      <c r="E419" s="1">
        <f>Tabela5[[#This Row],[Força (N)]]/$I$5</f>
        <v>11337537.494980987</v>
      </c>
      <c r="F419" s="1">
        <f>Tabela5[[#This Row],[Tensão (Pa)]]/1000000</f>
        <v>11.337537494980987</v>
      </c>
    </row>
    <row r="420" spans="1:6" x14ac:dyDescent="0.3">
      <c r="A420" s="2">
        <v>43.067</v>
      </c>
      <c r="B420" s="2">
        <v>3.5815000000000001</v>
      </c>
      <c r="C420" s="1">
        <f>Tabela5[[#This Row],[Alongamento (mm/mm)]]/$I$2</f>
        <v>7.1629999999999999E-2</v>
      </c>
      <c r="D420" s="2">
        <v>483.93</v>
      </c>
      <c r="E420" s="1">
        <f>Tabela5[[#This Row],[Força (N)]]/$I$5</f>
        <v>11429887.337915398</v>
      </c>
      <c r="F420" s="1">
        <f>Tabela5[[#This Row],[Tensão (Pa)]]/1000000</f>
        <v>11.429887337915398</v>
      </c>
    </row>
    <row r="421" spans="1:6" x14ac:dyDescent="0.3">
      <c r="A421" s="2">
        <v>43.183</v>
      </c>
      <c r="B421" s="2">
        <v>3.5912000000000002</v>
      </c>
      <c r="C421" s="1">
        <f>Tabela5[[#This Row],[Alongamento (mm/mm)]]/$I$2</f>
        <v>7.1823999999999999E-2</v>
      </c>
      <c r="D421" s="2">
        <v>488.01</v>
      </c>
      <c r="E421" s="1">
        <f>Tabela5[[#This Row],[Força (N)]]/$I$5</f>
        <v>11526252.391412174</v>
      </c>
      <c r="F421" s="1">
        <f>Tabela5[[#This Row],[Tensão (Pa)]]/1000000</f>
        <v>11.526252391412175</v>
      </c>
    </row>
    <row r="422" spans="1:6" x14ac:dyDescent="0.3">
      <c r="A422" s="2">
        <v>43.3</v>
      </c>
      <c r="B422" s="2">
        <v>3.601</v>
      </c>
      <c r="C422" s="1">
        <f>Tabela5[[#This Row],[Alongamento (mm/mm)]]/$I$2</f>
        <v>7.2020000000000001E-2</v>
      </c>
      <c r="D422" s="2">
        <v>491.93</v>
      </c>
      <c r="E422" s="1">
        <f>Tabela5[[#This Row],[Força (N)]]/$I$5</f>
        <v>11618838.423203195</v>
      </c>
      <c r="F422" s="1">
        <f>Tabela5[[#This Row],[Tensão (Pa)]]/1000000</f>
        <v>11.618838423203195</v>
      </c>
    </row>
    <row r="423" spans="1:6" x14ac:dyDescent="0.3">
      <c r="A423" s="2">
        <v>43.417000000000002</v>
      </c>
      <c r="B423" s="2">
        <v>3.6107</v>
      </c>
      <c r="C423" s="1">
        <f>Tabela5[[#This Row],[Alongamento (mm/mm)]]/$I$2</f>
        <v>7.2214E-2</v>
      </c>
      <c r="D423" s="2">
        <v>495.84</v>
      </c>
      <c r="E423" s="1">
        <f>Tabela5[[#This Row],[Força (N)]]/$I$5</f>
        <v>11711188.266137604</v>
      </c>
      <c r="F423" s="1">
        <f>Tabela5[[#This Row],[Tensão (Pa)]]/1000000</f>
        <v>11.711188266137604</v>
      </c>
    </row>
    <row r="424" spans="1:6" x14ac:dyDescent="0.3">
      <c r="A424" s="2">
        <v>43.533000000000001</v>
      </c>
      <c r="B424" s="2">
        <v>3.6204000000000001</v>
      </c>
      <c r="C424" s="1">
        <f>Tabela5[[#This Row],[Alongamento (mm/mm)]]/$I$2</f>
        <v>7.2408E-2</v>
      </c>
      <c r="D424" s="2">
        <v>499.75</v>
      </c>
      <c r="E424" s="1">
        <f>Tabela5[[#This Row],[Força (N)]]/$I$5</f>
        <v>11803538.109072015</v>
      </c>
      <c r="F424" s="1">
        <f>Tabela5[[#This Row],[Tensão (Pa)]]/1000000</f>
        <v>11.803538109072015</v>
      </c>
    </row>
    <row r="425" spans="1:6" x14ac:dyDescent="0.3">
      <c r="A425" s="2">
        <v>43.65</v>
      </c>
      <c r="B425" s="2">
        <v>3.6301999999999999</v>
      </c>
      <c r="C425" s="1">
        <f>Tabela5[[#This Row],[Alongamento (mm/mm)]]/$I$2</f>
        <v>7.2604000000000002E-2</v>
      </c>
      <c r="D425" s="2">
        <v>503.83</v>
      </c>
      <c r="E425" s="1">
        <f>Tabela5[[#This Row],[Força (N)]]/$I$5</f>
        <v>11899903.162568791</v>
      </c>
      <c r="F425" s="1">
        <f>Tabela5[[#This Row],[Tensão (Pa)]]/1000000</f>
        <v>11.899903162568791</v>
      </c>
    </row>
    <row r="426" spans="1:6" x14ac:dyDescent="0.3">
      <c r="A426" s="2">
        <v>43.767000000000003</v>
      </c>
      <c r="B426" s="2">
        <v>3.6398999999999999</v>
      </c>
      <c r="C426" s="1">
        <f>Tabela5[[#This Row],[Alongamento (mm/mm)]]/$I$2</f>
        <v>7.2798000000000002E-2</v>
      </c>
      <c r="D426" s="2">
        <v>507.74</v>
      </c>
      <c r="E426" s="1">
        <f>Tabela5[[#This Row],[Força (N)]]/$I$5</f>
        <v>11992253.005503202</v>
      </c>
      <c r="F426" s="1">
        <f>Tabela5[[#This Row],[Tensão (Pa)]]/1000000</f>
        <v>11.992253005503201</v>
      </c>
    </row>
    <row r="427" spans="1:6" x14ac:dyDescent="0.3">
      <c r="A427" s="2">
        <v>43.883000000000003</v>
      </c>
      <c r="B427" s="2">
        <v>3.6496</v>
      </c>
      <c r="C427" s="1">
        <f>Tabela5[[#This Row],[Alongamento (mm/mm)]]/$I$2</f>
        <v>7.2992000000000001E-2</v>
      </c>
      <c r="D427" s="2">
        <v>511.66</v>
      </c>
      <c r="E427" s="1">
        <f>Tabela5[[#This Row],[Força (N)]]/$I$5</f>
        <v>12084839.037294222</v>
      </c>
      <c r="F427" s="1">
        <f>Tabela5[[#This Row],[Tensão (Pa)]]/1000000</f>
        <v>12.084839037294222</v>
      </c>
    </row>
    <row r="428" spans="1:6" x14ac:dyDescent="0.3">
      <c r="A428" s="2">
        <v>44</v>
      </c>
      <c r="B428" s="2">
        <v>3.6593</v>
      </c>
      <c r="C428" s="1">
        <f>Tabela5[[#This Row],[Alongamento (mm/mm)]]/$I$2</f>
        <v>7.3186000000000001E-2</v>
      </c>
      <c r="D428" s="2">
        <v>515.74</v>
      </c>
      <c r="E428" s="1">
        <f>Tabela5[[#This Row],[Força (N)]]/$I$5</f>
        <v>12181204.090790998</v>
      </c>
      <c r="F428" s="1">
        <f>Tabela5[[#This Row],[Tensão (Pa)]]/1000000</f>
        <v>12.181204090790999</v>
      </c>
    </row>
    <row r="429" spans="1:6" x14ac:dyDescent="0.3">
      <c r="A429" s="2">
        <v>44.116999999999997</v>
      </c>
      <c r="B429" s="2">
        <v>3.669</v>
      </c>
      <c r="C429" s="1">
        <f>Tabela5[[#This Row],[Alongamento (mm/mm)]]/$I$2</f>
        <v>7.3380000000000001E-2</v>
      </c>
      <c r="D429" s="2">
        <v>519.65</v>
      </c>
      <c r="E429" s="1">
        <f>Tabela5[[#This Row],[Força (N)]]/$I$5</f>
        <v>12273553.933725407</v>
      </c>
      <c r="F429" s="1">
        <f>Tabela5[[#This Row],[Tensão (Pa)]]/1000000</f>
        <v>12.273553933725408</v>
      </c>
    </row>
    <row r="430" spans="1:6" x14ac:dyDescent="0.3">
      <c r="A430" s="2">
        <v>44.232999999999997</v>
      </c>
      <c r="B430" s="2">
        <v>3.6787999999999998</v>
      </c>
      <c r="C430" s="1">
        <f>Tabela5[[#This Row],[Alongamento (mm/mm)]]/$I$2</f>
        <v>7.3576000000000003E-2</v>
      </c>
      <c r="D430" s="2">
        <v>523.73</v>
      </c>
      <c r="E430" s="1">
        <f>Tabela5[[#This Row],[Força (N)]]/$I$5</f>
        <v>12369918.987222185</v>
      </c>
      <c r="F430" s="1">
        <f>Tabela5[[#This Row],[Tensão (Pa)]]/1000000</f>
        <v>12.369918987222185</v>
      </c>
    </row>
    <row r="431" spans="1:6" x14ac:dyDescent="0.3">
      <c r="A431" s="2">
        <v>44.35</v>
      </c>
      <c r="B431" s="2">
        <v>3.6884000000000001</v>
      </c>
      <c r="C431" s="1">
        <f>Tabela5[[#This Row],[Alongamento (mm/mm)]]/$I$2</f>
        <v>7.3768E-2</v>
      </c>
      <c r="D431" s="2">
        <v>527.82000000000005</v>
      </c>
      <c r="E431" s="1">
        <f>Tabela5[[#This Row],[Força (N)]]/$I$5</f>
        <v>12466520.229575571</v>
      </c>
      <c r="F431" s="1">
        <f>Tabela5[[#This Row],[Tensão (Pa)]]/1000000</f>
        <v>12.46652022957557</v>
      </c>
    </row>
    <row r="432" spans="1:6" x14ac:dyDescent="0.3">
      <c r="A432" s="2">
        <v>44.466999999999999</v>
      </c>
      <c r="B432" s="2">
        <v>3.6981999999999999</v>
      </c>
      <c r="C432" s="1">
        <f>Tabela5[[#This Row],[Alongamento (mm/mm)]]/$I$2</f>
        <v>7.3964000000000002E-2</v>
      </c>
      <c r="D432" s="2">
        <v>531.9</v>
      </c>
      <c r="E432" s="1">
        <f>Tabela5[[#This Row],[Força (N)]]/$I$5</f>
        <v>12562885.283072345</v>
      </c>
      <c r="F432" s="1">
        <f>Tabela5[[#This Row],[Tensão (Pa)]]/1000000</f>
        <v>12.562885283072346</v>
      </c>
    </row>
    <row r="433" spans="1:6" x14ac:dyDescent="0.3">
      <c r="A433" s="2">
        <v>44.6</v>
      </c>
      <c r="B433" s="2">
        <v>3.7092999999999998</v>
      </c>
      <c r="C433" s="1">
        <f>Tabela5[[#This Row],[Alongamento (mm/mm)]]/$I$2</f>
        <v>7.4186000000000002E-2</v>
      </c>
      <c r="D433" s="2">
        <v>536.49</v>
      </c>
      <c r="E433" s="1">
        <f>Tabela5[[#This Row],[Força (N)]]/$I$5</f>
        <v>12671295.968256218</v>
      </c>
      <c r="F433" s="1">
        <f>Tabela5[[#This Row],[Tensão (Pa)]]/1000000</f>
        <v>12.671295968256219</v>
      </c>
    </row>
    <row r="434" spans="1:6" x14ac:dyDescent="0.3">
      <c r="A434" s="2">
        <v>44.716999999999999</v>
      </c>
      <c r="B434" s="2">
        <v>3.7191000000000001</v>
      </c>
      <c r="C434" s="1">
        <f>Tabela5[[#This Row],[Alongamento (mm/mm)]]/$I$2</f>
        <v>7.4382000000000004E-2</v>
      </c>
      <c r="D434" s="2">
        <v>540.57000000000005</v>
      </c>
      <c r="E434" s="1">
        <f>Tabela5[[#This Row],[Força (N)]]/$I$5</f>
        <v>12767661.021752996</v>
      </c>
      <c r="F434" s="1">
        <f>Tabela5[[#This Row],[Tensão (Pa)]]/1000000</f>
        <v>12.767661021752996</v>
      </c>
    </row>
    <row r="435" spans="1:6" x14ac:dyDescent="0.3">
      <c r="A435" s="2">
        <v>44.832999999999998</v>
      </c>
      <c r="B435" s="2">
        <v>3.7288000000000001</v>
      </c>
      <c r="C435" s="1">
        <f>Tabela5[[#This Row],[Alongamento (mm/mm)]]/$I$2</f>
        <v>7.4576000000000003E-2</v>
      </c>
      <c r="D435" s="2">
        <v>544.66</v>
      </c>
      <c r="E435" s="1">
        <f>Tabela5[[#This Row],[Força (N)]]/$I$5</f>
        <v>12864262.26410638</v>
      </c>
      <c r="F435" s="1">
        <f>Tabela5[[#This Row],[Tensão (Pa)]]/1000000</f>
        <v>12.86426226410638</v>
      </c>
    </row>
    <row r="436" spans="1:6" x14ac:dyDescent="0.3">
      <c r="A436" s="2">
        <v>44.95</v>
      </c>
      <c r="B436" s="2">
        <v>3.7383999999999999</v>
      </c>
      <c r="C436" s="1">
        <f>Tabela5[[#This Row],[Alongamento (mm/mm)]]/$I$2</f>
        <v>7.4768000000000001E-2</v>
      </c>
      <c r="D436" s="2">
        <v>548.74</v>
      </c>
      <c r="E436" s="1">
        <f>Tabela5[[#This Row],[Força (N)]]/$I$5</f>
        <v>12960627.317603158</v>
      </c>
      <c r="F436" s="1">
        <f>Tabela5[[#This Row],[Tensão (Pa)]]/1000000</f>
        <v>12.960627317603159</v>
      </c>
    </row>
    <row r="437" spans="1:6" x14ac:dyDescent="0.3">
      <c r="A437" s="2">
        <v>45.067</v>
      </c>
      <c r="B437" s="2">
        <v>3.7482000000000002</v>
      </c>
      <c r="C437" s="1">
        <f>Tabela5[[#This Row],[Alongamento (mm/mm)]]/$I$2</f>
        <v>7.4964000000000003E-2</v>
      </c>
      <c r="D437" s="2">
        <v>552.82000000000005</v>
      </c>
      <c r="E437" s="1">
        <f>Tabela5[[#This Row],[Força (N)]]/$I$5</f>
        <v>13056992.371099934</v>
      </c>
      <c r="F437" s="1">
        <f>Tabela5[[#This Row],[Tensão (Pa)]]/1000000</f>
        <v>13.056992371099934</v>
      </c>
    </row>
    <row r="438" spans="1:6" x14ac:dyDescent="0.3">
      <c r="A438" s="2">
        <v>45.2</v>
      </c>
      <c r="B438" s="2">
        <v>3.7593999999999999</v>
      </c>
      <c r="C438" s="1">
        <f>Tabela5[[#This Row],[Alongamento (mm/mm)]]/$I$2</f>
        <v>7.5187999999999991E-2</v>
      </c>
      <c r="D438" s="2">
        <v>557.41</v>
      </c>
      <c r="E438" s="1">
        <f>Tabela5[[#This Row],[Força (N)]]/$I$5</f>
        <v>13165403.056283806</v>
      </c>
      <c r="F438" s="1">
        <f>Tabela5[[#This Row],[Tensão (Pa)]]/1000000</f>
        <v>13.165403056283806</v>
      </c>
    </row>
    <row r="439" spans="1:6" x14ac:dyDescent="0.3">
      <c r="A439" s="2">
        <v>45.317</v>
      </c>
      <c r="B439" s="2">
        <v>3.7690000000000001</v>
      </c>
      <c r="C439" s="1">
        <f>Tabela5[[#This Row],[Alongamento (mm/mm)]]/$I$2</f>
        <v>7.5380000000000003E-2</v>
      </c>
      <c r="D439" s="2">
        <v>561.5</v>
      </c>
      <c r="E439" s="1">
        <f>Tabela5[[#This Row],[Força (N)]]/$I$5</f>
        <v>13262004.298637191</v>
      </c>
      <c r="F439" s="1">
        <f>Tabela5[[#This Row],[Tensão (Pa)]]/1000000</f>
        <v>13.262004298637191</v>
      </c>
    </row>
    <row r="440" spans="1:6" x14ac:dyDescent="0.3">
      <c r="A440" s="2">
        <v>45.433</v>
      </c>
      <c r="B440" s="2">
        <v>3.7787999999999999</v>
      </c>
      <c r="C440" s="1">
        <f>Tabela5[[#This Row],[Alongamento (mm/mm)]]/$I$2</f>
        <v>7.5576000000000004E-2</v>
      </c>
      <c r="D440" s="2">
        <v>565.58000000000004</v>
      </c>
      <c r="E440" s="1">
        <f>Tabela5[[#This Row],[Força (N)]]/$I$5</f>
        <v>13358369.352133969</v>
      </c>
      <c r="F440" s="1">
        <f>Tabela5[[#This Row],[Tensão (Pa)]]/1000000</f>
        <v>13.35836935213397</v>
      </c>
    </row>
    <row r="441" spans="1:6" x14ac:dyDescent="0.3">
      <c r="A441" s="2">
        <v>45.55</v>
      </c>
      <c r="B441" s="2">
        <v>3.7885</v>
      </c>
      <c r="C441" s="1">
        <f>Tabela5[[#This Row],[Alongamento (mm/mm)]]/$I$2</f>
        <v>7.5770000000000004E-2</v>
      </c>
      <c r="D441" s="2">
        <v>569.83000000000004</v>
      </c>
      <c r="E441" s="1">
        <f>Tabela5[[#This Row],[Força (N)]]/$I$5</f>
        <v>13458749.61619311</v>
      </c>
      <c r="F441" s="1">
        <f>Tabela5[[#This Row],[Tensão (Pa)]]/1000000</f>
        <v>13.45874961619311</v>
      </c>
    </row>
    <row r="442" spans="1:6" x14ac:dyDescent="0.3">
      <c r="A442" s="2">
        <v>45.683</v>
      </c>
      <c r="B442" s="2">
        <v>3.7995999999999999</v>
      </c>
      <c r="C442" s="1">
        <f>Tabela5[[#This Row],[Alongamento (mm/mm)]]/$I$2</f>
        <v>7.5992000000000004E-2</v>
      </c>
      <c r="D442" s="2">
        <v>574.59</v>
      </c>
      <c r="E442" s="1">
        <f>Tabela5[[#This Row],[Força (N)]]/$I$5</f>
        <v>13571175.511939349</v>
      </c>
      <c r="F442" s="1">
        <f>Tabela5[[#This Row],[Tensão (Pa)]]/1000000</f>
        <v>13.571175511939348</v>
      </c>
    </row>
    <row r="443" spans="1:6" x14ac:dyDescent="0.3">
      <c r="A443" s="2">
        <v>45.817</v>
      </c>
      <c r="B443" s="2">
        <v>3.8107000000000002</v>
      </c>
      <c r="C443" s="1">
        <f>Tabela5[[#This Row],[Alongamento (mm/mm)]]/$I$2</f>
        <v>7.6214000000000004E-2</v>
      </c>
      <c r="D443" s="2">
        <v>579.36</v>
      </c>
      <c r="E443" s="1">
        <f>Tabela5[[#This Row],[Força (N)]]/$I$5</f>
        <v>13683837.596542196</v>
      </c>
      <c r="F443" s="1">
        <f>Tabela5[[#This Row],[Tensão (Pa)]]/1000000</f>
        <v>13.683837596542196</v>
      </c>
    </row>
    <row r="444" spans="1:6" x14ac:dyDescent="0.3">
      <c r="A444" s="2">
        <v>45.95</v>
      </c>
      <c r="B444" s="2">
        <v>3.8218999999999999</v>
      </c>
      <c r="C444" s="1">
        <f>Tabela5[[#This Row],[Alongamento (mm/mm)]]/$I$2</f>
        <v>7.6437999999999992E-2</v>
      </c>
      <c r="D444" s="2">
        <v>584.29</v>
      </c>
      <c r="E444" s="1">
        <f>Tabela5[[#This Row],[Força (N)]]/$I$5</f>
        <v>13800278.7028508</v>
      </c>
      <c r="F444" s="1">
        <f>Tabela5[[#This Row],[Tensão (Pa)]]/1000000</f>
        <v>13.8002787028508</v>
      </c>
    </row>
    <row r="445" spans="1:6" x14ac:dyDescent="0.3">
      <c r="A445" s="2">
        <v>46.082999999999998</v>
      </c>
      <c r="B445" s="2">
        <v>3.8329</v>
      </c>
      <c r="C445" s="1">
        <f>Tabela5[[#This Row],[Alongamento (mm/mm)]]/$I$2</f>
        <v>7.6658000000000004E-2</v>
      </c>
      <c r="D445" s="2">
        <v>589.04999999999995</v>
      </c>
      <c r="E445" s="1">
        <f>Tabela5[[#This Row],[Força (N)]]/$I$5</f>
        <v>13912704.598597039</v>
      </c>
      <c r="F445" s="1">
        <f>Tabela5[[#This Row],[Tensão (Pa)]]/1000000</f>
        <v>13.912704598597038</v>
      </c>
    </row>
    <row r="446" spans="1:6" x14ac:dyDescent="0.3">
      <c r="A446" s="2">
        <v>46.216999999999999</v>
      </c>
      <c r="B446" s="2">
        <v>3.8439999999999999</v>
      </c>
      <c r="C446" s="1">
        <f>Tabela5[[#This Row],[Alongamento (mm/mm)]]/$I$2</f>
        <v>7.6880000000000004E-2</v>
      </c>
      <c r="D446" s="2">
        <v>593.99</v>
      </c>
      <c r="E446" s="1">
        <f>Tabela5[[#This Row],[Força (N)]]/$I$5</f>
        <v>14029381.893762253</v>
      </c>
      <c r="F446" s="1">
        <f>Tabela5[[#This Row],[Tensão (Pa)]]/1000000</f>
        <v>14.029381893762253</v>
      </c>
    </row>
    <row r="447" spans="1:6" x14ac:dyDescent="0.3">
      <c r="A447" s="2">
        <v>46.35</v>
      </c>
      <c r="B447" s="2">
        <v>3.855</v>
      </c>
      <c r="C447" s="1">
        <f>Tabela5[[#This Row],[Alongamento (mm/mm)]]/$I$2</f>
        <v>7.7100000000000002E-2</v>
      </c>
      <c r="D447" s="2">
        <v>598.91999999999996</v>
      </c>
      <c r="E447" s="1">
        <f>Tabela5[[#This Row],[Força (N)]]/$I$5</f>
        <v>14145823.000070857</v>
      </c>
      <c r="F447" s="1">
        <f>Tabela5[[#This Row],[Tensão (Pa)]]/1000000</f>
        <v>14.145823000070857</v>
      </c>
    </row>
    <row r="448" spans="1:6" x14ac:dyDescent="0.3">
      <c r="A448" s="2">
        <v>46.482999999999997</v>
      </c>
      <c r="B448" s="2">
        <v>3.8662999999999998</v>
      </c>
      <c r="C448" s="1">
        <f>Tabela5[[#This Row],[Alongamento (mm/mm)]]/$I$2</f>
        <v>7.7325999999999992E-2</v>
      </c>
      <c r="D448" s="2">
        <v>603.85</v>
      </c>
      <c r="E448" s="1">
        <f>Tabela5[[#This Row],[Força (N)]]/$I$5</f>
        <v>14262264.106379462</v>
      </c>
      <c r="F448" s="1">
        <f>Tabela5[[#This Row],[Tensão (Pa)]]/1000000</f>
        <v>14.262264106379462</v>
      </c>
    </row>
    <row r="449" spans="1:6" x14ac:dyDescent="0.3">
      <c r="A449" s="2">
        <v>46.6</v>
      </c>
      <c r="B449" s="2">
        <v>3.8759999999999999</v>
      </c>
      <c r="C449" s="1">
        <f>Tabela5[[#This Row],[Alongamento (mm/mm)]]/$I$2</f>
        <v>7.7519999999999992E-2</v>
      </c>
      <c r="D449" s="2">
        <v>608.27</v>
      </c>
      <c r="E449" s="1">
        <f>Tabela5[[#This Row],[Força (N)]]/$I$5</f>
        <v>14366659.581000969</v>
      </c>
      <c r="F449" s="1">
        <f>Tabela5[[#This Row],[Tensão (Pa)]]/1000000</f>
        <v>14.366659581000969</v>
      </c>
    </row>
    <row r="450" spans="1:6" x14ac:dyDescent="0.3">
      <c r="A450" s="2">
        <v>46.716999999999999</v>
      </c>
      <c r="B450" s="2">
        <v>3.8856000000000002</v>
      </c>
      <c r="C450" s="1">
        <f>Tabela5[[#This Row],[Alongamento (mm/mm)]]/$I$2</f>
        <v>7.7712000000000003E-2</v>
      </c>
      <c r="D450" s="2">
        <v>612.70000000000005</v>
      </c>
      <c r="E450" s="1">
        <f>Tabela5[[#This Row],[Força (N)]]/$I$5</f>
        <v>14471291.244479088</v>
      </c>
      <c r="F450" s="1">
        <f>Tabela5[[#This Row],[Tensão (Pa)]]/1000000</f>
        <v>14.471291244479088</v>
      </c>
    </row>
    <row r="451" spans="1:6" x14ac:dyDescent="0.3">
      <c r="A451" s="2">
        <v>46.85</v>
      </c>
      <c r="B451" s="2">
        <v>3.8967999999999998</v>
      </c>
      <c r="C451" s="1">
        <f>Tabela5[[#This Row],[Alongamento (mm/mm)]]/$I$2</f>
        <v>7.7935999999999991E-2</v>
      </c>
      <c r="D451" s="2">
        <v>617.79999999999995</v>
      </c>
      <c r="E451" s="1">
        <f>Tabela5[[#This Row],[Força (N)]]/$I$5</f>
        <v>14591747.561350055</v>
      </c>
      <c r="F451" s="1">
        <f>Tabela5[[#This Row],[Tensão (Pa)]]/1000000</f>
        <v>14.591747561350054</v>
      </c>
    </row>
    <row r="452" spans="1:6" x14ac:dyDescent="0.3">
      <c r="A452" s="2">
        <v>46.982999999999997</v>
      </c>
      <c r="B452" s="2">
        <v>3.9079000000000002</v>
      </c>
      <c r="C452" s="1">
        <f>Tabela5[[#This Row],[Alongamento (mm/mm)]]/$I$2</f>
        <v>7.8158000000000005E-2</v>
      </c>
      <c r="D452" s="2">
        <v>622.9</v>
      </c>
      <c r="E452" s="1">
        <f>Tabela5[[#This Row],[Força (N)]]/$I$5</f>
        <v>14712203.878221026</v>
      </c>
      <c r="F452" s="1">
        <f>Tabela5[[#This Row],[Tensão (Pa)]]/1000000</f>
        <v>14.712203878221025</v>
      </c>
    </row>
    <row r="453" spans="1:6" x14ac:dyDescent="0.3">
      <c r="A453" s="2">
        <v>47.116999999999997</v>
      </c>
      <c r="B453" s="2">
        <v>3.919</v>
      </c>
      <c r="C453" s="1">
        <f>Tabela5[[#This Row],[Alongamento (mm/mm)]]/$I$2</f>
        <v>7.8380000000000005E-2</v>
      </c>
      <c r="D453" s="2">
        <v>627.83000000000004</v>
      </c>
      <c r="E453" s="1">
        <f>Tabela5[[#This Row],[Força (N)]]/$I$5</f>
        <v>14828644.984529633</v>
      </c>
      <c r="F453" s="1">
        <f>Tabela5[[#This Row],[Tensão (Pa)]]/1000000</f>
        <v>14.828644984529634</v>
      </c>
    </row>
    <row r="454" spans="1:6" x14ac:dyDescent="0.3">
      <c r="A454" s="2">
        <v>47.25</v>
      </c>
      <c r="B454" s="2">
        <v>3.9300999999999999</v>
      </c>
      <c r="C454" s="1">
        <f>Tabela5[[#This Row],[Alongamento (mm/mm)]]/$I$2</f>
        <v>7.8602000000000005E-2</v>
      </c>
      <c r="D454" s="2">
        <v>632.94000000000005</v>
      </c>
      <c r="E454" s="1">
        <f>Tabela5[[#This Row],[Força (N)]]/$I$5</f>
        <v>14949337.490257213</v>
      </c>
      <c r="F454" s="1">
        <f>Tabela5[[#This Row],[Tensão (Pa)]]/1000000</f>
        <v>14.949337490257212</v>
      </c>
    </row>
    <row r="455" spans="1:6" x14ac:dyDescent="0.3">
      <c r="A455" s="2">
        <v>47.383000000000003</v>
      </c>
      <c r="B455" s="2">
        <v>3.9413</v>
      </c>
      <c r="C455" s="1">
        <f>Tabela5[[#This Row],[Alongamento (mm/mm)]]/$I$2</f>
        <v>7.8826000000000007E-2</v>
      </c>
      <c r="D455" s="2">
        <v>637.87</v>
      </c>
      <c r="E455" s="1">
        <f>Tabela5[[#This Row],[Força (N)]]/$I$5</f>
        <v>15065778.596565817</v>
      </c>
      <c r="F455" s="1">
        <f>Tabela5[[#This Row],[Tensão (Pa)]]/1000000</f>
        <v>15.065778596565817</v>
      </c>
    </row>
    <row r="456" spans="1:6" x14ac:dyDescent="0.3">
      <c r="A456" s="2">
        <v>47.517000000000003</v>
      </c>
      <c r="B456" s="2">
        <v>3.9523999999999999</v>
      </c>
      <c r="C456" s="1">
        <f>Tabela5[[#This Row],[Alongamento (mm/mm)]]/$I$2</f>
        <v>7.9047999999999993E-2</v>
      </c>
      <c r="D456" s="2">
        <v>642.97</v>
      </c>
      <c r="E456" s="1">
        <f>Tabela5[[#This Row],[Força (N)]]/$I$5</f>
        <v>15186234.913436785</v>
      </c>
      <c r="F456" s="1">
        <f>Tabela5[[#This Row],[Tensão (Pa)]]/1000000</f>
        <v>15.186234913436785</v>
      </c>
    </row>
    <row r="457" spans="1:6" x14ac:dyDescent="0.3">
      <c r="A457" s="2">
        <v>47.65</v>
      </c>
      <c r="B457" s="2">
        <v>3.9634</v>
      </c>
      <c r="C457" s="1">
        <f>Tabela5[[#This Row],[Alongamento (mm/mm)]]/$I$2</f>
        <v>7.9268000000000005E-2</v>
      </c>
      <c r="D457" s="2">
        <v>648.08000000000004</v>
      </c>
      <c r="E457" s="1">
        <f>Tabela5[[#This Row],[Força (N)]]/$I$5</f>
        <v>15306927.419164367</v>
      </c>
      <c r="F457" s="1">
        <f>Tabela5[[#This Row],[Tensão (Pa)]]/1000000</f>
        <v>15.306927419164367</v>
      </c>
    </row>
    <row r="458" spans="1:6" x14ac:dyDescent="0.3">
      <c r="A458" s="2">
        <v>47.783000000000001</v>
      </c>
      <c r="B458" s="2">
        <v>3.9746000000000001</v>
      </c>
      <c r="C458" s="1">
        <f>Tabela5[[#This Row],[Alongamento (mm/mm)]]/$I$2</f>
        <v>7.9492000000000007E-2</v>
      </c>
      <c r="D458" s="2">
        <v>653.17999999999995</v>
      </c>
      <c r="E458" s="1">
        <f>Tabela5[[#This Row],[Força (N)]]/$I$5</f>
        <v>15427383.736035334</v>
      </c>
      <c r="F458" s="1">
        <f>Tabela5[[#This Row],[Tensão (Pa)]]/1000000</f>
        <v>15.427383736035335</v>
      </c>
    </row>
    <row r="459" spans="1:6" x14ac:dyDescent="0.3">
      <c r="A459" s="2">
        <v>47.917000000000002</v>
      </c>
      <c r="B459" s="2">
        <v>3.9857</v>
      </c>
      <c r="C459" s="1">
        <f>Tabela5[[#This Row],[Alongamento (mm/mm)]]/$I$2</f>
        <v>7.9714000000000007E-2</v>
      </c>
      <c r="D459" s="2">
        <v>658.45</v>
      </c>
      <c r="E459" s="1">
        <f>Tabela5[[#This Row],[Força (N)]]/$I$5</f>
        <v>15551855.263468672</v>
      </c>
      <c r="F459" s="1">
        <f>Tabela5[[#This Row],[Tensão (Pa)]]/1000000</f>
        <v>15.551855263468672</v>
      </c>
    </row>
    <row r="460" spans="1:6" x14ac:dyDescent="0.3">
      <c r="A460" s="2">
        <v>48.05</v>
      </c>
      <c r="B460" s="2">
        <v>3.9967999999999999</v>
      </c>
      <c r="C460" s="1">
        <f>Tabela5[[#This Row],[Alongamento (mm/mm)]]/$I$2</f>
        <v>7.9935999999999993E-2</v>
      </c>
      <c r="D460" s="2">
        <v>663.56</v>
      </c>
      <c r="E460" s="1">
        <f>Tabela5[[#This Row],[Força (N)]]/$I$5</f>
        <v>15672547.76919625</v>
      </c>
      <c r="F460" s="1">
        <f>Tabela5[[#This Row],[Tensão (Pa)]]/1000000</f>
        <v>15.67254776919625</v>
      </c>
    </row>
    <row r="461" spans="1:6" x14ac:dyDescent="0.3">
      <c r="A461" s="2">
        <v>48.183</v>
      </c>
      <c r="B461" s="2">
        <v>4.008</v>
      </c>
      <c r="C461" s="1">
        <f>Tabela5[[#This Row],[Alongamento (mm/mm)]]/$I$2</f>
        <v>8.0159999999999995E-2</v>
      </c>
      <c r="D461" s="2">
        <v>668.66</v>
      </c>
      <c r="E461" s="1">
        <f>Tabela5[[#This Row],[Força (N)]]/$I$5</f>
        <v>15793004.08606722</v>
      </c>
      <c r="F461" s="1">
        <f>Tabela5[[#This Row],[Tensão (Pa)]]/1000000</f>
        <v>15.793004086067221</v>
      </c>
    </row>
    <row r="462" spans="1:6" x14ac:dyDescent="0.3">
      <c r="A462" s="2">
        <v>48.332999999999998</v>
      </c>
      <c r="B462" s="2">
        <v>4.0204000000000004</v>
      </c>
      <c r="C462" s="1">
        <f>Tabela5[[#This Row],[Alongamento (mm/mm)]]/$I$2</f>
        <v>8.0408000000000007E-2</v>
      </c>
      <c r="D462" s="2">
        <v>674.27</v>
      </c>
      <c r="E462" s="1">
        <f>Tabela5[[#This Row],[Força (N)]]/$I$5</f>
        <v>15925506.034625288</v>
      </c>
      <c r="F462" s="1">
        <f>Tabela5[[#This Row],[Tensão (Pa)]]/1000000</f>
        <v>15.925506034625288</v>
      </c>
    </row>
    <row r="463" spans="1:6" x14ac:dyDescent="0.3">
      <c r="A463" s="2">
        <v>48.466999999999999</v>
      </c>
      <c r="B463" s="2">
        <v>4.0316000000000001</v>
      </c>
      <c r="C463" s="1">
        <f>Tabela5[[#This Row],[Alongamento (mm/mm)]]/$I$2</f>
        <v>8.0631999999999995E-2</v>
      </c>
      <c r="D463" s="2">
        <v>679.37</v>
      </c>
      <c r="E463" s="1">
        <f>Tabela5[[#This Row],[Força (N)]]/$I$5</f>
        <v>16045962.351496259</v>
      </c>
      <c r="F463" s="1">
        <f>Tabela5[[#This Row],[Tensão (Pa)]]/1000000</f>
        <v>16.045962351496257</v>
      </c>
    </row>
    <row r="464" spans="1:6" x14ac:dyDescent="0.3">
      <c r="A464" s="2">
        <v>48.6</v>
      </c>
      <c r="B464" s="2">
        <v>4.0426000000000002</v>
      </c>
      <c r="C464" s="1">
        <f>Tabela5[[#This Row],[Alongamento (mm/mm)]]/$I$2</f>
        <v>8.0852000000000007E-2</v>
      </c>
      <c r="D464" s="2">
        <v>684.48</v>
      </c>
      <c r="E464" s="1">
        <f>Tabela5[[#This Row],[Força (N)]]/$I$5</f>
        <v>16166654.857223839</v>
      </c>
      <c r="F464" s="1">
        <f>Tabela5[[#This Row],[Tensão (Pa)]]/1000000</f>
        <v>16.16665485722384</v>
      </c>
    </row>
    <row r="465" spans="1:6" x14ac:dyDescent="0.3">
      <c r="A465" s="2">
        <v>48.732999999999997</v>
      </c>
      <c r="B465" s="2">
        <v>4.0537999999999998</v>
      </c>
      <c r="C465" s="1">
        <f>Tabela5[[#This Row],[Alongamento (mm/mm)]]/$I$2</f>
        <v>8.1075999999999995E-2</v>
      </c>
      <c r="D465" s="2">
        <v>689.58</v>
      </c>
      <c r="E465" s="1">
        <f>Tabela5[[#This Row],[Força (N)]]/$I$5</f>
        <v>16287111.174094809</v>
      </c>
      <c r="F465" s="1">
        <f>Tabela5[[#This Row],[Tensão (Pa)]]/1000000</f>
        <v>16.287111174094811</v>
      </c>
    </row>
    <row r="466" spans="1:6" x14ac:dyDescent="0.3">
      <c r="A466" s="2">
        <v>48.866999999999997</v>
      </c>
      <c r="B466" s="2">
        <v>4.0648999999999997</v>
      </c>
      <c r="C466" s="1">
        <f>Tabela5[[#This Row],[Alongamento (mm/mm)]]/$I$2</f>
        <v>8.1297999999999995E-2</v>
      </c>
      <c r="D466" s="2">
        <v>694.85</v>
      </c>
      <c r="E466" s="1">
        <f>Tabela5[[#This Row],[Força (N)]]/$I$5</f>
        <v>16411582.701528145</v>
      </c>
      <c r="F466" s="1">
        <f>Tabela5[[#This Row],[Tensão (Pa)]]/1000000</f>
        <v>16.411582701528143</v>
      </c>
    </row>
    <row r="467" spans="1:6" x14ac:dyDescent="0.3">
      <c r="A467" s="2">
        <v>49</v>
      </c>
      <c r="B467" s="2">
        <v>4.0758999999999999</v>
      </c>
      <c r="C467" s="1">
        <f>Tabela5[[#This Row],[Alongamento (mm/mm)]]/$I$2</f>
        <v>8.1517999999999993E-2</v>
      </c>
      <c r="D467" s="2">
        <v>699.96</v>
      </c>
      <c r="E467" s="1">
        <f>Tabela5[[#This Row],[Força (N)]]/$I$5</f>
        <v>16532275.207255725</v>
      </c>
      <c r="F467" s="1">
        <f>Tabela5[[#This Row],[Tensão (Pa)]]/1000000</f>
        <v>16.532275207255726</v>
      </c>
    </row>
    <row r="468" spans="1:6" x14ac:dyDescent="0.3">
      <c r="A468" s="2">
        <v>49.15</v>
      </c>
      <c r="B468" s="2">
        <v>4.0884</v>
      </c>
      <c r="C468" s="1">
        <f>Tabela5[[#This Row],[Alongamento (mm/mm)]]/$I$2</f>
        <v>8.1768000000000007E-2</v>
      </c>
      <c r="D468" s="2">
        <v>705.74</v>
      </c>
      <c r="E468" s="1">
        <f>Tabela5[[#This Row],[Força (N)]]/$I$5</f>
        <v>16668792.366376156</v>
      </c>
      <c r="F468" s="1">
        <f>Tabela5[[#This Row],[Tensão (Pa)]]/1000000</f>
        <v>16.668792366376156</v>
      </c>
    </row>
    <row r="469" spans="1:6" x14ac:dyDescent="0.3">
      <c r="A469" s="2">
        <v>49.3</v>
      </c>
      <c r="B469" s="2">
        <v>4.101</v>
      </c>
      <c r="C469" s="1">
        <f>Tabela5[[#This Row],[Alongamento (mm/mm)]]/$I$2</f>
        <v>8.2019999999999996E-2</v>
      </c>
      <c r="D469" s="2">
        <v>711.52</v>
      </c>
      <c r="E469" s="1">
        <f>Tabela5[[#This Row],[Força (N)]]/$I$5</f>
        <v>16805309.525496587</v>
      </c>
      <c r="F469" s="1">
        <f>Tabela5[[#This Row],[Tensão (Pa)]]/1000000</f>
        <v>16.805309525496586</v>
      </c>
    </row>
    <row r="470" spans="1:6" x14ac:dyDescent="0.3">
      <c r="A470" s="2">
        <v>49.45</v>
      </c>
      <c r="B470" s="2">
        <v>4.1134000000000004</v>
      </c>
      <c r="C470" s="1">
        <f>Tabela5[[#This Row],[Alongamento (mm/mm)]]/$I$2</f>
        <v>8.2268000000000008E-2</v>
      </c>
      <c r="D470" s="2">
        <v>717.31</v>
      </c>
      <c r="E470" s="1">
        <f>Tabela5[[#This Row],[Força (N)]]/$I$5</f>
        <v>16942062.873473629</v>
      </c>
      <c r="F470" s="1">
        <f>Tabela5[[#This Row],[Tensão (Pa)]]/1000000</f>
        <v>16.942062873473628</v>
      </c>
    </row>
    <row r="471" spans="1:6" x14ac:dyDescent="0.3">
      <c r="A471" s="2">
        <v>49.6</v>
      </c>
      <c r="B471" s="2">
        <v>4.1260000000000003</v>
      </c>
      <c r="C471" s="1">
        <f>Tabela5[[#This Row],[Alongamento (mm/mm)]]/$I$2</f>
        <v>8.252000000000001E-2</v>
      </c>
      <c r="D471" s="2">
        <v>723.09</v>
      </c>
      <c r="E471" s="1">
        <f>Tabela5[[#This Row],[Força (N)]]/$I$5</f>
        <v>17078580.032594066</v>
      </c>
      <c r="F471" s="1">
        <f>Tabela5[[#This Row],[Tensão (Pa)]]/1000000</f>
        <v>17.078580032594065</v>
      </c>
    </row>
    <row r="472" spans="1:6" x14ac:dyDescent="0.3">
      <c r="A472" s="2">
        <v>49.75</v>
      </c>
      <c r="B472" s="2">
        <v>4.1384999999999996</v>
      </c>
      <c r="C472" s="1">
        <f>Tabela5[[#This Row],[Alongamento (mm/mm)]]/$I$2</f>
        <v>8.2769999999999996E-2</v>
      </c>
      <c r="D472" s="2">
        <v>728.87</v>
      </c>
      <c r="E472" s="1">
        <f>Tabela5[[#This Row],[Força (N)]]/$I$5</f>
        <v>17215097.191714495</v>
      </c>
      <c r="F472" s="1">
        <f>Tabela5[[#This Row],[Tensão (Pa)]]/1000000</f>
        <v>17.215097191714495</v>
      </c>
    </row>
    <row r="473" spans="1:6" x14ac:dyDescent="0.3">
      <c r="A473" s="2">
        <v>49.9</v>
      </c>
      <c r="B473" s="2">
        <v>4.1509999999999998</v>
      </c>
      <c r="C473" s="1">
        <f>Tabela5[[#This Row],[Alongamento (mm/mm)]]/$I$2</f>
        <v>8.3019999999999997E-2</v>
      </c>
      <c r="D473" s="2">
        <v>734.83</v>
      </c>
      <c r="E473" s="1">
        <f>Tabela5[[#This Row],[Força (N)]]/$I$5</f>
        <v>17355865.750253905</v>
      </c>
      <c r="F473" s="1">
        <f>Tabela5[[#This Row],[Tensão (Pa)]]/1000000</f>
        <v>17.355865750253905</v>
      </c>
    </row>
    <row r="474" spans="1:6" x14ac:dyDescent="0.3">
      <c r="A474" s="2">
        <v>50.05</v>
      </c>
      <c r="B474" s="2">
        <v>4.1635</v>
      </c>
      <c r="C474" s="1">
        <f>Tabela5[[#This Row],[Alongamento (mm/mm)]]/$I$2</f>
        <v>8.3269999999999997E-2</v>
      </c>
      <c r="D474" s="2">
        <v>740.61</v>
      </c>
      <c r="E474" s="1">
        <f>Tabela5[[#This Row],[Força (N)]]/$I$5</f>
        <v>17492382.909374338</v>
      </c>
      <c r="F474" s="1">
        <f>Tabela5[[#This Row],[Tensão (Pa)]]/1000000</f>
        <v>17.492382909374339</v>
      </c>
    </row>
    <row r="475" spans="1:6" x14ac:dyDescent="0.3">
      <c r="A475" s="2">
        <v>50.2</v>
      </c>
      <c r="B475" s="2">
        <v>4.1760000000000002</v>
      </c>
      <c r="C475" s="1">
        <f>Tabela5[[#This Row],[Alongamento (mm/mm)]]/$I$2</f>
        <v>8.3519999999999997E-2</v>
      </c>
      <c r="D475" s="2">
        <v>746.39</v>
      </c>
      <c r="E475" s="1">
        <f>Tabela5[[#This Row],[Força (N)]]/$I$5</f>
        <v>17628900.068494771</v>
      </c>
      <c r="F475" s="1">
        <f>Tabela5[[#This Row],[Tensão (Pa)]]/1000000</f>
        <v>17.628900068494772</v>
      </c>
    </row>
    <row r="476" spans="1:6" x14ac:dyDescent="0.3">
      <c r="A476" s="2">
        <v>50.35</v>
      </c>
      <c r="B476" s="2">
        <v>4.1885000000000003</v>
      </c>
      <c r="C476" s="1">
        <f>Tabela5[[#This Row],[Alongamento (mm/mm)]]/$I$2</f>
        <v>8.3770000000000011E-2</v>
      </c>
      <c r="D476" s="2">
        <v>752.18</v>
      </c>
      <c r="E476" s="1">
        <f>Tabela5[[#This Row],[Força (N)]]/$I$5</f>
        <v>17765653.416471813</v>
      </c>
      <c r="F476" s="1">
        <f>Tabela5[[#This Row],[Tensão (Pa)]]/1000000</f>
        <v>17.765653416471814</v>
      </c>
    </row>
    <row r="477" spans="1:6" x14ac:dyDescent="0.3">
      <c r="A477" s="2">
        <v>50.5</v>
      </c>
      <c r="B477" s="2">
        <v>4.2008999999999999</v>
      </c>
      <c r="C477" s="1">
        <f>Tabela5[[#This Row],[Alongamento (mm/mm)]]/$I$2</f>
        <v>8.4017999999999995E-2</v>
      </c>
      <c r="D477" s="2">
        <v>758.13</v>
      </c>
      <c r="E477" s="1">
        <f>Tabela5[[#This Row],[Força (N)]]/$I$5</f>
        <v>17906185.786154609</v>
      </c>
      <c r="F477" s="1">
        <f>Tabela5[[#This Row],[Tensão (Pa)]]/1000000</f>
        <v>17.906185786154609</v>
      </c>
    </row>
    <row r="478" spans="1:6" x14ac:dyDescent="0.3">
      <c r="A478" s="2">
        <v>50.65</v>
      </c>
      <c r="B478" s="2">
        <v>4.2134999999999998</v>
      </c>
      <c r="C478" s="1">
        <f>Tabela5[[#This Row],[Alongamento (mm/mm)]]/$I$2</f>
        <v>8.4269999999999998E-2</v>
      </c>
      <c r="D478" s="2">
        <v>763.91</v>
      </c>
      <c r="E478" s="1">
        <f>Tabela5[[#This Row],[Força (N)]]/$I$5</f>
        <v>18042702.945275042</v>
      </c>
      <c r="F478" s="1">
        <f>Tabela5[[#This Row],[Tensão (Pa)]]/1000000</f>
        <v>18.042702945275042</v>
      </c>
    </row>
    <row r="479" spans="1:6" x14ac:dyDescent="0.3">
      <c r="A479" s="2">
        <v>50.8</v>
      </c>
      <c r="B479" s="2">
        <v>4.2259000000000002</v>
      </c>
      <c r="C479" s="1">
        <f>Tabela5[[#This Row],[Alongamento (mm/mm)]]/$I$2</f>
        <v>8.451800000000001E-2</v>
      </c>
      <c r="D479" s="2">
        <v>769.7</v>
      </c>
      <c r="E479" s="1">
        <f>Tabela5[[#This Row],[Força (N)]]/$I$5</f>
        <v>18179456.293252088</v>
      </c>
      <c r="F479" s="1">
        <f>Tabela5[[#This Row],[Tensão (Pa)]]/1000000</f>
        <v>18.179456293252088</v>
      </c>
    </row>
    <row r="480" spans="1:6" x14ac:dyDescent="0.3">
      <c r="A480" s="2">
        <v>50.95</v>
      </c>
      <c r="B480" s="2">
        <v>4.2385000000000002</v>
      </c>
      <c r="C480" s="1">
        <f>Tabela5[[#This Row],[Alongamento (mm/mm)]]/$I$2</f>
        <v>8.4769999999999998E-2</v>
      </c>
      <c r="D480" s="2">
        <v>775.65</v>
      </c>
      <c r="E480" s="1">
        <f>Tabela5[[#This Row],[Força (N)]]/$I$5</f>
        <v>18319988.662934884</v>
      </c>
      <c r="F480" s="1">
        <f>Tabela5[[#This Row],[Tensão (Pa)]]/1000000</f>
        <v>18.319988662934886</v>
      </c>
    </row>
    <row r="481" spans="1:6" x14ac:dyDescent="0.3">
      <c r="A481" s="2">
        <v>51.1</v>
      </c>
      <c r="B481" s="2">
        <v>4.2510000000000003</v>
      </c>
      <c r="C481" s="1">
        <f>Tabela5[[#This Row],[Alongamento (mm/mm)]]/$I$2</f>
        <v>8.5020000000000012E-2</v>
      </c>
      <c r="D481" s="2">
        <v>781.6</v>
      </c>
      <c r="E481" s="1">
        <f>Tabela5[[#This Row],[Força (N)]]/$I$5</f>
        <v>18460521.032617684</v>
      </c>
      <c r="F481" s="1">
        <f>Tabela5[[#This Row],[Tensão (Pa)]]/1000000</f>
        <v>18.460521032617685</v>
      </c>
    </row>
    <row r="482" spans="1:6" x14ac:dyDescent="0.3">
      <c r="A482" s="2">
        <v>51.25</v>
      </c>
      <c r="B482" s="2">
        <v>4.2634999999999996</v>
      </c>
      <c r="C482" s="1">
        <f>Tabela5[[#This Row],[Alongamento (mm/mm)]]/$I$2</f>
        <v>8.5269999999999999E-2</v>
      </c>
      <c r="D482" s="2">
        <v>787.39</v>
      </c>
      <c r="E482" s="1">
        <f>Tabela5[[#This Row],[Força (N)]]/$I$5</f>
        <v>18597274.380594727</v>
      </c>
      <c r="F482" s="1">
        <f>Tabela5[[#This Row],[Tensão (Pa)]]/1000000</f>
        <v>18.597274380594726</v>
      </c>
    </row>
    <row r="483" spans="1:6" x14ac:dyDescent="0.3">
      <c r="A483" s="2">
        <v>51.417000000000002</v>
      </c>
      <c r="B483" s="2">
        <v>4.2774000000000001</v>
      </c>
      <c r="C483" s="1">
        <f>Tabela5[[#This Row],[Alongamento (mm/mm)]]/$I$2</f>
        <v>8.5547999999999999E-2</v>
      </c>
      <c r="D483" s="2">
        <v>793.85</v>
      </c>
      <c r="E483" s="1">
        <f>Tabela5[[#This Row],[Força (N)]]/$I$5</f>
        <v>18749852.38196462</v>
      </c>
      <c r="F483" s="1">
        <f>Tabela5[[#This Row],[Tensão (Pa)]]/1000000</f>
        <v>18.749852381964619</v>
      </c>
    </row>
    <row r="484" spans="1:6" x14ac:dyDescent="0.3">
      <c r="A484" s="2">
        <v>51.582999999999998</v>
      </c>
      <c r="B484" s="2">
        <v>4.2912999999999997</v>
      </c>
      <c r="C484" s="1">
        <f>Tabela5[[#This Row],[Alongamento (mm/mm)]]/$I$2</f>
        <v>8.5826E-2</v>
      </c>
      <c r="D484" s="2">
        <v>800.48</v>
      </c>
      <c r="E484" s="1">
        <f>Tabela5[[#This Row],[Força (N)]]/$I$5</f>
        <v>18906445.593896881</v>
      </c>
      <c r="F484" s="1">
        <f>Tabela5[[#This Row],[Tensão (Pa)]]/1000000</f>
        <v>18.90644559389688</v>
      </c>
    </row>
    <row r="485" spans="1:6" x14ac:dyDescent="0.3">
      <c r="A485" s="2">
        <v>51.75</v>
      </c>
      <c r="B485" s="2">
        <v>4.3049999999999997</v>
      </c>
      <c r="C485" s="1">
        <f>Tabela5[[#This Row],[Alongamento (mm/mm)]]/$I$2</f>
        <v>8.6099999999999996E-2</v>
      </c>
      <c r="D485" s="2">
        <v>806.95</v>
      </c>
      <c r="E485" s="1">
        <f>Tabela5[[#This Row],[Força (N)]]/$I$5</f>
        <v>19059259.784123387</v>
      </c>
      <c r="F485" s="1">
        <f>Tabela5[[#This Row],[Tensão (Pa)]]/1000000</f>
        <v>19.059259784123388</v>
      </c>
    </row>
    <row r="486" spans="1:6" x14ac:dyDescent="0.3">
      <c r="A486" s="2">
        <v>51.917000000000002</v>
      </c>
      <c r="B486" s="2">
        <v>4.319</v>
      </c>
      <c r="C486" s="1">
        <f>Tabela5[[#This Row],[Alongamento (mm/mm)]]/$I$2</f>
        <v>8.6379999999999998E-2</v>
      </c>
      <c r="D486" s="2">
        <v>813.58</v>
      </c>
      <c r="E486" s="1">
        <f>Tabela5[[#This Row],[Força (N)]]/$I$5</f>
        <v>19215852.996055648</v>
      </c>
      <c r="F486" s="1">
        <f>Tabela5[[#This Row],[Tensão (Pa)]]/1000000</f>
        <v>19.215852996055649</v>
      </c>
    </row>
    <row r="487" spans="1:6" x14ac:dyDescent="0.3">
      <c r="A487" s="2">
        <v>52.082999999999998</v>
      </c>
      <c r="B487" s="2">
        <v>4.3330000000000002</v>
      </c>
      <c r="C487" s="1">
        <f>Tabela5[[#This Row],[Alongamento (mm/mm)]]/$I$2</f>
        <v>8.6660000000000001E-2</v>
      </c>
      <c r="D487" s="2">
        <v>820.22</v>
      </c>
      <c r="E487" s="1">
        <f>Tabela5[[#This Row],[Força (N)]]/$I$5</f>
        <v>19372682.396844521</v>
      </c>
      <c r="F487" s="1">
        <f>Tabela5[[#This Row],[Tensão (Pa)]]/1000000</f>
        <v>19.372682396844521</v>
      </c>
    </row>
    <row r="488" spans="1:6" x14ac:dyDescent="0.3">
      <c r="A488" s="2">
        <v>52.25</v>
      </c>
      <c r="B488" s="2">
        <v>4.3468</v>
      </c>
      <c r="C488" s="1">
        <f>Tabela5[[#This Row],[Alongamento (mm/mm)]]/$I$2</f>
        <v>8.6935999999999999E-2</v>
      </c>
      <c r="D488" s="2">
        <v>826.85</v>
      </c>
      <c r="E488" s="1">
        <f>Tabela5[[#This Row],[Força (N)]]/$I$5</f>
        <v>19529275.608776782</v>
      </c>
      <c r="F488" s="1">
        <f>Tabela5[[#This Row],[Tensão (Pa)]]/1000000</f>
        <v>19.529275608776782</v>
      </c>
    </row>
    <row r="489" spans="1:6" x14ac:dyDescent="0.3">
      <c r="A489" s="2">
        <v>52.4</v>
      </c>
      <c r="B489" s="2">
        <v>4.3593000000000002</v>
      </c>
      <c r="C489" s="1">
        <f>Tabela5[[#This Row],[Alongamento (mm/mm)]]/$I$2</f>
        <v>8.7186E-2</v>
      </c>
      <c r="D489" s="2">
        <v>832.97</v>
      </c>
      <c r="E489" s="1">
        <f>Tabela5[[#This Row],[Força (N)]]/$I$5</f>
        <v>19673823.189021945</v>
      </c>
      <c r="F489" s="1">
        <f>Tabela5[[#This Row],[Tensão (Pa)]]/1000000</f>
        <v>19.673823189021945</v>
      </c>
    </row>
    <row r="490" spans="1:6" x14ac:dyDescent="0.3">
      <c r="A490" s="2">
        <v>52.567</v>
      </c>
      <c r="B490" s="2">
        <v>4.3733000000000004</v>
      </c>
      <c r="C490" s="1">
        <f>Tabela5[[#This Row],[Alongamento (mm/mm)]]/$I$2</f>
        <v>8.7466000000000002E-2</v>
      </c>
      <c r="D490" s="2">
        <v>839.61</v>
      </c>
      <c r="E490" s="1">
        <f>Tabela5[[#This Row],[Força (N)]]/$I$5</f>
        <v>19830652.589810815</v>
      </c>
      <c r="F490" s="1">
        <f>Tabela5[[#This Row],[Tensão (Pa)]]/1000000</f>
        <v>19.830652589810814</v>
      </c>
    </row>
    <row r="491" spans="1:6" x14ac:dyDescent="0.3">
      <c r="A491" s="2">
        <v>52.732999999999997</v>
      </c>
      <c r="B491" s="2">
        <v>4.3869999999999996</v>
      </c>
      <c r="C491" s="1">
        <f>Tabela5[[#This Row],[Alongamento (mm/mm)]]/$I$2</f>
        <v>8.7739999999999985E-2</v>
      </c>
      <c r="D491" s="2">
        <v>846.41</v>
      </c>
      <c r="E491" s="1">
        <f>Tabela5[[#This Row],[Força (N)]]/$I$5</f>
        <v>19991261.012305442</v>
      </c>
      <c r="F491" s="1">
        <f>Tabela5[[#This Row],[Tensão (Pa)]]/1000000</f>
        <v>19.991261012305444</v>
      </c>
    </row>
    <row r="492" spans="1:6" x14ac:dyDescent="0.3">
      <c r="A492" s="2">
        <v>52.9</v>
      </c>
      <c r="B492" s="2">
        <v>4.4009999999999998</v>
      </c>
      <c r="C492" s="1">
        <f>Tabela5[[#This Row],[Alongamento (mm/mm)]]/$I$2</f>
        <v>8.8020000000000001E-2</v>
      </c>
      <c r="D492" s="2">
        <v>853.22</v>
      </c>
      <c r="E492" s="1">
        <f>Tabela5[[#This Row],[Força (N)]]/$I$5</f>
        <v>20152105.623656679</v>
      </c>
      <c r="F492" s="1">
        <f>Tabela5[[#This Row],[Tensão (Pa)]]/1000000</f>
        <v>20.152105623656681</v>
      </c>
    </row>
    <row r="493" spans="1:6" x14ac:dyDescent="0.3">
      <c r="A493" s="2">
        <v>53.067</v>
      </c>
      <c r="B493" s="2">
        <v>4.4149000000000003</v>
      </c>
      <c r="C493" s="1">
        <f>Tabela5[[#This Row],[Alongamento (mm/mm)]]/$I$2</f>
        <v>8.8298000000000001E-2</v>
      </c>
      <c r="D493" s="2">
        <v>860.19</v>
      </c>
      <c r="E493" s="1">
        <f>Tabela5[[#This Row],[Força (N)]]/$I$5</f>
        <v>20316729.256713673</v>
      </c>
      <c r="F493" s="1">
        <f>Tabela5[[#This Row],[Tensão (Pa)]]/1000000</f>
        <v>20.316729256713675</v>
      </c>
    </row>
    <row r="494" spans="1:6" x14ac:dyDescent="0.3">
      <c r="A494" s="2">
        <v>53.232999999999997</v>
      </c>
      <c r="B494" s="2">
        <v>4.4287000000000001</v>
      </c>
      <c r="C494" s="1">
        <f>Tabela5[[#This Row],[Alongamento (mm/mm)]]/$I$2</f>
        <v>8.8574E-2</v>
      </c>
      <c r="D494" s="2">
        <v>867.33</v>
      </c>
      <c r="E494" s="1">
        <f>Tabela5[[#This Row],[Força (N)]]/$I$5</f>
        <v>20485368.100333028</v>
      </c>
      <c r="F494" s="1">
        <f>Tabela5[[#This Row],[Tensão (Pa)]]/1000000</f>
        <v>20.485368100333027</v>
      </c>
    </row>
    <row r="495" spans="1:6" x14ac:dyDescent="0.3">
      <c r="A495" s="2">
        <v>53.4</v>
      </c>
      <c r="B495" s="2">
        <v>4.4427000000000003</v>
      </c>
      <c r="C495" s="1">
        <f>Tabela5[[#This Row],[Alongamento (mm/mm)]]/$I$2</f>
        <v>8.8854000000000002E-2</v>
      </c>
      <c r="D495" s="2">
        <v>874.31</v>
      </c>
      <c r="E495" s="1">
        <f>Tabela5[[#This Row],[Força (N)]]/$I$5</f>
        <v>20650227.922246628</v>
      </c>
      <c r="F495" s="1">
        <f>Tabela5[[#This Row],[Tensão (Pa)]]/1000000</f>
        <v>20.650227922246629</v>
      </c>
    </row>
    <row r="496" spans="1:6" x14ac:dyDescent="0.3">
      <c r="A496" s="2">
        <v>53.567</v>
      </c>
      <c r="B496" s="2">
        <v>4.4565000000000001</v>
      </c>
      <c r="C496" s="1">
        <f>Tabela5[[#This Row],[Alongamento (mm/mm)]]/$I$2</f>
        <v>8.9130000000000001E-2</v>
      </c>
      <c r="D496" s="2">
        <v>881.28</v>
      </c>
      <c r="E496" s="1">
        <f>Tabela5[[#This Row],[Força (N)]]/$I$5</f>
        <v>20814851.555303622</v>
      </c>
      <c r="F496" s="1">
        <f>Tabela5[[#This Row],[Tensão (Pa)]]/1000000</f>
        <v>20.814851555303623</v>
      </c>
    </row>
    <row r="497" spans="1:6" x14ac:dyDescent="0.3">
      <c r="A497" s="2">
        <v>53.732999999999997</v>
      </c>
      <c r="B497" s="2">
        <v>4.4703999999999997</v>
      </c>
      <c r="C497" s="1">
        <f>Tabela5[[#This Row],[Alongamento (mm/mm)]]/$I$2</f>
        <v>8.9407999999999987E-2</v>
      </c>
      <c r="D497" s="2">
        <v>888.26</v>
      </c>
      <c r="E497" s="1">
        <f>Tabela5[[#This Row],[Força (N)]]/$I$5</f>
        <v>20979711.377217226</v>
      </c>
      <c r="F497" s="1">
        <f>Tabela5[[#This Row],[Tensão (Pa)]]/1000000</f>
        <v>20.979711377217225</v>
      </c>
    </row>
    <row r="498" spans="1:6" x14ac:dyDescent="0.3">
      <c r="A498" s="2">
        <v>53.9</v>
      </c>
      <c r="B498" s="2">
        <v>4.4843000000000002</v>
      </c>
      <c r="C498" s="1">
        <f>Tabela5[[#This Row],[Alongamento (mm/mm)]]/$I$2</f>
        <v>8.9686000000000002E-2</v>
      </c>
      <c r="D498" s="2">
        <v>895.23</v>
      </c>
      <c r="E498" s="1">
        <f>Tabela5[[#This Row],[Força (N)]]/$I$5</f>
        <v>21144335.010274217</v>
      </c>
      <c r="F498" s="1">
        <f>Tabela5[[#This Row],[Tensão (Pa)]]/1000000</f>
        <v>21.144335010274215</v>
      </c>
    </row>
    <row r="499" spans="1:6" x14ac:dyDescent="0.3">
      <c r="A499" s="2">
        <v>54.067</v>
      </c>
      <c r="B499" s="2">
        <v>4.4981</v>
      </c>
      <c r="C499" s="1">
        <f>Tabela5[[#This Row],[Alongamento (mm/mm)]]/$I$2</f>
        <v>8.9962E-2</v>
      </c>
      <c r="D499" s="2">
        <v>902.2</v>
      </c>
      <c r="E499" s="1">
        <f>Tabela5[[#This Row],[Força (N)]]/$I$5</f>
        <v>21308958.643331211</v>
      </c>
      <c r="F499" s="1">
        <f>Tabela5[[#This Row],[Tensão (Pa)]]/1000000</f>
        <v>21.308958643331213</v>
      </c>
    </row>
    <row r="500" spans="1:6" x14ac:dyDescent="0.3">
      <c r="A500" s="2">
        <v>54.232999999999997</v>
      </c>
      <c r="B500" s="2">
        <v>4.5121000000000002</v>
      </c>
      <c r="C500" s="1">
        <f>Tabela5[[#This Row],[Alongamento (mm/mm)]]/$I$2</f>
        <v>9.0242000000000003E-2</v>
      </c>
      <c r="D500" s="2">
        <v>909.18</v>
      </c>
      <c r="E500" s="1">
        <f>Tabela5[[#This Row],[Força (N)]]/$I$5</f>
        <v>21473818.465244811</v>
      </c>
      <c r="F500" s="1">
        <f>Tabela5[[#This Row],[Tensão (Pa)]]/1000000</f>
        <v>21.473818465244811</v>
      </c>
    </row>
    <row r="501" spans="1:6" x14ac:dyDescent="0.3">
      <c r="A501" s="2">
        <v>54.4</v>
      </c>
      <c r="B501" s="2">
        <v>4.5259999999999998</v>
      </c>
      <c r="C501" s="1">
        <f>Tabela5[[#This Row],[Alongamento (mm/mm)]]/$I$2</f>
        <v>9.0519999999999989E-2</v>
      </c>
      <c r="D501" s="2">
        <v>916.32</v>
      </c>
      <c r="E501" s="1">
        <f>Tabela5[[#This Row],[Força (N)]]/$I$5</f>
        <v>21642457.308864173</v>
      </c>
      <c r="F501" s="1">
        <f>Tabela5[[#This Row],[Tensão (Pa)]]/1000000</f>
        <v>21.642457308864174</v>
      </c>
    </row>
    <row r="502" spans="1:6" x14ac:dyDescent="0.3">
      <c r="A502" s="2">
        <v>54.582999999999998</v>
      </c>
      <c r="B502" s="2">
        <v>4.5412999999999997</v>
      </c>
      <c r="C502" s="1">
        <f>Tabela5[[#This Row],[Alongamento (mm/mm)]]/$I$2</f>
        <v>9.082599999999999E-2</v>
      </c>
      <c r="D502" s="2">
        <v>923.98</v>
      </c>
      <c r="E502" s="1">
        <f>Tabela5[[#This Row],[Força (N)]]/$I$5</f>
        <v>21823377.973027237</v>
      </c>
      <c r="F502" s="1">
        <f>Tabela5[[#This Row],[Tensão (Pa)]]/1000000</f>
        <v>21.823377973027238</v>
      </c>
    </row>
    <row r="503" spans="1:6" x14ac:dyDescent="0.3">
      <c r="A503" s="2">
        <v>54.767000000000003</v>
      </c>
      <c r="B503" s="2">
        <v>4.5566000000000004</v>
      </c>
      <c r="C503" s="1">
        <f>Tabela5[[#This Row],[Alongamento (mm/mm)]]/$I$2</f>
        <v>9.1132000000000005E-2</v>
      </c>
      <c r="D503" s="2">
        <v>931.63</v>
      </c>
      <c r="E503" s="1">
        <f>Tabela5[[#This Row],[Força (N)]]/$I$5</f>
        <v>22004062.448333688</v>
      </c>
      <c r="F503" s="1">
        <f>Tabela5[[#This Row],[Tensão (Pa)]]/1000000</f>
        <v>22.004062448333688</v>
      </c>
    </row>
    <row r="504" spans="1:6" x14ac:dyDescent="0.3">
      <c r="A504" s="2">
        <v>54.95</v>
      </c>
      <c r="B504" s="2">
        <v>4.5717999999999996</v>
      </c>
      <c r="C504" s="1">
        <f>Tabela5[[#This Row],[Alongamento (mm/mm)]]/$I$2</f>
        <v>9.143599999999999E-2</v>
      </c>
      <c r="D504" s="2">
        <v>939.29</v>
      </c>
      <c r="E504" s="1">
        <f>Tabela5[[#This Row],[Força (N)]]/$I$5</f>
        <v>22184983.112496752</v>
      </c>
      <c r="F504" s="1">
        <f>Tabela5[[#This Row],[Tensão (Pa)]]/1000000</f>
        <v>22.184983112496752</v>
      </c>
    </row>
    <row r="505" spans="1:6" x14ac:dyDescent="0.3">
      <c r="A505" s="2">
        <v>55.133000000000003</v>
      </c>
      <c r="B505" s="2">
        <v>4.5871000000000004</v>
      </c>
      <c r="C505" s="1">
        <f>Tabela5[[#This Row],[Alongamento (mm/mm)]]/$I$2</f>
        <v>9.1742000000000004E-2</v>
      </c>
      <c r="D505" s="2">
        <v>946.6</v>
      </c>
      <c r="E505" s="1">
        <f>Tabela5[[#This Row],[Força (N)]]/$I$5</f>
        <v>22357637.166678481</v>
      </c>
      <c r="F505" s="1">
        <f>Tabela5[[#This Row],[Tensão (Pa)]]/1000000</f>
        <v>22.357637166678479</v>
      </c>
    </row>
    <row r="506" spans="1:6" x14ac:dyDescent="0.3">
      <c r="A506" s="2">
        <v>55.317</v>
      </c>
      <c r="B506" s="2">
        <v>4.6024000000000003</v>
      </c>
      <c r="C506" s="1">
        <f>Tabela5[[#This Row],[Alongamento (mm/mm)]]/$I$2</f>
        <v>9.2048000000000005E-2</v>
      </c>
      <c r="D506" s="2">
        <v>954.25</v>
      </c>
      <c r="E506" s="1">
        <f>Tabela5[[#This Row],[Força (N)]]/$I$5</f>
        <v>22538321.641984932</v>
      </c>
      <c r="F506" s="1">
        <f>Tabela5[[#This Row],[Tensão (Pa)]]/1000000</f>
        <v>22.538321641984933</v>
      </c>
    </row>
    <row r="507" spans="1:6" x14ac:dyDescent="0.3">
      <c r="A507" s="2">
        <v>55.5</v>
      </c>
      <c r="B507" s="2">
        <v>4.6176000000000004</v>
      </c>
      <c r="C507" s="1">
        <f>Tabela5[[#This Row],[Alongamento (mm/mm)]]/$I$2</f>
        <v>9.2352000000000004E-2</v>
      </c>
      <c r="D507" s="2">
        <v>961.57</v>
      </c>
      <c r="E507" s="1">
        <f>Tabela5[[#This Row],[Força (N)]]/$I$5</f>
        <v>22711211.88502327</v>
      </c>
      <c r="F507" s="1">
        <f>Tabela5[[#This Row],[Tensão (Pa)]]/1000000</f>
        <v>22.711211885023271</v>
      </c>
    </row>
    <row r="508" spans="1:6" x14ac:dyDescent="0.3">
      <c r="A508" s="2">
        <v>55.683</v>
      </c>
      <c r="B508" s="2">
        <v>4.633</v>
      </c>
      <c r="C508" s="1">
        <f>Tabela5[[#This Row],[Alongamento (mm/mm)]]/$I$2</f>
        <v>9.2660000000000006E-2</v>
      </c>
      <c r="D508" s="2">
        <v>969.05</v>
      </c>
      <c r="E508" s="1">
        <f>Tabela5[[#This Row],[Força (N)]]/$I$5</f>
        <v>22887881.149767354</v>
      </c>
      <c r="F508" s="1">
        <f>Tabela5[[#This Row],[Tensão (Pa)]]/1000000</f>
        <v>22.887881149767352</v>
      </c>
    </row>
    <row r="509" spans="1:6" x14ac:dyDescent="0.3">
      <c r="A509" s="2">
        <v>55.866999999999997</v>
      </c>
      <c r="B509" s="2">
        <v>4.6482000000000001</v>
      </c>
      <c r="C509" s="1">
        <f>Tabela5[[#This Row],[Alongamento (mm/mm)]]/$I$2</f>
        <v>9.2964000000000005E-2</v>
      </c>
      <c r="D509" s="2">
        <v>976.54</v>
      </c>
      <c r="E509" s="1">
        <f>Tabela5[[#This Row],[Força (N)]]/$I$5</f>
        <v>23064786.603368055</v>
      </c>
      <c r="F509" s="1">
        <f>Tabela5[[#This Row],[Tensão (Pa)]]/1000000</f>
        <v>23.064786603368056</v>
      </c>
    </row>
    <row r="510" spans="1:6" x14ac:dyDescent="0.3">
      <c r="A510" s="2">
        <v>56.05</v>
      </c>
      <c r="B510" s="2">
        <v>4.6635</v>
      </c>
      <c r="C510" s="1">
        <f>Tabela5[[#This Row],[Alongamento (mm/mm)]]/$I$2</f>
        <v>9.3270000000000006E-2</v>
      </c>
      <c r="D510" s="2">
        <v>984.02</v>
      </c>
      <c r="E510" s="1">
        <f>Tabela5[[#This Row],[Força (N)]]/$I$5</f>
        <v>23241455.868112143</v>
      </c>
      <c r="F510" s="1">
        <f>Tabela5[[#This Row],[Tensão (Pa)]]/1000000</f>
        <v>23.241455868112144</v>
      </c>
    </row>
    <row r="511" spans="1:6" x14ac:dyDescent="0.3">
      <c r="A511" s="2">
        <v>56.232999999999997</v>
      </c>
      <c r="B511" s="2">
        <v>4.6787999999999998</v>
      </c>
      <c r="C511" s="1">
        <f>Tabela5[[#This Row],[Alongamento (mm/mm)]]/$I$2</f>
        <v>9.3575999999999993E-2</v>
      </c>
      <c r="D511" s="2">
        <v>991.51</v>
      </c>
      <c r="E511" s="1">
        <f>Tabela5[[#This Row],[Força (N)]]/$I$5</f>
        <v>23418361.321712844</v>
      </c>
      <c r="F511" s="1">
        <f>Tabela5[[#This Row],[Tensão (Pa)]]/1000000</f>
        <v>23.418361321712844</v>
      </c>
    </row>
    <row r="512" spans="1:6" x14ac:dyDescent="0.3">
      <c r="A512" s="2">
        <v>56.417000000000002</v>
      </c>
      <c r="B512" s="2">
        <v>4.694</v>
      </c>
      <c r="C512" s="1">
        <f>Tabela5[[#This Row],[Alongamento (mm/mm)]]/$I$2</f>
        <v>9.3880000000000005E-2</v>
      </c>
      <c r="D512" s="2">
        <v>999.16</v>
      </c>
      <c r="E512" s="1">
        <f>Tabela5[[#This Row],[Força (N)]]/$I$5</f>
        <v>23599045.797019299</v>
      </c>
      <c r="F512" s="1">
        <f>Tabela5[[#This Row],[Tensão (Pa)]]/1000000</f>
        <v>23.599045797019301</v>
      </c>
    </row>
    <row r="513" spans="1:6" x14ac:dyDescent="0.3">
      <c r="A513" s="2">
        <v>56.6</v>
      </c>
      <c r="B513" s="2">
        <v>4.7092999999999998</v>
      </c>
      <c r="C513" s="1">
        <f>Tabela5[[#This Row],[Alongamento (mm/mm)]]/$I$2</f>
        <v>9.4185999999999992E-2</v>
      </c>
      <c r="D513" s="2">
        <v>1006.6</v>
      </c>
      <c r="E513" s="1">
        <f>Tabela5[[#This Row],[Força (N)]]/$I$5</f>
        <v>23774770.306336951</v>
      </c>
      <c r="F513" s="1">
        <f>Tabela5[[#This Row],[Tensão (Pa)]]/1000000</f>
        <v>23.774770306336951</v>
      </c>
    </row>
    <row r="514" spans="1:6" x14ac:dyDescent="0.3">
      <c r="A514" s="2">
        <v>56.8</v>
      </c>
      <c r="B514" s="2">
        <v>4.726</v>
      </c>
      <c r="C514" s="1">
        <f>Tabela5[[#This Row],[Alongamento (mm/mm)]]/$I$2</f>
        <v>9.4519999999999993E-2</v>
      </c>
      <c r="D514" s="2">
        <v>1015</v>
      </c>
      <c r="E514" s="1">
        <f>Tabela5[[#This Row],[Força (N)]]/$I$5</f>
        <v>23973168.945889134</v>
      </c>
      <c r="F514" s="1">
        <f>Tabela5[[#This Row],[Tensão (Pa)]]/1000000</f>
        <v>23.973168945889135</v>
      </c>
    </row>
    <row r="515" spans="1:6" x14ac:dyDescent="0.3">
      <c r="A515" s="2">
        <v>57</v>
      </c>
      <c r="B515" s="2">
        <v>4.7427000000000001</v>
      </c>
      <c r="C515" s="1">
        <f>Tabela5[[#This Row],[Alongamento (mm/mm)]]/$I$2</f>
        <v>9.4854000000000008E-2</v>
      </c>
      <c r="D515" s="2">
        <v>1023.3</v>
      </c>
      <c r="E515" s="1">
        <f>Tabela5[[#This Row],[Força (N)]]/$I$5</f>
        <v>24169205.696875222</v>
      </c>
      <c r="F515" s="1">
        <f>Tabela5[[#This Row],[Tensão (Pa)]]/1000000</f>
        <v>24.16920569687522</v>
      </c>
    </row>
    <row r="516" spans="1:6" x14ac:dyDescent="0.3">
      <c r="A516" s="2">
        <v>57.2</v>
      </c>
      <c r="B516" s="2">
        <v>4.7592999999999996</v>
      </c>
      <c r="C516" s="1">
        <f>Tabela5[[#This Row],[Alongamento (mm/mm)]]/$I$2</f>
        <v>9.5185999999999993E-2</v>
      </c>
      <c r="D516" s="2">
        <v>1031.5</v>
      </c>
      <c r="E516" s="1">
        <f>Tabela5[[#This Row],[Força (N)]]/$I$5</f>
        <v>24362880.559295215</v>
      </c>
      <c r="F516" s="1">
        <f>Tabela5[[#This Row],[Tensão (Pa)]]/1000000</f>
        <v>24.362880559295213</v>
      </c>
    </row>
    <row r="517" spans="1:6" x14ac:dyDescent="0.3">
      <c r="A517" s="2">
        <v>57.4</v>
      </c>
      <c r="B517" s="2">
        <v>4.7759</v>
      </c>
      <c r="C517" s="1">
        <f>Tabela5[[#This Row],[Alongamento (mm/mm)]]/$I$2</f>
        <v>9.5518000000000006E-2</v>
      </c>
      <c r="D517" s="2">
        <v>1039.8</v>
      </c>
      <c r="E517" s="1">
        <f>Tabela5[[#This Row],[Força (N)]]/$I$5</f>
        <v>24558917.310281303</v>
      </c>
      <c r="F517" s="1">
        <f>Tabela5[[#This Row],[Tensão (Pa)]]/1000000</f>
        <v>24.558917310281302</v>
      </c>
    </row>
    <row r="518" spans="1:6" x14ac:dyDescent="0.3">
      <c r="A518" s="2">
        <v>57.6</v>
      </c>
      <c r="B518" s="2">
        <v>4.7927</v>
      </c>
      <c r="C518" s="1">
        <f>Tabela5[[#This Row],[Alongamento (mm/mm)]]/$I$2</f>
        <v>9.5853999999999995E-2</v>
      </c>
      <c r="D518" s="2">
        <v>1048.0999999999999</v>
      </c>
      <c r="E518" s="1">
        <f>Tabela5[[#This Row],[Força (N)]]/$I$5</f>
        <v>24754954.061267391</v>
      </c>
      <c r="F518" s="1">
        <f>Tabela5[[#This Row],[Tensão (Pa)]]/1000000</f>
        <v>24.754954061267391</v>
      </c>
    </row>
    <row r="519" spans="1:6" x14ac:dyDescent="0.3">
      <c r="A519" s="2">
        <v>57.8</v>
      </c>
      <c r="B519" s="2">
        <v>4.8093000000000004</v>
      </c>
      <c r="C519" s="1">
        <f>Tabela5[[#This Row],[Alongamento (mm/mm)]]/$I$2</f>
        <v>9.6186000000000008E-2</v>
      </c>
      <c r="D519" s="2">
        <v>1056.7</v>
      </c>
      <c r="E519" s="1">
        <f>Tabela5[[#This Row],[Força (N)]]/$I$5</f>
        <v>24958076.477951773</v>
      </c>
      <c r="F519" s="1">
        <f>Tabela5[[#This Row],[Tensão (Pa)]]/1000000</f>
        <v>24.958076477951771</v>
      </c>
    </row>
    <row r="520" spans="1:6" x14ac:dyDescent="0.3">
      <c r="A520" s="2">
        <v>58</v>
      </c>
      <c r="B520" s="2">
        <v>4.8259999999999996</v>
      </c>
      <c r="C520" s="1">
        <f>Tabela5[[#This Row],[Alongamento (mm/mm)]]/$I$2</f>
        <v>9.6519999999999995E-2</v>
      </c>
      <c r="D520" s="2">
        <v>1065.2</v>
      </c>
      <c r="E520" s="1">
        <f>Tabela5[[#This Row],[Força (N)]]/$I$5</f>
        <v>25158837.006070059</v>
      </c>
      <c r="F520" s="1">
        <f>Tabela5[[#This Row],[Tensão (Pa)]]/1000000</f>
        <v>25.158837006070058</v>
      </c>
    </row>
    <row r="521" spans="1:6" x14ac:dyDescent="0.3">
      <c r="A521" s="2">
        <v>58.2</v>
      </c>
      <c r="B521" s="2">
        <v>4.8426</v>
      </c>
      <c r="C521" s="1">
        <f>Tabela5[[#This Row],[Alongamento (mm/mm)]]/$I$2</f>
        <v>9.6851999999999994E-2</v>
      </c>
      <c r="D521" s="2">
        <v>1073.5</v>
      </c>
      <c r="E521" s="1">
        <f>Tabela5[[#This Row],[Força (N)]]/$I$5</f>
        <v>25354873.757056143</v>
      </c>
      <c r="F521" s="1">
        <f>Tabela5[[#This Row],[Tensão (Pa)]]/1000000</f>
        <v>25.354873757056144</v>
      </c>
    </row>
    <row r="522" spans="1:6" x14ac:dyDescent="0.3">
      <c r="A522" s="2">
        <v>58.4</v>
      </c>
      <c r="B522" s="2">
        <v>4.8593000000000002</v>
      </c>
      <c r="C522" s="1">
        <f>Tabela5[[#This Row],[Alongamento (mm/mm)]]/$I$2</f>
        <v>9.7186000000000008E-2</v>
      </c>
      <c r="D522" s="2">
        <v>1081.8</v>
      </c>
      <c r="E522" s="1">
        <f>Tabela5[[#This Row],[Força (N)]]/$I$5</f>
        <v>25550910.508042231</v>
      </c>
      <c r="F522" s="1">
        <f>Tabela5[[#This Row],[Tensão (Pa)]]/1000000</f>
        <v>25.550910508042232</v>
      </c>
    </row>
    <row r="523" spans="1:6" x14ac:dyDescent="0.3">
      <c r="A523" s="2">
        <v>58.6</v>
      </c>
      <c r="B523" s="2">
        <v>4.8761000000000001</v>
      </c>
      <c r="C523" s="1">
        <f>Tabela5[[#This Row],[Alongamento (mm/mm)]]/$I$2</f>
        <v>9.7521999999999998E-2</v>
      </c>
      <c r="D523" s="2">
        <v>1090.3</v>
      </c>
      <c r="E523" s="1">
        <f>Tabela5[[#This Row],[Força (N)]]/$I$5</f>
        <v>25751671.036160514</v>
      </c>
      <c r="F523" s="1">
        <f>Tabela5[[#This Row],[Tensão (Pa)]]/1000000</f>
        <v>25.751671036160513</v>
      </c>
    </row>
    <row r="524" spans="1:6" x14ac:dyDescent="0.3">
      <c r="A524" s="2">
        <v>58.8</v>
      </c>
      <c r="B524" s="2">
        <v>4.8925999999999998</v>
      </c>
      <c r="C524" s="1">
        <f>Tabela5[[#This Row],[Alongamento (mm/mm)]]/$I$2</f>
        <v>9.7851999999999995E-2</v>
      </c>
      <c r="D524" s="2">
        <v>1099</v>
      </c>
      <c r="E524" s="1">
        <f>Tabela5[[#This Row],[Força (N)]]/$I$5</f>
        <v>25957155.341410995</v>
      </c>
      <c r="F524" s="1">
        <f>Tabela5[[#This Row],[Tensão (Pa)]]/1000000</f>
        <v>25.957155341410996</v>
      </c>
    </row>
    <row r="525" spans="1:6" x14ac:dyDescent="0.3">
      <c r="A525" s="2">
        <v>59</v>
      </c>
      <c r="B525" s="2">
        <v>4.9092000000000002</v>
      </c>
      <c r="C525" s="1">
        <f>Tabela5[[#This Row],[Alongamento (mm/mm)]]/$I$2</f>
        <v>9.8184000000000007E-2</v>
      </c>
      <c r="D525" s="2">
        <v>1108</v>
      </c>
      <c r="E525" s="1">
        <f>Tabela5[[#This Row],[Força (N)]]/$I$5</f>
        <v>26169725.312359765</v>
      </c>
      <c r="F525" s="1">
        <f>Tabela5[[#This Row],[Tensão (Pa)]]/1000000</f>
        <v>26.169725312359766</v>
      </c>
    </row>
    <row r="526" spans="1:6" x14ac:dyDescent="0.3">
      <c r="A526" s="2">
        <v>59.2</v>
      </c>
      <c r="B526" s="2">
        <v>4.9259000000000004</v>
      </c>
      <c r="C526" s="1">
        <f>Tabela5[[#This Row],[Alongamento (mm/mm)]]/$I$2</f>
        <v>9.8518000000000008E-2</v>
      </c>
      <c r="D526" s="2">
        <v>1116.9000000000001</v>
      </c>
      <c r="E526" s="1">
        <f>Tabela5[[#This Row],[Força (N)]]/$I$5</f>
        <v>26379933.39474244</v>
      </c>
      <c r="F526" s="1">
        <f>Tabela5[[#This Row],[Tensão (Pa)]]/1000000</f>
        <v>26.379933394742441</v>
      </c>
    </row>
    <row r="527" spans="1:6" x14ac:dyDescent="0.3">
      <c r="A527" s="2">
        <v>59.4</v>
      </c>
      <c r="B527" s="2">
        <v>4.9427000000000003</v>
      </c>
      <c r="C527" s="1">
        <f>Tabela5[[#This Row],[Alongamento (mm/mm)]]/$I$2</f>
        <v>9.8854000000000011E-2</v>
      </c>
      <c r="D527" s="2">
        <v>1125.5</v>
      </c>
      <c r="E527" s="1">
        <f>Tabela5[[#This Row],[Força (N)]]/$I$5</f>
        <v>26583055.811426818</v>
      </c>
      <c r="F527" s="1">
        <f>Tabela5[[#This Row],[Tensão (Pa)]]/1000000</f>
        <v>26.583055811426817</v>
      </c>
    </row>
    <row r="528" spans="1:6" x14ac:dyDescent="0.3">
      <c r="A528" s="2">
        <v>59.6</v>
      </c>
      <c r="B528" s="2">
        <v>4.9592999999999998</v>
      </c>
      <c r="C528" s="1">
        <f>Tabela5[[#This Row],[Alongamento (mm/mm)]]/$I$2</f>
        <v>9.9185999999999996E-2</v>
      </c>
      <c r="D528" s="2">
        <v>1134.4000000000001</v>
      </c>
      <c r="E528" s="1">
        <f>Tabela5[[#This Row],[Força (N)]]/$I$5</f>
        <v>26793263.893809494</v>
      </c>
      <c r="F528" s="1">
        <f>Tabela5[[#This Row],[Tensão (Pa)]]/1000000</f>
        <v>26.793263893809495</v>
      </c>
    </row>
    <row r="529" spans="1:6" x14ac:dyDescent="0.3">
      <c r="A529" s="2">
        <v>59.817</v>
      </c>
      <c r="B529" s="2">
        <v>4.9772999999999996</v>
      </c>
      <c r="C529" s="1">
        <f>Tabela5[[#This Row],[Alongamento (mm/mm)]]/$I$2</f>
        <v>9.9545999999999996E-2</v>
      </c>
      <c r="D529" s="2">
        <v>1143.9000000000001</v>
      </c>
      <c r="E529" s="1">
        <f>Tabela5[[#This Row],[Força (N)]]/$I$5</f>
        <v>27017643.307588752</v>
      </c>
      <c r="F529" s="1">
        <f>Tabela5[[#This Row],[Tensão (Pa)]]/1000000</f>
        <v>27.017643307588752</v>
      </c>
    </row>
    <row r="530" spans="1:6" x14ac:dyDescent="0.3">
      <c r="A530" s="2">
        <v>60.033000000000001</v>
      </c>
      <c r="B530" s="2">
        <v>4.9954000000000001</v>
      </c>
      <c r="C530" s="1">
        <f>Tabela5[[#This Row],[Alongamento (mm/mm)]]/$I$2</f>
        <v>9.9907999999999997E-2</v>
      </c>
      <c r="D530" s="2">
        <v>1153.4000000000001</v>
      </c>
      <c r="E530" s="1">
        <f>Tabela5[[#This Row],[Força (N)]]/$I$5</f>
        <v>27242022.721368011</v>
      </c>
      <c r="F530" s="1">
        <f>Tabela5[[#This Row],[Tensão (Pa)]]/1000000</f>
        <v>27.242022721368013</v>
      </c>
    </row>
    <row r="531" spans="1:6" x14ac:dyDescent="0.3">
      <c r="A531" s="2">
        <v>60.25</v>
      </c>
      <c r="B531" s="2">
        <v>5.0134999999999996</v>
      </c>
      <c r="C531" s="1">
        <f>Tabela5[[#This Row],[Alongamento (mm/mm)]]/$I$2</f>
        <v>0.10027</v>
      </c>
      <c r="D531" s="2">
        <v>1163</v>
      </c>
      <c r="E531" s="1">
        <f>Tabela5[[#This Row],[Força (N)]]/$I$5</f>
        <v>27468764.023713365</v>
      </c>
      <c r="F531" s="1">
        <f>Tabela5[[#This Row],[Tensão (Pa)]]/1000000</f>
        <v>27.468764023713366</v>
      </c>
    </row>
    <row r="532" spans="1:6" x14ac:dyDescent="0.3">
      <c r="A532" s="2">
        <v>60.466999999999999</v>
      </c>
      <c r="B532" s="2">
        <v>5.0316000000000001</v>
      </c>
      <c r="C532" s="1">
        <f>Tabela5[[#This Row],[Alongamento (mm/mm)]]/$I$2</f>
        <v>0.100632</v>
      </c>
      <c r="D532" s="2">
        <v>1172.5</v>
      </c>
      <c r="E532" s="1">
        <f>Tabela5[[#This Row],[Força (N)]]/$I$5</f>
        <v>27693143.43749262</v>
      </c>
      <c r="F532" s="1">
        <f>Tabela5[[#This Row],[Tensão (Pa)]]/1000000</f>
        <v>27.693143437492619</v>
      </c>
    </row>
    <row r="533" spans="1:6" x14ac:dyDescent="0.3">
      <c r="A533" s="2">
        <v>60.683</v>
      </c>
      <c r="B533" s="2">
        <v>5.0495000000000001</v>
      </c>
      <c r="C533" s="1">
        <f>Tabela5[[#This Row],[Alongamento (mm/mm)]]/$I$2</f>
        <v>0.10099</v>
      </c>
      <c r="D533" s="2">
        <v>1181.8</v>
      </c>
      <c r="E533" s="1">
        <f>Tabela5[[#This Row],[Força (N)]]/$I$5</f>
        <v>27912799.074139684</v>
      </c>
      <c r="F533" s="1">
        <f>Tabela5[[#This Row],[Tensão (Pa)]]/1000000</f>
        <v>27.912799074139684</v>
      </c>
    </row>
    <row r="534" spans="1:6" x14ac:dyDescent="0.3">
      <c r="A534" s="2">
        <v>60.9</v>
      </c>
      <c r="B534" s="2">
        <v>5.0677000000000003</v>
      </c>
      <c r="C534" s="1">
        <f>Tabela5[[#This Row],[Alongamento (mm/mm)]]/$I$2</f>
        <v>0.101354</v>
      </c>
      <c r="D534" s="2">
        <v>1191.2</v>
      </c>
      <c r="E534" s="1">
        <f>Tabela5[[#This Row],[Força (N)]]/$I$5</f>
        <v>28134816.599352848</v>
      </c>
      <c r="F534" s="1">
        <f>Tabela5[[#This Row],[Tensão (Pa)]]/1000000</f>
        <v>28.134816599352849</v>
      </c>
    </row>
    <row r="535" spans="1:6" x14ac:dyDescent="0.3">
      <c r="A535" s="2">
        <v>61.116999999999997</v>
      </c>
      <c r="B535" s="2">
        <v>5.0857000000000001</v>
      </c>
      <c r="C535" s="1">
        <f>Tabela5[[#This Row],[Alongamento (mm/mm)]]/$I$2</f>
        <v>0.101714</v>
      </c>
      <c r="D535" s="2">
        <v>1200.7</v>
      </c>
      <c r="E535" s="1">
        <f>Tabela5[[#This Row],[Força (N)]]/$I$5</f>
        <v>28359196.013132103</v>
      </c>
      <c r="F535" s="1">
        <f>Tabela5[[#This Row],[Tensão (Pa)]]/1000000</f>
        <v>28.359196013132102</v>
      </c>
    </row>
    <row r="536" spans="1:6" x14ac:dyDescent="0.3">
      <c r="A536" s="2">
        <v>61.332999999999998</v>
      </c>
      <c r="B536" s="2">
        <v>5.1037999999999997</v>
      </c>
      <c r="C536" s="1">
        <f>Tabela5[[#This Row],[Alongamento (mm/mm)]]/$I$2</f>
        <v>0.102076</v>
      </c>
      <c r="D536" s="2">
        <v>1210.0999999999999</v>
      </c>
      <c r="E536" s="1">
        <f>Tabela5[[#This Row],[Força (N)]]/$I$5</f>
        <v>28581213.538345262</v>
      </c>
      <c r="F536" s="1">
        <f>Tabela5[[#This Row],[Tensão (Pa)]]/1000000</f>
        <v>28.581213538345263</v>
      </c>
    </row>
    <row r="537" spans="1:6" x14ac:dyDescent="0.3">
      <c r="A537" s="2">
        <v>61.55</v>
      </c>
      <c r="B537" s="2">
        <v>5.1218000000000004</v>
      </c>
      <c r="C537" s="1">
        <f>Tabela5[[#This Row],[Alongamento (mm/mm)]]/$I$2</f>
        <v>0.10243600000000001</v>
      </c>
      <c r="D537" s="2">
        <v>1219.4000000000001</v>
      </c>
      <c r="E537" s="1">
        <f>Tabela5[[#This Row],[Força (N)]]/$I$5</f>
        <v>28800869.17499233</v>
      </c>
      <c r="F537" s="1">
        <f>Tabela5[[#This Row],[Tensão (Pa)]]/1000000</f>
        <v>28.800869174992329</v>
      </c>
    </row>
    <row r="538" spans="1:6" x14ac:dyDescent="0.3">
      <c r="A538" s="2">
        <v>61.783000000000001</v>
      </c>
      <c r="B538" s="2">
        <v>5.1413000000000002</v>
      </c>
      <c r="C538" s="1">
        <f>Tabela5[[#This Row],[Alongamento (mm/mm)]]/$I$2</f>
        <v>0.102826</v>
      </c>
      <c r="D538" s="2">
        <v>1229.5</v>
      </c>
      <c r="E538" s="1">
        <f>Tabela5[[#This Row],[Força (N)]]/$I$5</f>
        <v>29039419.920168169</v>
      </c>
      <c r="F538" s="1">
        <f>Tabela5[[#This Row],[Tensão (Pa)]]/1000000</f>
        <v>29.039419920168168</v>
      </c>
    </row>
    <row r="539" spans="1:6" x14ac:dyDescent="0.3">
      <c r="A539" s="2">
        <v>62.017000000000003</v>
      </c>
      <c r="B539" s="2">
        <v>5.1607000000000003</v>
      </c>
      <c r="C539" s="1">
        <f>Tabela5[[#This Row],[Alongamento (mm/mm)]]/$I$2</f>
        <v>0.103214</v>
      </c>
      <c r="D539" s="2">
        <v>1239.5</v>
      </c>
      <c r="E539" s="1">
        <f>Tabela5[[#This Row],[Força (N)]]/$I$5</f>
        <v>29275608.776777916</v>
      </c>
      <c r="F539" s="1">
        <f>Tabela5[[#This Row],[Tensão (Pa)]]/1000000</f>
        <v>29.275608776777915</v>
      </c>
    </row>
    <row r="540" spans="1:6" x14ac:dyDescent="0.3">
      <c r="A540" s="2">
        <v>62.232999999999997</v>
      </c>
      <c r="B540" s="2">
        <v>5.1787000000000001</v>
      </c>
      <c r="C540" s="1">
        <f>Tabela5[[#This Row],[Alongamento (mm/mm)]]/$I$2</f>
        <v>0.103574</v>
      </c>
      <c r="D540" s="2">
        <v>1249</v>
      </c>
      <c r="E540" s="1">
        <f>Tabela5[[#This Row],[Força (N)]]/$I$5</f>
        <v>29499988.190557174</v>
      </c>
      <c r="F540" s="1">
        <f>Tabela5[[#This Row],[Tensão (Pa)]]/1000000</f>
        <v>29.499988190557175</v>
      </c>
    </row>
    <row r="541" spans="1:6" x14ac:dyDescent="0.3">
      <c r="A541" s="2">
        <v>62.466999999999999</v>
      </c>
      <c r="B541" s="2">
        <v>5.1981999999999999</v>
      </c>
      <c r="C541" s="1">
        <f>Tabela5[[#This Row],[Alongamento (mm/mm)]]/$I$2</f>
        <v>0.103964</v>
      </c>
      <c r="D541" s="2">
        <v>1259.2</v>
      </c>
      <c r="E541" s="1">
        <f>Tabela5[[#This Row],[Força (N)]]/$I$5</f>
        <v>29740900.824299112</v>
      </c>
      <c r="F541" s="1">
        <f>Tabela5[[#This Row],[Tensão (Pa)]]/1000000</f>
        <v>29.740900824299111</v>
      </c>
    </row>
    <row r="542" spans="1:6" x14ac:dyDescent="0.3">
      <c r="A542" s="2">
        <v>62.7</v>
      </c>
      <c r="B542" s="2">
        <v>5.2176999999999998</v>
      </c>
      <c r="C542" s="1">
        <f>Tabela5[[#This Row],[Alongamento (mm/mm)]]/$I$2</f>
        <v>0.104354</v>
      </c>
      <c r="D542" s="2">
        <v>1269.3</v>
      </c>
      <c r="E542" s="1">
        <f>Tabela5[[#This Row],[Força (N)]]/$I$5</f>
        <v>29979451.569474954</v>
      </c>
      <c r="F542" s="1">
        <f>Tabela5[[#This Row],[Tensão (Pa)]]/1000000</f>
        <v>29.979451569474953</v>
      </c>
    </row>
    <row r="543" spans="1:6" x14ac:dyDescent="0.3">
      <c r="A543" s="2">
        <v>62.933</v>
      </c>
      <c r="B543" s="2">
        <v>5.2370999999999999</v>
      </c>
      <c r="C543" s="1">
        <f>Tabela5[[#This Row],[Alongamento (mm/mm)]]/$I$2</f>
        <v>0.104742</v>
      </c>
      <c r="D543" s="2">
        <v>1279.5</v>
      </c>
      <c r="E543" s="1">
        <f>Tabela5[[#This Row],[Força (N)]]/$I$5</f>
        <v>30220364.203216895</v>
      </c>
      <c r="F543" s="1">
        <f>Tabela5[[#This Row],[Tensão (Pa)]]/1000000</f>
        <v>30.220364203216896</v>
      </c>
    </row>
    <row r="544" spans="1:6" x14ac:dyDescent="0.3">
      <c r="A544" s="2">
        <v>63.167000000000002</v>
      </c>
      <c r="B544" s="2">
        <v>5.2565</v>
      </c>
      <c r="C544" s="1">
        <f>Tabela5[[#This Row],[Alongamento (mm/mm)]]/$I$2</f>
        <v>0.10513</v>
      </c>
      <c r="D544" s="2">
        <v>1289.5</v>
      </c>
      <c r="E544" s="1">
        <f>Tabela5[[#This Row],[Força (N)]]/$I$5</f>
        <v>30456553.059826642</v>
      </c>
      <c r="F544" s="1">
        <f>Tabela5[[#This Row],[Tensão (Pa)]]/1000000</f>
        <v>30.456553059826643</v>
      </c>
    </row>
    <row r="545" spans="1:6" x14ac:dyDescent="0.3">
      <c r="A545" s="2">
        <v>63.4</v>
      </c>
      <c r="B545" s="2">
        <v>5.2759</v>
      </c>
      <c r="C545" s="1">
        <f>Tabela5[[#This Row],[Alongamento (mm/mm)]]/$I$2</f>
        <v>0.105518</v>
      </c>
      <c r="D545" s="2">
        <v>1299.5999999999999</v>
      </c>
      <c r="E545" s="1">
        <f>Tabela5[[#This Row],[Força (N)]]/$I$5</f>
        <v>30695103.805002481</v>
      </c>
      <c r="F545" s="1">
        <f>Tabela5[[#This Row],[Tensão (Pa)]]/1000000</f>
        <v>30.695103805002482</v>
      </c>
    </row>
    <row r="546" spans="1:6" x14ac:dyDescent="0.3">
      <c r="A546" s="2">
        <v>63.633000000000003</v>
      </c>
      <c r="B546" s="2">
        <v>5.2954999999999997</v>
      </c>
      <c r="C546" s="1">
        <f>Tabela5[[#This Row],[Alongamento (mm/mm)]]/$I$2</f>
        <v>0.10590999999999999</v>
      </c>
      <c r="D546" s="2">
        <v>1309.5999999999999</v>
      </c>
      <c r="E546" s="1">
        <f>Tabela5[[#This Row],[Força (N)]]/$I$5</f>
        <v>30931292.661612228</v>
      </c>
      <c r="F546" s="1">
        <f>Tabela5[[#This Row],[Tensão (Pa)]]/1000000</f>
        <v>30.931292661612229</v>
      </c>
    </row>
    <row r="547" spans="1:6" x14ac:dyDescent="0.3">
      <c r="A547" s="2">
        <v>63.883000000000003</v>
      </c>
      <c r="B547" s="2">
        <v>5.3163</v>
      </c>
      <c r="C547" s="1">
        <f>Tabela5[[#This Row],[Alongamento (mm/mm)]]/$I$2</f>
        <v>0.106326</v>
      </c>
      <c r="D547" s="2">
        <v>1320.3</v>
      </c>
      <c r="E547" s="1">
        <f>Tabela5[[#This Row],[Força (N)]]/$I$5</f>
        <v>31184014.738184653</v>
      </c>
      <c r="F547" s="1">
        <f>Tabela5[[#This Row],[Tensão (Pa)]]/1000000</f>
        <v>31.184014738184654</v>
      </c>
    </row>
    <row r="548" spans="1:6" x14ac:dyDescent="0.3">
      <c r="A548" s="2">
        <v>64.117000000000004</v>
      </c>
      <c r="B548" s="2">
        <v>5.3357000000000001</v>
      </c>
      <c r="C548" s="1">
        <f>Tabela5[[#This Row],[Alongamento (mm/mm)]]/$I$2</f>
        <v>0.106714</v>
      </c>
      <c r="D548" s="2">
        <v>1330.5</v>
      </c>
      <c r="E548" s="1">
        <f>Tabela5[[#This Row],[Força (N)]]/$I$5</f>
        <v>31424927.371926595</v>
      </c>
      <c r="F548" s="1">
        <f>Tabela5[[#This Row],[Tensão (Pa)]]/1000000</f>
        <v>31.424927371926593</v>
      </c>
    </row>
    <row r="549" spans="1:6" x14ac:dyDescent="0.3">
      <c r="A549" s="2">
        <v>64.349999999999994</v>
      </c>
      <c r="B549" s="2">
        <v>5.3552</v>
      </c>
      <c r="C549" s="1">
        <f>Tabela5[[#This Row],[Alongamento (mm/mm)]]/$I$2</f>
        <v>0.107104</v>
      </c>
      <c r="D549" s="2">
        <v>1340.7</v>
      </c>
      <c r="E549" s="1">
        <f>Tabela5[[#This Row],[Força (N)]]/$I$5</f>
        <v>31665840.005668536</v>
      </c>
      <c r="F549" s="1">
        <f>Tabela5[[#This Row],[Tensão (Pa)]]/1000000</f>
        <v>31.665840005668535</v>
      </c>
    </row>
    <row r="550" spans="1:6" x14ac:dyDescent="0.3">
      <c r="A550" s="2">
        <v>64.582999999999998</v>
      </c>
      <c r="B550" s="2">
        <v>5.3745000000000003</v>
      </c>
      <c r="C550" s="1">
        <f>Tabela5[[#This Row],[Alongamento (mm/mm)]]/$I$2</f>
        <v>0.10749</v>
      </c>
      <c r="D550" s="2">
        <v>1350.9</v>
      </c>
      <c r="E550" s="1">
        <f>Tabela5[[#This Row],[Força (N)]]/$I$5</f>
        <v>31906752.639410477</v>
      </c>
      <c r="F550" s="1">
        <f>Tabela5[[#This Row],[Tensão (Pa)]]/1000000</f>
        <v>31.906752639410477</v>
      </c>
    </row>
    <row r="551" spans="1:6" x14ac:dyDescent="0.3">
      <c r="A551" s="2">
        <v>64.832999999999998</v>
      </c>
      <c r="B551" s="2">
        <v>5.3954000000000004</v>
      </c>
      <c r="C551" s="1">
        <f>Tabela5[[#This Row],[Alongamento (mm/mm)]]/$I$2</f>
        <v>0.107908</v>
      </c>
      <c r="D551" s="2">
        <v>1362</v>
      </c>
      <c r="E551" s="1">
        <f>Tabela5[[#This Row],[Força (N)]]/$I$5</f>
        <v>32168922.270247292</v>
      </c>
      <c r="F551" s="1">
        <f>Tabela5[[#This Row],[Tensão (Pa)]]/1000000</f>
        <v>32.168922270247293</v>
      </c>
    </row>
    <row r="552" spans="1:6" x14ac:dyDescent="0.3">
      <c r="A552" s="2">
        <v>65.082999999999998</v>
      </c>
      <c r="B552" s="2">
        <v>5.4162999999999997</v>
      </c>
      <c r="C552" s="1">
        <f>Tabela5[[#This Row],[Alongamento (mm/mm)]]/$I$2</f>
        <v>0.10832599999999999</v>
      </c>
      <c r="D552" s="2">
        <v>1373</v>
      </c>
      <c r="E552" s="1">
        <f>Tabela5[[#This Row],[Força (N)]]/$I$5</f>
        <v>32428730.012518011</v>
      </c>
      <c r="F552" s="1">
        <f>Tabela5[[#This Row],[Tensão (Pa)]]/1000000</f>
        <v>32.42873001251801</v>
      </c>
    </row>
    <row r="553" spans="1:6" x14ac:dyDescent="0.3">
      <c r="A553" s="2">
        <v>65.316999999999993</v>
      </c>
      <c r="B553" s="2">
        <v>5.4356999999999998</v>
      </c>
      <c r="C553" s="1">
        <f>Tabela5[[#This Row],[Alongamento (mm/mm)]]/$I$2</f>
        <v>0.10871399999999999</v>
      </c>
      <c r="D553" s="2">
        <v>1383.6</v>
      </c>
      <c r="E553" s="1">
        <f>Tabela5[[#This Row],[Força (N)]]/$I$5</f>
        <v>32679090.200524341</v>
      </c>
      <c r="F553" s="1">
        <f>Tabela5[[#This Row],[Tensão (Pa)]]/1000000</f>
        <v>32.679090200524342</v>
      </c>
    </row>
    <row r="554" spans="1:6" x14ac:dyDescent="0.3">
      <c r="A554" s="2">
        <v>65.566999999999993</v>
      </c>
      <c r="B554" s="2">
        <v>5.4565000000000001</v>
      </c>
      <c r="C554" s="1">
        <f>Tabela5[[#This Row],[Alongamento (mm/mm)]]/$I$2</f>
        <v>0.10913</v>
      </c>
      <c r="D554" s="2">
        <v>1394.6</v>
      </c>
      <c r="E554" s="1">
        <f>Tabela5[[#This Row],[Força (N)]]/$I$5</f>
        <v>32938897.942795061</v>
      </c>
      <c r="F554" s="1">
        <f>Tabela5[[#This Row],[Tensão (Pa)]]/1000000</f>
        <v>32.938897942795059</v>
      </c>
    </row>
    <row r="555" spans="1:6" x14ac:dyDescent="0.3">
      <c r="A555" s="2">
        <v>65.816999999999993</v>
      </c>
      <c r="B555" s="2">
        <v>5.4774000000000003</v>
      </c>
      <c r="C555" s="1">
        <f>Tabela5[[#This Row],[Alongamento (mm/mm)]]/$I$2</f>
        <v>0.10954800000000001</v>
      </c>
      <c r="D555" s="2">
        <v>1405.9</v>
      </c>
      <c r="E555" s="1">
        <f>Tabela5[[#This Row],[Força (N)]]/$I$5</f>
        <v>33205791.350764077</v>
      </c>
      <c r="F555" s="1">
        <f>Tabela5[[#This Row],[Tensão (Pa)]]/1000000</f>
        <v>33.205791350764081</v>
      </c>
    </row>
    <row r="556" spans="1:6" x14ac:dyDescent="0.3">
      <c r="A556" s="2">
        <v>66.066999999999993</v>
      </c>
      <c r="B556" s="2">
        <v>5.4981</v>
      </c>
      <c r="C556" s="1">
        <f>Tabela5[[#This Row],[Alongamento (mm/mm)]]/$I$2</f>
        <v>0.109962</v>
      </c>
      <c r="D556" s="2">
        <v>1416.9</v>
      </c>
      <c r="E556" s="1">
        <f>Tabela5[[#This Row],[Força (N)]]/$I$5</f>
        <v>33465599.093034796</v>
      </c>
      <c r="F556" s="1">
        <f>Tabela5[[#This Row],[Tensão (Pa)]]/1000000</f>
        <v>33.465599093034797</v>
      </c>
    </row>
    <row r="557" spans="1:6" x14ac:dyDescent="0.3">
      <c r="A557" s="2">
        <v>66.316999999999993</v>
      </c>
      <c r="B557" s="2">
        <v>5.5190000000000001</v>
      </c>
      <c r="C557" s="1">
        <f>Tabela5[[#This Row],[Alongamento (mm/mm)]]/$I$2</f>
        <v>0.11038000000000001</v>
      </c>
      <c r="D557" s="2">
        <v>1428</v>
      </c>
      <c r="E557" s="1">
        <f>Tabela5[[#This Row],[Força (N)]]/$I$5</f>
        <v>33727768.723871611</v>
      </c>
      <c r="F557" s="1">
        <f>Tabela5[[#This Row],[Tensão (Pa)]]/1000000</f>
        <v>33.727768723871613</v>
      </c>
    </row>
    <row r="558" spans="1:6" x14ac:dyDescent="0.3">
      <c r="A558" s="2">
        <v>66.566999999999993</v>
      </c>
      <c r="B558" s="2">
        <v>5.5397999999999996</v>
      </c>
      <c r="C558" s="1">
        <f>Tabela5[[#This Row],[Alongamento (mm/mm)]]/$I$2</f>
        <v>0.11079599999999999</v>
      </c>
      <c r="D558" s="2">
        <v>1438.9</v>
      </c>
      <c r="E558" s="1">
        <f>Tabela5[[#This Row],[Força (N)]]/$I$5</f>
        <v>33985214.577576235</v>
      </c>
      <c r="F558" s="1">
        <f>Tabela5[[#This Row],[Tensão (Pa)]]/1000000</f>
        <v>33.985214577576237</v>
      </c>
    </row>
    <row r="559" spans="1:6" x14ac:dyDescent="0.3">
      <c r="A559" s="2">
        <v>66.832999999999998</v>
      </c>
      <c r="B559" s="2">
        <v>5.5621</v>
      </c>
      <c r="C559" s="1">
        <f>Tabela5[[#This Row],[Alongamento (mm/mm)]]/$I$2</f>
        <v>0.11124200000000001</v>
      </c>
      <c r="D559" s="2">
        <v>1450.6</v>
      </c>
      <c r="E559" s="1">
        <f>Tabela5[[#This Row],[Força (N)]]/$I$5</f>
        <v>34261555.539809637</v>
      </c>
      <c r="F559" s="1">
        <f>Tabela5[[#This Row],[Tensão (Pa)]]/1000000</f>
        <v>34.261555539809635</v>
      </c>
    </row>
    <row r="560" spans="1:6" x14ac:dyDescent="0.3">
      <c r="A560" s="2">
        <v>67.099999999999994</v>
      </c>
      <c r="B560" s="2">
        <v>5.5842999999999998</v>
      </c>
      <c r="C560" s="1">
        <f>Tabela5[[#This Row],[Alongamento (mm/mm)]]/$I$2</f>
        <v>0.11168599999999999</v>
      </c>
      <c r="D560" s="2">
        <v>1462</v>
      </c>
      <c r="E560" s="1">
        <f>Tabela5[[#This Row],[Força (N)]]/$I$5</f>
        <v>34530810.836344741</v>
      </c>
      <c r="F560" s="1">
        <f>Tabela5[[#This Row],[Tensão (Pa)]]/1000000</f>
        <v>34.530810836344742</v>
      </c>
    </row>
    <row r="561" spans="1:6" x14ac:dyDescent="0.3">
      <c r="A561" s="2">
        <v>67.367000000000004</v>
      </c>
      <c r="B561" s="2">
        <v>5.6064999999999996</v>
      </c>
      <c r="C561" s="1">
        <f>Tabela5[[#This Row],[Alongamento (mm/mm)]]/$I$2</f>
        <v>0.11212999999999999</v>
      </c>
      <c r="D561" s="2">
        <v>1473.4</v>
      </c>
      <c r="E561" s="1">
        <f>Tabela5[[#This Row],[Força (N)]]/$I$5</f>
        <v>34800066.132879853</v>
      </c>
      <c r="F561" s="1">
        <f>Tabela5[[#This Row],[Tensão (Pa)]]/1000000</f>
        <v>34.800066132879856</v>
      </c>
    </row>
    <row r="562" spans="1:6" x14ac:dyDescent="0.3">
      <c r="A562" s="2">
        <v>67.632999999999996</v>
      </c>
      <c r="B562" s="2">
        <v>5.6287000000000003</v>
      </c>
      <c r="C562" s="1">
        <f>Tabela5[[#This Row],[Alongamento (mm/mm)]]/$I$2</f>
        <v>0.11257400000000001</v>
      </c>
      <c r="D562" s="2">
        <v>1484.8</v>
      </c>
      <c r="E562" s="1">
        <f>Tabela5[[#This Row],[Força (N)]]/$I$5</f>
        <v>35069321.429414965</v>
      </c>
      <c r="F562" s="1">
        <f>Tabela5[[#This Row],[Tensão (Pa)]]/1000000</f>
        <v>35.069321429414963</v>
      </c>
    </row>
    <row r="563" spans="1:6" x14ac:dyDescent="0.3">
      <c r="A563" s="2">
        <v>67.900000000000006</v>
      </c>
      <c r="B563" s="2">
        <v>5.6509</v>
      </c>
      <c r="C563" s="1">
        <f>Tabela5[[#This Row],[Alongamento (mm/mm)]]/$I$2</f>
        <v>0.11301800000000001</v>
      </c>
      <c r="D563" s="2">
        <v>1496.4</v>
      </c>
      <c r="E563" s="1">
        <f>Tabela5[[#This Row],[Força (N)]]/$I$5</f>
        <v>35343300.503082268</v>
      </c>
      <c r="F563" s="1">
        <f>Tabela5[[#This Row],[Tensão (Pa)]]/1000000</f>
        <v>35.343300503082268</v>
      </c>
    </row>
    <row r="564" spans="1:6" x14ac:dyDescent="0.3">
      <c r="A564" s="2">
        <v>68.183000000000007</v>
      </c>
      <c r="B564" s="2">
        <v>5.6745999999999999</v>
      </c>
      <c r="C564" s="1">
        <f>Tabela5[[#This Row],[Alongamento (mm/mm)]]/$I$2</f>
        <v>0.113492</v>
      </c>
      <c r="D564" s="2">
        <v>1508.4</v>
      </c>
      <c r="E564" s="1">
        <f>Tabela5[[#This Row],[Força (N)]]/$I$5</f>
        <v>35626727.131013967</v>
      </c>
      <c r="F564" s="1">
        <f>Tabela5[[#This Row],[Tensão (Pa)]]/1000000</f>
        <v>35.626727131013965</v>
      </c>
    </row>
    <row r="565" spans="1:6" x14ac:dyDescent="0.3">
      <c r="A565" s="2">
        <v>68.466999999999999</v>
      </c>
      <c r="B565" s="2">
        <v>5.6981999999999999</v>
      </c>
      <c r="C565" s="1">
        <f>Tabela5[[#This Row],[Alongamento (mm/mm)]]/$I$2</f>
        <v>0.113964</v>
      </c>
      <c r="D565" s="2">
        <v>1520.3</v>
      </c>
      <c r="E565" s="1">
        <f>Tabela5[[#This Row],[Força (N)]]/$I$5</f>
        <v>35907791.87037956</v>
      </c>
      <c r="F565" s="1">
        <f>Tabela5[[#This Row],[Tensão (Pa)]]/1000000</f>
        <v>35.907791870379562</v>
      </c>
    </row>
    <row r="566" spans="1:6" x14ac:dyDescent="0.3">
      <c r="A566" s="2">
        <v>68.75</v>
      </c>
      <c r="B566" s="2">
        <v>5.7218</v>
      </c>
      <c r="C566" s="1">
        <f>Tabela5[[#This Row],[Alongamento (mm/mm)]]/$I$2</f>
        <v>0.114436</v>
      </c>
      <c r="D566" s="2">
        <v>1532.3</v>
      </c>
      <c r="E566" s="1">
        <f>Tabela5[[#This Row],[Força (N)]]/$I$5</f>
        <v>36191218.498311251</v>
      </c>
      <c r="F566" s="1">
        <f>Tabela5[[#This Row],[Tensão (Pa)]]/1000000</f>
        <v>36.191218498311251</v>
      </c>
    </row>
    <row r="567" spans="1:6" x14ac:dyDescent="0.3">
      <c r="A567" s="2">
        <v>69.033000000000001</v>
      </c>
      <c r="B567" s="2">
        <v>5.7454000000000001</v>
      </c>
      <c r="C567" s="1">
        <f>Tabela5[[#This Row],[Alongamento (mm/mm)]]/$I$2</f>
        <v>0.114908</v>
      </c>
      <c r="D567" s="2">
        <v>1544.3</v>
      </c>
      <c r="E567" s="1">
        <f>Tabela5[[#This Row],[Força (N)]]/$I$5</f>
        <v>36474645.126242943</v>
      </c>
      <c r="F567" s="1">
        <f>Tabela5[[#This Row],[Tensão (Pa)]]/1000000</f>
        <v>36.47464512624294</v>
      </c>
    </row>
    <row r="568" spans="1:6" x14ac:dyDescent="0.3">
      <c r="A568" s="2">
        <v>69.316999999999993</v>
      </c>
      <c r="B568" s="2">
        <v>5.7690000000000001</v>
      </c>
      <c r="C568" s="1">
        <f>Tabela5[[#This Row],[Alongamento (mm/mm)]]/$I$2</f>
        <v>0.11538</v>
      </c>
      <c r="D568" s="2">
        <v>1556.6</v>
      </c>
      <c r="E568" s="1">
        <f>Tabela5[[#This Row],[Força (N)]]/$I$5</f>
        <v>36765157.419872932</v>
      </c>
      <c r="F568" s="1">
        <f>Tabela5[[#This Row],[Tensão (Pa)]]/1000000</f>
        <v>36.765157419872935</v>
      </c>
    </row>
    <row r="569" spans="1:6" x14ac:dyDescent="0.3">
      <c r="A569" s="2">
        <v>69.599999999999994</v>
      </c>
      <c r="B569" s="2">
        <v>5.7926000000000002</v>
      </c>
      <c r="C569" s="1">
        <f>Tabela5[[#This Row],[Alongamento (mm/mm)]]/$I$2</f>
        <v>0.11585200000000001</v>
      </c>
      <c r="D569" s="2">
        <v>1568.5</v>
      </c>
      <c r="E569" s="1">
        <f>Tabela5[[#This Row],[Força (N)]]/$I$5</f>
        <v>37046222.159238532</v>
      </c>
      <c r="F569" s="1">
        <f>Tabela5[[#This Row],[Tensão (Pa)]]/1000000</f>
        <v>37.046222159238532</v>
      </c>
    </row>
    <row r="570" spans="1:6" x14ac:dyDescent="0.3">
      <c r="A570" s="2">
        <v>69.900000000000006</v>
      </c>
      <c r="B570" s="2">
        <v>5.8177000000000003</v>
      </c>
      <c r="C570" s="1">
        <f>Tabela5[[#This Row],[Alongamento (mm/mm)]]/$I$2</f>
        <v>0.11635400000000001</v>
      </c>
      <c r="D570" s="2">
        <v>1581.1</v>
      </c>
      <c r="E570" s="1">
        <f>Tabela5[[#This Row],[Força (N)]]/$I$5</f>
        <v>37343820.118566811</v>
      </c>
      <c r="F570" s="1">
        <f>Tabela5[[#This Row],[Tensão (Pa)]]/1000000</f>
        <v>37.343820118566811</v>
      </c>
    </row>
    <row r="571" spans="1:6" x14ac:dyDescent="0.3">
      <c r="A571" s="2">
        <v>70.2</v>
      </c>
      <c r="B571" s="2">
        <v>5.8426999999999998</v>
      </c>
      <c r="C571" s="1">
        <f>Tabela5[[#This Row],[Alongamento (mm/mm)]]/$I$2</f>
        <v>0.116854</v>
      </c>
      <c r="D571" s="2">
        <v>1593.8</v>
      </c>
      <c r="E571" s="1">
        <f>Tabela5[[#This Row],[Força (N)]]/$I$5</f>
        <v>37643779.966461182</v>
      </c>
      <c r="F571" s="1">
        <f>Tabela5[[#This Row],[Tensão (Pa)]]/1000000</f>
        <v>37.643779966461182</v>
      </c>
    </row>
    <row r="572" spans="1:6" x14ac:dyDescent="0.3">
      <c r="A572" s="2">
        <v>70.483000000000004</v>
      </c>
      <c r="B572" s="2">
        <v>5.8662999999999998</v>
      </c>
      <c r="C572" s="1">
        <f>Tabela5[[#This Row],[Alongamento (mm/mm)]]/$I$2</f>
        <v>0.117326</v>
      </c>
      <c r="D572" s="2">
        <v>1606.1</v>
      </c>
      <c r="E572" s="1">
        <f>Tabela5[[#This Row],[Força (N)]]/$I$5</f>
        <v>37934292.260091171</v>
      </c>
      <c r="F572" s="1">
        <f>Tabela5[[#This Row],[Tensão (Pa)]]/1000000</f>
        <v>37.934292260091169</v>
      </c>
    </row>
    <row r="573" spans="1:6" x14ac:dyDescent="0.3">
      <c r="A573" s="2">
        <v>70.766999999999996</v>
      </c>
      <c r="B573" s="2">
        <v>5.8898999999999999</v>
      </c>
      <c r="C573" s="1">
        <f>Tabela5[[#This Row],[Alongamento (mm/mm)]]/$I$2</f>
        <v>0.117798</v>
      </c>
      <c r="D573" s="2">
        <v>1618.3</v>
      </c>
      <c r="E573" s="1">
        <f>Tabela5[[#This Row],[Força (N)]]/$I$5</f>
        <v>38222442.665155061</v>
      </c>
      <c r="F573" s="1">
        <f>Tabela5[[#This Row],[Tensão (Pa)]]/1000000</f>
        <v>38.222442665155057</v>
      </c>
    </row>
    <row r="574" spans="1:6" x14ac:dyDescent="0.3">
      <c r="A574" s="2">
        <v>71.066999999999993</v>
      </c>
      <c r="B574" s="2">
        <v>5.9149000000000003</v>
      </c>
      <c r="C574" s="1">
        <f>Tabela5[[#This Row],[Alongamento (mm/mm)]]/$I$2</f>
        <v>0.118298</v>
      </c>
      <c r="D574" s="2">
        <v>1631.4</v>
      </c>
      <c r="E574" s="1">
        <f>Tabela5[[#This Row],[Força (N)]]/$I$5</f>
        <v>38531850.067313828</v>
      </c>
      <c r="F574" s="1">
        <f>Tabela5[[#This Row],[Tensão (Pa)]]/1000000</f>
        <v>38.531850067313826</v>
      </c>
    </row>
    <row r="575" spans="1:6" x14ac:dyDescent="0.3">
      <c r="A575" s="2">
        <v>71.367000000000004</v>
      </c>
      <c r="B575" s="2">
        <v>5.9398999999999997</v>
      </c>
      <c r="C575" s="1">
        <f>Tabela5[[#This Row],[Alongamento (mm/mm)]]/$I$2</f>
        <v>0.118798</v>
      </c>
      <c r="D575" s="2">
        <v>1644.3</v>
      </c>
      <c r="E575" s="1">
        <f>Tabela5[[#This Row],[Força (N)]]/$I$5</f>
        <v>38836533.692340396</v>
      </c>
      <c r="F575" s="1">
        <f>Tabela5[[#This Row],[Tensão (Pa)]]/1000000</f>
        <v>38.836533692340396</v>
      </c>
    </row>
    <row r="576" spans="1:6" x14ac:dyDescent="0.3">
      <c r="A576" s="2">
        <v>71.667000000000002</v>
      </c>
      <c r="B576" s="2">
        <v>5.9648000000000003</v>
      </c>
      <c r="C576" s="1">
        <f>Tabela5[[#This Row],[Alongamento (mm/mm)]]/$I$2</f>
        <v>0.11929600000000001</v>
      </c>
      <c r="D576" s="2">
        <v>1657.4</v>
      </c>
      <c r="E576" s="1">
        <f>Tabela5[[#This Row],[Força (N)]]/$I$5</f>
        <v>39145941.094499171</v>
      </c>
      <c r="F576" s="1">
        <f>Tabela5[[#This Row],[Tensão (Pa)]]/1000000</f>
        <v>39.145941094499172</v>
      </c>
    </row>
    <row r="577" spans="1:6" x14ac:dyDescent="0.3">
      <c r="A577" s="2">
        <v>71.966999999999999</v>
      </c>
      <c r="B577" s="2">
        <v>5.9898999999999996</v>
      </c>
      <c r="C577" s="1">
        <f>Tabela5[[#This Row],[Alongamento (mm/mm)]]/$I$2</f>
        <v>0.11979799999999999</v>
      </c>
      <c r="D577" s="2">
        <v>1670.5</v>
      </c>
      <c r="E577" s="1">
        <f>Tabela5[[#This Row],[Força (N)]]/$I$5</f>
        <v>39455348.49665793</v>
      </c>
      <c r="F577" s="1">
        <f>Tabela5[[#This Row],[Tensão (Pa)]]/1000000</f>
        <v>39.455348496657933</v>
      </c>
    </row>
    <row r="578" spans="1:6" x14ac:dyDescent="0.3">
      <c r="A578" s="2">
        <v>72.266999999999996</v>
      </c>
      <c r="B578" s="2">
        <v>6.0148999999999999</v>
      </c>
      <c r="C578" s="1">
        <f>Tabela5[[#This Row],[Alongamento (mm/mm)]]/$I$2</f>
        <v>0.120298</v>
      </c>
      <c r="D578" s="2">
        <v>1683.5</v>
      </c>
      <c r="E578" s="1">
        <f>Tabela5[[#This Row],[Força (N)]]/$I$5</f>
        <v>39762394.010250598</v>
      </c>
      <c r="F578" s="1">
        <f>Tabela5[[#This Row],[Tensão (Pa)]]/1000000</f>
        <v>39.762394010250595</v>
      </c>
    </row>
    <row r="579" spans="1:6" x14ac:dyDescent="0.3">
      <c r="A579" s="2">
        <v>72.566999999999993</v>
      </c>
      <c r="B579" s="2">
        <v>6.0399000000000003</v>
      </c>
      <c r="C579" s="1">
        <f>Tabela5[[#This Row],[Alongamento (mm/mm)]]/$I$2</f>
        <v>0.120798</v>
      </c>
      <c r="D579" s="2">
        <v>1696.4</v>
      </c>
      <c r="E579" s="1">
        <f>Tabela5[[#This Row],[Força (N)]]/$I$5</f>
        <v>40067077.635277174</v>
      </c>
      <c r="F579" s="1">
        <f>Tabela5[[#This Row],[Tensão (Pa)]]/1000000</f>
        <v>40.067077635277172</v>
      </c>
    </row>
    <row r="580" spans="1:6" x14ac:dyDescent="0.3">
      <c r="A580" s="2">
        <v>72.882999999999996</v>
      </c>
      <c r="B580" s="2">
        <v>6.0663</v>
      </c>
      <c r="C580" s="1">
        <f>Tabela5[[#This Row],[Alongamento (mm/mm)]]/$I$2</f>
        <v>0.121326</v>
      </c>
      <c r="D580" s="2">
        <v>1709.8</v>
      </c>
      <c r="E580" s="1">
        <f>Tabela5[[#This Row],[Força (N)]]/$I$5</f>
        <v>40383570.703134231</v>
      </c>
      <c r="F580" s="1">
        <f>Tabela5[[#This Row],[Tensão (Pa)]]/1000000</f>
        <v>40.383570703134232</v>
      </c>
    </row>
    <row r="581" spans="1:6" x14ac:dyDescent="0.3">
      <c r="A581" s="2">
        <v>73.2</v>
      </c>
      <c r="B581" s="2">
        <v>6.0926</v>
      </c>
      <c r="C581" s="1">
        <f>Tabela5[[#This Row],[Alongamento (mm/mm)]]/$I$2</f>
        <v>0.121852</v>
      </c>
      <c r="D581" s="2">
        <v>1723.3</v>
      </c>
      <c r="E581" s="1">
        <f>Tabela5[[#This Row],[Força (N)]]/$I$5</f>
        <v>40702425.659557387</v>
      </c>
      <c r="F581" s="1">
        <f>Tabela5[[#This Row],[Tensão (Pa)]]/1000000</f>
        <v>40.702425659557385</v>
      </c>
    </row>
    <row r="582" spans="1:6" x14ac:dyDescent="0.3">
      <c r="A582" s="2">
        <v>73.516999999999996</v>
      </c>
      <c r="B582" s="2">
        <v>6.1189</v>
      </c>
      <c r="C582" s="1">
        <f>Tabela5[[#This Row],[Alongamento (mm/mm)]]/$I$2</f>
        <v>0.122378</v>
      </c>
      <c r="D582" s="2">
        <v>1736.5</v>
      </c>
      <c r="E582" s="1">
        <f>Tabela5[[#This Row],[Força (N)]]/$I$5</f>
        <v>41014194.950282253</v>
      </c>
      <c r="F582" s="1">
        <f>Tabela5[[#This Row],[Tensão (Pa)]]/1000000</f>
        <v>41.014194950282253</v>
      </c>
    </row>
    <row r="583" spans="1:6" x14ac:dyDescent="0.3">
      <c r="A583" s="2">
        <v>73.832999999999998</v>
      </c>
      <c r="B583" s="2">
        <v>6.1455000000000002</v>
      </c>
      <c r="C583" s="1">
        <f>Tabela5[[#This Row],[Alongamento (mm/mm)]]/$I$2</f>
        <v>0.12291000000000001</v>
      </c>
      <c r="D583" s="2">
        <v>1750.1</v>
      </c>
      <c r="E583" s="1">
        <f>Tabela5[[#This Row],[Força (N)]]/$I$5</f>
        <v>41335411.795271501</v>
      </c>
      <c r="F583" s="1">
        <f>Tabela5[[#This Row],[Tensão (Pa)]]/1000000</f>
        <v>41.335411795271504</v>
      </c>
    </row>
    <row r="584" spans="1:6" x14ac:dyDescent="0.3">
      <c r="A584" s="2">
        <v>74.167000000000002</v>
      </c>
      <c r="B584" s="2">
        <v>6.1731999999999996</v>
      </c>
      <c r="C584" s="1">
        <f>Tabela5[[#This Row],[Alongamento (mm/mm)]]/$I$2</f>
        <v>0.12346399999999999</v>
      </c>
      <c r="D584" s="2">
        <v>1764.1</v>
      </c>
      <c r="E584" s="1">
        <f>Tabela5[[#This Row],[Força (N)]]/$I$5</f>
        <v>41666076.194525145</v>
      </c>
      <c r="F584" s="1">
        <f>Tabela5[[#This Row],[Tensão (Pa)]]/1000000</f>
        <v>41.666076194525147</v>
      </c>
    </row>
    <row r="585" spans="1:6" x14ac:dyDescent="0.3">
      <c r="A585" s="2">
        <v>74.5</v>
      </c>
      <c r="B585" s="2">
        <v>6.2009999999999996</v>
      </c>
      <c r="C585" s="1">
        <f>Tabela5[[#This Row],[Alongamento (mm/mm)]]/$I$2</f>
        <v>0.12401999999999999</v>
      </c>
      <c r="D585" s="2">
        <v>1778.2</v>
      </c>
      <c r="E585" s="1">
        <f>Tabela5[[#This Row],[Força (N)]]/$I$5</f>
        <v>41999102.482344888</v>
      </c>
      <c r="F585" s="1">
        <f>Tabela5[[#This Row],[Tensão (Pa)]]/1000000</f>
        <v>41.999102482344888</v>
      </c>
    </row>
    <row r="586" spans="1:6" x14ac:dyDescent="0.3">
      <c r="A586" s="2">
        <v>74.832999999999998</v>
      </c>
      <c r="B586" s="2">
        <v>6.2286999999999999</v>
      </c>
      <c r="C586" s="1">
        <f>Tabela5[[#This Row],[Alongamento (mm/mm)]]/$I$2</f>
        <v>0.124574</v>
      </c>
      <c r="D586" s="2">
        <v>1792.2</v>
      </c>
      <c r="E586" s="1">
        <f>Tabela5[[#This Row],[Força (N)]]/$I$5</f>
        <v>42329766.881598532</v>
      </c>
      <c r="F586" s="1">
        <f>Tabela5[[#This Row],[Tensão (Pa)]]/1000000</f>
        <v>42.32976688159853</v>
      </c>
    </row>
    <row r="587" spans="1:6" x14ac:dyDescent="0.3">
      <c r="A587" s="2">
        <v>75.183000000000007</v>
      </c>
      <c r="B587" s="2">
        <v>6.2579000000000002</v>
      </c>
      <c r="C587" s="1">
        <f>Tabela5[[#This Row],[Alongamento (mm/mm)]]/$I$2</f>
        <v>0.12515799999999999</v>
      </c>
      <c r="D587" s="2">
        <v>1806.6</v>
      </c>
      <c r="E587" s="1">
        <f>Tabela5[[#This Row],[Força (N)]]/$I$5</f>
        <v>42669878.835116558</v>
      </c>
      <c r="F587" s="1">
        <f>Tabela5[[#This Row],[Tensão (Pa)]]/1000000</f>
        <v>42.669878835116556</v>
      </c>
    </row>
    <row r="588" spans="1:6" x14ac:dyDescent="0.3">
      <c r="A588" s="2">
        <v>75.516999999999996</v>
      </c>
      <c r="B588" s="2">
        <v>6.2857000000000003</v>
      </c>
      <c r="C588" s="1">
        <f>Tabela5[[#This Row],[Alongamento (mm/mm)]]/$I$2</f>
        <v>0.12571399999999999</v>
      </c>
      <c r="D588" s="2">
        <v>1820.6</v>
      </c>
      <c r="E588" s="1">
        <f>Tabela5[[#This Row],[Força (N)]]/$I$5</f>
        <v>43000543.234370202</v>
      </c>
      <c r="F588" s="1">
        <f>Tabela5[[#This Row],[Tensão (Pa)]]/1000000</f>
        <v>43.000543234370198</v>
      </c>
    </row>
    <row r="589" spans="1:6" x14ac:dyDescent="0.3">
      <c r="A589" s="2">
        <v>75.867000000000004</v>
      </c>
      <c r="B589" s="2">
        <v>6.3148</v>
      </c>
      <c r="C589" s="1">
        <f>Tabela5[[#This Row],[Alongamento (mm/mm)]]/$I$2</f>
        <v>0.12629599999999999</v>
      </c>
      <c r="D589" s="2">
        <v>1835</v>
      </c>
      <c r="E589" s="1">
        <f>Tabela5[[#This Row],[Força (N)]]/$I$5</f>
        <v>43340655.187888242</v>
      </c>
      <c r="F589" s="1">
        <f>Tabela5[[#This Row],[Tensão (Pa)]]/1000000</f>
        <v>43.340655187888245</v>
      </c>
    </row>
    <row r="590" spans="1:6" x14ac:dyDescent="0.3">
      <c r="A590" s="2">
        <v>76.216999999999999</v>
      </c>
      <c r="B590" s="2">
        <v>6.3440000000000003</v>
      </c>
      <c r="C590" s="1">
        <f>Tabela5[[#This Row],[Alongamento (mm/mm)]]/$I$2</f>
        <v>0.12687999999999999</v>
      </c>
      <c r="D590" s="2">
        <v>1849.3</v>
      </c>
      <c r="E590" s="1">
        <f>Tabela5[[#This Row],[Força (N)]]/$I$5</f>
        <v>43678405.252840176</v>
      </c>
      <c r="F590" s="1">
        <f>Tabela5[[#This Row],[Tensão (Pa)]]/1000000</f>
        <v>43.678405252840179</v>
      </c>
    </row>
    <row r="591" spans="1:6" x14ac:dyDescent="0.3">
      <c r="A591" s="2">
        <v>76.566999999999993</v>
      </c>
      <c r="B591" s="2">
        <v>6.3731999999999998</v>
      </c>
      <c r="C591" s="1">
        <f>Tabela5[[#This Row],[Alongamento (mm/mm)]]/$I$2</f>
        <v>0.12746399999999999</v>
      </c>
      <c r="D591" s="2">
        <v>1863.8</v>
      </c>
      <c r="E591" s="1">
        <f>Tabela5[[#This Row],[Força (N)]]/$I$5</f>
        <v>44020879.094924308</v>
      </c>
      <c r="F591" s="1">
        <f>Tabela5[[#This Row],[Tensão (Pa)]]/1000000</f>
        <v>44.020879094924311</v>
      </c>
    </row>
    <row r="592" spans="1:6" x14ac:dyDescent="0.3">
      <c r="A592" s="2">
        <v>76.917000000000002</v>
      </c>
      <c r="B592" s="2">
        <v>6.4024000000000001</v>
      </c>
      <c r="C592" s="1">
        <f>Tabela5[[#This Row],[Alongamento (mm/mm)]]/$I$2</f>
        <v>0.128048</v>
      </c>
      <c r="D592" s="2">
        <v>1878.2</v>
      </c>
      <c r="E592" s="1">
        <f>Tabela5[[#This Row],[Força (N)]]/$I$5</f>
        <v>44360991.048442341</v>
      </c>
      <c r="F592" s="1">
        <f>Tabela5[[#This Row],[Tensão (Pa)]]/1000000</f>
        <v>44.360991048442344</v>
      </c>
    </row>
    <row r="593" spans="1:6" x14ac:dyDescent="0.3">
      <c r="A593" s="2">
        <v>77.283000000000001</v>
      </c>
      <c r="B593" s="2">
        <v>6.4329999999999998</v>
      </c>
      <c r="C593" s="1">
        <f>Tabela5[[#This Row],[Alongamento (mm/mm)]]/$I$2</f>
        <v>0.12866</v>
      </c>
      <c r="D593" s="2">
        <v>1893.2</v>
      </c>
      <c r="E593" s="1">
        <f>Tabela5[[#This Row],[Força (N)]]/$I$5</f>
        <v>44715274.333356962</v>
      </c>
      <c r="F593" s="1">
        <f>Tabela5[[#This Row],[Tensão (Pa)]]/1000000</f>
        <v>44.715274333356959</v>
      </c>
    </row>
    <row r="594" spans="1:6" x14ac:dyDescent="0.3">
      <c r="A594" s="2">
        <v>77.650000000000006</v>
      </c>
      <c r="B594" s="2">
        <v>6.4634999999999998</v>
      </c>
      <c r="C594" s="1">
        <f>Tabela5[[#This Row],[Alongamento (mm/mm)]]/$I$2</f>
        <v>0.12927</v>
      </c>
      <c r="D594" s="2">
        <v>1907.8</v>
      </c>
      <c r="E594" s="1">
        <f>Tabela5[[#This Row],[Força (N)]]/$I$5</f>
        <v>45060110.064007185</v>
      </c>
      <c r="F594" s="1">
        <f>Tabela5[[#This Row],[Tensão (Pa)]]/1000000</f>
        <v>45.060110064007183</v>
      </c>
    </row>
    <row r="595" spans="1:6" x14ac:dyDescent="0.3">
      <c r="A595" s="2">
        <v>78.033000000000001</v>
      </c>
      <c r="B595" s="2">
        <v>6.4954000000000001</v>
      </c>
      <c r="C595" s="1">
        <f>Tabela5[[#This Row],[Alongamento (mm/mm)]]/$I$2</f>
        <v>0.129908</v>
      </c>
      <c r="D595" s="2">
        <v>1922.8</v>
      </c>
      <c r="E595" s="1">
        <f>Tabela5[[#This Row],[Força (N)]]/$I$5</f>
        <v>45414393.348921798</v>
      </c>
      <c r="F595" s="1">
        <f>Tabela5[[#This Row],[Tensão (Pa)]]/1000000</f>
        <v>45.414393348921799</v>
      </c>
    </row>
    <row r="596" spans="1:6" x14ac:dyDescent="0.3">
      <c r="A596" s="2">
        <v>78.45</v>
      </c>
      <c r="B596" s="2">
        <v>6.5301999999999998</v>
      </c>
      <c r="C596" s="1">
        <f>Tabela5[[#This Row],[Alongamento (mm/mm)]]/$I$2</f>
        <v>0.130604</v>
      </c>
      <c r="D596" s="2">
        <v>1937.9</v>
      </c>
      <c r="E596" s="1">
        <f>Tabela5[[#This Row],[Força (N)]]/$I$5</f>
        <v>45771038.522402517</v>
      </c>
      <c r="F596" s="1">
        <f>Tabela5[[#This Row],[Tensão (Pa)]]/1000000</f>
        <v>45.77103852240252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7ACA-7DD5-44A8-B21F-45BE0993C8FE}">
  <dimension ref="A1:K600"/>
  <sheetViews>
    <sheetView topLeftCell="A579" workbookViewId="0">
      <selection activeCell="G600" sqref="G600"/>
    </sheetView>
  </sheetViews>
  <sheetFormatPr defaultRowHeight="14.4" x14ac:dyDescent="0.3"/>
  <cols>
    <col min="1" max="1" width="11.88671875" bestFit="1" customWidth="1"/>
    <col min="2" max="2" width="25.5546875" bestFit="1" customWidth="1"/>
    <col min="3" max="3" width="24.44140625" bestFit="1" customWidth="1"/>
    <col min="4" max="4" width="11.44140625" bestFit="1" customWidth="1"/>
    <col min="5" max="5" width="13.5546875" bestFit="1" customWidth="1"/>
    <col min="6" max="6" width="15.5546875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2">
        <v>0.13333</v>
      </c>
      <c r="B2" s="2">
        <v>5.3042999999999996E-3</v>
      </c>
      <c r="C2" s="1">
        <f>Tabela7[[#This Row],[Alongamento (mm/mm)]]/$I$2</f>
        <v>1.0608599999999999E-4</v>
      </c>
      <c r="D2" s="2">
        <v>0</v>
      </c>
      <c r="E2" s="1">
        <f>Tabela7[[#This Row],[Força (N)]]/$I$5</f>
        <v>0</v>
      </c>
      <c r="F2" s="1">
        <f>Tabela7[[#This Row],[Tensão (Pa)]]/1000000</f>
        <v>0</v>
      </c>
      <c r="H2" t="s">
        <v>10</v>
      </c>
      <c r="I2">
        <v>50</v>
      </c>
      <c r="J2">
        <v>12.82</v>
      </c>
      <c r="K2">
        <v>3.32</v>
      </c>
    </row>
    <row r="3" spans="1:11" x14ac:dyDescent="0.3">
      <c r="A3" s="2">
        <v>5.2667000000000002</v>
      </c>
      <c r="B3" s="2">
        <v>0.43187999999999999</v>
      </c>
      <c r="C3" s="1">
        <f>Tabela7[[#This Row],[Alongamento (mm/mm)]]/$I$2</f>
        <v>8.6376000000000005E-3</v>
      </c>
      <c r="D3" s="2">
        <v>3.2319</v>
      </c>
      <c r="E3" s="1">
        <f>Tabela7[[#This Row],[Força (N)]]/$I$5</f>
        <v>75933.218051613629</v>
      </c>
      <c r="F3" s="1">
        <f>Tabela7[[#This Row],[Tensão (Pa)]]/1000000</f>
        <v>7.5933218051613627E-2</v>
      </c>
      <c r="H3" t="s">
        <v>12</v>
      </c>
      <c r="I3">
        <f>I2/1000</f>
        <v>0.05</v>
      </c>
      <c r="J3">
        <f t="shared" ref="J3:K3" si="0">J2/1000</f>
        <v>1.282E-2</v>
      </c>
      <c r="K3">
        <f t="shared" si="0"/>
        <v>3.32E-3</v>
      </c>
    </row>
    <row r="4" spans="1:11" x14ac:dyDescent="0.3">
      <c r="A4" s="2">
        <v>5.3167</v>
      </c>
      <c r="B4" s="2">
        <v>0.43597999999999998</v>
      </c>
      <c r="C4" s="1">
        <f>Tabela7[[#This Row],[Alongamento (mm/mm)]]/$I$2</f>
        <v>8.7195999999999992E-3</v>
      </c>
      <c r="D4" s="2">
        <v>3.2319</v>
      </c>
      <c r="E4" s="1">
        <f>Tabela7[[#This Row],[Força (N)]]/$I$5</f>
        <v>75933.218051613629</v>
      </c>
      <c r="F4" s="1">
        <f>Tabela7[[#This Row],[Tensão (Pa)]]/1000000</f>
        <v>7.5933218051613627E-2</v>
      </c>
    </row>
    <row r="5" spans="1:11" x14ac:dyDescent="0.3">
      <c r="A5" s="2">
        <v>5.3666999999999998</v>
      </c>
      <c r="B5" s="2">
        <v>0.44016</v>
      </c>
      <c r="C5" s="1">
        <f>Tabela7[[#This Row],[Alongamento (mm/mm)]]/$I$2</f>
        <v>8.8032000000000006E-3</v>
      </c>
      <c r="D5" s="2">
        <v>3.2319</v>
      </c>
      <c r="E5" s="1">
        <f>Tabela7[[#This Row],[Força (N)]]/$I$5</f>
        <v>75933.218051613629</v>
      </c>
      <c r="F5" s="1">
        <f>Tabela7[[#This Row],[Tensão (Pa)]]/1000000</f>
        <v>7.5933218051613627E-2</v>
      </c>
      <c r="H5" t="s">
        <v>13</v>
      </c>
      <c r="I5">
        <f>J3*K3</f>
        <v>4.2562399999999998E-5</v>
      </c>
    </row>
    <row r="6" spans="1:11" x14ac:dyDescent="0.3">
      <c r="A6" s="2">
        <v>5.4166999999999996</v>
      </c>
      <c r="B6" s="2">
        <v>0.44445000000000001</v>
      </c>
      <c r="C6" s="1">
        <f>Tabela7[[#This Row],[Alongamento (mm/mm)]]/$I$2</f>
        <v>8.8890000000000011E-3</v>
      </c>
      <c r="D6" s="2">
        <v>3.2319</v>
      </c>
      <c r="E6" s="1">
        <f>Tabela7[[#This Row],[Força (N)]]/$I$5</f>
        <v>75933.218051613629</v>
      </c>
      <c r="F6" s="1">
        <f>Tabela7[[#This Row],[Tensão (Pa)]]/1000000</f>
        <v>7.5933218051613627E-2</v>
      </c>
    </row>
    <row r="7" spans="1:11" x14ac:dyDescent="0.3">
      <c r="A7" s="2">
        <v>5.4667000000000003</v>
      </c>
      <c r="B7" s="2">
        <v>0.44862999999999997</v>
      </c>
      <c r="C7" s="1">
        <f>Tabela7[[#This Row],[Alongamento (mm/mm)]]/$I$2</f>
        <v>8.972599999999999E-3</v>
      </c>
      <c r="D7" s="2">
        <v>3.2319</v>
      </c>
      <c r="E7" s="1">
        <f>Tabela7[[#This Row],[Força (N)]]/$I$5</f>
        <v>75933.218051613629</v>
      </c>
      <c r="F7" s="1">
        <f>Tabela7[[#This Row],[Tensão (Pa)]]/1000000</f>
        <v>7.5933218051613627E-2</v>
      </c>
    </row>
    <row r="8" spans="1:11" x14ac:dyDescent="0.3">
      <c r="A8" s="2">
        <v>5.5167000000000002</v>
      </c>
      <c r="B8" s="2">
        <v>0.45273000000000002</v>
      </c>
      <c r="C8" s="1">
        <f>Tabela7[[#This Row],[Alongamento (mm/mm)]]/$I$2</f>
        <v>9.0546000000000012E-3</v>
      </c>
      <c r="D8" s="2">
        <v>3.2319</v>
      </c>
      <c r="E8" s="1">
        <f>Tabela7[[#This Row],[Força (N)]]/$I$5</f>
        <v>75933.218051613629</v>
      </c>
      <c r="F8" s="1">
        <f>Tabela7[[#This Row],[Tensão (Pa)]]/1000000</f>
        <v>7.5933218051613627E-2</v>
      </c>
    </row>
    <row r="9" spans="1:11" x14ac:dyDescent="0.3">
      <c r="A9" s="2">
        <v>5.5667</v>
      </c>
      <c r="B9" s="2">
        <v>0.45682</v>
      </c>
      <c r="C9" s="1">
        <f>Tabela7[[#This Row],[Alongamento (mm/mm)]]/$I$2</f>
        <v>9.1363999999999994E-3</v>
      </c>
      <c r="D9" s="2">
        <v>3.2319</v>
      </c>
      <c r="E9" s="1">
        <f>Tabela7[[#This Row],[Força (N)]]/$I$5</f>
        <v>75933.218051613629</v>
      </c>
      <c r="F9" s="1">
        <f>Tabela7[[#This Row],[Tensão (Pa)]]/1000000</f>
        <v>7.5933218051613627E-2</v>
      </c>
    </row>
    <row r="10" spans="1:11" x14ac:dyDescent="0.3">
      <c r="A10" s="2">
        <v>5.6166999999999998</v>
      </c>
      <c r="B10" s="2">
        <v>0.46100999999999998</v>
      </c>
      <c r="C10" s="1">
        <f>Tabela7[[#This Row],[Alongamento (mm/mm)]]/$I$2</f>
        <v>9.2201999999999996E-3</v>
      </c>
      <c r="D10" s="2">
        <v>3.2319</v>
      </c>
      <c r="E10" s="1">
        <f>Tabela7[[#This Row],[Força (N)]]/$I$5</f>
        <v>75933.218051613629</v>
      </c>
      <c r="F10" s="1">
        <f>Tabela7[[#This Row],[Tensão (Pa)]]/1000000</f>
        <v>7.5933218051613627E-2</v>
      </c>
    </row>
    <row r="11" spans="1:11" x14ac:dyDescent="0.3">
      <c r="A11" s="2">
        <v>5.6666999999999996</v>
      </c>
      <c r="B11" s="2">
        <v>0.4652</v>
      </c>
      <c r="C11" s="1">
        <f>Tabela7[[#This Row],[Alongamento (mm/mm)]]/$I$2</f>
        <v>9.3039999999999998E-3</v>
      </c>
      <c r="D11" s="2">
        <v>3.2319</v>
      </c>
      <c r="E11" s="1">
        <f>Tabela7[[#This Row],[Força (N)]]/$I$5</f>
        <v>75933.218051613629</v>
      </c>
      <c r="F11" s="1">
        <f>Tabela7[[#This Row],[Tensão (Pa)]]/1000000</f>
        <v>7.5933218051613627E-2</v>
      </c>
    </row>
    <row r="12" spans="1:11" x14ac:dyDescent="0.3">
      <c r="A12" s="2">
        <v>5.7167000000000003</v>
      </c>
      <c r="B12" s="2">
        <v>0.46938000000000002</v>
      </c>
      <c r="C12" s="1">
        <f>Tabela7[[#This Row],[Alongamento (mm/mm)]]/$I$2</f>
        <v>9.3876000000000012E-3</v>
      </c>
      <c r="D12" s="2">
        <v>3.2319</v>
      </c>
      <c r="E12" s="1">
        <f>Tabela7[[#This Row],[Força (N)]]/$I$5</f>
        <v>75933.218051613629</v>
      </c>
      <c r="F12" s="1">
        <f>Tabela7[[#This Row],[Tensão (Pa)]]/1000000</f>
        <v>7.5933218051613627E-2</v>
      </c>
    </row>
    <row r="13" spans="1:11" x14ac:dyDescent="0.3">
      <c r="A13" s="2">
        <v>5.7667000000000002</v>
      </c>
      <c r="B13" s="2">
        <v>0.47356999999999999</v>
      </c>
      <c r="C13" s="1">
        <f>Tabela7[[#This Row],[Alongamento (mm/mm)]]/$I$2</f>
        <v>9.4713999999999996E-3</v>
      </c>
      <c r="D13" s="2">
        <v>3.2319</v>
      </c>
      <c r="E13" s="1">
        <f>Tabela7[[#This Row],[Força (N)]]/$I$5</f>
        <v>75933.218051613629</v>
      </c>
      <c r="F13" s="1">
        <f>Tabela7[[#This Row],[Tensão (Pa)]]/1000000</f>
        <v>7.5933218051613627E-2</v>
      </c>
    </row>
    <row r="14" spans="1:11" x14ac:dyDescent="0.3">
      <c r="A14" s="2">
        <v>5.8167</v>
      </c>
      <c r="B14" s="2">
        <v>0.47766999999999998</v>
      </c>
      <c r="C14" s="1">
        <f>Tabela7[[#This Row],[Alongamento (mm/mm)]]/$I$2</f>
        <v>9.5534000000000001E-3</v>
      </c>
      <c r="D14" s="2">
        <v>3.2319</v>
      </c>
      <c r="E14" s="1">
        <f>Tabela7[[#This Row],[Força (N)]]/$I$5</f>
        <v>75933.218051613629</v>
      </c>
      <c r="F14" s="1">
        <f>Tabela7[[#This Row],[Tensão (Pa)]]/1000000</f>
        <v>7.5933218051613627E-2</v>
      </c>
    </row>
    <row r="15" spans="1:11" x14ac:dyDescent="0.3">
      <c r="A15" s="2">
        <v>5.8666999999999998</v>
      </c>
      <c r="B15" s="2">
        <v>0.48185</v>
      </c>
      <c r="C15" s="1">
        <f>Tabela7[[#This Row],[Alongamento (mm/mm)]]/$I$2</f>
        <v>9.6369999999999997E-3</v>
      </c>
      <c r="D15" s="2">
        <v>3.2319</v>
      </c>
      <c r="E15" s="1">
        <f>Tabela7[[#This Row],[Força (N)]]/$I$5</f>
        <v>75933.218051613629</v>
      </c>
      <c r="F15" s="1">
        <f>Tabela7[[#This Row],[Tensão (Pa)]]/1000000</f>
        <v>7.5933218051613627E-2</v>
      </c>
    </row>
    <row r="16" spans="1:11" x14ac:dyDescent="0.3">
      <c r="A16" s="2">
        <v>5.9166999999999996</v>
      </c>
      <c r="B16" s="2">
        <v>0.48604000000000003</v>
      </c>
      <c r="C16" s="1">
        <f>Tabela7[[#This Row],[Alongamento (mm/mm)]]/$I$2</f>
        <v>9.7207999999999999E-3</v>
      </c>
      <c r="D16" s="2">
        <v>3.2319</v>
      </c>
      <c r="E16" s="1">
        <f>Tabela7[[#This Row],[Força (N)]]/$I$5</f>
        <v>75933.218051613629</v>
      </c>
      <c r="F16" s="1">
        <f>Tabela7[[#This Row],[Tensão (Pa)]]/1000000</f>
        <v>7.5933218051613627E-2</v>
      </c>
    </row>
    <row r="17" spans="1:6" x14ac:dyDescent="0.3">
      <c r="A17" s="2">
        <v>5.9667000000000003</v>
      </c>
      <c r="B17" s="2">
        <v>0.49023</v>
      </c>
      <c r="C17" s="1">
        <f>Tabela7[[#This Row],[Alongamento (mm/mm)]]/$I$2</f>
        <v>9.8046000000000001E-3</v>
      </c>
      <c r="D17" s="2">
        <v>3.2319</v>
      </c>
      <c r="E17" s="1">
        <f>Tabela7[[#This Row],[Força (N)]]/$I$5</f>
        <v>75933.218051613629</v>
      </c>
      <c r="F17" s="1">
        <f>Tabela7[[#This Row],[Tensão (Pa)]]/1000000</f>
        <v>7.5933218051613627E-2</v>
      </c>
    </row>
    <row r="18" spans="1:6" x14ac:dyDescent="0.3">
      <c r="A18" s="2">
        <v>6.0167000000000002</v>
      </c>
      <c r="B18" s="2">
        <v>0.49442000000000003</v>
      </c>
      <c r="C18" s="1">
        <f>Tabela7[[#This Row],[Alongamento (mm/mm)]]/$I$2</f>
        <v>9.8884000000000003E-3</v>
      </c>
      <c r="D18" s="2">
        <v>3.2319</v>
      </c>
      <c r="E18" s="1">
        <f>Tabela7[[#This Row],[Força (N)]]/$I$5</f>
        <v>75933.218051613629</v>
      </c>
      <c r="F18" s="1">
        <f>Tabela7[[#This Row],[Tensão (Pa)]]/1000000</f>
        <v>7.5933218051613627E-2</v>
      </c>
    </row>
    <row r="19" spans="1:6" x14ac:dyDescent="0.3">
      <c r="A19" s="2">
        <v>6.0667</v>
      </c>
      <c r="B19" s="2">
        <v>0.49859999999999999</v>
      </c>
      <c r="C19" s="1">
        <f>Tabela7[[#This Row],[Alongamento (mm/mm)]]/$I$2</f>
        <v>9.972E-3</v>
      </c>
      <c r="D19" s="2">
        <v>3.2319</v>
      </c>
      <c r="E19" s="1">
        <f>Tabela7[[#This Row],[Força (N)]]/$I$5</f>
        <v>75933.218051613629</v>
      </c>
      <c r="F19" s="1">
        <f>Tabela7[[#This Row],[Tensão (Pa)]]/1000000</f>
        <v>7.5933218051613627E-2</v>
      </c>
    </row>
    <row r="20" spans="1:6" x14ac:dyDescent="0.3">
      <c r="A20" s="2">
        <v>6.1166999999999998</v>
      </c>
      <c r="B20" s="2">
        <v>0.50261</v>
      </c>
      <c r="C20" s="1">
        <f>Tabela7[[#This Row],[Alongamento (mm/mm)]]/$I$2</f>
        <v>1.0052200000000001E-2</v>
      </c>
      <c r="D20" s="2">
        <v>3.2319</v>
      </c>
      <c r="E20" s="1">
        <f>Tabela7[[#This Row],[Força (N)]]/$I$5</f>
        <v>75933.218051613629</v>
      </c>
      <c r="F20" s="1">
        <f>Tabela7[[#This Row],[Tensão (Pa)]]/1000000</f>
        <v>7.5933218051613627E-2</v>
      </c>
    </row>
    <row r="21" spans="1:6" x14ac:dyDescent="0.3">
      <c r="A21" s="2">
        <v>6.1666999999999996</v>
      </c>
      <c r="B21" s="2">
        <v>0.50688999999999995</v>
      </c>
      <c r="C21" s="1">
        <f>Tabela7[[#This Row],[Alongamento (mm/mm)]]/$I$2</f>
        <v>1.0137799999999999E-2</v>
      </c>
      <c r="D21" s="2">
        <v>3.2319</v>
      </c>
      <c r="E21" s="1">
        <f>Tabela7[[#This Row],[Força (N)]]/$I$5</f>
        <v>75933.218051613629</v>
      </c>
      <c r="F21" s="1">
        <f>Tabela7[[#This Row],[Tensão (Pa)]]/1000000</f>
        <v>7.5933218051613627E-2</v>
      </c>
    </row>
    <row r="22" spans="1:6" x14ac:dyDescent="0.3">
      <c r="A22" s="2">
        <v>6.2167000000000003</v>
      </c>
      <c r="B22" s="2">
        <v>0.51107000000000002</v>
      </c>
      <c r="C22" s="1">
        <f>Tabela7[[#This Row],[Alongamento (mm/mm)]]/$I$2</f>
        <v>1.02214E-2</v>
      </c>
      <c r="D22" s="2">
        <v>3.2319</v>
      </c>
      <c r="E22" s="1">
        <f>Tabela7[[#This Row],[Força (N)]]/$I$5</f>
        <v>75933.218051613629</v>
      </c>
      <c r="F22" s="1">
        <f>Tabela7[[#This Row],[Tensão (Pa)]]/1000000</f>
        <v>7.5933218051613627E-2</v>
      </c>
    </row>
    <row r="23" spans="1:6" x14ac:dyDescent="0.3">
      <c r="A23" s="2">
        <v>6.2667000000000002</v>
      </c>
      <c r="B23" s="2">
        <v>0.51526000000000005</v>
      </c>
      <c r="C23" s="1">
        <f>Tabela7[[#This Row],[Alongamento (mm/mm)]]/$I$2</f>
        <v>1.03052E-2</v>
      </c>
      <c r="D23" s="2">
        <v>3.2319</v>
      </c>
      <c r="E23" s="1">
        <f>Tabela7[[#This Row],[Força (N)]]/$I$5</f>
        <v>75933.218051613629</v>
      </c>
      <c r="F23" s="1">
        <f>Tabela7[[#This Row],[Tensão (Pa)]]/1000000</f>
        <v>7.5933218051613627E-2</v>
      </c>
    </row>
    <row r="24" spans="1:6" x14ac:dyDescent="0.3">
      <c r="A24" s="2">
        <v>6.3167</v>
      </c>
      <c r="B24" s="2">
        <v>0.51936000000000004</v>
      </c>
      <c r="C24" s="1">
        <f>Tabela7[[#This Row],[Alongamento (mm/mm)]]/$I$2</f>
        <v>1.0387200000000001E-2</v>
      </c>
      <c r="D24" s="2">
        <v>3.4020000000000001</v>
      </c>
      <c r="E24" s="1">
        <f>Tabela7[[#This Row],[Força (N)]]/$I$5</f>
        <v>79929.703212224878</v>
      </c>
      <c r="F24" s="1">
        <f>Tabela7[[#This Row],[Tensão (Pa)]]/1000000</f>
        <v>7.9929703212224881E-2</v>
      </c>
    </row>
    <row r="25" spans="1:6" x14ac:dyDescent="0.3">
      <c r="A25" s="2">
        <v>6.3666999999999998</v>
      </c>
      <c r="B25" s="2">
        <v>0.52354000000000001</v>
      </c>
      <c r="C25" s="1">
        <f>Tabela7[[#This Row],[Alongamento (mm/mm)]]/$I$2</f>
        <v>1.0470800000000001E-2</v>
      </c>
      <c r="D25" s="2">
        <v>3.2319</v>
      </c>
      <c r="E25" s="1">
        <f>Tabela7[[#This Row],[Força (N)]]/$I$5</f>
        <v>75933.218051613629</v>
      </c>
      <c r="F25" s="1">
        <f>Tabela7[[#This Row],[Tensão (Pa)]]/1000000</f>
        <v>7.5933218051613627E-2</v>
      </c>
    </row>
    <row r="26" spans="1:6" x14ac:dyDescent="0.3">
      <c r="A26" s="2">
        <v>6.4166999999999996</v>
      </c>
      <c r="B26" s="2">
        <v>0.52773000000000003</v>
      </c>
      <c r="C26" s="1">
        <f>Tabela7[[#This Row],[Alongamento (mm/mm)]]/$I$2</f>
        <v>1.0554600000000001E-2</v>
      </c>
      <c r="D26" s="2">
        <v>3.2319</v>
      </c>
      <c r="E26" s="1">
        <f>Tabela7[[#This Row],[Força (N)]]/$I$5</f>
        <v>75933.218051613629</v>
      </c>
      <c r="F26" s="1">
        <f>Tabela7[[#This Row],[Tensão (Pa)]]/1000000</f>
        <v>7.5933218051613627E-2</v>
      </c>
    </row>
    <row r="27" spans="1:6" x14ac:dyDescent="0.3">
      <c r="A27" s="2">
        <v>6.4667000000000003</v>
      </c>
      <c r="B27" s="2">
        <v>0.53191999999999995</v>
      </c>
      <c r="C27" s="1">
        <f>Tabela7[[#This Row],[Alongamento (mm/mm)]]/$I$2</f>
        <v>1.0638399999999999E-2</v>
      </c>
      <c r="D27" s="2">
        <v>3.2319</v>
      </c>
      <c r="E27" s="1">
        <f>Tabela7[[#This Row],[Força (N)]]/$I$5</f>
        <v>75933.218051613629</v>
      </c>
      <c r="F27" s="1">
        <f>Tabela7[[#This Row],[Tensão (Pa)]]/1000000</f>
        <v>7.5933218051613627E-2</v>
      </c>
    </row>
    <row r="28" spans="1:6" x14ac:dyDescent="0.3">
      <c r="A28" s="2">
        <v>6.5167000000000002</v>
      </c>
      <c r="B28" s="2">
        <v>0.53600999999999999</v>
      </c>
      <c r="C28" s="1">
        <f>Tabela7[[#This Row],[Alongamento (mm/mm)]]/$I$2</f>
        <v>1.0720199999999999E-2</v>
      </c>
      <c r="D28" s="2">
        <v>3.2319</v>
      </c>
      <c r="E28" s="1">
        <f>Tabela7[[#This Row],[Força (N)]]/$I$5</f>
        <v>75933.218051613629</v>
      </c>
      <c r="F28" s="1">
        <f>Tabela7[[#This Row],[Tensão (Pa)]]/1000000</f>
        <v>7.5933218051613627E-2</v>
      </c>
    </row>
    <row r="29" spans="1:6" x14ac:dyDescent="0.3">
      <c r="A29" s="2">
        <v>6.5667</v>
      </c>
      <c r="B29" s="2">
        <v>0.54020000000000001</v>
      </c>
      <c r="C29" s="1">
        <f>Tabela7[[#This Row],[Alongamento (mm/mm)]]/$I$2</f>
        <v>1.0804000000000001E-2</v>
      </c>
      <c r="D29" s="2">
        <v>3.2319</v>
      </c>
      <c r="E29" s="1">
        <f>Tabela7[[#This Row],[Força (N)]]/$I$5</f>
        <v>75933.218051613629</v>
      </c>
      <c r="F29" s="1">
        <f>Tabela7[[#This Row],[Tensão (Pa)]]/1000000</f>
        <v>7.5933218051613627E-2</v>
      </c>
    </row>
    <row r="30" spans="1:6" x14ac:dyDescent="0.3">
      <c r="A30" s="2">
        <v>6.6166999999999998</v>
      </c>
      <c r="B30" s="2">
        <v>0.54439000000000004</v>
      </c>
      <c r="C30" s="1">
        <f>Tabela7[[#This Row],[Alongamento (mm/mm)]]/$I$2</f>
        <v>1.0887800000000001E-2</v>
      </c>
      <c r="D30" s="2">
        <v>3.2319</v>
      </c>
      <c r="E30" s="1">
        <f>Tabela7[[#This Row],[Força (N)]]/$I$5</f>
        <v>75933.218051613629</v>
      </c>
      <c r="F30" s="1">
        <f>Tabela7[[#This Row],[Tensão (Pa)]]/1000000</f>
        <v>7.5933218051613627E-2</v>
      </c>
    </row>
    <row r="31" spans="1:6" x14ac:dyDescent="0.3">
      <c r="A31" s="2">
        <v>6.6833</v>
      </c>
      <c r="B31" s="2">
        <v>0.54988000000000004</v>
      </c>
      <c r="C31" s="1">
        <f>Tabela7[[#This Row],[Alongamento (mm/mm)]]/$I$2</f>
        <v>1.0997600000000001E-2</v>
      </c>
      <c r="D31" s="2">
        <v>3.2319</v>
      </c>
      <c r="E31" s="1">
        <f>Tabela7[[#This Row],[Força (N)]]/$I$5</f>
        <v>75933.218051613629</v>
      </c>
      <c r="F31" s="1">
        <f>Tabela7[[#This Row],[Tensão (Pa)]]/1000000</f>
        <v>7.5933218051613627E-2</v>
      </c>
    </row>
    <row r="32" spans="1:6" x14ac:dyDescent="0.3">
      <c r="A32" s="2">
        <v>6.75</v>
      </c>
      <c r="B32" s="2">
        <v>0.55545999999999995</v>
      </c>
      <c r="C32" s="1">
        <f>Tabela7[[#This Row],[Alongamento (mm/mm)]]/$I$2</f>
        <v>1.11092E-2</v>
      </c>
      <c r="D32" s="2">
        <v>3.2319</v>
      </c>
      <c r="E32" s="1">
        <f>Tabela7[[#This Row],[Força (N)]]/$I$5</f>
        <v>75933.218051613629</v>
      </c>
      <c r="F32" s="1">
        <f>Tabela7[[#This Row],[Tensão (Pa)]]/1000000</f>
        <v>7.5933218051613627E-2</v>
      </c>
    </row>
    <row r="33" spans="1:6" x14ac:dyDescent="0.3">
      <c r="A33" s="2">
        <v>6.8167</v>
      </c>
      <c r="B33" s="2">
        <v>0.56105000000000005</v>
      </c>
      <c r="C33" s="1">
        <f>Tabela7[[#This Row],[Alongamento (mm/mm)]]/$I$2</f>
        <v>1.1221000000000002E-2</v>
      </c>
      <c r="D33" s="2">
        <v>3.2319</v>
      </c>
      <c r="E33" s="1">
        <f>Tabela7[[#This Row],[Força (N)]]/$I$5</f>
        <v>75933.218051613629</v>
      </c>
      <c r="F33" s="1">
        <f>Tabela7[[#This Row],[Tensão (Pa)]]/1000000</f>
        <v>7.5933218051613627E-2</v>
      </c>
    </row>
    <row r="34" spans="1:6" x14ac:dyDescent="0.3">
      <c r="A34" s="2">
        <v>6.8833000000000002</v>
      </c>
      <c r="B34" s="2">
        <v>0.56662999999999997</v>
      </c>
      <c r="C34" s="1">
        <f>Tabela7[[#This Row],[Alongamento (mm/mm)]]/$I$2</f>
        <v>1.13326E-2</v>
      </c>
      <c r="D34" s="2">
        <v>3.4020000000000001</v>
      </c>
      <c r="E34" s="1">
        <f>Tabela7[[#This Row],[Força (N)]]/$I$5</f>
        <v>79929.703212224878</v>
      </c>
      <c r="F34" s="1">
        <f>Tabela7[[#This Row],[Tensão (Pa)]]/1000000</f>
        <v>7.9929703212224881E-2</v>
      </c>
    </row>
    <row r="35" spans="1:6" x14ac:dyDescent="0.3">
      <c r="A35" s="2">
        <v>6.95</v>
      </c>
      <c r="B35" s="2">
        <v>0.57211999999999996</v>
      </c>
      <c r="C35" s="1">
        <f>Tabela7[[#This Row],[Alongamento (mm/mm)]]/$I$2</f>
        <v>1.1442399999999998E-2</v>
      </c>
      <c r="D35" s="2">
        <v>3.2319</v>
      </c>
      <c r="E35" s="1">
        <f>Tabela7[[#This Row],[Força (N)]]/$I$5</f>
        <v>75933.218051613629</v>
      </c>
      <c r="F35" s="1">
        <f>Tabela7[[#This Row],[Tensão (Pa)]]/1000000</f>
        <v>7.5933218051613627E-2</v>
      </c>
    </row>
    <row r="36" spans="1:6" x14ac:dyDescent="0.3">
      <c r="A36" s="2">
        <v>7.0167000000000002</v>
      </c>
      <c r="B36" s="2">
        <v>0.57769999999999999</v>
      </c>
      <c r="C36" s="1">
        <f>Tabela7[[#This Row],[Alongamento (mm/mm)]]/$I$2</f>
        <v>1.1554E-2</v>
      </c>
      <c r="D36" s="2">
        <v>3.2319</v>
      </c>
      <c r="E36" s="1">
        <f>Tabela7[[#This Row],[Força (N)]]/$I$5</f>
        <v>75933.218051613629</v>
      </c>
      <c r="F36" s="1">
        <f>Tabela7[[#This Row],[Tensão (Pa)]]/1000000</f>
        <v>7.5933218051613627E-2</v>
      </c>
    </row>
    <row r="37" spans="1:6" x14ac:dyDescent="0.3">
      <c r="A37" s="2">
        <v>7.0833000000000004</v>
      </c>
      <c r="B37" s="2">
        <v>0.58328999999999998</v>
      </c>
      <c r="C37" s="1">
        <f>Tabela7[[#This Row],[Alongamento (mm/mm)]]/$I$2</f>
        <v>1.1665799999999999E-2</v>
      </c>
      <c r="D37" s="2">
        <v>3.2319</v>
      </c>
      <c r="E37" s="1">
        <f>Tabela7[[#This Row],[Força (N)]]/$I$5</f>
        <v>75933.218051613629</v>
      </c>
      <c r="F37" s="1">
        <f>Tabela7[[#This Row],[Tensão (Pa)]]/1000000</f>
        <v>7.5933218051613627E-2</v>
      </c>
    </row>
    <row r="38" spans="1:6" x14ac:dyDescent="0.3">
      <c r="A38" s="2">
        <v>7.15</v>
      </c>
      <c r="B38" s="2">
        <v>0.58887</v>
      </c>
      <c r="C38" s="1">
        <f>Tabela7[[#This Row],[Alongamento (mm/mm)]]/$I$2</f>
        <v>1.17774E-2</v>
      </c>
      <c r="D38" s="2">
        <v>3.4020000000000001</v>
      </c>
      <c r="E38" s="1">
        <f>Tabela7[[#This Row],[Força (N)]]/$I$5</f>
        <v>79929.703212224878</v>
      </c>
      <c r="F38" s="1">
        <f>Tabela7[[#This Row],[Tensão (Pa)]]/1000000</f>
        <v>7.9929703212224881E-2</v>
      </c>
    </row>
    <row r="39" spans="1:6" x14ac:dyDescent="0.3">
      <c r="A39" s="2">
        <v>7.2167000000000003</v>
      </c>
      <c r="B39" s="2">
        <v>0.59436</v>
      </c>
      <c r="C39" s="1">
        <f>Tabela7[[#This Row],[Alongamento (mm/mm)]]/$I$2</f>
        <v>1.1887200000000001E-2</v>
      </c>
      <c r="D39" s="2">
        <v>3.4020000000000001</v>
      </c>
      <c r="E39" s="1">
        <f>Tabela7[[#This Row],[Força (N)]]/$I$5</f>
        <v>79929.703212224878</v>
      </c>
      <c r="F39" s="1">
        <f>Tabela7[[#This Row],[Tensão (Pa)]]/1000000</f>
        <v>7.9929703212224881E-2</v>
      </c>
    </row>
    <row r="40" spans="1:6" x14ac:dyDescent="0.3">
      <c r="A40" s="2">
        <v>7.2832999999999997</v>
      </c>
      <c r="B40" s="2">
        <v>0.59994000000000003</v>
      </c>
      <c r="C40" s="1">
        <f>Tabela7[[#This Row],[Alongamento (mm/mm)]]/$I$2</f>
        <v>1.19988E-2</v>
      </c>
      <c r="D40" s="2">
        <v>3.4020000000000001</v>
      </c>
      <c r="E40" s="1">
        <f>Tabela7[[#This Row],[Força (N)]]/$I$5</f>
        <v>79929.703212224878</v>
      </c>
      <c r="F40" s="1">
        <f>Tabela7[[#This Row],[Tensão (Pa)]]/1000000</f>
        <v>7.9929703212224881E-2</v>
      </c>
    </row>
    <row r="41" spans="1:6" x14ac:dyDescent="0.3">
      <c r="A41" s="2">
        <v>7.35</v>
      </c>
      <c r="B41" s="2">
        <v>0.60543999999999998</v>
      </c>
      <c r="C41" s="1">
        <f>Tabela7[[#This Row],[Alongamento (mm/mm)]]/$I$2</f>
        <v>1.2108799999999999E-2</v>
      </c>
      <c r="D41" s="2">
        <v>3.4020000000000001</v>
      </c>
      <c r="E41" s="1">
        <f>Tabela7[[#This Row],[Força (N)]]/$I$5</f>
        <v>79929.703212224878</v>
      </c>
      <c r="F41" s="1">
        <f>Tabela7[[#This Row],[Tensão (Pa)]]/1000000</f>
        <v>7.9929703212224881E-2</v>
      </c>
    </row>
    <row r="42" spans="1:6" x14ac:dyDescent="0.3">
      <c r="A42" s="2">
        <v>7.4166999999999996</v>
      </c>
      <c r="B42" s="2">
        <v>0.61092999999999997</v>
      </c>
      <c r="C42" s="1">
        <f>Tabela7[[#This Row],[Alongamento (mm/mm)]]/$I$2</f>
        <v>1.22186E-2</v>
      </c>
      <c r="D42" s="2">
        <v>3.4020000000000001</v>
      </c>
      <c r="E42" s="1">
        <f>Tabela7[[#This Row],[Força (N)]]/$I$5</f>
        <v>79929.703212224878</v>
      </c>
      <c r="F42" s="1">
        <f>Tabela7[[#This Row],[Tensão (Pa)]]/1000000</f>
        <v>7.9929703212224881E-2</v>
      </c>
    </row>
    <row r="43" spans="1:6" x14ac:dyDescent="0.3">
      <c r="A43" s="2">
        <v>7.4832999999999998</v>
      </c>
      <c r="B43" s="2">
        <v>0.61660000000000004</v>
      </c>
      <c r="C43" s="1">
        <f>Tabela7[[#This Row],[Alongamento (mm/mm)]]/$I$2</f>
        <v>1.2332000000000001E-2</v>
      </c>
      <c r="D43" s="2">
        <v>3.4020000000000001</v>
      </c>
      <c r="E43" s="1">
        <f>Tabela7[[#This Row],[Força (N)]]/$I$5</f>
        <v>79929.703212224878</v>
      </c>
      <c r="F43" s="1">
        <f>Tabela7[[#This Row],[Tensão (Pa)]]/1000000</f>
        <v>7.9929703212224881E-2</v>
      </c>
    </row>
    <row r="44" spans="1:6" x14ac:dyDescent="0.3">
      <c r="A44" s="2">
        <v>7.55</v>
      </c>
      <c r="B44" s="2">
        <v>0.62209000000000003</v>
      </c>
      <c r="C44" s="1">
        <f>Tabela7[[#This Row],[Alongamento (mm/mm)]]/$I$2</f>
        <v>1.2441800000000001E-2</v>
      </c>
      <c r="D44" s="2">
        <v>3.4020000000000001</v>
      </c>
      <c r="E44" s="1">
        <f>Tabela7[[#This Row],[Força (N)]]/$I$5</f>
        <v>79929.703212224878</v>
      </c>
      <c r="F44" s="1">
        <f>Tabela7[[#This Row],[Tensão (Pa)]]/1000000</f>
        <v>7.9929703212224881E-2</v>
      </c>
    </row>
    <row r="45" spans="1:6" x14ac:dyDescent="0.3">
      <c r="A45" s="2">
        <v>7.6166999999999998</v>
      </c>
      <c r="B45" s="2">
        <v>0.62768000000000002</v>
      </c>
      <c r="C45" s="1">
        <f>Tabela7[[#This Row],[Alongamento (mm/mm)]]/$I$2</f>
        <v>1.25536E-2</v>
      </c>
      <c r="D45" s="2">
        <v>3.5720999999999998</v>
      </c>
      <c r="E45" s="1">
        <f>Tabela7[[#This Row],[Força (N)]]/$I$5</f>
        <v>83926.188372836114</v>
      </c>
      <c r="F45" s="1">
        <f>Tabela7[[#This Row],[Tensão (Pa)]]/1000000</f>
        <v>8.3926188372836108E-2</v>
      </c>
    </row>
    <row r="46" spans="1:6" x14ac:dyDescent="0.3">
      <c r="A46" s="2">
        <v>7.6833</v>
      </c>
      <c r="B46" s="2">
        <v>0.63326000000000005</v>
      </c>
      <c r="C46" s="1">
        <f>Tabela7[[#This Row],[Alongamento (mm/mm)]]/$I$2</f>
        <v>1.2665200000000001E-2</v>
      </c>
      <c r="D46" s="2">
        <v>3.5720999999999998</v>
      </c>
      <c r="E46" s="1">
        <f>Tabela7[[#This Row],[Força (N)]]/$I$5</f>
        <v>83926.188372836114</v>
      </c>
      <c r="F46" s="1">
        <f>Tabela7[[#This Row],[Tensão (Pa)]]/1000000</f>
        <v>8.3926188372836108E-2</v>
      </c>
    </row>
    <row r="47" spans="1:6" x14ac:dyDescent="0.3">
      <c r="A47" s="2">
        <v>7.75</v>
      </c>
      <c r="B47" s="2">
        <v>0.63883999999999996</v>
      </c>
      <c r="C47" s="1">
        <f>Tabela7[[#This Row],[Alongamento (mm/mm)]]/$I$2</f>
        <v>1.27768E-2</v>
      </c>
      <c r="D47" s="2">
        <v>3.5720999999999998</v>
      </c>
      <c r="E47" s="1">
        <f>Tabela7[[#This Row],[Força (N)]]/$I$5</f>
        <v>83926.188372836114</v>
      </c>
      <c r="F47" s="1">
        <f>Tabela7[[#This Row],[Tensão (Pa)]]/1000000</f>
        <v>8.3926188372836108E-2</v>
      </c>
    </row>
    <row r="48" spans="1:6" x14ac:dyDescent="0.3">
      <c r="A48" s="2">
        <v>7.8167</v>
      </c>
      <c r="B48" s="2">
        <v>0.64442999999999995</v>
      </c>
      <c r="C48" s="1">
        <f>Tabela7[[#This Row],[Alongamento (mm/mm)]]/$I$2</f>
        <v>1.2888599999999998E-2</v>
      </c>
      <c r="D48" s="2">
        <v>3.7422</v>
      </c>
      <c r="E48" s="1">
        <f>Tabela7[[#This Row],[Força (N)]]/$I$5</f>
        <v>87922.673533447363</v>
      </c>
      <c r="F48" s="1">
        <f>Tabela7[[#This Row],[Tensão (Pa)]]/1000000</f>
        <v>8.7922673533447362E-2</v>
      </c>
    </row>
    <row r="49" spans="1:6" x14ac:dyDescent="0.3">
      <c r="A49" s="2">
        <v>7.8833000000000002</v>
      </c>
      <c r="B49" s="2">
        <v>0.64992000000000005</v>
      </c>
      <c r="C49" s="1">
        <f>Tabela7[[#This Row],[Alongamento (mm/mm)]]/$I$2</f>
        <v>1.29984E-2</v>
      </c>
      <c r="D49" s="2">
        <v>3.7422</v>
      </c>
      <c r="E49" s="1">
        <f>Tabela7[[#This Row],[Força (N)]]/$I$5</f>
        <v>87922.673533447363</v>
      </c>
      <c r="F49" s="1">
        <f>Tabela7[[#This Row],[Tensão (Pa)]]/1000000</f>
        <v>8.7922673533447362E-2</v>
      </c>
    </row>
    <row r="50" spans="1:6" x14ac:dyDescent="0.3">
      <c r="A50" s="2">
        <v>7.95</v>
      </c>
      <c r="B50" s="2">
        <v>0.65549999999999997</v>
      </c>
      <c r="C50" s="1">
        <f>Tabela7[[#This Row],[Alongamento (mm/mm)]]/$I$2</f>
        <v>1.311E-2</v>
      </c>
      <c r="D50" s="2">
        <v>3.9123000000000001</v>
      </c>
      <c r="E50" s="1">
        <f>Tabela7[[#This Row],[Força (N)]]/$I$5</f>
        <v>91919.158694058613</v>
      </c>
      <c r="F50" s="1">
        <f>Tabela7[[#This Row],[Tensão (Pa)]]/1000000</f>
        <v>9.1919158694058617E-2</v>
      </c>
    </row>
    <row r="51" spans="1:6" x14ac:dyDescent="0.3">
      <c r="A51" s="2">
        <v>8.0167000000000002</v>
      </c>
      <c r="B51" s="2">
        <v>0.66108</v>
      </c>
      <c r="C51" s="1">
        <f>Tabela7[[#This Row],[Alongamento (mm/mm)]]/$I$2</f>
        <v>1.32216E-2</v>
      </c>
      <c r="D51" s="2">
        <v>4.0823999999999998</v>
      </c>
      <c r="E51" s="1">
        <f>Tabela7[[#This Row],[Força (N)]]/$I$5</f>
        <v>95915.643854669848</v>
      </c>
      <c r="F51" s="1">
        <f>Tabela7[[#This Row],[Tensão (Pa)]]/1000000</f>
        <v>9.5915643854669844E-2</v>
      </c>
    </row>
    <row r="52" spans="1:6" x14ac:dyDescent="0.3">
      <c r="A52" s="2">
        <v>8.0832999999999995</v>
      </c>
      <c r="B52" s="2">
        <v>0.66666999999999998</v>
      </c>
      <c r="C52" s="1">
        <f>Tabela7[[#This Row],[Alongamento (mm/mm)]]/$I$2</f>
        <v>1.33334E-2</v>
      </c>
      <c r="D52" s="2">
        <v>4.2525000000000004</v>
      </c>
      <c r="E52" s="1">
        <f>Tabela7[[#This Row],[Força (N)]]/$I$5</f>
        <v>99912.129015281113</v>
      </c>
      <c r="F52" s="1">
        <f>Tabela7[[#This Row],[Tensão (Pa)]]/1000000</f>
        <v>9.9912129015281112E-2</v>
      </c>
    </row>
    <row r="53" spans="1:6" x14ac:dyDescent="0.3">
      <c r="A53" s="2">
        <v>8.15</v>
      </c>
      <c r="B53" s="2">
        <v>0.67215999999999998</v>
      </c>
      <c r="C53" s="1">
        <f>Tabela7[[#This Row],[Alongamento (mm/mm)]]/$I$2</f>
        <v>1.3443199999999999E-2</v>
      </c>
      <c r="D53" s="2">
        <v>4.2525000000000004</v>
      </c>
      <c r="E53" s="1">
        <f>Tabela7[[#This Row],[Força (N)]]/$I$5</f>
        <v>99912.129015281113</v>
      </c>
      <c r="F53" s="1">
        <f>Tabela7[[#This Row],[Tensão (Pa)]]/1000000</f>
        <v>9.9912129015281112E-2</v>
      </c>
    </row>
    <row r="54" spans="1:6" x14ac:dyDescent="0.3">
      <c r="A54" s="2">
        <v>8.2166999999999994</v>
      </c>
      <c r="B54" s="2">
        <v>0.67774000000000001</v>
      </c>
      <c r="C54" s="1">
        <f>Tabela7[[#This Row],[Alongamento (mm/mm)]]/$I$2</f>
        <v>1.3554800000000001E-2</v>
      </c>
      <c r="D54" s="2">
        <v>4.4226000000000001</v>
      </c>
      <c r="E54" s="1">
        <f>Tabela7[[#This Row],[Força (N)]]/$I$5</f>
        <v>103908.61417589235</v>
      </c>
      <c r="F54" s="1">
        <f>Tabela7[[#This Row],[Tensão (Pa)]]/1000000</f>
        <v>0.10390861417589235</v>
      </c>
    </row>
    <row r="55" spans="1:6" x14ac:dyDescent="0.3">
      <c r="A55" s="2">
        <v>8.2833000000000006</v>
      </c>
      <c r="B55" s="2">
        <v>0.68323</v>
      </c>
      <c r="C55" s="1">
        <f>Tabela7[[#This Row],[Alongamento (mm/mm)]]/$I$2</f>
        <v>1.3664600000000001E-2</v>
      </c>
      <c r="D55" s="2">
        <v>4.5926999999999998</v>
      </c>
      <c r="E55" s="1">
        <f>Tabela7[[#This Row],[Força (N)]]/$I$5</f>
        <v>107905.09933650358</v>
      </c>
      <c r="F55" s="1">
        <f>Tabela7[[#This Row],[Tensão (Pa)]]/1000000</f>
        <v>0.10790509933650358</v>
      </c>
    </row>
    <row r="56" spans="1:6" x14ac:dyDescent="0.3">
      <c r="A56" s="2">
        <v>8.35</v>
      </c>
      <c r="B56" s="2">
        <v>0.68872</v>
      </c>
      <c r="C56" s="1">
        <f>Tabela7[[#This Row],[Alongamento (mm/mm)]]/$I$2</f>
        <v>1.3774399999999999E-2</v>
      </c>
      <c r="D56" s="2">
        <v>4.7628000000000004</v>
      </c>
      <c r="E56" s="1">
        <f>Tabela7[[#This Row],[Força (N)]]/$I$5</f>
        <v>111901.58449711483</v>
      </c>
      <c r="F56" s="1">
        <f>Tabela7[[#This Row],[Tensão (Pa)]]/1000000</f>
        <v>0.11190158449711483</v>
      </c>
    </row>
    <row r="57" spans="1:6" x14ac:dyDescent="0.3">
      <c r="A57" s="2">
        <v>8.4167000000000005</v>
      </c>
      <c r="B57" s="2">
        <v>0.69440000000000002</v>
      </c>
      <c r="C57" s="1">
        <f>Tabela7[[#This Row],[Alongamento (mm/mm)]]/$I$2</f>
        <v>1.3888000000000001E-2</v>
      </c>
      <c r="D57" s="2">
        <v>4.9329000000000001</v>
      </c>
      <c r="E57" s="1">
        <f>Tabela7[[#This Row],[Força (N)]]/$I$5</f>
        <v>115898.06965772608</v>
      </c>
      <c r="F57" s="1">
        <f>Tabela7[[#This Row],[Tensão (Pa)]]/1000000</f>
        <v>0.11589806965772609</v>
      </c>
    </row>
    <row r="58" spans="1:6" x14ac:dyDescent="0.3">
      <c r="A58" s="2">
        <v>8.4832999999999998</v>
      </c>
      <c r="B58" s="2">
        <v>0.69989000000000001</v>
      </c>
      <c r="C58" s="1">
        <f>Tabela7[[#This Row],[Alongamento (mm/mm)]]/$I$2</f>
        <v>1.3997799999999999E-2</v>
      </c>
      <c r="D58" s="2">
        <v>5.1029999999999998</v>
      </c>
      <c r="E58" s="1">
        <f>Tabela7[[#This Row],[Força (N)]]/$I$5</f>
        <v>119894.55481833732</v>
      </c>
      <c r="F58" s="1">
        <f>Tabela7[[#This Row],[Tensão (Pa)]]/1000000</f>
        <v>0.11989455481833731</v>
      </c>
    </row>
    <row r="59" spans="1:6" x14ac:dyDescent="0.3">
      <c r="A59" s="2">
        <v>8.5500000000000007</v>
      </c>
      <c r="B59" s="2">
        <v>0.70547000000000004</v>
      </c>
      <c r="C59" s="1">
        <f>Tabela7[[#This Row],[Alongamento (mm/mm)]]/$I$2</f>
        <v>1.4109400000000001E-2</v>
      </c>
      <c r="D59" s="2">
        <v>5.2731000000000003</v>
      </c>
      <c r="E59" s="1">
        <f>Tabela7[[#This Row],[Força (N)]]/$I$5</f>
        <v>123891.03997894857</v>
      </c>
      <c r="F59" s="1">
        <f>Tabela7[[#This Row],[Tensão (Pa)]]/1000000</f>
        <v>0.12389103997894857</v>
      </c>
    </row>
    <row r="60" spans="1:6" x14ac:dyDescent="0.3">
      <c r="A60" s="2">
        <v>8.6166999999999998</v>
      </c>
      <c r="B60" s="2">
        <v>0.71106000000000003</v>
      </c>
      <c r="C60" s="1">
        <f>Tabela7[[#This Row],[Alongamento (mm/mm)]]/$I$2</f>
        <v>1.42212E-2</v>
      </c>
      <c r="D60" s="2">
        <v>5.4432</v>
      </c>
      <c r="E60" s="1">
        <f>Tabela7[[#This Row],[Força (N)]]/$I$5</f>
        <v>127887.5251395598</v>
      </c>
      <c r="F60" s="1">
        <f>Tabela7[[#This Row],[Tensão (Pa)]]/1000000</f>
        <v>0.12788752513955981</v>
      </c>
    </row>
    <row r="61" spans="1:6" x14ac:dyDescent="0.3">
      <c r="A61" s="2">
        <v>8.6832999999999991</v>
      </c>
      <c r="B61" s="2">
        <v>0.71664000000000005</v>
      </c>
      <c r="C61" s="1">
        <f>Tabela7[[#This Row],[Alongamento (mm/mm)]]/$I$2</f>
        <v>1.4332800000000001E-2</v>
      </c>
      <c r="D61" s="2">
        <v>5.6132999999999997</v>
      </c>
      <c r="E61" s="1">
        <f>Tabela7[[#This Row],[Força (N)]]/$I$5</f>
        <v>131884.01030017104</v>
      </c>
      <c r="F61" s="1">
        <f>Tabela7[[#This Row],[Tensão (Pa)]]/1000000</f>
        <v>0.13188401030017105</v>
      </c>
    </row>
    <row r="62" spans="1:6" x14ac:dyDescent="0.3">
      <c r="A62" s="2">
        <v>8.7667000000000002</v>
      </c>
      <c r="B62" s="2">
        <v>0.72353000000000001</v>
      </c>
      <c r="C62" s="1">
        <f>Tabela7[[#This Row],[Alongamento (mm/mm)]]/$I$2</f>
        <v>1.44706E-2</v>
      </c>
      <c r="D62" s="2">
        <v>5.7834000000000003</v>
      </c>
      <c r="E62" s="1">
        <f>Tabela7[[#This Row],[Força (N)]]/$I$5</f>
        <v>135880.49546078229</v>
      </c>
      <c r="F62" s="1">
        <f>Tabela7[[#This Row],[Tensão (Pa)]]/1000000</f>
        <v>0.13588049546078229</v>
      </c>
    </row>
    <row r="63" spans="1:6" x14ac:dyDescent="0.3">
      <c r="A63" s="2">
        <v>8.8332999999999995</v>
      </c>
      <c r="B63" s="2">
        <v>0.72911000000000004</v>
      </c>
      <c r="C63" s="1">
        <f>Tabela7[[#This Row],[Alongamento (mm/mm)]]/$I$2</f>
        <v>1.45822E-2</v>
      </c>
      <c r="D63" s="2">
        <v>6.1235999999999997</v>
      </c>
      <c r="E63" s="1">
        <f>Tabela7[[#This Row],[Força (N)]]/$I$5</f>
        <v>143873.46578200479</v>
      </c>
      <c r="F63" s="1">
        <f>Tabela7[[#This Row],[Tensão (Pa)]]/1000000</f>
        <v>0.1438734657820048</v>
      </c>
    </row>
    <row r="64" spans="1:6" x14ac:dyDescent="0.3">
      <c r="A64" s="2">
        <v>8.9167000000000005</v>
      </c>
      <c r="B64" s="2">
        <v>0.73599999999999999</v>
      </c>
      <c r="C64" s="1">
        <f>Tabela7[[#This Row],[Alongamento (mm/mm)]]/$I$2</f>
        <v>1.472E-2</v>
      </c>
      <c r="D64" s="2">
        <v>6.4638</v>
      </c>
      <c r="E64" s="1">
        <f>Tabela7[[#This Row],[Força (N)]]/$I$5</f>
        <v>151866.43610322726</v>
      </c>
      <c r="F64" s="1">
        <f>Tabela7[[#This Row],[Tensão (Pa)]]/1000000</f>
        <v>0.15186643610322725</v>
      </c>
    </row>
    <row r="65" spans="1:6" x14ac:dyDescent="0.3">
      <c r="A65" s="2">
        <v>9</v>
      </c>
      <c r="B65" s="2">
        <v>0.74297999999999997</v>
      </c>
      <c r="C65" s="1">
        <f>Tabela7[[#This Row],[Alongamento (mm/mm)]]/$I$2</f>
        <v>1.4859599999999999E-2</v>
      </c>
      <c r="D65" s="2">
        <v>6.4638</v>
      </c>
      <c r="E65" s="1">
        <f>Tabela7[[#This Row],[Força (N)]]/$I$5</f>
        <v>151866.43610322726</v>
      </c>
      <c r="F65" s="1">
        <f>Tabela7[[#This Row],[Tensão (Pa)]]/1000000</f>
        <v>0.15186643610322725</v>
      </c>
    </row>
    <row r="66" spans="1:6" x14ac:dyDescent="0.3">
      <c r="A66" s="2">
        <v>9.0832999999999995</v>
      </c>
      <c r="B66" s="2">
        <v>0.74985999999999997</v>
      </c>
      <c r="C66" s="1">
        <f>Tabela7[[#This Row],[Alongamento (mm/mm)]]/$I$2</f>
        <v>1.4997199999999999E-2</v>
      </c>
      <c r="D66" s="2">
        <v>6.6338999999999997</v>
      </c>
      <c r="E66" s="1">
        <f>Tabela7[[#This Row],[Força (N)]]/$I$5</f>
        <v>155862.92126383851</v>
      </c>
      <c r="F66" s="1">
        <f>Tabela7[[#This Row],[Tensão (Pa)]]/1000000</f>
        <v>0.15586292126383849</v>
      </c>
    </row>
    <row r="67" spans="1:6" x14ac:dyDescent="0.3">
      <c r="A67" s="2">
        <v>9.1667000000000005</v>
      </c>
      <c r="B67" s="2">
        <v>0.75683999999999996</v>
      </c>
      <c r="C67" s="1">
        <f>Tabela7[[#This Row],[Alongamento (mm/mm)]]/$I$2</f>
        <v>1.5136799999999999E-2</v>
      </c>
      <c r="D67" s="2">
        <v>6.8040000000000003</v>
      </c>
      <c r="E67" s="1">
        <f>Tabela7[[#This Row],[Força (N)]]/$I$5</f>
        <v>159859.40642444976</v>
      </c>
      <c r="F67" s="1">
        <f>Tabela7[[#This Row],[Tensão (Pa)]]/1000000</f>
        <v>0.15985940642444976</v>
      </c>
    </row>
    <row r="68" spans="1:6" x14ac:dyDescent="0.3">
      <c r="A68" s="2">
        <v>9.25</v>
      </c>
      <c r="B68" s="2">
        <v>0.76382000000000005</v>
      </c>
      <c r="C68" s="1">
        <f>Tabela7[[#This Row],[Alongamento (mm/mm)]]/$I$2</f>
        <v>1.5276400000000001E-2</v>
      </c>
      <c r="D68" s="2">
        <v>6.9741</v>
      </c>
      <c r="E68" s="1">
        <f>Tabela7[[#This Row],[Força (N)]]/$I$5</f>
        <v>163855.89158506101</v>
      </c>
      <c r="F68" s="1">
        <f>Tabela7[[#This Row],[Tensão (Pa)]]/1000000</f>
        <v>0.163855891585061</v>
      </c>
    </row>
    <row r="69" spans="1:6" x14ac:dyDescent="0.3">
      <c r="A69" s="2">
        <v>9.3332999999999995</v>
      </c>
      <c r="B69" s="2">
        <v>0.77080000000000004</v>
      </c>
      <c r="C69" s="1">
        <f>Tabela7[[#This Row],[Alongamento (mm/mm)]]/$I$2</f>
        <v>1.5416000000000001E-2</v>
      </c>
      <c r="D69" s="2">
        <v>7.3141999999999996</v>
      </c>
      <c r="E69" s="1">
        <f>Tabela7[[#This Row],[Força (N)]]/$I$5</f>
        <v>171846.51241471345</v>
      </c>
      <c r="F69" s="1">
        <f>Tabela7[[#This Row],[Tensão (Pa)]]/1000000</f>
        <v>0.17184651241471344</v>
      </c>
    </row>
    <row r="70" spans="1:6" x14ac:dyDescent="0.3">
      <c r="A70" s="2">
        <v>9.4167000000000005</v>
      </c>
      <c r="B70" s="2">
        <v>0.77768999999999999</v>
      </c>
      <c r="C70" s="1">
        <f>Tabela7[[#This Row],[Alongamento (mm/mm)]]/$I$2</f>
        <v>1.55538E-2</v>
      </c>
      <c r="D70" s="2">
        <v>7.6543999999999999</v>
      </c>
      <c r="E70" s="1">
        <f>Tabela7[[#This Row],[Força (N)]]/$I$5</f>
        <v>179839.48273593595</v>
      </c>
      <c r="F70" s="1">
        <f>Tabela7[[#This Row],[Tensão (Pa)]]/1000000</f>
        <v>0.17983948273593595</v>
      </c>
    </row>
    <row r="71" spans="1:6" x14ac:dyDescent="0.3">
      <c r="A71" s="2">
        <v>9.5</v>
      </c>
      <c r="B71" s="2">
        <v>0.78466999999999998</v>
      </c>
      <c r="C71" s="1">
        <f>Tabela7[[#This Row],[Alongamento (mm/mm)]]/$I$2</f>
        <v>1.56934E-2</v>
      </c>
      <c r="D71" s="2">
        <v>8.1646999999999998</v>
      </c>
      <c r="E71" s="1">
        <f>Tabela7[[#This Row],[Força (N)]]/$I$5</f>
        <v>191828.93821776967</v>
      </c>
      <c r="F71" s="1">
        <f>Tabela7[[#This Row],[Tensão (Pa)]]/1000000</f>
        <v>0.19182893821776967</v>
      </c>
    </row>
    <row r="72" spans="1:6" x14ac:dyDescent="0.3">
      <c r="A72" s="2">
        <v>9.5832999999999995</v>
      </c>
      <c r="B72" s="2">
        <v>0.79154999999999998</v>
      </c>
      <c r="C72" s="1">
        <f>Tabela7[[#This Row],[Alongamento (mm/mm)]]/$I$2</f>
        <v>1.5830999999999998E-2</v>
      </c>
      <c r="D72" s="2">
        <v>8.6750000000000007</v>
      </c>
      <c r="E72" s="1">
        <f>Tabela7[[#This Row],[Força (N)]]/$I$5</f>
        <v>203818.39369960345</v>
      </c>
      <c r="F72" s="1">
        <f>Tabela7[[#This Row],[Tensão (Pa)]]/1000000</f>
        <v>0.20381839369960345</v>
      </c>
    </row>
    <row r="73" spans="1:6" x14ac:dyDescent="0.3">
      <c r="A73" s="2">
        <v>9.6667000000000005</v>
      </c>
      <c r="B73" s="2">
        <v>0.79852999999999996</v>
      </c>
      <c r="C73" s="1">
        <f>Tabela7[[#This Row],[Alongamento (mm/mm)]]/$I$2</f>
        <v>1.5970599999999998E-2</v>
      </c>
      <c r="D73" s="2">
        <v>9.0152000000000001</v>
      </c>
      <c r="E73" s="1">
        <f>Tabela7[[#This Row],[Força (N)]]/$I$5</f>
        <v>211811.36402082592</v>
      </c>
      <c r="F73" s="1">
        <f>Tabela7[[#This Row],[Tensão (Pa)]]/1000000</f>
        <v>0.21181136402082593</v>
      </c>
    </row>
    <row r="74" spans="1:6" x14ac:dyDescent="0.3">
      <c r="A74" s="2">
        <v>9.75</v>
      </c>
      <c r="B74" s="2">
        <v>0.80550999999999995</v>
      </c>
      <c r="C74" s="1">
        <f>Tabela7[[#This Row],[Alongamento (mm/mm)]]/$I$2</f>
        <v>1.6110199999999998E-2</v>
      </c>
      <c r="D74" s="2">
        <v>9.1852999999999998</v>
      </c>
      <c r="E74" s="1">
        <f>Tabela7[[#This Row],[Força (N)]]/$I$5</f>
        <v>215807.84918143714</v>
      </c>
      <c r="F74" s="1">
        <f>Tabela7[[#This Row],[Tensão (Pa)]]/1000000</f>
        <v>0.21580784918143714</v>
      </c>
    </row>
    <row r="75" spans="1:6" x14ac:dyDescent="0.3">
      <c r="A75" s="2">
        <v>9.8332999999999995</v>
      </c>
      <c r="B75" s="2">
        <v>0.81240000000000001</v>
      </c>
      <c r="C75" s="1">
        <f>Tabela7[[#This Row],[Alongamento (mm/mm)]]/$I$2</f>
        <v>1.6247999999999999E-2</v>
      </c>
      <c r="D75" s="2">
        <v>9.8657000000000004</v>
      </c>
      <c r="E75" s="1">
        <f>Tabela7[[#This Row],[Força (N)]]/$I$5</f>
        <v>231793.78982388214</v>
      </c>
      <c r="F75" s="1">
        <f>Tabela7[[#This Row],[Tensão (Pa)]]/1000000</f>
        <v>0.23179378982388213</v>
      </c>
    </row>
    <row r="76" spans="1:6" x14ac:dyDescent="0.3">
      <c r="A76" s="2">
        <v>9.9167000000000005</v>
      </c>
      <c r="B76" s="2">
        <v>0.81947000000000003</v>
      </c>
      <c r="C76" s="1">
        <f>Tabela7[[#This Row],[Alongamento (mm/mm)]]/$I$2</f>
        <v>1.6389400000000002E-2</v>
      </c>
      <c r="D76" s="2">
        <v>10.206</v>
      </c>
      <c r="E76" s="1">
        <f>Tabela7[[#This Row],[Força (N)]]/$I$5</f>
        <v>239789.10963667464</v>
      </c>
      <c r="F76" s="1">
        <f>Tabela7[[#This Row],[Tensão (Pa)]]/1000000</f>
        <v>0.23978910963667463</v>
      </c>
    </row>
    <row r="77" spans="1:6" x14ac:dyDescent="0.3">
      <c r="A77" s="2">
        <v>10</v>
      </c>
      <c r="B77" s="2">
        <v>0.82635999999999998</v>
      </c>
      <c r="C77" s="1">
        <f>Tabela7[[#This Row],[Alongamento (mm/mm)]]/$I$2</f>
        <v>1.6527199999999999E-2</v>
      </c>
      <c r="D77" s="2">
        <v>10.545999999999999</v>
      </c>
      <c r="E77" s="1">
        <f>Tabela7[[#This Row],[Força (N)]]/$I$5</f>
        <v>247777.38097475705</v>
      </c>
      <c r="F77" s="1">
        <f>Tabela7[[#This Row],[Tensão (Pa)]]/1000000</f>
        <v>0.24777738097475704</v>
      </c>
    </row>
    <row r="78" spans="1:6" x14ac:dyDescent="0.3">
      <c r="A78" s="2">
        <v>10.083</v>
      </c>
      <c r="B78" s="2">
        <v>0.83323999999999998</v>
      </c>
      <c r="C78" s="1">
        <f>Tabela7[[#This Row],[Alongamento (mm/mm)]]/$I$2</f>
        <v>1.66648E-2</v>
      </c>
      <c r="D78" s="2">
        <v>11.227</v>
      </c>
      <c r="E78" s="1">
        <f>Tabela7[[#This Row],[Força (N)]]/$I$5</f>
        <v>263777.41856662219</v>
      </c>
      <c r="F78" s="1">
        <f>Tabela7[[#This Row],[Tensão (Pa)]]/1000000</f>
        <v>0.26377741856662218</v>
      </c>
    </row>
    <row r="79" spans="1:6" x14ac:dyDescent="0.3">
      <c r="A79" s="2">
        <v>10.167</v>
      </c>
      <c r="B79" s="2">
        <v>0.84021999999999997</v>
      </c>
      <c r="C79" s="1">
        <f>Tabela7[[#This Row],[Alongamento (mm/mm)]]/$I$2</f>
        <v>1.6804400000000001E-2</v>
      </c>
      <c r="D79" s="2">
        <v>11.567</v>
      </c>
      <c r="E79" s="1">
        <f>Tabela7[[#This Row],[Força (N)]]/$I$5</f>
        <v>271765.68990470463</v>
      </c>
      <c r="F79" s="1">
        <f>Tabela7[[#This Row],[Tensão (Pa)]]/1000000</f>
        <v>0.27176568990470462</v>
      </c>
    </row>
    <row r="80" spans="1:6" x14ac:dyDescent="0.3">
      <c r="A80" s="2">
        <v>10.25</v>
      </c>
      <c r="B80" s="2">
        <v>0.84719999999999995</v>
      </c>
      <c r="C80" s="1">
        <f>Tabela7[[#This Row],[Alongamento (mm/mm)]]/$I$2</f>
        <v>1.6944000000000001E-2</v>
      </c>
      <c r="D80" s="2">
        <v>12.077</v>
      </c>
      <c r="E80" s="1">
        <f>Tabela7[[#This Row],[Força (N)]]/$I$5</f>
        <v>283748.09691182827</v>
      </c>
      <c r="F80" s="1">
        <f>Tabela7[[#This Row],[Tensão (Pa)]]/1000000</f>
        <v>0.28374809691182828</v>
      </c>
    </row>
    <row r="81" spans="1:6" x14ac:dyDescent="0.3">
      <c r="A81" s="2">
        <v>10.333</v>
      </c>
      <c r="B81" s="2">
        <v>0.85409000000000002</v>
      </c>
      <c r="C81" s="1">
        <f>Tabela7[[#This Row],[Alongamento (mm/mm)]]/$I$2</f>
        <v>1.7081800000000001E-2</v>
      </c>
      <c r="D81" s="2">
        <v>12.587</v>
      </c>
      <c r="E81" s="1">
        <f>Tabela7[[#This Row],[Força (N)]]/$I$5</f>
        <v>295730.50391895196</v>
      </c>
      <c r="F81" s="1">
        <f>Tabela7[[#This Row],[Tensão (Pa)]]/1000000</f>
        <v>0.29573050391895195</v>
      </c>
    </row>
    <row r="82" spans="1:6" x14ac:dyDescent="0.3">
      <c r="A82" s="2">
        <v>10.417</v>
      </c>
      <c r="B82" s="2">
        <v>0.86107</v>
      </c>
      <c r="C82" s="1">
        <f>Tabela7[[#This Row],[Alongamento (mm/mm)]]/$I$2</f>
        <v>1.7221400000000001E-2</v>
      </c>
      <c r="D82" s="2">
        <v>13.098000000000001</v>
      </c>
      <c r="E82" s="1">
        <f>Tabela7[[#This Row],[Força (N)]]/$I$5</f>
        <v>307736.40584177588</v>
      </c>
      <c r="F82" s="1">
        <f>Tabela7[[#This Row],[Tensão (Pa)]]/1000000</f>
        <v>0.30773640584177586</v>
      </c>
    </row>
    <row r="83" spans="1:6" x14ac:dyDescent="0.3">
      <c r="A83" s="2">
        <v>10.5</v>
      </c>
      <c r="B83" s="2">
        <v>0.86804999999999999</v>
      </c>
      <c r="C83" s="1">
        <f>Tabela7[[#This Row],[Alongamento (mm/mm)]]/$I$2</f>
        <v>1.7361000000000001E-2</v>
      </c>
      <c r="D83" s="2">
        <v>13.778</v>
      </c>
      <c r="E83" s="1">
        <f>Tabela7[[#This Row],[Força (N)]]/$I$5</f>
        <v>323712.94851794076</v>
      </c>
      <c r="F83" s="1">
        <f>Tabela7[[#This Row],[Tensão (Pa)]]/1000000</f>
        <v>0.32371294851794075</v>
      </c>
    </row>
    <row r="84" spans="1:6" x14ac:dyDescent="0.3">
      <c r="A84" s="2">
        <v>10.583</v>
      </c>
      <c r="B84" s="2">
        <v>0.87483999999999995</v>
      </c>
      <c r="C84" s="1">
        <f>Tabela7[[#This Row],[Alongamento (mm/mm)]]/$I$2</f>
        <v>1.74968E-2</v>
      </c>
      <c r="D84" s="2">
        <v>14.458</v>
      </c>
      <c r="E84" s="1">
        <f>Tabela7[[#This Row],[Força (N)]]/$I$5</f>
        <v>339689.49119410559</v>
      </c>
      <c r="F84" s="1">
        <f>Tabela7[[#This Row],[Tensão (Pa)]]/1000000</f>
        <v>0.33968949119410558</v>
      </c>
    </row>
    <row r="85" spans="1:6" x14ac:dyDescent="0.3">
      <c r="A85" s="2">
        <v>10.667</v>
      </c>
      <c r="B85" s="2">
        <v>0.88190999999999997</v>
      </c>
      <c r="C85" s="1">
        <f>Tabela7[[#This Row],[Alongamento (mm/mm)]]/$I$2</f>
        <v>1.76382E-2</v>
      </c>
      <c r="D85" s="2">
        <v>14.968999999999999</v>
      </c>
      <c r="E85" s="1">
        <f>Tabela7[[#This Row],[Força (N)]]/$I$5</f>
        <v>351695.39311692951</v>
      </c>
      <c r="F85" s="1">
        <f>Tabela7[[#This Row],[Tensão (Pa)]]/1000000</f>
        <v>0.35169539311692949</v>
      </c>
    </row>
    <row r="86" spans="1:6" x14ac:dyDescent="0.3">
      <c r="A86" s="2">
        <v>10.75</v>
      </c>
      <c r="B86" s="2">
        <v>0.88880000000000003</v>
      </c>
      <c r="C86" s="1">
        <f>Tabela7[[#This Row],[Alongamento (mm/mm)]]/$I$2</f>
        <v>1.7776E-2</v>
      </c>
      <c r="D86" s="2">
        <v>15.648999999999999</v>
      </c>
      <c r="E86" s="1">
        <f>Tabela7[[#This Row],[Força (N)]]/$I$5</f>
        <v>367671.9357930944</v>
      </c>
      <c r="F86" s="1">
        <f>Tabela7[[#This Row],[Tensão (Pa)]]/1000000</f>
        <v>0.36767193579309437</v>
      </c>
    </row>
    <row r="87" spans="1:6" x14ac:dyDescent="0.3">
      <c r="A87" s="2">
        <v>10.833</v>
      </c>
      <c r="B87" s="2">
        <v>0.89578000000000002</v>
      </c>
      <c r="C87" s="1">
        <f>Tabela7[[#This Row],[Alongamento (mm/mm)]]/$I$2</f>
        <v>1.79156E-2</v>
      </c>
      <c r="D87" s="2">
        <v>16.158999999999999</v>
      </c>
      <c r="E87" s="1">
        <f>Tabela7[[#This Row],[Força (N)]]/$I$5</f>
        <v>379654.34280021803</v>
      </c>
      <c r="F87" s="1">
        <f>Tabela7[[#This Row],[Tensão (Pa)]]/1000000</f>
        <v>0.37965434280021804</v>
      </c>
    </row>
    <row r="88" spans="1:6" x14ac:dyDescent="0.3">
      <c r="A88" s="2">
        <v>10.917</v>
      </c>
      <c r="B88" s="2">
        <v>0.90276000000000001</v>
      </c>
      <c r="C88" s="1">
        <f>Tabela7[[#This Row],[Alongamento (mm/mm)]]/$I$2</f>
        <v>1.80552E-2</v>
      </c>
      <c r="D88" s="2">
        <v>16.84</v>
      </c>
      <c r="E88" s="1">
        <f>Tabela7[[#This Row],[Força (N)]]/$I$5</f>
        <v>395654.3803920832</v>
      </c>
      <c r="F88" s="1">
        <f>Tabela7[[#This Row],[Tensão (Pa)]]/1000000</f>
        <v>0.39565438039208323</v>
      </c>
    </row>
    <row r="89" spans="1:6" x14ac:dyDescent="0.3">
      <c r="A89" s="2">
        <v>11.016999999999999</v>
      </c>
      <c r="B89" s="2">
        <v>0.91103999999999996</v>
      </c>
      <c r="C89" s="1">
        <f>Tabela7[[#This Row],[Alongamento (mm/mm)]]/$I$2</f>
        <v>1.8220799999999999E-2</v>
      </c>
      <c r="D89" s="2">
        <v>17.52</v>
      </c>
      <c r="E89" s="1">
        <f>Tabela7[[#This Row],[Força (N)]]/$I$5</f>
        <v>411630.92306824803</v>
      </c>
      <c r="F89" s="1">
        <f>Tabela7[[#This Row],[Tensão (Pa)]]/1000000</f>
        <v>0.411630923068248</v>
      </c>
    </row>
    <row r="90" spans="1:6" x14ac:dyDescent="0.3">
      <c r="A90" s="2">
        <v>11.1</v>
      </c>
      <c r="B90" s="2">
        <v>0.91801999999999995</v>
      </c>
      <c r="C90" s="1">
        <f>Tabela7[[#This Row],[Alongamento (mm/mm)]]/$I$2</f>
        <v>1.8360399999999999E-2</v>
      </c>
      <c r="D90" s="2">
        <v>18.201000000000001</v>
      </c>
      <c r="E90" s="1">
        <f>Tabela7[[#This Row],[Força (N)]]/$I$5</f>
        <v>427630.9606601132</v>
      </c>
      <c r="F90" s="1">
        <f>Tabela7[[#This Row],[Tensão (Pa)]]/1000000</f>
        <v>0.42763096066011319</v>
      </c>
    </row>
    <row r="91" spans="1:6" x14ac:dyDescent="0.3">
      <c r="A91" s="2">
        <v>11.2</v>
      </c>
      <c r="B91" s="2">
        <v>0.92630000000000001</v>
      </c>
      <c r="C91" s="1">
        <f>Tabela7[[#This Row],[Alongamento (mm/mm)]]/$I$2</f>
        <v>1.8526000000000001E-2</v>
      </c>
      <c r="D91" s="2">
        <v>18.881</v>
      </c>
      <c r="E91" s="1">
        <f>Tabela7[[#This Row],[Força (N)]]/$I$5</f>
        <v>443607.50333627808</v>
      </c>
      <c r="F91" s="1">
        <f>Tabela7[[#This Row],[Tensão (Pa)]]/1000000</f>
        <v>0.44360750333627808</v>
      </c>
    </row>
    <row r="92" spans="1:6" x14ac:dyDescent="0.3">
      <c r="A92" s="2">
        <v>11.282999999999999</v>
      </c>
      <c r="B92" s="2">
        <v>0.93328</v>
      </c>
      <c r="C92" s="1">
        <f>Tabela7[[#This Row],[Alongamento (mm/mm)]]/$I$2</f>
        <v>1.8665600000000001E-2</v>
      </c>
      <c r="D92" s="2">
        <v>19.561</v>
      </c>
      <c r="E92" s="1">
        <f>Tabela7[[#This Row],[Força (N)]]/$I$5</f>
        <v>459584.04601244291</v>
      </c>
      <c r="F92" s="1">
        <f>Tabela7[[#This Row],[Tensão (Pa)]]/1000000</f>
        <v>0.4595840460124429</v>
      </c>
    </row>
    <row r="93" spans="1:6" x14ac:dyDescent="0.3">
      <c r="A93" s="2">
        <v>11.367000000000001</v>
      </c>
      <c r="B93" s="2">
        <v>0.94025999999999998</v>
      </c>
      <c r="C93" s="1">
        <f>Tabela7[[#This Row],[Alongamento (mm/mm)]]/$I$2</f>
        <v>1.8805200000000001E-2</v>
      </c>
      <c r="D93" s="2">
        <v>20.242000000000001</v>
      </c>
      <c r="E93" s="1">
        <f>Tabela7[[#This Row],[Força (N)]]/$I$5</f>
        <v>475584.08360430808</v>
      </c>
      <c r="F93" s="1">
        <f>Tabela7[[#This Row],[Tensão (Pa)]]/1000000</f>
        <v>0.47558408360430809</v>
      </c>
    </row>
    <row r="94" spans="1:6" x14ac:dyDescent="0.3">
      <c r="A94" s="2">
        <v>11.467000000000001</v>
      </c>
      <c r="B94" s="2">
        <v>0.94854000000000005</v>
      </c>
      <c r="C94" s="1">
        <f>Tabela7[[#This Row],[Alongamento (mm/mm)]]/$I$2</f>
        <v>1.8970799999999999E-2</v>
      </c>
      <c r="D94" s="2">
        <v>20.922000000000001</v>
      </c>
      <c r="E94" s="1">
        <f>Tabela7[[#This Row],[Força (N)]]/$I$5</f>
        <v>491560.62628047296</v>
      </c>
      <c r="F94" s="1">
        <f>Tabela7[[#This Row],[Tensão (Pa)]]/1000000</f>
        <v>0.49156062628047298</v>
      </c>
    </row>
    <row r="95" spans="1:6" x14ac:dyDescent="0.3">
      <c r="A95" s="2">
        <v>11.55</v>
      </c>
      <c r="B95" s="2">
        <v>0.95552000000000004</v>
      </c>
      <c r="C95" s="1">
        <f>Tabela7[[#This Row],[Alongamento (mm/mm)]]/$I$2</f>
        <v>1.91104E-2</v>
      </c>
      <c r="D95" s="2">
        <v>21.603000000000002</v>
      </c>
      <c r="E95" s="1">
        <f>Tabela7[[#This Row],[Força (N)]]/$I$5</f>
        <v>507560.66387233807</v>
      </c>
      <c r="F95" s="1">
        <f>Tabela7[[#This Row],[Tensão (Pa)]]/1000000</f>
        <v>0.50756066387233811</v>
      </c>
    </row>
    <row r="96" spans="1:6" x14ac:dyDescent="0.3">
      <c r="A96" s="2">
        <v>11.632999999999999</v>
      </c>
      <c r="B96" s="2">
        <v>0.96240999999999999</v>
      </c>
      <c r="C96" s="1">
        <f>Tabela7[[#This Row],[Alongamento (mm/mm)]]/$I$2</f>
        <v>1.92482E-2</v>
      </c>
      <c r="D96" s="2">
        <v>22.283000000000001</v>
      </c>
      <c r="E96" s="1">
        <f>Tabela7[[#This Row],[Força (N)]]/$I$5</f>
        <v>523537.20654850296</v>
      </c>
      <c r="F96" s="1">
        <f>Tabela7[[#This Row],[Tensão (Pa)]]/1000000</f>
        <v>0.523537206548503</v>
      </c>
    </row>
    <row r="97" spans="1:6" x14ac:dyDescent="0.3">
      <c r="A97" s="2">
        <v>11.717000000000001</v>
      </c>
      <c r="B97" s="2">
        <v>0.96938999999999997</v>
      </c>
      <c r="C97" s="1">
        <f>Tabela7[[#This Row],[Alongamento (mm/mm)]]/$I$2</f>
        <v>1.93878E-2</v>
      </c>
      <c r="D97" s="2">
        <v>22.963000000000001</v>
      </c>
      <c r="E97" s="1">
        <f>Tabela7[[#This Row],[Força (N)]]/$I$5</f>
        <v>539513.74922466779</v>
      </c>
      <c r="F97" s="1">
        <f>Tabela7[[#This Row],[Tensão (Pa)]]/1000000</f>
        <v>0.53951374922466777</v>
      </c>
    </row>
    <row r="98" spans="1:6" x14ac:dyDescent="0.3">
      <c r="A98" s="2">
        <v>11.8</v>
      </c>
      <c r="B98" s="2">
        <v>0.97636000000000001</v>
      </c>
      <c r="C98" s="1">
        <f>Tabela7[[#This Row],[Alongamento (mm/mm)]]/$I$2</f>
        <v>1.9527200000000002E-2</v>
      </c>
      <c r="D98" s="2">
        <v>23.643999999999998</v>
      </c>
      <c r="E98" s="1">
        <f>Tabela7[[#This Row],[Força (N)]]/$I$5</f>
        <v>555513.78681653284</v>
      </c>
      <c r="F98" s="1">
        <f>Tabela7[[#This Row],[Tensão (Pa)]]/1000000</f>
        <v>0.55551378681653285</v>
      </c>
    </row>
    <row r="99" spans="1:6" x14ac:dyDescent="0.3">
      <c r="A99" s="2">
        <v>11.882999999999999</v>
      </c>
      <c r="B99" s="2">
        <v>0.98316000000000003</v>
      </c>
      <c r="C99" s="1">
        <f>Tabela7[[#This Row],[Alongamento (mm/mm)]]/$I$2</f>
        <v>1.9663200000000002E-2</v>
      </c>
      <c r="D99" s="2">
        <v>24.324000000000002</v>
      </c>
      <c r="E99" s="1">
        <f>Tabela7[[#This Row],[Força (N)]]/$I$5</f>
        <v>571490.32949269784</v>
      </c>
      <c r="F99" s="1">
        <f>Tabela7[[#This Row],[Tensão (Pa)]]/1000000</f>
        <v>0.57149032949269785</v>
      </c>
    </row>
    <row r="100" spans="1:6" x14ac:dyDescent="0.3">
      <c r="A100" s="2">
        <v>11.95</v>
      </c>
      <c r="B100" s="2">
        <v>0.98873999999999995</v>
      </c>
      <c r="C100" s="1">
        <f>Tabela7[[#This Row],[Alongamento (mm/mm)]]/$I$2</f>
        <v>1.9774799999999999E-2</v>
      </c>
      <c r="D100" s="2">
        <v>25.004999999999999</v>
      </c>
      <c r="E100" s="1">
        <f>Tabela7[[#This Row],[Força (N)]]/$I$5</f>
        <v>587490.36708456289</v>
      </c>
      <c r="F100" s="1">
        <f>Tabela7[[#This Row],[Tensão (Pa)]]/1000000</f>
        <v>0.58749036708456293</v>
      </c>
    </row>
    <row r="101" spans="1:6" x14ac:dyDescent="0.3">
      <c r="A101" s="2">
        <v>12.032999999999999</v>
      </c>
      <c r="B101" s="2">
        <v>0.99580999999999997</v>
      </c>
      <c r="C101" s="1">
        <f>Tabela7[[#This Row],[Alongamento (mm/mm)]]/$I$2</f>
        <v>1.9916199999999998E-2</v>
      </c>
      <c r="D101" s="2">
        <v>25.684999999999999</v>
      </c>
      <c r="E101" s="1">
        <f>Tabela7[[#This Row],[Força (N)]]/$I$5</f>
        <v>603466.90976072778</v>
      </c>
      <c r="F101" s="1">
        <f>Tabela7[[#This Row],[Tensão (Pa)]]/1000000</f>
        <v>0.60346690976072781</v>
      </c>
    </row>
    <row r="102" spans="1:6" x14ac:dyDescent="0.3">
      <c r="A102" s="2">
        <v>12.117000000000001</v>
      </c>
      <c r="B102" s="2">
        <v>1.0027999999999999</v>
      </c>
      <c r="C102" s="1">
        <f>Tabela7[[#This Row],[Alongamento (mm/mm)]]/$I$2</f>
        <v>2.0055999999999997E-2</v>
      </c>
      <c r="D102" s="2">
        <v>26.364999999999998</v>
      </c>
      <c r="E102" s="1">
        <f>Tabela7[[#This Row],[Força (N)]]/$I$5</f>
        <v>619443.45243689266</v>
      </c>
      <c r="F102" s="1">
        <f>Tabela7[[#This Row],[Tensão (Pa)]]/1000000</f>
        <v>0.61944345243689269</v>
      </c>
    </row>
    <row r="103" spans="1:6" x14ac:dyDescent="0.3">
      <c r="A103" s="2">
        <v>12.183</v>
      </c>
      <c r="B103" s="2">
        <v>1.0083</v>
      </c>
      <c r="C103" s="1">
        <f>Tabela7[[#This Row],[Alongamento (mm/mm)]]/$I$2</f>
        <v>2.0166E-2</v>
      </c>
      <c r="D103" s="2">
        <v>27.045999999999999</v>
      </c>
      <c r="E103" s="1">
        <f>Tabela7[[#This Row],[Força (N)]]/$I$5</f>
        <v>635443.49002875783</v>
      </c>
      <c r="F103" s="1">
        <f>Tabela7[[#This Row],[Tensão (Pa)]]/1000000</f>
        <v>0.63544349002875788</v>
      </c>
    </row>
    <row r="104" spans="1:6" x14ac:dyDescent="0.3">
      <c r="A104" s="2">
        <v>12.266999999999999</v>
      </c>
      <c r="B104" s="2">
        <v>1.0152000000000001</v>
      </c>
      <c r="C104" s="1">
        <f>Tabela7[[#This Row],[Alongamento (mm/mm)]]/$I$2</f>
        <v>2.0304000000000003E-2</v>
      </c>
      <c r="D104" s="2">
        <v>27.725999999999999</v>
      </c>
      <c r="E104" s="1">
        <f>Tabela7[[#This Row],[Força (N)]]/$I$5</f>
        <v>651420.03270492272</v>
      </c>
      <c r="F104" s="1">
        <f>Tabela7[[#This Row],[Tensão (Pa)]]/1000000</f>
        <v>0.65142003270492277</v>
      </c>
    </row>
    <row r="105" spans="1:6" x14ac:dyDescent="0.3">
      <c r="A105" s="2">
        <v>12.35</v>
      </c>
      <c r="B105" s="2">
        <v>1.0221</v>
      </c>
      <c r="C105" s="1">
        <f>Tabela7[[#This Row],[Alongamento (mm/mm)]]/$I$2</f>
        <v>2.0442000000000002E-2</v>
      </c>
      <c r="D105" s="2">
        <v>28.407</v>
      </c>
      <c r="E105" s="1">
        <f>Tabela7[[#This Row],[Força (N)]]/$I$5</f>
        <v>667420.07029678777</v>
      </c>
      <c r="F105" s="1">
        <f>Tabela7[[#This Row],[Tensão (Pa)]]/1000000</f>
        <v>0.66742007029678774</v>
      </c>
    </row>
    <row r="106" spans="1:6" x14ac:dyDescent="0.3">
      <c r="A106" s="2">
        <v>12.417</v>
      </c>
      <c r="B106" s="2">
        <v>1.0277000000000001</v>
      </c>
      <c r="C106" s="1">
        <f>Tabela7[[#This Row],[Alongamento (mm/mm)]]/$I$2</f>
        <v>2.0554000000000003E-2</v>
      </c>
      <c r="D106" s="2">
        <v>29.087</v>
      </c>
      <c r="E106" s="1">
        <f>Tabela7[[#This Row],[Força (N)]]/$I$5</f>
        <v>683396.61297295266</v>
      </c>
      <c r="F106" s="1">
        <f>Tabela7[[#This Row],[Tensão (Pa)]]/1000000</f>
        <v>0.68339661297295262</v>
      </c>
    </row>
    <row r="107" spans="1:6" x14ac:dyDescent="0.3">
      <c r="A107" s="2">
        <v>12.5</v>
      </c>
      <c r="B107" s="2">
        <v>1.0346</v>
      </c>
      <c r="C107" s="1">
        <f>Tabela7[[#This Row],[Alongamento (mm/mm)]]/$I$2</f>
        <v>2.0691999999999999E-2</v>
      </c>
      <c r="D107" s="2">
        <v>29.766999999999999</v>
      </c>
      <c r="E107" s="1">
        <f>Tabela7[[#This Row],[Força (N)]]/$I$5</f>
        <v>699373.15564911754</v>
      </c>
      <c r="F107" s="1">
        <f>Tabela7[[#This Row],[Tensão (Pa)]]/1000000</f>
        <v>0.69937315564911751</v>
      </c>
    </row>
    <row r="108" spans="1:6" x14ac:dyDescent="0.3">
      <c r="A108" s="2">
        <v>12.567</v>
      </c>
      <c r="B108" s="2">
        <v>1.0402</v>
      </c>
      <c r="C108" s="1">
        <f>Tabela7[[#This Row],[Alongamento (mm/mm)]]/$I$2</f>
        <v>2.0804E-2</v>
      </c>
      <c r="D108" s="2">
        <v>30.448</v>
      </c>
      <c r="E108" s="1">
        <f>Tabela7[[#This Row],[Força (N)]]/$I$5</f>
        <v>715373.19324098271</v>
      </c>
      <c r="F108" s="1">
        <f>Tabela7[[#This Row],[Tensão (Pa)]]/1000000</f>
        <v>0.7153731932409827</v>
      </c>
    </row>
    <row r="109" spans="1:6" x14ac:dyDescent="0.3">
      <c r="A109" s="2">
        <v>12.65</v>
      </c>
      <c r="B109" s="2">
        <v>1.0471999999999999</v>
      </c>
      <c r="C109" s="1">
        <f>Tabela7[[#This Row],[Alongamento (mm/mm)]]/$I$2</f>
        <v>2.0943999999999997E-2</v>
      </c>
      <c r="D109" s="2">
        <v>31.128</v>
      </c>
      <c r="E109" s="1">
        <f>Tabela7[[#This Row],[Força (N)]]/$I$5</f>
        <v>731349.7359171476</v>
      </c>
      <c r="F109" s="1">
        <f>Tabela7[[#This Row],[Tensão (Pa)]]/1000000</f>
        <v>0.73134973591714758</v>
      </c>
    </row>
    <row r="110" spans="1:6" x14ac:dyDescent="0.3">
      <c r="A110" s="2">
        <v>12.733000000000001</v>
      </c>
      <c r="B110" s="2">
        <v>1.0542</v>
      </c>
      <c r="C110" s="1">
        <f>Tabela7[[#This Row],[Alongamento (mm/mm)]]/$I$2</f>
        <v>2.1084000000000002E-2</v>
      </c>
      <c r="D110" s="2">
        <v>31.808</v>
      </c>
      <c r="E110" s="1">
        <f>Tabela7[[#This Row],[Força (N)]]/$I$5</f>
        <v>747326.27859331248</v>
      </c>
      <c r="F110" s="1">
        <f>Tabela7[[#This Row],[Tensão (Pa)]]/1000000</f>
        <v>0.74732627859331247</v>
      </c>
    </row>
    <row r="111" spans="1:6" x14ac:dyDescent="0.3">
      <c r="A111" s="2">
        <v>12.8</v>
      </c>
      <c r="B111" s="2">
        <v>1.0597000000000001</v>
      </c>
      <c r="C111" s="1">
        <f>Tabela7[[#This Row],[Alongamento (mm/mm)]]/$I$2</f>
        <v>2.1194000000000001E-2</v>
      </c>
      <c r="D111" s="2">
        <v>32.488999999999997</v>
      </c>
      <c r="E111" s="1">
        <f>Tabela7[[#This Row],[Força (N)]]/$I$5</f>
        <v>763326.31618517754</v>
      </c>
      <c r="F111" s="1">
        <f>Tabela7[[#This Row],[Tensão (Pa)]]/1000000</f>
        <v>0.76332631618517754</v>
      </c>
    </row>
    <row r="112" spans="1:6" x14ac:dyDescent="0.3">
      <c r="A112" s="2">
        <v>12.882999999999999</v>
      </c>
      <c r="B112" s="2">
        <v>1.0665</v>
      </c>
      <c r="C112" s="1">
        <f>Tabela7[[#This Row],[Alongamento (mm/mm)]]/$I$2</f>
        <v>2.1330000000000002E-2</v>
      </c>
      <c r="D112" s="2">
        <v>33.168999999999997</v>
      </c>
      <c r="E112" s="1">
        <f>Tabela7[[#This Row],[Força (N)]]/$I$5</f>
        <v>779302.85886134242</v>
      </c>
      <c r="F112" s="1">
        <f>Tabela7[[#This Row],[Tensão (Pa)]]/1000000</f>
        <v>0.77930285886134243</v>
      </c>
    </row>
    <row r="113" spans="1:6" x14ac:dyDescent="0.3">
      <c r="A113" s="2">
        <v>12.95</v>
      </c>
      <c r="B113" s="2">
        <v>1.0721000000000001</v>
      </c>
      <c r="C113" s="1">
        <f>Tabela7[[#This Row],[Alongamento (mm/mm)]]/$I$2</f>
        <v>2.1442000000000003E-2</v>
      </c>
      <c r="D113" s="2">
        <v>33.85</v>
      </c>
      <c r="E113" s="1">
        <f>Tabela7[[#This Row],[Força (N)]]/$I$5</f>
        <v>795302.89645320759</v>
      </c>
      <c r="F113" s="1">
        <f>Tabela7[[#This Row],[Tensão (Pa)]]/1000000</f>
        <v>0.79530289645320762</v>
      </c>
    </row>
    <row r="114" spans="1:6" x14ac:dyDescent="0.3">
      <c r="A114" s="2">
        <v>13.032999999999999</v>
      </c>
      <c r="B114" s="2">
        <v>1.0790999999999999</v>
      </c>
      <c r="C114" s="1">
        <f>Tabela7[[#This Row],[Alongamento (mm/mm)]]/$I$2</f>
        <v>2.1582E-2</v>
      </c>
      <c r="D114" s="2">
        <v>34.53</v>
      </c>
      <c r="E114" s="1">
        <f>Tabela7[[#This Row],[Força (N)]]/$I$5</f>
        <v>811279.43912937248</v>
      </c>
      <c r="F114" s="1">
        <f>Tabela7[[#This Row],[Tensão (Pa)]]/1000000</f>
        <v>0.8112794391293725</v>
      </c>
    </row>
    <row r="115" spans="1:6" x14ac:dyDescent="0.3">
      <c r="A115" s="2">
        <v>13.1</v>
      </c>
      <c r="B115" s="2">
        <v>1.0847</v>
      </c>
      <c r="C115" s="1">
        <f>Tabela7[[#This Row],[Alongamento (mm/mm)]]/$I$2</f>
        <v>2.1694000000000001E-2</v>
      </c>
      <c r="D115" s="2">
        <v>35.21</v>
      </c>
      <c r="E115" s="1">
        <f>Tabela7[[#This Row],[Força (N)]]/$I$5</f>
        <v>827255.98180553736</v>
      </c>
      <c r="F115" s="1">
        <f>Tabela7[[#This Row],[Tensão (Pa)]]/1000000</f>
        <v>0.82725598180553739</v>
      </c>
    </row>
    <row r="116" spans="1:6" x14ac:dyDescent="0.3">
      <c r="A116" s="2">
        <v>13.167</v>
      </c>
      <c r="B116" s="2">
        <v>1.0903</v>
      </c>
      <c r="C116" s="1">
        <f>Tabela7[[#This Row],[Alongamento (mm/mm)]]/$I$2</f>
        <v>2.1806000000000002E-2</v>
      </c>
      <c r="D116" s="2">
        <v>35.890999999999998</v>
      </c>
      <c r="E116" s="1">
        <f>Tabela7[[#This Row],[Força (N)]]/$I$5</f>
        <v>843256.01939740242</v>
      </c>
      <c r="F116" s="1">
        <f>Tabela7[[#This Row],[Tensão (Pa)]]/1000000</f>
        <v>0.84325601939740247</v>
      </c>
    </row>
    <row r="117" spans="1:6" x14ac:dyDescent="0.3">
      <c r="A117" s="2">
        <v>13.25</v>
      </c>
      <c r="B117" s="2">
        <v>1.0972</v>
      </c>
      <c r="C117" s="1">
        <f>Tabela7[[#This Row],[Alongamento (mm/mm)]]/$I$2</f>
        <v>2.1943999999999998E-2</v>
      </c>
      <c r="D117" s="2">
        <v>36.570999999999998</v>
      </c>
      <c r="E117" s="1">
        <f>Tabela7[[#This Row],[Força (N)]]/$I$5</f>
        <v>859232.5620735673</v>
      </c>
      <c r="F117" s="1">
        <f>Tabela7[[#This Row],[Tensão (Pa)]]/1000000</f>
        <v>0.85923256207356735</v>
      </c>
    </row>
    <row r="118" spans="1:6" x14ac:dyDescent="0.3">
      <c r="A118" s="2">
        <v>13.317</v>
      </c>
      <c r="B118" s="2">
        <v>1.1027</v>
      </c>
      <c r="C118" s="1">
        <f>Tabela7[[#This Row],[Alongamento (mm/mm)]]/$I$2</f>
        <v>2.2054000000000001E-2</v>
      </c>
      <c r="D118" s="2">
        <v>37.252000000000002</v>
      </c>
      <c r="E118" s="1">
        <f>Tabela7[[#This Row],[Força (N)]]/$I$5</f>
        <v>875232.59966543247</v>
      </c>
      <c r="F118" s="1">
        <f>Tabela7[[#This Row],[Tensão (Pa)]]/1000000</f>
        <v>0.87523259966543243</v>
      </c>
    </row>
    <row r="119" spans="1:6" x14ac:dyDescent="0.3">
      <c r="A119" s="2">
        <v>13.382999999999999</v>
      </c>
      <c r="B119" s="2">
        <v>1.1082000000000001</v>
      </c>
      <c r="C119" s="1">
        <f>Tabela7[[#This Row],[Alongamento (mm/mm)]]/$I$2</f>
        <v>2.2164000000000003E-2</v>
      </c>
      <c r="D119" s="2">
        <v>37.932000000000002</v>
      </c>
      <c r="E119" s="1">
        <f>Tabela7[[#This Row],[Força (N)]]/$I$5</f>
        <v>891209.14234159735</v>
      </c>
      <c r="F119" s="1">
        <f>Tabela7[[#This Row],[Tensão (Pa)]]/1000000</f>
        <v>0.89120914234159732</v>
      </c>
    </row>
    <row r="120" spans="1:6" x14ac:dyDescent="0.3">
      <c r="A120" s="2">
        <v>13.45</v>
      </c>
      <c r="B120" s="2">
        <v>1.1137999999999999</v>
      </c>
      <c r="C120" s="1">
        <f>Tabela7[[#This Row],[Alongamento (mm/mm)]]/$I$2</f>
        <v>2.2275999999999997E-2</v>
      </c>
      <c r="D120" s="2">
        <v>38.783000000000001</v>
      </c>
      <c r="E120" s="1">
        <f>Tabela7[[#This Row],[Força (N)]]/$I$5</f>
        <v>911203.31560250372</v>
      </c>
      <c r="F120" s="1">
        <f>Tabela7[[#This Row],[Tensão (Pa)]]/1000000</f>
        <v>0.91120331560250367</v>
      </c>
    </row>
    <row r="121" spans="1:6" x14ac:dyDescent="0.3">
      <c r="A121" s="2">
        <v>13.516999999999999</v>
      </c>
      <c r="B121" s="2">
        <v>1.1194</v>
      </c>
      <c r="C121" s="1">
        <f>Tabela7[[#This Row],[Alongamento (mm/mm)]]/$I$2</f>
        <v>2.2387999999999998E-2</v>
      </c>
      <c r="D121" s="2">
        <v>39.463000000000001</v>
      </c>
      <c r="E121" s="1">
        <f>Tabela7[[#This Row],[Força (N)]]/$I$5</f>
        <v>927179.8582786686</v>
      </c>
      <c r="F121" s="1">
        <f>Tabela7[[#This Row],[Tensão (Pa)]]/1000000</f>
        <v>0.92717985827866856</v>
      </c>
    </row>
    <row r="122" spans="1:6" x14ac:dyDescent="0.3">
      <c r="A122" s="2">
        <v>13.583</v>
      </c>
      <c r="B122" s="2">
        <v>1.125</v>
      </c>
      <c r="C122" s="1">
        <f>Tabela7[[#This Row],[Alongamento (mm/mm)]]/$I$2</f>
        <v>2.2499999999999999E-2</v>
      </c>
      <c r="D122" s="2">
        <v>40.143000000000001</v>
      </c>
      <c r="E122" s="1">
        <f>Tabela7[[#This Row],[Força (N)]]/$I$5</f>
        <v>943156.40095483349</v>
      </c>
      <c r="F122" s="1">
        <f>Tabela7[[#This Row],[Tensão (Pa)]]/1000000</f>
        <v>0.94315640095483344</v>
      </c>
    </row>
    <row r="123" spans="1:6" x14ac:dyDescent="0.3">
      <c r="A123" s="2">
        <v>13.65</v>
      </c>
      <c r="B123" s="2">
        <v>1.1305000000000001</v>
      </c>
      <c r="C123" s="1">
        <f>Tabela7[[#This Row],[Alongamento (mm/mm)]]/$I$2</f>
        <v>2.2610000000000002E-2</v>
      </c>
      <c r="D123" s="2">
        <v>40.823999999999998</v>
      </c>
      <c r="E123" s="1">
        <f>Tabela7[[#This Row],[Força (N)]]/$I$5</f>
        <v>959156.43854669854</v>
      </c>
      <c r="F123" s="1">
        <f>Tabela7[[#This Row],[Tensão (Pa)]]/1000000</f>
        <v>0.95915643854669852</v>
      </c>
    </row>
    <row r="124" spans="1:6" x14ac:dyDescent="0.3">
      <c r="A124" s="2">
        <v>13.717000000000001</v>
      </c>
      <c r="B124" s="2">
        <v>1.1361000000000001</v>
      </c>
      <c r="C124" s="1">
        <f>Tabela7[[#This Row],[Alongamento (mm/mm)]]/$I$2</f>
        <v>2.2722000000000003E-2</v>
      </c>
      <c r="D124" s="2">
        <v>41.503999999999998</v>
      </c>
      <c r="E124" s="1">
        <f>Tabela7[[#This Row],[Força (N)]]/$I$5</f>
        <v>975132.98122286343</v>
      </c>
      <c r="F124" s="1">
        <f>Tabela7[[#This Row],[Tensão (Pa)]]/1000000</f>
        <v>0.9751329812228634</v>
      </c>
    </row>
    <row r="125" spans="1:6" x14ac:dyDescent="0.3">
      <c r="A125" s="2">
        <v>13.782999999999999</v>
      </c>
      <c r="B125" s="2">
        <v>1.1415999999999999</v>
      </c>
      <c r="C125" s="1">
        <f>Tabela7[[#This Row],[Alongamento (mm/mm)]]/$I$2</f>
        <v>2.2831999999999998E-2</v>
      </c>
      <c r="D125" s="2">
        <v>42.185000000000002</v>
      </c>
      <c r="E125" s="1">
        <f>Tabela7[[#This Row],[Força (N)]]/$I$5</f>
        <v>991133.0188147286</v>
      </c>
      <c r="F125" s="1">
        <f>Tabela7[[#This Row],[Tensão (Pa)]]/1000000</f>
        <v>0.99113301881472859</v>
      </c>
    </row>
    <row r="126" spans="1:6" x14ac:dyDescent="0.3">
      <c r="A126" s="2">
        <v>13.85</v>
      </c>
      <c r="B126" s="2">
        <v>1.1472</v>
      </c>
      <c r="C126" s="1">
        <f>Tabela7[[#This Row],[Alongamento (mm/mm)]]/$I$2</f>
        <v>2.2943999999999999E-2</v>
      </c>
      <c r="D126" s="2">
        <v>43.034999999999997</v>
      </c>
      <c r="E126" s="1">
        <f>Tabela7[[#This Row],[Força (N)]]/$I$5</f>
        <v>1011103.6971599346</v>
      </c>
      <c r="F126" s="1">
        <f>Tabela7[[#This Row],[Tensão (Pa)]]/1000000</f>
        <v>1.0111036971599345</v>
      </c>
    </row>
    <row r="127" spans="1:6" x14ac:dyDescent="0.3">
      <c r="A127" s="2">
        <v>13.917</v>
      </c>
      <c r="B127" s="2">
        <v>1.1527000000000001</v>
      </c>
      <c r="C127" s="1">
        <f>Tabela7[[#This Row],[Alongamento (mm/mm)]]/$I$2</f>
        <v>2.3054000000000002E-2</v>
      </c>
      <c r="D127" s="2">
        <v>43.715000000000003</v>
      </c>
      <c r="E127" s="1">
        <f>Tabela7[[#This Row],[Força (N)]]/$I$5</f>
        <v>1027080.2398360996</v>
      </c>
      <c r="F127" s="1">
        <f>Tabela7[[#This Row],[Tensão (Pa)]]/1000000</f>
        <v>1.0270802398360996</v>
      </c>
    </row>
    <row r="128" spans="1:6" x14ac:dyDescent="0.3">
      <c r="A128" s="2">
        <v>13.983000000000001</v>
      </c>
      <c r="B128" s="2">
        <v>1.1583000000000001</v>
      </c>
      <c r="C128" s="1">
        <f>Tabela7[[#This Row],[Alongamento (mm/mm)]]/$I$2</f>
        <v>2.3166000000000003E-2</v>
      </c>
      <c r="D128" s="2">
        <v>44.396000000000001</v>
      </c>
      <c r="E128" s="1">
        <f>Tabela7[[#This Row],[Força (N)]]/$I$5</f>
        <v>1043080.2774279646</v>
      </c>
      <c r="F128" s="1">
        <f>Tabela7[[#This Row],[Tensão (Pa)]]/1000000</f>
        <v>1.0430802774279646</v>
      </c>
    </row>
    <row r="129" spans="1:6" x14ac:dyDescent="0.3">
      <c r="A129" s="2">
        <v>14.05</v>
      </c>
      <c r="B129" s="2">
        <v>1.1637999999999999</v>
      </c>
      <c r="C129" s="1">
        <f>Tabela7[[#This Row],[Alongamento (mm/mm)]]/$I$2</f>
        <v>2.3275999999999998E-2</v>
      </c>
      <c r="D129" s="2">
        <v>45.076000000000001</v>
      </c>
      <c r="E129" s="1">
        <f>Tabela7[[#This Row],[Força (N)]]/$I$5</f>
        <v>1059056.8201041296</v>
      </c>
      <c r="F129" s="1">
        <f>Tabela7[[#This Row],[Tensão (Pa)]]/1000000</f>
        <v>1.0590568201041297</v>
      </c>
    </row>
    <row r="130" spans="1:6" x14ac:dyDescent="0.3">
      <c r="A130" s="2">
        <v>14.117000000000001</v>
      </c>
      <c r="B130" s="2">
        <v>1.1693</v>
      </c>
      <c r="C130" s="1">
        <f>Tabela7[[#This Row],[Alongamento (mm/mm)]]/$I$2</f>
        <v>2.3386000000000001E-2</v>
      </c>
      <c r="D130" s="2">
        <v>45.927</v>
      </c>
      <c r="E130" s="1">
        <f>Tabela7[[#This Row],[Força (N)]]/$I$5</f>
        <v>1079050.9933650359</v>
      </c>
      <c r="F130" s="1">
        <f>Tabela7[[#This Row],[Tensão (Pa)]]/1000000</f>
        <v>1.0790509933650358</v>
      </c>
    </row>
    <row r="131" spans="1:6" x14ac:dyDescent="0.3">
      <c r="A131" s="2">
        <v>14.183</v>
      </c>
      <c r="B131" s="2">
        <v>1.1749000000000001</v>
      </c>
      <c r="C131" s="1">
        <f>Tabela7[[#This Row],[Alongamento (mm/mm)]]/$I$2</f>
        <v>2.3498000000000002E-2</v>
      </c>
      <c r="D131" s="2">
        <v>46.606999999999999</v>
      </c>
      <c r="E131" s="1">
        <f>Tabela7[[#This Row],[Força (N)]]/$I$5</f>
        <v>1095027.5360412006</v>
      </c>
      <c r="F131" s="1">
        <f>Tabela7[[#This Row],[Tensão (Pa)]]/1000000</f>
        <v>1.0950275360412007</v>
      </c>
    </row>
    <row r="132" spans="1:6" x14ac:dyDescent="0.3">
      <c r="A132" s="2">
        <v>14.25</v>
      </c>
      <c r="B132" s="2">
        <v>1.1803999999999999</v>
      </c>
      <c r="C132" s="1">
        <f>Tabela7[[#This Row],[Alongamento (mm/mm)]]/$I$2</f>
        <v>2.3607999999999997E-2</v>
      </c>
      <c r="D132" s="2">
        <v>47.286999999999999</v>
      </c>
      <c r="E132" s="1">
        <f>Tabela7[[#This Row],[Força (N)]]/$I$5</f>
        <v>1111004.0787173656</v>
      </c>
      <c r="F132" s="1">
        <f>Tabela7[[#This Row],[Tensão (Pa)]]/1000000</f>
        <v>1.1110040787173656</v>
      </c>
    </row>
    <row r="133" spans="1:6" x14ac:dyDescent="0.3">
      <c r="A133" s="2">
        <v>14.317</v>
      </c>
      <c r="B133" s="2">
        <v>1.1859999999999999</v>
      </c>
      <c r="C133" s="1">
        <f>Tabela7[[#This Row],[Alongamento (mm/mm)]]/$I$2</f>
        <v>2.3719999999999998E-2</v>
      </c>
      <c r="D133" s="2">
        <v>47.968000000000004</v>
      </c>
      <c r="E133" s="1">
        <f>Tabela7[[#This Row],[Força (N)]]/$I$5</f>
        <v>1127004.1163092309</v>
      </c>
      <c r="F133" s="1">
        <f>Tabela7[[#This Row],[Tensão (Pa)]]/1000000</f>
        <v>1.1270041163092308</v>
      </c>
    </row>
    <row r="134" spans="1:6" x14ac:dyDescent="0.3">
      <c r="A134" s="2">
        <v>14.382999999999999</v>
      </c>
      <c r="B134" s="2">
        <v>1.1916</v>
      </c>
      <c r="C134" s="1">
        <f>Tabela7[[#This Row],[Alongamento (mm/mm)]]/$I$2</f>
        <v>2.3831999999999999E-2</v>
      </c>
      <c r="D134" s="2">
        <v>48.648000000000003</v>
      </c>
      <c r="E134" s="1">
        <f>Tabela7[[#This Row],[Força (N)]]/$I$5</f>
        <v>1142980.6589853957</v>
      </c>
      <c r="F134" s="1">
        <f>Tabela7[[#This Row],[Tensão (Pa)]]/1000000</f>
        <v>1.1429806589853957</v>
      </c>
    </row>
    <row r="135" spans="1:6" x14ac:dyDescent="0.3">
      <c r="A135" s="2">
        <v>14.433</v>
      </c>
      <c r="B135" s="2">
        <v>1.1958</v>
      </c>
      <c r="C135" s="1">
        <f>Tabela7[[#This Row],[Alongamento (mm/mm)]]/$I$2</f>
        <v>2.3916E-2</v>
      </c>
      <c r="D135" s="2">
        <v>49.329000000000001</v>
      </c>
      <c r="E135" s="1">
        <f>Tabela7[[#This Row],[Força (N)]]/$I$5</f>
        <v>1158980.6965772607</v>
      </c>
      <c r="F135" s="1">
        <f>Tabela7[[#This Row],[Tensão (Pa)]]/1000000</f>
        <v>1.1589806965772607</v>
      </c>
    </row>
    <row r="136" spans="1:6" x14ac:dyDescent="0.3">
      <c r="A136" s="2">
        <v>14.5</v>
      </c>
      <c r="B136" s="2">
        <v>1.2013</v>
      </c>
      <c r="C136" s="1">
        <f>Tabela7[[#This Row],[Alongamento (mm/mm)]]/$I$2</f>
        <v>2.4026000000000002E-2</v>
      </c>
      <c r="D136" s="2">
        <v>50.009</v>
      </c>
      <c r="E136" s="1">
        <f>Tabela7[[#This Row],[Força (N)]]/$I$5</f>
        <v>1174957.2392534257</v>
      </c>
      <c r="F136" s="1">
        <f>Tabela7[[#This Row],[Tensão (Pa)]]/1000000</f>
        <v>1.1749572392534258</v>
      </c>
    </row>
    <row r="137" spans="1:6" x14ac:dyDescent="0.3">
      <c r="A137" s="2">
        <v>14.55</v>
      </c>
      <c r="B137" s="2">
        <v>1.2055</v>
      </c>
      <c r="C137" s="1">
        <f>Tabela7[[#This Row],[Alongamento (mm/mm)]]/$I$2</f>
        <v>2.4109999999999999E-2</v>
      </c>
      <c r="D137" s="2">
        <v>50.689</v>
      </c>
      <c r="E137" s="1">
        <f>Tabela7[[#This Row],[Força (N)]]/$I$5</f>
        <v>1190933.7819295905</v>
      </c>
      <c r="F137" s="1">
        <f>Tabela7[[#This Row],[Tensão (Pa)]]/1000000</f>
        <v>1.1909337819295904</v>
      </c>
    </row>
    <row r="138" spans="1:6" x14ac:dyDescent="0.3">
      <c r="A138" s="2">
        <v>14.617000000000001</v>
      </c>
      <c r="B138" s="2">
        <v>1.2111000000000001</v>
      </c>
      <c r="C138" s="1">
        <f>Tabela7[[#This Row],[Alongamento (mm/mm)]]/$I$2</f>
        <v>2.4222E-2</v>
      </c>
      <c r="D138" s="2">
        <v>51.37</v>
      </c>
      <c r="E138" s="1">
        <f>Tabela7[[#This Row],[Força (N)]]/$I$5</f>
        <v>1206933.8195214556</v>
      </c>
      <c r="F138" s="1">
        <f>Tabela7[[#This Row],[Tensão (Pa)]]/1000000</f>
        <v>1.2069338195214556</v>
      </c>
    </row>
    <row r="139" spans="1:6" x14ac:dyDescent="0.3">
      <c r="A139" s="2">
        <v>14.667</v>
      </c>
      <c r="B139" s="2">
        <v>1.2152000000000001</v>
      </c>
      <c r="C139" s="1">
        <f>Tabela7[[#This Row],[Alongamento (mm/mm)]]/$I$2</f>
        <v>2.4304000000000003E-2</v>
      </c>
      <c r="D139" s="2">
        <v>52.05</v>
      </c>
      <c r="E139" s="1">
        <f>Tabela7[[#This Row],[Força (N)]]/$I$5</f>
        <v>1222910.3621976203</v>
      </c>
      <c r="F139" s="1">
        <f>Tabela7[[#This Row],[Tensão (Pa)]]/1000000</f>
        <v>1.2229103621976203</v>
      </c>
    </row>
    <row r="140" spans="1:6" x14ac:dyDescent="0.3">
      <c r="A140" s="2">
        <v>14.733000000000001</v>
      </c>
      <c r="B140" s="2">
        <v>1.2206999999999999</v>
      </c>
      <c r="C140" s="1">
        <f>Tabela7[[#This Row],[Alongamento (mm/mm)]]/$I$2</f>
        <v>2.4413999999999998E-2</v>
      </c>
      <c r="D140" s="2">
        <v>52.901000000000003</v>
      </c>
      <c r="E140" s="1">
        <f>Tabela7[[#This Row],[Força (N)]]/$I$5</f>
        <v>1242904.535458527</v>
      </c>
      <c r="F140" s="1">
        <f>Tabela7[[#This Row],[Tensão (Pa)]]/1000000</f>
        <v>1.2429045354585271</v>
      </c>
    </row>
    <row r="141" spans="1:6" x14ac:dyDescent="0.3">
      <c r="A141" s="2">
        <v>14.8</v>
      </c>
      <c r="B141" s="2">
        <v>1.2262999999999999</v>
      </c>
      <c r="C141" s="1">
        <f>Tabela7[[#This Row],[Alongamento (mm/mm)]]/$I$2</f>
        <v>2.4525999999999999E-2</v>
      </c>
      <c r="D141" s="2">
        <v>53.750999999999998</v>
      </c>
      <c r="E141" s="1">
        <f>Tabela7[[#This Row],[Força (N)]]/$I$5</f>
        <v>1262875.213803733</v>
      </c>
      <c r="F141" s="1">
        <f>Tabela7[[#This Row],[Tensão (Pa)]]/1000000</f>
        <v>1.2628752138037329</v>
      </c>
    </row>
    <row r="142" spans="1:6" x14ac:dyDescent="0.3">
      <c r="A142" s="2">
        <v>14.867000000000001</v>
      </c>
      <c r="B142" s="2">
        <v>1.2318</v>
      </c>
      <c r="C142" s="1">
        <f>Tabela7[[#This Row],[Alongamento (mm/mm)]]/$I$2</f>
        <v>2.4636000000000002E-2</v>
      </c>
      <c r="D142" s="2">
        <v>54.601999999999997</v>
      </c>
      <c r="E142" s="1">
        <f>Tabela7[[#This Row],[Força (N)]]/$I$5</f>
        <v>1282869.3870646392</v>
      </c>
      <c r="F142" s="1">
        <f>Tabela7[[#This Row],[Tensão (Pa)]]/1000000</f>
        <v>1.2828693870646393</v>
      </c>
    </row>
    <row r="143" spans="1:6" x14ac:dyDescent="0.3">
      <c r="A143" s="2">
        <v>14.933</v>
      </c>
      <c r="B143" s="2">
        <v>1.2374000000000001</v>
      </c>
      <c r="C143" s="1">
        <f>Tabela7[[#This Row],[Alongamento (mm/mm)]]/$I$2</f>
        <v>2.4748000000000003E-2</v>
      </c>
      <c r="D143" s="2">
        <v>55.281999999999996</v>
      </c>
      <c r="E143" s="1">
        <f>Tabela7[[#This Row],[Força (N)]]/$I$5</f>
        <v>1298845.929740804</v>
      </c>
      <c r="F143" s="1">
        <f>Tabela7[[#This Row],[Tensão (Pa)]]/1000000</f>
        <v>1.2988459297408039</v>
      </c>
    </row>
    <row r="144" spans="1:6" x14ac:dyDescent="0.3">
      <c r="A144" s="2">
        <v>14.983000000000001</v>
      </c>
      <c r="B144" s="2">
        <v>1.2416</v>
      </c>
      <c r="C144" s="1">
        <f>Tabela7[[#This Row],[Alongamento (mm/mm)]]/$I$2</f>
        <v>2.4832E-2</v>
      </c>
      <c r="D144" s="2">
        <v>55.963000000000001</v>
      </c>
      <c r="E144" s="1">
        <f>Tabela7[[#This Row],[Força (N)]]/$I$5</f>
        <v>1314845.9673326693</v>
      </c>
      <c r="F144" s="1">
        <f>Tabela7[[#This Row],[Tensão (Pa)]]/1000000</f>
        <v>1.3148459673326693</v>
      </c>
    </row>
    <row r="145" spans="1:6" x14ac:dyDescent="0.3">
      <c r="A145" s="2">
        <v>15.032999999999999</v>
      </c>
      <c r="B145" s="2">
        <v>1.2458</v>
      </c>
      <c r="C145" s="1">
        <f>Tabela7[[#This Row],[Alongamento (mm/mm)]]/$I$2</f>
        <v>2.4916000000000001E-2</v>
      </c>
      <c r="D145" s="2">
        <v>56.643000000000001</v>
      </c>
      <c r="E145" s="1">
        <f>Tabela7[[#This Row],[Força (N)]]/$I$5</f>
        <v>1330822.5100088341</v>
      </c>
      <c r="F145" s="1">
        <f>Tabela7[[#This Row],[Tensão (Pa)]]/1000000</f>
        <v>1.330822510008834</v>
      </c>
    </row>
    <row r="146" spans="1:6" x14ac:dyDescent="0.3">
      <c r="A146" s="2">
        <v>15.083</v>
      </c>
      <c r="B146" s="2">
        <v>1.25</v>
      </c>
      <c r="C146" s="1">
        <f>Tabela7[[#This Row],[Alongamento (mm/mm)]]/$I$2</f>
        <v>2.5000000000000001E-2</v>
      </c>
      <c r="D146" s="2">
        <v>57.323</v>
      </c>
      <c r="E146" s="1">
        <f>Tabela7[[#This Row],[Força (N)]]/$I$5</f>
        <v>1346799.0526849991</v>
      </c>
      <c r="F146" s="1">
        <f>Tabela7[[#This Row],[Tensão (Pa)]]/1000000</f>
        <v>1.3467990526849991</v>
      </c>
    </row>
    <row r="147" spans="1:6" x14ac:dyDescent="0.3">
      <c r="A147" s="2">
        <v>15.15</v>
      </c>
      <c r="B147" s="2">
        <v>1.2554000000000001</v>
      </c>
      <c r="C147" s="1">
        <f>Tabela7[[#This Row],[Alongamento (mm/mm)]]/$I$2</f>
        <v>2.5108000000000002E-2</v>
      </c>
      <c r="D147" s="2">
        <v>58.173999999999999</v>
      </c>
      <c r="E147" s="1">
        <f>Tabela7[[#This Row],[Força (N)]]/$I$5</f>
        <v>1366793.2259459053</v>
      </c>
      <c r="F147" s="1">
        <f>Tabela7[[#This Row],[Tensão (Pa)]]/1000000</f>
        <v>1.3667932259459052</v>
      </c>
    </row>
    <row r="148" spans="1:6" x14ac:dyDescent="0.3">
      <c r="A148" s="2">
        <v>15.217000000000001</v>
      </c>
      <c r="B148" s="2">
        <v>1.2609999999999999</v>
      </c>
      <c r="C148" s="1">
        <f>Tabela7[[#This Row],[Alongamento (mm/mm)]]/$I$2</f>
        <v>2.5219999999999999E-2</v>
      </c>
      <c r="D148" s="2">
        <v>58.853999999999999</v>
      </c>
      <c r="E148" s="1">
        <f>Tabela7[[#This Row],[Força (N)]]/$I$5</f>
        <v>1382769.7686220703</v>
      </c>
      <c r="F148" s="1">
        <f>Tabela7[[#This Row],[Tensão (Pa)]]/1000000</f>
        <v>1.3827697686220703</v>
      </c>
    </row>
    <row r="149" spans="1:6" x14ac:dyDescent="0.3">
      <c r="A149" s="2">
        <v>15.266999999999999</v>
      </c>
      <c r="B149" s="2">
        <v>1.2652000000000001</v>
      </c>
      <c r="C149" s="1">
        <f>Tabela7[[#This Row],[Alongamento (mm/mm)]]/$I$2</f>
        <v>2.5304000000000004E-2</v>
      </c>
      <c r="D149" s="2">
        <v>59.534999999999997</v>
      </c>
      <c r="E149" s="1">
        <f>Tabela7[[#This Row],[Força (N)]]/$I$5</f>
        <v>1398769.8062139354</v>
      </c>
      <c r="F149" s="1">
        <f>Tabela7[[#This Row],[Tensão (Pa)]]/1000000</f>
        <v>1.3987698062139353</v>
      </c>
    </row>
    <row r="150" spans="1:6" x14ac:dyDescent="0.3">
      <c r="A150" s="2">
        <v>15.317</v>
      </c>
      <c r="B150" s="2">
        <v>1.2694000000000001</v>
      </c>
      <c r="C150" s="1">
        <f>Tabela7[[#This Row],[Alongamento (mm/mm)]]/$I$2</f>
        <v>2.5388000000000001E-2</v>
      </c>
      <c r="D150" s="2">
        <v>60.215000000000003</v>
      </c>
      <c r="E150" s="1">
        <f>Tabela7[[#This Row],[Força (N)]]/$I$5</f>
        <v>1414746.3488901004</v>
      </c>
      <c r="F150" s="1">
        <f>Tabela7[[#This Row],[Tensão (Pa)]]/1000000</f>
        <v>1.4147463488901004</v>
      </c>
    </row>
    <row r="151" spans="1:6" x14ac:dyDescent="0.3">
      <c r="A151" s="2">
        <v>15.367000000000001</v>
      </c>
      <c r="B151" s="2">
        <v>1.2735000000000001</v>
      </c>
      <c r="C151" s="1">
        <f>Tabela7[[#This Row],[Alongamento (mm/mm)]]/$I$2</f>
        <v>2.5470000000000003E-2</v>
      </c>
      <c r="D151" s="2">
        <v>60.895000000000003</v>
      </c>
      <c r="E151" s="1">
        <f>Tabela7[[#This Row],[Força (N)]]/$I$5</f>
        <v>1430722.8915662651</v>
      </c>
      <c r="F151" s="1">
        <f>Tabela7[[#This Row],[Tensão (Pa)]]/1000000</f>
        <v>1.4307228915662651</v>
      </c>
    </row>
    <row r="152" spans="1:6" x14ac:dyDescent="0.3">
      <c r="A152" s="2">
        <v>15.417</v>
      </c>
      <c r="B152" s="2">
        <v>1.2776000000000001</v>
      </c>
      <c r="C152" s="1">
        <f>Tabela7[[#This Row],[Alongamento (mm/mm)]]/$I$2</f>
        <v>2.5552000000000002E-2</v>
      </c>
      <c r="D152" s="2">
        <v>61.576000000000001</v>
      </c>
      <c r="E152" s="1">
        <f>Tabela7[[#This Row],[Força (N)]]/$I$5</f>
        <v>1446722.9291581302</v>
      </c>
      <c r="F152" s="1">
        <f>Tabela7[[#This Row],[Tensão (Pa)]]/1000000</f>
        <v>1.4467229291581303</v>
      </c>
    </row>
    <row r="153" spans="1:6" x14ac:dyDescent="0.3">
      <c r="A153" s="2">
        <v>15.467000000000001</v>
      </c>
      <c r="B153" s="2">
        <v>1.2819</v>
      </c>
      <c r="C153" s="1">
        <f>Tabela7[[#This Row],[Alongamento (mm/mm)]]/$I$2</f>
        <v>2.5638000000000001E-2</v>
      </c>
      <c r="D153" s="2">
        <v>62.256</v>
      </c>
      <c r="E153" s="1">
        <f>Tabela7[[#This Row],[Força (N)]]/$I$5</f>
        <v>1462699.4718342952</v>
      </c>
      <c r="F153" s="1">
        <f>Tabela7[[#This Row],[Tensão (Pa)]]/1000000</f>
        <v>1.4626994718342952</v>
      </c>
    </row>
    <row r="154" spans="1:6" x14ac:dyDescent="0.3">
      <c r="A154" s="2">
        <v>15.516999999999999</v>
      </c>
      <c r="B154" s="2">
        <v>1.2861</v>
      </c>
      <c r="C154" s="1">
        <f>Tabela7[[#This Row],[Alongamento (mm/mm)]]/$I$2</f>
        <v>2.5722000000000002E-2</v>
      </c>
      <c r="D154" s="2">
        <v>62.936999999999998</v>
      </c>
      <c r="E154" s="1">
        <f>Tabela7[[#This Row],[Força (N)]]/$I$5</f>
        <v>1478699.5094261602</v>
      </c>
      <c r="F154" s="1">
        <f>Tabela7[[#This Row],[Tensão (Pa)]]/1000000</f>
        <v>1.4786995094261604</v>
      </c>
    </row>
    <row r="155" spans="1:6" x14ac:dyDescent="0.3">
      <c r="A155" s="2">
        <v>15.567</v>
      </c>
      <c r="B155" s="2">
        <v>1.2902</v>
      </c>
      <c r="C155" s="1">
        <f>Tabela7[[#This Row],[Alongamento (mm/mm)]]/$I$2</f>
        <v>2.5804000000000001E-2</v>
      </c>
      <c r="D155" s="2">
        <v>63.616999999999997</v>
      </c>
      <c r="E155" s="1">
        <f>Tabela7[[#This Row],[Força (N)]]/$I$5</f>
        <v>1494676.052102325</v>
      </c>
      <c r="F155" s="1">
        <f>Tabela7[[#This Row],[Tensão (Pa)]]/1000000</f>
        <v>1.494676052102325</v>
      </c>
    </row>
    <row r="156" spans="1:6" x14ac:dyDescent="0.3">
      <c r="A156" s="2">
        <v>15.617000000000001</v>
      </c>
      <c r="B156" s="2">
        <v>1.2943</v>
      </c>
      <c r="C156" s="1">
        <f>Tabela7[[#This Row],[Alongamento (mm/mm)]]/$I$2</f>
        <v>2.5885999999999999E-2</v>
      </c>
      <c r="D156" s="2">
        <v>64.296999999999997</v>
      </c>
      <c r="E156" s="1">
        <f>Tabela7[[#This Row],[Força (N)]]/$I$5</f>
        <v>1510652.59477849</v>
      </c>
      <c r="F156" s="1">
        <f>Tabela7[[#This Row],[Tensão (Pa)]]/1000000</f>
        <v>1.5106525947784901</v>
      </c>
    </row>
    <row r="157" spans="1:6" x14ac:dyDescent="0.3">
      <c r="A157" s="2">
        <v>15.667</v>
      </c>
      <c r="B157" s="2">
        <v>1.2985</v>
      </c>
      <c r="C157" s="1">
        <f>Tabela7[[#This Row],[Alongamento (mm/mm)]]/$I$2</f>
        <v>2.597E-2</v>
      </c>
      <c r="D157" s="2">
        <v>64.977999999999994</v>
      </c>
      <c r="E157" s="1">
        <f>Tabela7[[#This Row],[Força (N)]]/$I$5</f>
        <v>1526652.6323703551</v>
      </c>
      <c r="F157" s="1">
        <f>Tabela7[[#This Row],[Tensão (Pa)]]/1000000</f>
        <v>1.5266526323703551</v>
      </c>
    </row>
    <row r="158" spans="1:6" x14ac:dyDescent="0.3">
      <c r="A158" s="2">
        <v>15.717000000000001</v>
      </c>
      <c r="B158" s="2">
        <v>1.3027</v>
      </c>
      <c r="C158" s="1">
        <f>Tabela7[[#This Row],[Alongamento (mm/mm)]]/$I$2</f>
        <v>2.6054000000000001E-2</v>
      </c>
      <c r="D158" s="2">
        <v>65.658000000000001</v>
      </c>
      <c r="E158" s="1">
        <f>Tabela7[[#This Row],[Força (N)]]/$I$5</f>
        <v>1542629.1750465201</v>
      </c>
      <c r="F158" s="1">
        <f>Tabela7[[#This Row],[Tensão (Pa)]]/1000000</f>
        <v>1.54262917504652</v>
      </c>
    </row>
    <row r="159" spans="1:6" x14ac:dyDescent="0.3">
      <c r="A159" s="2">
        <v>15.766999999999999</v>
      </c>
      <c r="B159" s="2">
        <v>1.3069</v>
      </c>
      <c r="C159" s="1">
        <f>Tabela7[[#This Row],[Alongamento (mm/mm)]]/$I$2</f>
        <v>2.6137999999999998E-2</v>
      </c>
      <c r="D159" s="2">
        <v>66.338999999999999</v>
      </c>
      <c r="E159" s="1">
        <f>Tabela7[[#This Row],[Força (N)]]/$I$5</f>
        <v>1558629.2126383851</v>
      </c>
      <c r="F159" s="1">
        <f>Tabela7[[#This Row],[Tensão (Pa)]]/1000000</f>
        <v>1.5586292126383852</v>
      </c>
    </row>
    <row r="160" spans="1:6" x14ac:dyDescent="0.3">
      <c r="A160" s="2">
        <v>15.817</v>
      </c>
      <c r="B160" s="2">
        <v>1.3110999999999999</v>
      </c>
      <c r="C160" s="1">
        <f>Tabela7[[#This Row],[Alongamento (mm/mm)]]/$I$2</f>
        <v>2.6221999999999999E-2</v>
      </c>
      <c r="D160" s="2">
        <v>67.019000000000005</v>
      </c>
      <c r="E160" s="1">
        <f>Tabela7[[#This Row],[Força (N)]]/$I$5</f>
        <v>1574605.7553145501</v>
      </c>
      <c r="F160" s="1">
        <f>Tabela7[[#This Row],[Tensão (Pa)]]/1000000</f>
        <v>1.57460575531455</v>
      </c>
    </row>
    <row r="161" spans="1:6" x14ac:dyDescent="0.3">
      <c r="A161" s="2">
        <v>15.867000000000001</v>
      </c>
      <c r="B161" s="2">
        <v>1.3151999999999999</v>
      </c>
      <c r="C161" s="1">
        <f>Tabela7[[#This Row],[Alongamento (mm/mm)]]/$I$2</f>
        <v>2.6303999999999998E-2</v>
      </c>
      <c r="D161" s="2">
        <v>67.698999999999998</v>
      </c>
      <c r="E161" s="1">
        <f>Tabela7[[#This Row],[Força (N)]]/$I$5</f>
        <v>1590582.2979907149</v>
      </c>
      <c r="F161" s="1">
        <f>Tabela7[[#This Row],[Tensão (Pa)]]/1000000</f>
        <v>1.5905822979907149</v>
      </c>
    </row>
    <row r="162" spans="1:6" x14ac:dyDescent="0.3">
      <c r="A162" s="2">
        <v>15.917</v>
      </c>
      <c r="B162" s="2">
        <v>1.3193999999999999</v>
      </c>
      <c r="C162" s="1">
        <f>Tabela7[[#This Row],[Alongamento (mm/mm)]]/$I$2</f>
        <v>2.6387999999999998E-2</v>
      </c>
      <c r="D162" s="2">
        <v>68.38</v>
      </c>
      <c r="E162" s="1">
        <f>Tabela7[[#This Row],[Força (N)]]/$I$5</f>
        <v>1606582.33558258</v>
      </c>
      <c r="F162" s="1">
        <f>Tabela7[[#This Row],[Tensão (Pa)]]/1000000</f>
        <v>1.6065823355825799</v>
      </c>
    </row>
    <row r="163" spans="1:6" x14ac:dyDescent="0.3">
      <c r="A163" s="2">
        <v>15.967000000000001</v>
      </c>
      <c r="B163" s="2">
        <v>1.3236000000000001</v>
      </c>
      <c r="C163" s="1">
        <f>Tabela7[[#This Row],[Alongamento (mm/mm)]]/$I$2</f>
        <v>2.6472000000000002E-2</v>
      </c>
      <c r="D163" s="2">
        <v>69.06</v>
      </c>
      <c r="E163" s="1">
        <f>Tabela7[[#This Row],[Força (N)]]/$I$5</f>
        <v>1622558.878258745</v>
      </c>
      <c r="F163" s="1">
        <f>Tabela7[[#This Row],[Tensão (Pa)]]/1000000</f>
        <v>1.622558878258745</v>
      </c>
    </row>
    <row r="164" spans="1:6" x14ac:dyDescent="0.3">
      <c r="A164" s="2">
        <v>16.016999999999999</v>
      </c>
      <c r="B164" s="2">
        <v>1.3278000000000001</v>
      </c>
      <c r="C164" s="1">
        <f>Tabela7[[#This Row],[Alongamento (mm/mm)]]/$I$2</f>
        <v>2.6556000000000003E-2</v>
      </c>
      <c r="D164" s="2">
        <v>69.741</v>
      </c>
      <c r="E164" s="1">
        <f>Tabela7[[#This Row],[Força (N)]]/$I$5</f>
        <v>1638558.91585061</v>
      </c>
      <c r="F164" s="1">
        <f>Tabela7[[#This Row],[Tensão (Pa)]]/1000000</f>
        <v>1.63855891585061</v>
      </c>
    </row>
    <row r="165" spans="1:6" x14ac:dyDescent="0.3">
      <c r="A165" s="2">
        <v>16.067</v>
      </c>
      <c r="B165" s="2">
        <v>1.3318000000000001</v>
      </c>
      <c r="C165" s="1">
        <f>Tabela7[[#This Row],[Alongamento (mm/mm)]]/$I$2</f>
        <v>2.6636000000000003E-2</v>
      </c>
      <c r="D165" s="2">
        <v>70.590999999999994</v>
      </c>
      <c r="E165" s="1">
        <f>Tabela7[[#This Row],[Força (N)]]/$I$5</f>
        <v>1658529.594195816</v>
      </c>
      <c r="F165" s="1">
        <f>Tabela7[[#This Row],[Tensão (Pa)]]/1000000</f>
        <v>1.658529594195816</v>
      </c>
    </row>
    <row r="166" spans="1:6" x14ac:dyDescent="0.3">
      <c r="A166" s="2">
        <v>16.117000000000001</v>
      </c>
      <c r="B166" s="2">
        <v>1.3360000000000001</v>
      </c>
      <c r="C166" s="1">
        <f>Tabela7[[#This Row],[Alongamento (mm/mm)]]/$I$2</f>
        <v>2.6720000000000001E-2</v>
      </c>
      <c r="D166" s="2">
        <v>71.271000000000001</v>
      </c>
      <c r="E166" s="1">
        <f>Tabela7[[#This Row],[Força (N)]]/$I$5</f>
        <v>1674506.136871981</v>
      </c>
      <c r="F166" s="1">
        <f>Tabela7[[#This Row],[Tensão (Pa)]]/1000000</f>
        <v>1.6745061368719809</v>
      </c>
    </row>
    <row r="167" spans="1:6" x14ac:dyDescent="0.3">
      <c r="A167" s="2">
        <v>16.167000000000002</v>
      </c>
      <c r="B167" s="2">
        <v>1.3401000000000001</v>
      </c>
      <c r="C167" s="1">
        <f>Tabela7[[#This Row],[Alongamento (mm/mm)]]/$I$2</f>
        <v>2.6802000000000003E-2</v>
      </c>
      <c r="D167" s="2">
        <v>71.951999999999998</v>
      </c>
      <c r="E167" s="1">
        <f>Tabela7[[#This Row],[Força (N)]]/$I$5</f>
        <v>1690506.174463846</v>
      </c>
      <c r="F167" s="1">
        <f>Tabela7[[#This Row],[Tensão (Pa)]]/1000000</f>
        <v>1.6905061744638461</v>
      </c>
    </row>
    <row r="168" spans="1:6" x14ac:dyDescent="0.3">
      <c r="A168" s="2">
        <v>16.216999999999999</v>
      </c>
      <c r="B168" s="2">
        <v>1.3444</v>
      </c>
      <c r="C168" s="1">
        <f>Tabela7[[#This Row],[Alongamento (mm/mm)]]/$I$2</f>
        <v>2.6888000000000002E-2</v>
      </c>
      <c r="D168" s="2">
        <v>72.632000000000005</v>
      </c>
      <c r="E168" s="1">
        <f>Tabela7[[#This Row],[Força (N)]]/$I$5</f>
        <v>1706482.717140011</v>
      </c>
      <c r="F168" s="1">
        <f>Tabela7[[#This Row],[Tensão (Pa)]]/1000000</f>
        <v>1.706482717140011</v>
      </c>
    </row>
    <row r="169" spans="1:6" x14ac:dyDescent="0.3">
      <c r="A169" s="2">
        <v>16.266999999999999</v>
      </c>
      <c r="B169" s="2">
        <v>1.3486</v>
      </c>
      <c r="C169" s="1">
        <f>Tabela7[[#This Row],[Alongamento (mm/mm)]]/$I$2</f>
        <v>2.6971999999999999E-2</v>
      </c>
      <c r="D169" s="2">
        <v>73.313000000000002</v>
      </c>
      <c r="E169" s="1">
        <f>Tabela7[[#This Row],[Força (N)]]/$I$5</f>
        <v>1722482.7547318761</v>
      </c>
      <c r="F169" s="1">
        <f>Tabela7[[#This Row],[Tensão (Pa)]]/1000000</f>
        <v>1.7224827547318762</v>
      </c>
    </row>
    <row r="170" spans="1:6" x14ac:dyDescent="0.3">
      <c r="A170" s="2">
        <v>16.317</v>
      </c>
      <c r="B170" s="2">
        <v>1.3527</v>
      </c>
      <c r="C170" s="1">
        <f>Tabela7[[#This Row],[Alongamento (mm/mm)]]/$I$2</f>
        <v>2.7054000000000002E-2</v>
      </c>
      <c r="D170" s="2">
        <v>73.992999999999995</v>
      </c>
      <c r="E170" s="1">
        <f>Tabela7[[#This Row],[Força (N)]]/$I$5</f>
        <v>1738459.2974080408</v>
      </c>
      <c r="F170" s="1">
        <f>Tabela7[[#This Row],[Tensão (Pa)]]/1000000</f>
        <v>1.7384592974080408</v>
      </c>
    </row>
    <row r="171" spans="1:6" x14ac:dyDescent="0.3">
      <c r="A171" s="2">
        <v>16.367000000000001</v>
      </c>
      <c r="B171" s="2">
        <v>1.3569</v>
      </c>
      <c r="C171" s="1">
        <f>Tabela7[[#This Row],[Alongamento (mm/mm)]]/$I$2</f>
        <v>2.7137999999999999E-2</v>
      </c>
      <c r="D171" s="2">
        <v>74.843000000000004</v>
      </c>
      <c r="E171" s="1">
        <f>Tabela7[[#This Row],[Força (N)]]/$I$5</f>
        <v>1758429.9757532473</v>
      </c>
      <c r="F171" s="1">
        <f>Tabela7[[#This Row],[Tensão (Pa)]]/1000000</f>
        <v>1.7584299757532473</v>
      </c>
    </row>
    <row r="172" spans="1:6" x14ac:dyDescent="0.3">
      <c r="A172" s="2">
        <v>16.417000000000002</v>
      </c>
      <c r="B172" s="2">
        <v>1.361</v>
      </c>
      <c r="C172" s="1">
        <f>Tabela7[[#This Row],[Alongamento (mm/mm)]]/$I$2</f>
        <v>2.7220000000000001E-2</v>
      </c>
      <c r="D172" s="2">
        <v>75.524000000000001</v>
      </c>
      <c r="E172" s="1">
        <f>Tabela7[[#This Row],[Força (N)]]/$I$5</f>
        <v>1774430.0133451123</v>
      </c>
      <c r="F172" s="1">
        <f>Tabela7[[#This Row],[Tensão (Pa)]]/1000000</f>
        <v>1.7744300133451123</v>
      </c>
    </row>
    <row r="173" spans="1:6" x14ac:dyDescent="0.3">
      <c r="A173" s="2">
        <v>16.466999999999999</v>
      </c>
      <c r="B173" s="2">
        <v>1.3653</v>
      </c>
      <c r="C173" s="1">
        <f>Tabela7[[#This Row],[Alongamento (mm/mm)]]/$I$2</f>
        <v>2.7306E-2</v>
      </c>
      <c r="D173" s="2">
        <v>76.203999999999994</v>
      </c>
      <c r="E173" s="1">
        <f>Tabela7[[#This Row],[Força (N)]]/$I$5</f>
        <v>1790406.5560212769</v>
      </c>
      <c r="F173" s="1">
        <f>Tabela7[[#This Row],[Tensão (Pa)]]/1000000</f>
        <v>1.790406556021277</v>
      </c>
    </row>
    <row r="174" spans="1:6" x14ac:dyDescent="0.3">
      <c r="A174" s="2">
        <v>16.516999999999999</v>
      </c>
      <c r="B174" s="2">
        <v>1.3694</v>
      </c>
      <c r="C174" s="1">
        <f>Tabela7[[#This Row],[Alongamento (mm/mm)]]/$I$2</f>
        <v>2.7387999999999999E-2</v>
      </c>
      <c r="D174" s="2">
        <v>76.885000000000005</v>
      </c>
      <c r="E174" s="1">
        <f>Tabela7[[#This Row],[Força (N)]]/$I$5</f>
        <v>1806406.5936131424</v>
      </c>
      <c r="F174" s="1">
        <f>Tabela7[[#This Row],[Tensão (Pa)]]/1000000</f>
        <v>1.8064065936131424</v>
      </c>
    </row>
    <row r="175" spans="1:6" x14ac:dyDescent="0.3">
      <c r="A175" s="2">
        <v>16.567</v>
      </c>
      <c r="B175" s="2">
        <v>1.3734999999999999</v>
      </c>
      <c r="C175" s="1">
        <f>Tabela7[[#This Row],[Alongamento (mm/mm)]]/$I$2</f>
        <v>2.7469999999999998E-2</v>
      </c>
      <c r="D175" s="2">
        <v>77.734999999999999</v>
      </c>
      <c r="E175" s="1">
        <f>Tabela7[[#This Row],[Força (N)]]/$I$5</f>
        <v>1826377.2719583483</v>
      </c>
      <c r="F175" s="1">
        <f>Tabela7[[#This Row],[Tensão (Pa)]]/1000000</f>
        <v>1.8263772719583484</v>
      </c>
    </row>
    <row r="176" spans="1:6" x14ac:dyDescent="0.3">
      <c r="A176" s="2">
        <v>16.617000000000001</v>
      </c>
      <c r="B176" s="2">
        <v>1.3776999999999999</v>
      </c>
      <c r="C176" s="1">
        <f>Tabela7[[#This Row],[Alongamento (mm/mm)]]/$I$2</f>
        <v>2.7553999999999999E-2</v>
      </c>
      <c r="D176" s="2">
        <v>78.415999999999997</v>
      </c>
      <c r="E176" s="1">
        <f>Tabela7[[#This Row],[Força (N)]]/$I$5</f>
        <v>1842377.3095502134</v>
      </c>
      <c r="F176" s="1">
        <f>Tabela7[[#This Row],[Tensão (Pa)]]/1000000</f>
        <v>1.8423773095502134</v>
      </c>
    </row>
    <row r="177" spans="1:6" x14ac:dyDescent="0.3">
      <c r="A177" s="2">
        <v>16.667000000000002</v>
      </c>
      <c r="B177" s="2">
        <v>1.3818999999999999</v>
      </c>
      <c r="C177" s="1">
        <f>Tabela7[[#This Row],[Alongamento (mm/mm)]]/$I$2</f>
        <v>2.7637999999999999E-2</v>
      </c>
      <c r="D177" s="2">
        <v>79.096000000000004</v>
      </c>
      <c r="E177" s="1">
        <f>Tabela7[[#This Row],[Força (N)]]/$I$5</f>
        <v>1858353.8522263784</v>
      </c>
      <c r="F177" s="1">
        <f>Tabela7[[#This Row],[Tensão (Pa)]]/1000000</f>
        <v>1.8583538522263785</v>
      </c>
    </row>
    <row r="178" spans="1:6" x14ac:dyDescent="0.3">
      <c r="A178" s="2">
        <v>16.716999999999999</v>
      </c>
      <c r="B178" s="2">
        <v>1.3859999999999999</v>
      </c>
      <c r="C178" s="1">
        <f>Tabela7[[#This Row],[Alongamento (mm/mm)]]/$I$2</f>
        <v>2.7719999999999998E-2</v>
      </c>
      <c r="D178" s="2">
        <v>79.945999999999998</v>
      </c>
      <c r="E178" s="1">
        <f>Tabela7[[#This Row],[Força (N)]]/$I$5</f>
        <v>1878324.5305715844</v>
      </c>
      <c r="F178" s="1">
        <f>Tabela7[[#This Row],[Tensão (Pa)]]/1000000</f>
        <v>1.8783245305715843</v>
      </c>
    </row>
    <row r="179" spans="1:6" x14ac:dyDescent="0.3">
      <c r="A179" s="2">
        <v>16.766999999999999</v>
      </c>
      <c r="B179" s="2">
        <v>1.3903000000000001</v>
      </c>
      <c r="C179" s="1">
        <f>Tabela7[[#This Row],[Alongamento (mm/mm)]]/$I$2</f>
        <v>2.7806000000000001E-2</v>
      </c>
      <c r="D179" s="2">
        <v>80.626999999999995</v>
      </c>
      <c r="E179" s="1">
        <f>Tabela7[[#This Row],[Força (N)]]/$I$5</f>
        <v>1894324.5681634494</v>
      </c>
      <c r="F179" s="1">
        <f>Tabela7[[#This Row],[Tensão (Pa)]]/1000000</f>
        <v>1.8943245681634495</v>
      </c>
    </row>
    <row r="180" spans="1:6" x14ac:dyDescent="0.3">
      <c r="A180" s="2">
        <v>16.817</v>
      </c>
      <c r="B180" s="2">
        <v>1.3944000000000001</v>
      </c>
      <c r="C180" s="1">
        <f>Tabela7[[#This Row],[Alongamento (mm/mm)]]/$I$2</f>
        <v>2.7888000000000003E-2</v>
      </c>
      <c r="D180" s="2">
        <v>81.307000000000002</v>
      </c>
      <c r="E180" s="1">
        <f>Tabela7[[#This Row],[Força (N)]]/$I$5</f>
        <v>1910301.1108396144</v>
      </c>
      <c r="F180" s="1">
        <f>Tabela7[[#This Row],[Tensão (Pa)]]/1000000</f>
        <v>1.9103011108396144</v>
      </c>
    </row>
    <row r="181" spans="1:6" x14ac:dyDescent="0.3">
      <c r="A181" s="2">
        <v>16.867000000000001</v>
      </c>
      <c r="B181" s="2">
        <v>1.3986000000000001</v>
      </c>
      <c r="C181" s="1">
        <f>Tabela7[[#This Row],[Alongamento (mm/mm)]]/$I$2</f>
        <v>2.7972E-2</v>
      </c>
      <c r="D181" s="2">
        <v>82.158000000000001</v>
      </c>
      <c r="E181" s="1">
        <f>Tabela7[[#This Row],[Força (N)]]/$I$5</f>
        <v>1930295.2841005209</v>
      </c>
      <c r="F181" s="1">
        <f>Tabela7[[#This Row],[Tensão (Pa)]]/1000000</f>
        <v>1.930295284100521</v>
      </c>
    </row>
    <row r="182" spans="1:6" x14ac:dyDescent="0.3">
      <c r="A182" s="2">
        <v>16.917000000000002</v>
      </c>
      <c r="B182" s="2">
        <v>1.4027000000000001</v>
      </c>
      <c r="C182" s="1">
        <f>Tabela7[[#This Row],[Alongamento (mm/mm)]]/$I$2</f>
        <v>2.8054000000000003E-2</v>
      </c>
      <c r="D182" s="2">
        <v>82.837999999999994</v>
      </c>
      <c r="E182" s="1">
        <f>Tabela7[[#This Row],[Força (N)]]/$I$5</f>
        <v>1946271.8267766854</v>
      </c>
      <c r="F182" s="1">
        <f>Tabela7[[#This Row],[Tensão (Pa)]]/1000000</f>
        <v>1.9462718267766854</v>
      </c>
    </row>
    <row r="183" spans="1:6" x14ac:dyDescent="0.3">
      <c r="A183" s="2">
        <v>16.966999999999999</v>
      </c>
      <c r="B183" s="2">
        <v>1.4069</v>
      </c>
      <c r="C183" s="1">
        <f>Tabela7[[#This Row],[Alongamento (mm/mm)]]/$I$2</f>
        <v>2.8138E-2</v>
      </c>
      <c r="D183" s="2">
        <v>83.688999999999993</v>
      </c>
      <c r="E183" s="1">
        <f>Tabela7[[#This Row],[Força (N)]]/$I$5</f>
        <v>1966266.0000375919</v>
      </c>
      <c r="F183" s="1">
        <f>Tabela7[[#This Row],[Tensão (Pa)]]/1000000</f>
        <v>1.966266000037592</v>
      </c>
    </row>
    <row r="184" spans="1:6" x14ac:dyDescent="0.3">
      <c r="A184" s="2">
        <v>17.016999999999999</v>
      </c>
      <c r="B184" s="2">
        <v>1.411</v>
      </c>
      <c r="C184" s="1">
        <f>Tabela7[[#This Row],[Alongamento (mm/mm)]]/$I$2</f>
        <v>2.8220000000000002E-2</v>
      </c>
      <c r="D184" s="2">
        <v>84.369</v>
      </c>
      <c r="E184" s="1">
        <f>Tabela7[[#This Row],[Força (N)]]/$I$5</f>
        <v>1982242.5427137569</v>
      </c>
      <c r="F184" s="1">
        <f>Tabela7[[#This Row],[Tensão (Pa)]]/1000000</f>
        <v>1.9822425427137569</v>
      </c>
    </row>
    <row r="185" spans="1:6" x14ac:dyDescent="0.3">
      <c r="A185" s="2">
        <v>17.067</v>
      </c>
      <c r="B185" s="2">
        <v>1.4152</v>
      </c>
      <c r="C185" s="1">
        <f>Tabela7[[#This Row],[Alongamento (mm/mm)]]/$I$2</f>
        <v>2.8303999999999999E-2</v>
      </c>
      <c r="D185" s="2">
        <v>85.22</v>
      </c>
      <c r="E185" s="1">
        <f>Tabela7[[#This Row],[Força (N)]]/$I$5</f>
        <v>2002236.7159746632</v>
      </c>
      <c r="F185" s="1">
        <f>Tabela7[[#This Row],[Tensão (Pa)]]/1000000</f>
        <v>2.002236715974663</v>
      </c>
    </row>
    <row r="186" spans="1:6" x14ac:dyDescent="0.3">
      <c r="A186" s="2">
        <v>17.117000000000001</v>
      </c>
      <c r="B186" s="2">
        <v>1.4194</v>
      </c>
      <c r="C186" s="1">
        <f>Tabela7[[#This Row],[Alongamento (mm/mm)]]/$I$2</f>
        <v>2.8388E-2</v>
      </c>
      <c r="D186" s="2">
        <v>85.9</v>
      </c>
      <c r="E186" s="1">
        <f>Tabela7[[#This Row],[Força (N)]]/$I$5</f>
        <v>2018213.2586508282</v>
      </c>
      <c r="F186" s="1">
        <f>Tabela7[[#This Row],[Tensão (Pa)]]/1000000</f>
        <v>2.0182132586508281</v>
      </c>
    </row>
    <row r="187" spans="1:6" x14ac:dyDescent="0.3">
      <c r="A187" s="2">
        <v>17.167000000000002</v>
      </c>
      <c r="B187" s="2">
        <v>1.4235</v>
      </c>
      <c r="C187" s="1">
        <f>Tabela7[[#This Row],[Alongamento (mm/mm)]]/$I$2</f>
        <v>2.8469999999999999E-2</v>
      </c>
      <c r="D187" s="2">
        <v>86.75</v>
      </c>
      <c r="E187" s="1">
        <f>Tabela7[[#This Row],[Força (N)]]/$I$5</f>
        <v>2038183.9369960341</v>
      </c>
      <c r="F187" s="1">
        <f>Tabela7[[#This Row],[Tensão (Pa)]]/1000000</f>
        <v>2.0381839369960342</v>
      </c>
    </row>
    <row r="188" spans="1:6" x14ac:dyDescent="0.3">
      <c r="A188" s="2">
        <v>17.216999999999999</v>
      </c>
      <c r="B188" s="2">
        <v>1.4277</v>
      </c>
      <c r="C188" s="1">
        <f>Tabela7[[#This Row],[Alongamento (mm/mm)]]/$I$2</f>
        <v>2.8554E-2</v>
      </c>
      <c r="D188" s="2">
        <v>87.600999999999999</v>
      </c>
      <c r="E188" s="1">
        <f>Tabela7[[#This Row],[Força (N)]]/$I$5</f>
        <v>2058178.1102569406</v>
      </c>
      <c r="F188" s="1">
        <f>Tabela7[[#This Row],[Tensão (Pa)]]/1000000</f>
        <v>2.0581781102569408</v>
      </c>
    </row>
    <row r="189" spans="1:6" x14ac:dyDescent="0.3">
      <c r="A189" s="2">
        <v>17.266999999999999</v>
      </c>
      <c r="B189" s="2">
        <v>1.4319</v>
      </c>
      <c r="C189" s="1">
        <f>Tabela7[[#This Row],[Alongamento (mm/mm)]]/$I$2</f>
        <v>2.8638E-2</v>
      </c>
      <c r="D189" s="2">
        <v>88.281000000000006</v>
      </c>
      <c r="E189" s="1">
        <f>Tabela7[[#This Row],[Força (N)]]/$I$5</f>
        <v>2074154.6529331056</v>
      </c>
      <c r="F189" s="1">
        <f>Tabela7[[#This Row],[Tensão (Pa)]]/1000000</f>
        <v>2.0741546529331054</v>
      </c>
    </row>
    <row r="190" spans="1:6" x14ac:dyDescent="0.3">
      <c r="A190" s="2">
        <v>17.317</v>
      </c>
      <c r="B190" s="2">
        <v>1.4360999999999999</v>
      </c>
      <c r="C190" s="1">
        <f>Tabela7[[#This Row],[Alongamento (mm/mm)]]/$I$2</f>
        <v>2.8721999999999998E-2</v>
      </c>
      <c r="D190" s="2">
        <v>89.132000000000005</v>
      </c>
      <c r="E190" s="1">
        <f>Tabela7[[#This Row],[Força (N)]]/$I$5</f>
        <v>2094148.8261940118</v>
      </c>
      <c r="F190" s="1">
        <f>Tabela7[[#This Row],[Tensão (Pa)]]/1000000</f>
        <v>2.094148826194012</v>
      </c>
    </row>
    <row r="191" spans="1:6" x14ac:dyDescent="0.3">
      <c r="A191" s="2">
        <v>17.367000000000001</v>
      </c>
      <c r="B191" s="2">
        <v>1.4401999999999999</v>
      </c>
      <c r="C191" s="1">
        <f>Tabela7[[#This Row],[Alongamento (mm/mm)]]/$I$2</f>
        <v>2.8804E-2</v>
      </c>
      <c r="D191" s="2">
        <v>89.981999999999999</v>
      </c>
      <c r="E191" s="1">
        <f>Tabela7[[#This Row],[Força (N)]]/$I$5</f>
        <v>2114119.5045392178</v>
      </c>
      <c r="F191" s="1">
        <f>Tabela7[[#This Row],[Tensão (Pa)]]/1000000</f>
        <v>2.1141195045392176</v>
      </c>
    </row>
    <row r="192" spans="1:6" x14ac:dyDescent="0.3">
      <c r="A192" s="2">
        <v>17.417000000000002</v>
      </c>
      <c r="B192" s="2">
        <v>1.4443999999999999</v>
      </c>
      <c r="C192" s="1">
        <f>Tabela7[[#This Row],[Alongamento (mm/mm)]]/$I$2</f>
        <v>2.8887999999999997E-2</v>
      </c>
      <c r="D192" s="2">
        <v>90.662999999999997</v>
      </c>
      <c r="E192" s="1">
        <f>Tabela7[[#This Row],[Força (N)]]/$I$5</f>
        <v>2130119.5421310831</v>
      </c>
      <c r="F192" s="1">
        <f>Tabela7[[#This Row],[Tensão (Pa)]]/1000000</f>
        <v>2.1301195421310832</v>
      </c>
    </row>
    <row r="193" spans="1:6" x14ac:dyDescent="0.3">
      <c r="A193" s="2">
        <v>17.45</v>
      </c>
      <c r="B193" s="2">
        <v>1.4471000000000001</v>
      </c>
      <c r="C193" s="1">
        <f>Tabela7[[#This Row],[Alongamento (mm/mm)]]/$I$2</f>
        <v>2.8942000000000002E-2</v>
      </c>
      <c r="D193" s="2">
        <v>91.343000000000004</v>
      </c>
      <c r="E193" s="1">
        <f>Tabela7[[#This Row],[Força (N)]]/$I$5</f>
        <v>2146096.0848072479</v>
      </c>
      <c r="F193" s="1">
        <f>Tabela7[[#This Row],[Tensão (Pa)]]/1000000</f>
        <v>2.1460960848072479</v>
      </c>
    </row>
    <row r="194" spans="1:6" x14ac:dyDescent="0.3">
      <c r="A194" s="2">
        <v>17.5</v>
      </c>
      <c r="B194" s="2">
        <v>1.4513</v>
      </c>
      <c r="C194" s="1">
        <f>Tabela7[[#This Row],[Alongamento (mm/mm)]]/$I$2</f>
        <v>2.9026E-2</v>
      </c>
      <c r="D194" s="2">
        <v>92.022999999999996</v>
      </c>
      <c r="E194" s="1">
        <f>Tabela7[[#This Row],[Força (N)]]/$I$5</f>
        <v>2162072.6274834126</v>
      </c>
      <c r="F194" s="1">
        <f>Tabela7[[#This Row],[Tensão (Pa)]]/1000000</f>
        <v>2.1620726274834126</v>
      </c>
    </row>
    <row r="195" spans="1:6" x14ac:dyDescent="0.3">
      <c r="A195" s="2">
        <v>17.533000000000001</v>
      </c>
      <c r="B195" s="2">
        <v>1.454</v>
      </c>
      <c r="C195" s="1">
        <f>Tabela7[[#This Row],[Alongamento (mm/mm)]]/$I$2</f>
        <v>2.9079999999999998E-2</v>
      </c>
      <c r="D195" s="2">
        <v>92.703999999999994</v>
      </c>
      <c r="E195" s="1">
        <f>Tabela7[[#This Row],[Força (N)]]/$I$5</f>
        <v>2178072.6650752779</v>
      </c>
      <c r="F195" s="1">
        <f>Tabela7[[#This Row],[Tensão (Pa)]]/1000000</f>
        <v>2.1780726650752777</v>
      </c>
    </row>
    <row r="196" spans="1:6" x14ac:dyDescent="0.3">
      <c r="A196" s="2">
        <v>17.582999999999998</v>
      </c>
      <c r="B196" s="2">
        <v>1.4581999999999999</v>
      </c>
      <c r="C196" s="1">
        <f>Tabela7[[#This Row],[Alongamento (mm/mm)]]/$I$2</f>
        <v>2.9163999999999999E-2</v>
      </c>
      <c r="D196" s="2">
        <v>93.384</v>
      </c>
      <c r="E196" s="1">
        <f>Tabela7[[#This Row],[Força (N)]]/$I$5</f>
        <v>2194049.2077514427</v>
      </c>
      <c r="F196" s="1">
        <f>Tabela7[[#This Row],[Tensão (Pa)]]/1000000</f>
        <v>2.1940492077514429</v>
      </c>
    </row>
    <row r="197" spans="1:6" x14ac:dyDescent="0.3">
      <c r="A197" s="2">
        <v>17.617000000000001</v>
      </c>
      <c r="B197" s="2">
        <v>1.4611000000000001</v>
      </c>
      <c r="C197" s="1">
        <f>Tabela7[[#This Row],[Alongamento (mm/mm)]]/$I$2</f>
        <v>2.9222000000000001E-2</v>
      </c>
      <c r="D197" s="2">
        <v>94.064999999999998</v>
      </c>
      <c r="E197" s="1">
        <f>Tabela7[[#This Row],[Força (N)]]/$I$5</f>
        <v>2210049.245343308</v>
      </c>
      <c r="F197" s="1">
        <f>Tabela7[[#This Row],[Tensão (Pa)]]/1000000</f>
        <v>2.210049245343308</v>
      </c>
    </row>
    <row r="198" spans="1:6" x14ac:dyDescent="0.3">
      <c r="A198" s="2">
        <v>17.667000000000002</v>
      </c>
      <c r="B198" s="2">
        <v>1.4652000000000001</v>
      </c>
      <c r="C198" s="1">
        <f>Tabela7[[#This Row],[Alongamento (mm/mm)]]/$I$2</f>
        <v>2.9304E-2</v>
      </c>
      <c r="D198" s="2">
        <v>94.745000000000005</v>
      </c>
      <c r="E198" s="1">
        <f>Tabela7[[#This Row],[Força (N)]]/$I$5</f>
        <v>2226025.7880194727</v>
      </c>
      <c r="F198" s="1">
        <f>Tabela7[[#This Row],[Tensão (Pa)]]/1000000</f>
        <v>2.2260257880194727</v>
      </c>
    </row>
    <row r="199" spans="1:6" x14ac:dyDescent="0.3">
      <c r="A199" s="2">
        <v>17.7</v>
      </c>
      <c r="B199" s="2">
        <v>1.468</v>
      </c>
      <c r="C199" s="1">
        <f>Tabela7[[#This Row],[Alongamento (mm/mm)]]/$I$2</f>
        <v>2.9360000000000001E-2</v>
      </c>
      <c r="D199" s="2">
        <v>95.424999999999997</v>
      </c>
      <c r="E199" s="1">
        <f>Tabela7[[#This Row],[Força (N)]]/$I$5</f>
        <v>2242002.3306956375</v>
      </c>
      <c r="F199" s="1">
        <f>Tabela7[[#This Row],[Tensão (Pa)]]/1000000</f>
        <v>2.2420023306956374</v>
      </c>
    </row>
    <row r="200" spans="1:6" x14ac:dyDescent="0.3">
      <c r="A200" s="2">
        <v>17.75</v>
      </c>
      <c r="B200" s="2">
        <v>1.4722</v>
      </c>
      <c r="C200" s="1">
        <f>Tabela7[[#This Row],[Alongamento (mm/mm)]]/$I$2</f>
        <v>2.9443999999999998E-2</v>
      </c>
      <c r="D200" s="2">
        <v>96.275999999999996</v>
      </c>
      <c r="E200" s="1">
        <f>Tabela7[[#This Row],[Força (N)]]/$I$5</f>
        <v>2261996.5039565437</v>
      </c>
      <c r="F200" s="1">
        <f>Tabela7[[#This Row],[Tensão (Pa)]]/1000000</f>
        <v>2.2619965039565439</v>
      </c>
    </row>
    <row r="201" spans="1:6" x14ac:dyDescent="0.3">
      <c r="A201" s="2">
        <v>17.8</v>
      </c>
      <c r="B201" s="2">
        <v>1.4763999999999999</v>
      </c>
      <c r="C201" s="1">
        <f>Tabela7[[#This Row],[Alongamento (mm/mm)]]/$I$2</f>
        <v>2.9527999999999999E-2</v>
      </c>
      <c r="D201" s="2">
        <v>96.956000000000003</v>
      </c>
      <c r="E201" s="1">
        <f>Tabela7[[#This Row],[Força (N)]]/$I$5</f>
        <v>2277973.046632709</v>
      </c>
      <c r="F201" s="1">
        <f>Tabela7[[#This Row],[Tensão (Pa)]]/1000000</f>
        <v>2.2779730466327091</v>
      </c>
    </row>
    <row r="202" spans="1:6" x14ac:dyDescent="0.3">
      <c r="A202" s="2">
        <v>17.832999999999998</v>
      </c>
      <c r="B202" s="2">
        <v>1.4791000000000001</v>
      </c>
      <c r="C202" s="1">
        <f>Tabela7[[#This Row],[Alongamento (mm/mm)]]/$I$2</f>
        <v>2.9582000000000001E-2</v>
      </c>
      <c r="D202" s="2">
        <v>97.637</v>
      </c>
      <c r="E202" s="1">
        <f>Tabela7[[#This Row],[Força (N)]]/$I$5</f>
        <v>2293973.0842245738</v>
      </c>
      <c r="F202" s="1">
        <f>Tabela7[[#This Row],[Tensão (Pa)]]/1000000</f>
        <v>2.2939730842245738</v>
      </c>
    </row>
    <row r="203" spans="1:6" x14ac:dyDescent="0.3">
      <c r="A203" s="2">
        <v>17.882999999999999</v>
      </c>
      <c r="B203" s="2">
        <v>1.4833000000000001</v>
      </c>
      <c r="C203" s="1">
        <f>Tabela7[[#This Row],[Alongamento (mm/mm)]]/$I$2</f>
        <v>2.9666000000000001E-2</v>
      </c>
      <c r="D203" s="2">
        <v>98.486999999999995</v>
      </c>
      <c r="E203" s="1">
        <f>Tabela7[[#This Row],[Força (N)]]/$I$5</f>
        <v>2313943.76256978</v>
      </c>
      <c r="F203" s="1">
        <f>Tabela7[[#This Row],[Tensão (Pa)]]/1000000</f>
        <v>2.3139437625697798</v>
      </c>
    </row>
    <row r="204" spans="1:6" x14ac:dyDescent="0.3">
      <c r="A204" s="2">
        <v>17.933</v>
      </c>
      <c r="B204" s="2">
        <v>1.4874000000000001</v>
      </c>
      <c r="C204" s="1">
        <f>Tabela7[[#This Row],[Alongamento (mm/mm)]]/$I$2</f>
        <v>2.9748E-2</v>
      </c>
      <c r="D204" s="2">
        <v>99.337999999999994</v>
      </c>
      <c r="E204" s="1">
        <f>Tabela7[[#This Row],[Força (N)]]/$I$5</f>
        <v>2333937.9358306862</v>
      </c>
      <c r="F204" s="1">
        <f>Tabela7[[#This Row],[Tensão (Pa)]]/1000000</f>
        <v>2.3339379358306864</v>
      </c>
    </row>
    <row r="205" spans="1:6" x14ac:dyDescent="0.3">
      <c r="A205" s="2">
        <v>17.983000000000001</v>
      </c>
      <c r="B205" s="2">
        <v>1.4916</v>
      </c>
      <c r="C205" s="1">
        <f>Tabela7[[#This Row],[Alongamento (mm/mm)]]/$I$2</f>
        <v>2.9832000000000001E-2</v>
      </c>
      <c r="D205" s="2">
        <v>100.19</v>
      </c>
      <c r="E205" s="1">
        <f>Tabela7[[#This Row],[Força (N)]]/$I$5</f>
        <v>2353955.604007293</v>
      </c>
      <c r="F205" s="1">
        <f>Tabela7[[#This Row],[Tensão (Pa)]]/1000000</f>
        <v>2.3539556040072931</v>
      </c>
    </row>
    <row r="206" spans="1:6" x14ac:dyDescent="0.3">
      <c r="A206" s="2">
        <v>18.033000000000001</v>
      </c>
      <c r="B206" s="2">
        <v>1.4957</v>
      </c>
      <c r="C206" s="1">
        <f>Tabela7[[#This Row],[Alongamento (mm/mm)]]/$I$2</f>
        <v>2.9914E-2</v>
      </c>
      <c r="D206" s="2">
        <v>101.04</v>
      </c>
      <c r="E206" s="1">
        <f>Tabela7[[#This Row],[Força (N)]]/$I$5</f>
        <v>2373926.2823524992</v>
      </c>
      <c r="F206" s="1">
        <f>Tabela7[[#This Row],[Tensão (Pa)]]/1000000</f>
        <v>2.3739262823524991</v>
      </c>
    </row>
    <row r="207" spans="1:6" x14ac:dyDescent="0.3">
      <c r="A207" s="2">
        <v>18.082999999999998</v>
      </c>
      <c r="B207" s="2">
        <v>1.4999</v>
      </c>
      <c r="C207" s="1">
        <f>Tabela7[[#This Row],[Alongamento (mm/mm)]]/$I$2</f>
        <v>2.9998E-2</v>
      </c>
      <c r="D207" s="2">
        <v>101.89</v>
      </c>
      <c r="E207" s="1">
        <f>Tabela7[[#This Row],[Força (N)]]/$I$5</f>
        <v>2393896.9606977054</v>
      </c>
      <c r="F207" s="1">
        <f>Tabela7[[#This Row],[Tensão (Pa)]]/1000000</f>
        <v>2.3938969606977052</v>
      </c>
    </row>
    <row r="208" spans="1:6" x14ac:dyDescent="0.3">
      <c r="A208" s="2">
        <v>18.132999999999999</v>
      </c>
      <c r="B208" s="2">
        <v>1.5041</v>
      </c>
      <c r="C208" s="1">
        <f>Tabela7[[#This Row],[Alongamento (mm/mm)]]/$I$2</f>
        <v>3.0082000000000001E-2</v>
      </c>
      <c r="D208" s="2">
        <v>102.74</v>
      </c>
      <c r="E208" s="1">
        <f>Tabela7[[#This Row],[Força (N)]]/$I$5</f>
        <v>2413867.6390429111</v>
      </c>
      <c r="F208" s="1">
        <f>Tabela7[[#This Row],[Tensão (Pa)]]/1000000</f>
        <v>2.4138676390429112</v>
      </c>
    </row>
    <row r="209" spans="1:6" x14ac:dyDescent="0.3">
      <c r="A209" s="2">
        <v>18.183</v>
      </c>
      <c r="B209" s="2">
        <v>1.5083</v>
      </c>
      <c r="C209" s="1">
        <f>Tabela7[[#This Row],[Alongamento (mm/mm)]]/$I$2</f>
        <v>3.0165999999999998E-2</v>
      </c>
      <c r="D209" s="2">
        <v>103.59</v>
      </c>
      <c r="E209" s="1">
        <f>Tabela7[[#This Row],[Força (N)]]/$I$5</f>
        <v>2433838.3173881173</v>
      </c>
      <c r="F209" s="1">
        <f>Tabela7[[#This Row],[Tensão (Pa)]]/1000000</f>
        <v>2.4338383173881173</v>
      </c>
    </row>
    <row r="210" spans="1:6" x14ac:dyDescent="0.3">
      <c r="A210" s="2">
        <v>18.233000000000001</v>
      </c>
      <c r="B210" s="2">
        <v>1.5124</v>
      </c>
      <c r="C210" s="1">
        <f>Tabela7[[#This Row],[Alongamento (mm/mm)]]/$I$2</f>
        <v>3.0248000000000001E-2</v>
      </c>
      <c r="D210" s="2">
        <v>104.44</v>
      </c>
      <c r="E210" s="1">
        <f>Tabela7[[#This Row],[Força (N)]]/$I$5</f>
        <v>2453808.9957333235</v>
      </c>
      <c r="F210" s="1">
        <f>Tabela7[[#This Row],[Tensão (Pa)]]/1000000</f>
        <v>2.4538089957333233</v>
      </c>
    </row>
    <row r="211" spans="1:6" x14ac:dyDescent="0.3">
      <c r="A211" s="2">
        <v>18.283000000000001</v>
      </c>
      <c r="B211" s="2">
        <v>1.5165999999999999</v>
      </c>
      <c r="C211" s="1">
        <f>Tabela7[[#This Row],[Alongamento (mm/mm)]]/$I$2</f>
        <v>3.0331999999999998E-2</v>
      </c>
      <c r="D211" s="2">
        <v>105.29</v>
      </c>
      <c r="E211" s="1">
        <f>Tabela7[[#This Row],[Força (N)]]/$I$5</f>
        <v>2473779.6740785297</v>
      </c>
      <c r="F211" s="1">
        <f>Tabela7[[#This Row],[Tensão (Pa)]]/1000000</f>
        <v>2.4737796740785298</v>
      </c>
    </row>
    <row r="212" spans="1:6" x14ac:dyDescent="0.3">
      <c r="A212" s="2">
        <v>18.332999999999998</v>
      </c>
      <c r="B212" s="2">
        <v>1.5207999999999999</v>
      </c>
      <c r="C212" s="1">
        <f>Tabela7[[#This Row],[Alongamento (mm/mm)]]/$I$2</f>
        <v>3.0415999999999999E-2</v>
      </c>
      <c r="D212" s="2">
        <v>106.14</v>
      </c>
      <c r="E212" s="1">
        <f>Tabela7[[#This Row],[Força (N)]]/$I$5</f>
        <v>2493750.3524237354</v>
      </c>
      <c r="F212" s="1">
        <f>Tabela7[[#This Row],[Tensão (Pa)]]/1000000</f>
        <v>2.4937503524237354</v>
      </c>
    </row>
    <row r="213" spans="1:6" x14ac:dyDescent="0.3">
      <c r="A213" s="2">
        <v>18.382999999999999</v>
      </c>
      <c r="B213" s="2">
        <v>1.5248999999999999</v>
      </c>
      <c r="C213" s="1">
        <f>Tabela7[[#This Row],[Alongamento (mm/mm)]]/$I$2</f>
        <v>3.0497999999999997E-2</v>
      </c>
      <c r="D213" s="2">
        <v>106.99</v>
      </c>
      <c r="E213" s="1">
        <f>Tabela7[[#This Row],[Força (N)]]/$I$5</f>
        <v>2513721.0307689416</v>
      </c>
      <c r="F213" s="1">
        <f>Tabela7[[#This Row],[Tensão (Pa)]]/1000000</f>
        <v>2.5137210307689415</v>
      </c>
    </row>
    <row r="214" spans="1:6" x14ac:dyDescent="0.3">
      <c r="A214" s="2">
        <v>18.417000000000002</v>
      </c>
      <c r="B214" s="2">
        <v>1.5277000000000001</v>
      </c>
      <c r="C214" s="1">
        <f>Tabela7[[#This Row],[Alongamento (mm/mm)]]/$I$2</f>
        <v>3.0554000000000001E-2</v>
      </c>
      <c r="D214" s="2">
        <v>107.67</v>
      </c>
      <c r="E214" s="1">
        <f>Tabela7[[#This Row],[Força (N)]]/$I$5</f>
        <v>2529697.5734451069</v>
      </c>
      <c r="F214" s="1">
        <f>Tabela7[[#This Row],[Tensão (Pa)]]/1000000</f>
        <v>2.529697573445107</v>
      </c>
    </row>
    <row r="215" spans="1:6" x14ac:dyDescent="0.3">
      <c r="A215" s="2">
        <v>18.466999999999999</v>
      </c>
      <c r="B215" s="2">
        <v>1.5318000000000001</v>
      </c>
      <c r="C215" s="1">
        <f>Tabela7[[#This Row],[Alongamento (mm/mm)]]/$I$2</f>
        <v>3.0636E-2</v>
      </c>
      <c r="D215" s="2">
        <v>108.52</v>
      </c>
      <c r="E215" s="1">
        <f>Tabela7[[#This Row],[Força (N)]]/$I$5</f>
        <v>2549668.2517903126</v>
      </c>
      <c r="F215" s="1">
        <f>Tabela7[[#This Row],[Tensão (Pa)]]/1000000</f>
        <v>2.5496682517903126</v>
      </c>
    </row>
    <row r="216" spans="1:6" x14ac:dyDescent="0.3">
      <c r="A216" s="2">
        <v>18.516999999999999</v>
      </c>
      <c r="B216" s="2">
        <v>1.536</v>
      </c>
      <c r="C216" s="1">
        <f>Tabela7[[#This Row],[Alongamento (mm/mm)]]/$I$2</f>
        <v>3.0720000000000001E-2</v>
      </c>
      <c r="D216" s="2">
        <v>109.37</v>
      </c>
      <c r="E216" s="1">
        <f>Tabela7[[#This Row],[Força (N)]]/$I$5</f>
        <v>2569638.9301355188</v>
      </c>
      <c r="F216" s="1">
        <f>Tabela7[[#This Row],[Tensão (Pa)]]/1000000</f>
        <v>2.5696389301355187</v>
      </c>
    </row>
    <row r="217" spans="1:6" x14ac:dyDescent="0.3">
      <c r="A217" s="2">
        <v>18.567</v>
      </c>
      <c r="B217" s="2">
        <v>1.5402</v>
      </c>
      <c r="C217" s="1">
        <f>Tabela7[[#This Row],[Alongamento (mm/mm)]]/$I$2</f>
        <v>3.0804000000000002E-2</v>
      </c>
      <c r="D217" s="2">
        <v>110.22</v>
      </c>
      <c r="E217" s="1">
        <f>Tabela7[[#This Row],[Força (N)]]/$I$5</f>
        <v>2589609.608480725</v>
      </c>
      <c r="F217" s="1">
        <f>Tabela7[[#This Row],[Tensão (Pa)]]/1000000</f>
        <v>2.5896096084807252</v>
      </c>
    </row>
    <row r="218" spans="1:6" x14ac:dyDescent="0.3">
      <c r="A218" s="2">
        <v>18.617000000000001</v>
      </c>
      <c r="B218" s="2">
        <v>1.5444</v>
      </c>
      <c r="C218" s="1">
        <f>Tabela7[[#This Row],[Alongamento (mm/mm)]]/$I$2</f>
        <v>3.0887999999999999E-2</v>
      </c>
      <c r="D218" s="2">
        <v>111.07</v>
      </c>
      <c r="E218" s="1">
        <f>Tabela7[[#This Row],[Força (N)]]/$I$5</f>
        <v>2609580.2868259307</v>
      </c>
      <c r="F218" s="1">
        <f>Tabela7[[#This Row],[Tensão (Pa)]]/1000000</f>
        <v>2.6095802868259308</v>
      </c>
    </row>
    <row r="219" spans="1:6" x14ac:dyDescent="0.3">
      <c r="A219" s="2">
        <v>18.649999999999999</v>
      </c>
      <c r="B219" s="2">
        <v>1.5470999999999999</v>
      </c>
      <c r="C219" s="1">
        <f>Tabela7[[#This Row],[Alongamento (mm/mm)]]/$I$2</f>
        <v>3.0941999999999997E-2</v>
      </c>
      <c r="D219" s="2">
        <v>111.75</v>
      </c>
      <c r="E219" s="1">
        <f>Tabela7[[#This Row],[Força (N)]]/$I$5</f>
        <v>2625556.8295020959</v>
      </c>
      <c r="F219" s="1">
        <f>Tabela7[[#This Row],[Tensão (Pa)]]/1000000</f>
        <v>2.6255568295020959</v>
      </c>
    </row>
    <row r="220" spans="1:6" x14ac:dyDescent="0.3">
      <c r="A220" s="2">
        <v>18.7</v>
      </c>
      <c r="B220" s="2">
        <v>1.5512999999999999</v>
      </c>
      <c r="C220" s="1">
        <f>Tabela7[[#This Row],[Alongamento (mm/mm)]]/$I$2</f>
        <v>3.1025999999999998E-2</v>
      </c>
      <c r="D220" s="2">
        <v>112.61</v>
      </c>
      <c r="E220" s="1">
        <f>Tabela7[[#This Row],[Força (N)]]/$I$5</f>
        <v>2645762.4570043045</v>
      </c>
      <c r="F220" s="1">
        <f>Tabela7[[#This Row],[Tensão (Pa)]]/1000000</f>
        <v>2.6457624570043046</v>
      </c>
    </row>
    <row r="221" spans="1:6" x14ac:dyDescent="0.3">
      <c r="A221" s="2">
        <v>18.75</v>
      </c>
      <c r="B221" s="2">
        <v>1.5555000000000001</v>
      </c>
      <c r="C221" s="1">
        <f>Tabela7[[#This Row],[Alongamento (mm/mm)]]/$I$2</f>
        <v>3.1110000000000002E-2</v>
      </c>
      <c r="D221" s="2">
        <v>113.46</v>
      </c>
      <c r="E221" s="1">
        <f>Tabela7[[#This Row],[Força (N)]]/$I$5</f>
        <v>2665733.1353495102</v>
      </c>
      <c r="F221" s="1">
        <f>Tabela7[[#This Row],[Tensão (Pa)]]/1000000</f>
        <v>2.6657331353495102</v>
      </c>
    </row>
    <row r="222" spans="1:6" x14ac:dyDescent="0.3">
      <c r="A222" s="2">
        <v>18.8</v>
      </c>
      <c r="B222" s="2">
        <v>1.5597000000000001</v>
      </c>
      <c r="C222" s="1">
        <f>Tabela7[[#This Row],[Alongamento (mm/mm)]]/$I$2</f>
        <v>3.1194000000000003E-2</v>
      </c>
      <c r="D222" s="2">
        <v>114.31</v>
      </c>
      <c r="E222" s="1">
        <f>Tabela7[[#This Row],[Força (N)]]/$I$5</f>
        <v>2685703.8136947169</v>
      </c>
      <c r="F222" s="1">
        <f>Tabela7[[#This Row],[Tensão (Pa)]]/1000000</f>
        <v>2.6857038136947171</v>
      </c>
    </row>
    <row r="223" spans="1:6" x14ac:dyDescent="0.3">
      <c r="A223" s="2">
        <v>18.850000000000001</v>
      </c>
      <c r="B223" s="2">
        <v>1.5638000000000001</v>
      </c>
      <c r="C223" s="1">
        <f>Tabela7[[#This Row],[Alongamento (mm/mm)]]/$I$2</f>
        <v>3.1275999999999998E-2</v>
      </c>
      <c r="D223" s="2">
        <v>115.16</v>
      </c>
      <c r="E223" s="1">
        <f>Tabela7[[#This Row],[Força (N)]]/$I$5</f>
        <v>2705674.4920399226</v>
      </c>
      <c r="F223" s="1">
        <f>Tabela7[[#This Row],[Tensão (Pa)]]/1000000</f>
        <v>2.7056744920399227</v>
      </c>
    </row>
    <row r="224" spans="1:6" x14ac:dyDescent="0.3">
      <c r="A224" s="2">
        <v>18.899999999999999</v>
      </c>
      <c r="B224" s="2">
        <v>1.5680000000000001</v>
      </c>
      <c r="C224" s="1">
        <f>Tabela7[[#This Row],[Alongamento (mm/mm)]]/$I$2</f>
        <v>3.1359999999999999E-2</v>
      </c>
      <c r="D224" s="2">
        <v>116.01</v>
      </c>
      <c r="E224" s="1">
        <f>Tabela7[[#This Row],[Força (N)]]/$I$5</f>
        <v>2725645.1703851288</v>
      </c>
      <c r="F224" s="1">
        <f>Tabela7[[#This Row],[Tensão (Pa)]]/1000000</f>
        <v>2.7256451703851288</v>
      </c>
    </row>
    <row r="225" spans="1:6" x14ac:dyDescent="0.3">
      <c r="A225" s="2">
        <v>18.933</v>
      </c>
      <c r="B225" s="2">
        <v>1.5708</v>
      </c>
      <c r="C225" s="1">
        <f>Tabela7[[#This Row],[Alongamento (mm/mm)]]/$I$2</f>
        <v>3.1415999999999999E-2</v>
      </c>
      <c r="D225" s="2">
        <v>116.69</v>
      </c>
      <c r="E225" s="1">
        <f>Tabela7[[#This Row],[Força (N)]]/$I$5</f>
        <v>2741621.7130612936</v>
      </c>
      <c r="F225" s="1">
        <f>Tabela7[[#This Row],[Tensão (Pa)]]/1000000</f>
        <v>2.7416217130612934</v>
      </c>
    </row>
    <row r="226" spans="1:6" x14ac:dyDescent="0.3">
      <c r="A226" s="2">
        <v>18.983000000000001</v>
      </c>
      <c r="B226" s="2">
        <v>1.575</v>
      </c>
      <c r="C226" s="1">
        <f>Tabela7[[#This Row],[Alongamento (mm/mm)]]/$I$2</f>
        <v>3.15E-2</v>
      </c>
      <c r="D226" s="2">
        <v>117.54</v>
      </c>
      <c r="E226" s="1">
        <f>Tabela7[[#This Row],[Força (N)]]/$I$5</f>
        <v>2761592.3914064998</v>
      </c>
      <c r="F226" s="1">
        <f>Tabela7[[#This Row],[Tensão (Pa)]]/1000000</f>
        <v>2.7615923914064999</v>
      </c>
    </row>
    <row r="227" spans="1:6" x14ac:dyDescent="0.3">
      <c r="A227" s="2">
        <v>19.033000000000001</v>
      </c>
      <c r="B227" s="2">
        <v>1.5790999999999999</v>
      </c>
      <c r="C227" s="1">
        <f>Tabela7[[#This Row],[Alongamento (mm/mm)]]/$I$2</f>
        <v>3.1581999999999999E-2</v>
      </c>
      <c r="D227" s="2">
        <v>118.39</v>
      </c>
      <c r="E227" s="1">
        <f>Tabela7[[#This Row],[Força (N)]]/$I$5</f>
        <v>2781563.069751706</v>
      </c>
      <c r="F227" s="1">
        <f>Tabela7[[#This Row],[Tensão (Pa)]]/1000000</f>
        <v>2.781563069751706</v>
      </c>
    </row>
    <row r="228" spans="1:6" x14ac:dyDescent="0.3">
      <c r="A228" s="2">
        <v>19.082999999999998</v>
      </c>
      <c r="B228" s="2">
        <v>1.5831999999999999</v>
      </c>
      <c r="C228" s="1">
        <f>Tabela7[[#This Row],[Alongamento (mm/mm)]]/$I$2</f>
        <v>3.1663999999999998E-2</v>
      </c>
      <c r="D228" s="2">
        <v>119.24</v>
      </c>
      <c r="E228" s="1">
        <f>Tabela7[[#This Row],[Força (N)]]/$I$5</f>
        <v>2801533.7480969117</v>
      </c>
      <c r="F228" s="1">
        <f>Tabela7[[#This Row],[Tensão (Pa)]]/1000000</f>
        <v>2.8015337480969116</v>
      </c>
    </row>
    <row r="229" spans="1:6" x14ac:dyDescent="0.3">
      <c r="A229" s="2">
        <v>19.117000000000001</v>
      </c>
      <c r="B229" s="2">
        <v>1.5861000000000001</v>
      </c>
      <c r="C229" s="1">
        <f>Tabela7[[#This Row],[Alongamento (mm/mm)]]/$I$2</f>
        <v>3.1722E-2</v>
      </c>
      <c r="D229" s="2">
        <v>119.92</v>
      </c>
      <c r="E229" s="1">
        <f>Tabela7[[#This Row],[Força (N)]]/$I$5</f>
        <v>2817510.2907730769</v>
      </c>
      <c r="F229" s="1">
        <f>Tabela7[[#This Row],[Tensão (Pa)]]/1000000</f>
        <v>2.8175102907730771</v>
      </c>
    </row>
    <row r="230" spans="1:6" x14ac:dyDescent="0.3">
      <c r="A230" s="2">
        <v>19.167000000000002</v>
      </c>
      <c r="B230" s="2">
        <v>1.5902000000000001</v>
      </c>
      <c r="C230" s="1">
        <f>Tabela7[[#This Row],[Alongamento (mm/mm)]]/$I$2</f>
        <v>3.1803999999999999E-2</v>
      </c>
      <c r="D230" s="2">
        <v>120.77</v>
      </c>
      <c r="E230" s="1">
        <f>Tabela7[[#This Row],[Força (N)]]/$I$5</f>
        <v>2837480.9691182827</v>
      </c>
      <c r="F230" s="1">
        <f>Tabela7[[#This Row],[Tensão (Pa)]]/1000000</f>
        <v>2.8374809691182827</v>
      </c>
    </row>
    <row r="231" spans="1:6" x14ac:dyDescent="0.3">
      <c r="A231" s="2">
        <v>19.2</v>
      </c>
      <c r="B231" s="2">
        <v>1.593</v>
      </c>
      <c r="C231" s="1">
        <f>Tabela7[[#This Row],[Alongamento (mm/mm)]]/$I$2</f>
        <v>3.1859999999999999E-2</v>
      </c>
      <c r="D231" s="2">
        <v>121.45</v>
      </c>
      <c r="E231" s="1">
        <f>Tabela7[[#This Row],[Força (N)]]/$I$5</f>
        <v>2853457.5117944479</v>
      </c>
      <c r="F231" s="1">
        <f>Tabela7[[#This Row],[Tensão (Pa)]]/1000000</f>
        <v>2.8534575117944478</v>
      </c>
    </row>
    <row r="232" spans="1:6" x14ac:dyDescent="0.3">
      <c r="A232" s="2">
        <v>19.25</v>
      </c>
      <c r="B232" s="2">
        <v>1.5972</v>
      </c>
      <c r="C232" s="1">
        <f>Tabela7[[#This Row],[Alongamento (mm/mm)]]/$I$2</f>
        <v>3.1944E-2</v>
      </c>
      <c r="D232" s="2">
        <v>122.3</v>
      </c>
      <c r="E232" s="1">
        <f>Tabela7[[#This Row],[Força (N)]]/$I$5</f>
        <v>2873428.1901396541</v>
      </c>
      <c r="F232" s="1">
        <f>Tabela7[[#This Row],[Tensão (Pa)]]/1000000</f>
        <v>2.8734281901396539</v>
      </c>
    </row>
    <row r="233" spans="1:6" x14ac:dyDescent="0.3">
      <c r="A233" s="2">
        <v>19.283000000000001</v>
      </c>
      <c r="B233" s="2">
        <v>1.5999000000000001</v>
      </c>
      <c r="C233" s="1">
        <f>Tabela7[[#This Row],[Alongamento (mm/mm)]]/$I$2</f>
        <v>3.1997999999999999E-2</v>
      </c>
      <c r="D233" s="2">
        <v>122.98</v>
      </c>
      <c r="E233" s="1">
        <f>Tabela7[[#This Row],[Força (N)]]/$I$5</f>
        <v>2889404.7328158189</v>
      </c>
      <c r="F233" s="1">
        <f>Tabela7[[#This Row],[Tensão (Pa)]]/1000000</f>
        <v>2.889404732815819</v>
      </c>
    </row>
    <row r="234" spans="1:6" x14ac:dyDescent="0.3">
      <c r="A234" s="2">
        <v>19.332999999999998</v>
      </c>
      <c r="B234" s="2">
        <v>1.6040000000000001</v>
      </c>
      <c r="C234" s="1">
        <f>Tabela7[[#This Row],[Alongamento (mm/mm)]]/$I$2</f>
        <v>3.2080000000000004E-2</v>
      </c>
      <c r="D234" s="2">
        <v>123.83</v>
      </c>
      <c r="E234" s="1">
        <f>Tabela7[[#This Row],[Força (N)]]/$I$5</f>
        <v>2909375.4111610251</v>
      </c>
      <c r="F234" s="1">
        <f>Tabela7[[#This Row],[Tensão (Pa)]]/1000000</f>
        <v>2.909375411161025</v>
      </c>
    </row>
    <row r="235" spans="1:6" x14ac:dyDescent="0.3">
      <c r="A235" s="2">
        <v>19.367000000000001</v>
      </c>
      <c r="B235" s="2">
        <v>1.6069</v>
      </c>
      <c r="C235" s="1">
        <f>Tabela7[[#This Row],[Alongamento (mm/mm)]]/$I$2</f>
        <v>3.2138E-2</v>
      </c>
      <c r="D235" s="2">
        <v>124.51</v>
      </c>
      <c r="E235" s="1">
        <f>Tabela7[[#This Row],[Força (N)]]/$I$5</f>
        <v>2925351.9538371898</v>
      </c>
      <c r="F235" s="1">
        <f>Tabela7[[#This Row],[Tensão (Pa)]]/1000000</f>
        <v>2.9253519538371897</v>
      </c>
    </row>
    <row r="236" spans="1:6" x14ac:dyDescent="0.3">
      <c r="A236" s="2">
        <v>19.417000000000002</v>
      </c>
      <c r="B236" s="2">
        <v>1.611</v>
      </c>
      <c r="C236" s="1">
        <f>Tabela7[[#This Row],[Alongamento (mm/mm)]]/$I$2</f>
        <v>3.2219999999999999E-2</v>
      </c>
      <c r="D236" s="2">
        <v>125.36</v>
      </c>
      <c r="E236" s="1">
        <f>Tabela7[[#This Row],[Força (N)]]/$I$5</f>
        <v>2945322.632182396</v>
      </c>
      <c r="F236" s="1">
        <f>Tabela7[[#This Row],[Tensão (Pa)]]/1000000</f>
        <v>2.9453226321823962</v>
      </c>
    </row>
    <row r="237" spans="1:6" x14ac:dyDescent="0.3">
      <c r="A237" s="2">
        <v>19.466999999999999</v>
      </c>
      <c r="B237" s="2">
        <v>1.6152</v>
      </c>
      <c r="C237" s="1">
        <f>Tabela7[[#This Row],[Alongamento (mm/mm)]]/$I$2</f>
        <v>3.2303999999999999E-2</v>
      </c>
      <c r="D237" s="2">
        <v>126.21</v>
      </c>
      <c r="E237" s="1">
        <f>Tabela7[[#This Row],[Força (N)]]/$I$5</f>
        <v>2965293.3105276017</v>
      </c>
      <c r="F237" s="1">
        <f>Tabela7[[#This Row],[Tensão (Pa)]]/1000000</f>
        <v>2.9652933105276018</v>
      </c>
    </row>
    <row r="238" spans="1:6" x14ac:dyDescent="0.3">
      <c r="A238" s="2">
        <v>19.5</v>
      </c>
      <c r="B238" s="2">
        <v>1.6180000000000001</v>
      </c>
      <c r="C238" s="1">
        <f>Tabela7[[#This Row],[Alongamento (mm/mm)]]/$I$2</f>
        <v>3.236E-2</v>
      </c>
      <c r="D238" s="2">
        <v>126.89</v>
      </c>
      <c r="E238" s="1">
        <f>Tabela7[[#This Row],[Força (N)]]/$I$5</f>
        <v>2981269.853203767</v>
      </c>
      <c r="F238" s="1">
        <f>Tabela7[[#This Row],[Tensão (Pa)]]/1000000</f>
        <v>2.9812698532037669</v>
      </c>
    </row>
    <row r="239" spans="1:6" x14ac:dyDescent="0.3">
      <c r="A239" s="2">
        <v>19.55</v>
      </c>
      <c r="B239" s="2">
        <v>1.6222000000000001</v>
      </c>
      <c r="C239" s="1">
        <f>Tabela7[[#This Row],[Alongamento (mm/mm)]]/$I$2</f>
        <v>3.2444000000000001E-2</v>
      </c>
      <c r="D239" s="2">
        <v>127.74</v>
      </c>
      <c r="E239" s="1">
        <f>Tabela7[[#This Row],[Força (N)]]/$I$5</f>
        <v>3001240.5315489727</v>
      </c>
      <c r="F239" s="1">
        <f>Tabela7[[#This Row],[Tensão (Pa)]]/1000000</f>
        <v>3.0012405315489725</v>
      </c>
    </row>
    <row r="240" spans="1:6" x14ac:dyDescent="0.3">
      <c r="A240" s="2">
        <v>19.600000000000001</v>
      </c>
      <c r="B240" s="2">
        <v>1.6263000000000001</v>
      </c>
      <c r="C240" s="1">
        <f>Tabela7[[#This Row],[Alongamento (mm/mm)]]/$I$2</f>
        <v>3.2525999999999999E-2</v>
      </c>
      <c r="D240" s="2">
        <v>128.59</v>
      </c>
      <c r="E240" s="1">
        <f>Tabela7[[#This Row],[Força (N)]]/$I$5</f>
        <v>3021211.2098941794</v>
      </c>
      <c r="F240" s="1">
        <f>Tabela7[[#This Row],[Tensão (Pa)]]/1000000</f>
        <v>3.0212112098941795</v>
      </c>
    </row>
    <row r="241" spans="1:6" x14ac:dyDescent="0.3">
      <c r="A241" s="2">
        <v>19.632999999999999</v>
      </c>
      <c r="B241" s="2">
        <v>1.6291</v>
      </c>
      <c r="C241" s="1">
        <f>Tabela7[[#This Row],[Alongamento (mm/mm)]]/$I$2</f>
        <v>3.2582E-2</v>
      </c>
      <c r="D241" s="2">
        <v>129.28</v>
      </c>
      <c r="E241" s="1">
        <f>Tabela7[[#This Row],[Força (N)]]/$I$5</f>
        <v>3037422.7017273465</v>
      </c>
      <c r="F241" s="1">
        <f>Tabela7[[#This Row],[Tensão (Pa)]]/1000000</f>
        <v>3.0374227017273463</v>
      </c>
    </row>
    <row r="242" spans="1:6" x14ac:dyDescent="0.3">
      <c r="A242" s="2">
        <v>19.683</v>
      </c>
      <c r="B242" s="2">
        <v>1.6333</v>
      </c>
      <c r="C242" s="1">
        <f>Tabela7[[#This Row],[Alongamento (mm/mm)]]/$I$2</f>
        <v>3.2666000000000001E-2</v>
      </c>
      <c r="D242" s="2">
        <v>130.13</v>
      </c>
      <c r="E242" s="1">
        <f>Tabela7[[#This Row],[Força (N)]]/$I$5</f>
        <v>3057393.3800725522</v>
      </c>
      <c r="F242" s="1">
        <f>Tabela7[[#This Row],[Tensão (Pa)]]/1000000</f>
        <v>3.0573933800725523</v>
      </c>
    </row>
    <row r="243" spans="1:6" x14ac:dyDescent="0.3">
      <c r="A243" s="2">
        <v>19.716999999999999</v>
      </c>
      <c r="B243" s="2">
        <v>1.6361000000000001</v>
      </c>
      <c r="C243" s="1">
        <f>Tabela7[[#This Row],[Alongamento (mm/mm)]]/$I$2</f>
        <v>3.2722000000000001E-2</v>
      </c>
      <c r="D243" s="2">
        <v>130.81</v>
      </c>
      <c r="E243" s="1">
        <f>Tabela7[[#This Row],[Força (N)]]/$I$5</f>
        <v>3073369.9227487175</v>
      </c>
      <c r="F243" s="1">
        <f>Tabela7[[#This Row],[Tensão (Pa)]]/1000000</f>
        <v>3.0733699227487175</v>
      </c>
    </row>
    <row r="244" spans="1:6" x14ac:dyDescent="0.3">
      <c r="A244" s="2">
        <v>19.783000000000001</v>
      </c>
      <c r="B244" s="2">
        <v>1.6415999999999999</v>
      </c>
      <c r="C244" s="1">
        <f>Tabela7[[#This Row],[Alongamento (mm/mm)]]/$I$2</f>
        <v>3.2832E-2</v>
      </c>
      <c r="D244" s="2">
        <v>132</v>
      </c>
      <c r="E244" s="1">
        <f>Tabela7[[#This Row],[Força (N)]]/$I$5</f>
        <v>3101328.8724320061</v>
      </c>
      <c r="F244" s="1">
        <f>Tabela7[[#This Row],[Tensão (Pa)]]/1000000</f>
        <v>3.1013288724320063</v>
      </c>
    </row>
    <row r="245" spans="1:6" x14ac:dyDescent="0.3">
      <c r="A245" s="2">
        <v>19.850000000000001</v>
      </c>
      <c r="B245" s="2">
        <v>1.6472</v>
      </c>
      <c r="C245" s="1">
        <f>Tabela7[[#This Row],[Alongamento (mm/mm)]]/$I$2</f>
        <v>3.2944000000000001E-2</v>
      </c>
      <c r="D245" s="2">
        <v>133.19</v>
      </c>
      <c r="E245" s="1">
        <f>Tabela7[[#This Row],[Força (N)]]/$I$5</f>
        <v>3129287.8221152942</v>
      </c>
      <c r="F245" s="1">
        <f>Tabela7[[#This Row],[Tensão (Pa)]]/1000000</f>
        <v>3.1292878221152942</v>
      </c>
    </row>
    <row r="246" spans="1:6" x14ac:dyDescent="0.3">
      <c r="A246" s="2">
        <v>19.917000000000002</v>
      </c>
      <c r="B246" s="2">
        <v>1.6527000000000001</v>
      </c>
      <c r="C246" s="1">
        <f>Tabela7[[#This Row],[Alongamento (mm/mm)]]/$I$2</f>
        <v>3.3054E-2</v>
      </c>
      <c r="D246" s="2">
        <v>134.38</v>
      </c>
      <c r="E246" s="1">
        <f>Tabela7[[#This Row],[Força (N)]]/$I$5</f>
        <v>3157246.7717985827</v>
      </c>
      <c r="F246" s="1">
        <f>Tabela7[[#This Row],[Tensão (Pa)]]/1000000</f>
        <v>3.1572467717985826</v>
      </c>
    </row>
    <row r="247" spans="1:6" x14ac:dyDescent="0.3">
      <c r="A247" s="2">
        <v>19.966999999999999</v>
      </c>
      <c r="B247" s="2">
        <v>1.6569</v>
      </c>
      <c r="C247" s="1">
        <f>Tabela7[[#This Row],[Alongamento (mm/mm)]]/$I$2</f>
        <v>3.3138000000000001E-2</v>
      </c>
      <c r="D247" s="2">
        <v>135.4</v>
      </c>
      <c r="E247" s="1">
        <f>Tabela7[[#This Row],[Força (N)]]/$I$5</f>
        <v>3181211.5858128304</v>
      </c>
      <c r="F247" s="1">
        <f>Tabela7[[#This Row],[Tensão (Pa)]]/1000000</f>
        <v>3.1812115858128305</v>
      </c>
    </row>
    <row r="248" spans="1:6" x14ac:dyDescent="0.3">
      <c r="A248" s="2">
        <v>20.033000000000001</v>
      </c>
      <c r="B248" s="2">
        <v>1.6625000000000001</v>
      </c>
      <c r="C248" s="1">
        <f>Tabela7[[#This Row],[Alongamento (mm/mm)]]/$I$2</f>
        <v>3.3250000000000002E-2</v>
      </c>
      <c r="D248" s="2">
        <v>136.59</v>
      </c>
      <c r="E248" s="1">
        <f>Tabela7[[#This Row],[Força (N)]]/$I$5</f>
        <v>3209170.5354961189</v>
      </c>
      <c r="F248" s="1">
        <f>Tabela7[[#This Row],[Tensão (Pa)]]/1000000</f>
        <v>3.2091705354961189</v>
      </c>
    </row>
    <row r="249" spans="1:6" x14ac:dyDescent="0.3">
      <c r="A249" s="2">
        <v>20.100000000000001</v>
      </c>
      <c r="B249" s="2">
        <v>1.6680999999999999</v>
      </c>
      <c r="C249" s="1">
        <f>Tabela7[[#This Row],[Alongamento (mm/mm)]]/$I$2</f>
        <v>3.3361999999999996E-2</v>
      </c>
      <c r="D249" s="2">
        <v>137.78</v>
      </c>
      <c r="E249" s="1">
        <f>Tabela7[[#This Row],[Força (N)]]/$I$5</f>
        <v>3237129.4851794075</v>
      </c>
      <c r="F249" s="1">
        <f>Tabela7[[#This Row],[Tensão (Pa)]]/1000000</f>
        <v>3.2371294851794077</v>
      </c>
    </row>
    <row r="250" spans="1:6" x14ac:dyDescent="0.3">
      <c r="A250" s="2">
        <v>20.149999999999999</v>
      </c>
      <c r="B250" s="2">
        <v>1.6721999999999999</v>
      </c>
      <c r="C250" s="1">
        <f>Tabela7[[#This Row],[Alongamento (mm/mm)]]/$I$2</f>
        <v>3.3444000000000002E-2</v>
      </c>
      <c r="D250" s="2">
        <v>138.80000000000001</v>
      </c>
      <c r="E250" s="1">
        <f>Tabela7[[#This Row],[Força (N)]]/$I$5</f>
        <v>3261094.2991936551</v>
      </c>
      <c r="F250" s="1">
        <f>Tabela7[[#This Row],[Tensão (Pa)]]/1000000</f>
        <v>3.2610942991936551</v>
      </c>
    </row>
    <row r="251" spans="1:6" x14ac:dyDescent="0.3">
      <c r="A251" s="2">
        <v>20.216999999999999</v>
      </c>
      <c r="B251" s="2">
        <v>1.6777</v>
      </c>
      <c r="C251" s="1">
        <f>Tabela7[[#This Row],[Alongamento (mm/mm)]]/$I$2</f>
        <v>3.3554E-2</v>
      </c>
      <c r="D251" s="2">
        <v>139.99</v>
      </c>
      <c r="E251" s="1">
        <f>Tabela7[[#This Row],[Força (N)]]/$I$5</f>
        <v>3289053.2488769433</v>
      </c>
      <c r="F251" s="1">
        <f>Tabela7[[#This Row],[Tensão (Pa)]]/1000000</f>
        <v>3.2890532488769431</v>
      </c>
    </row>
    <row r="252" spans="1:6" x14ac:dyDescent="0.3">
      <c r="A252" s="2">
        <v>20.283000000000001</v>
      </c>
      <c r="B252" s="2">
        <v>1.6832</v>
      </c>
      <c r="C252" s="1">
        <f>Tabela7[[#This Row],[Alongamento (mm/mm)]]/$I$2</f>
        <v>3.3663999999999999E-2</v>
      </c>
      <c r="D252" s="2">
        <v>141.18</v>
      </c>
      <c r="E252" s="1">
        <f>Tabela7[[#This Row],[Força (N)]]/$I$5</f>
        <v>3317012.1985602318</v>
      </c>
      <c r="F252" s="1">
        <f>Tabela7[[#This Row],[Tensão (Pa)]]/1000000</f>
        <v>3.3170121985602319</v>
      </c>
    </row>
    <row r="253" spans="1:6" x14ac:dyDescent="0.3">
      <c r="A253" s="2">
        <v>20.332999999999998</v>
      </c>
      <c r="B253" s="2">
        <v>1.6874</v>
      </c>
      <c r="C253" s="1">
        <f>Tabela7[[#This Row],[Alongamento (mm/mm)]]/$I$2</f>
        <v>3.3748E-2</v>
      </c>
      <c r="D253" s="2">
        <v>142.19999999999999</v>
      </c>
      <c r="E253" s="1">
        <f>Tabela7[[#This Row],[Força (N)]]/$I$5</f>
        <v>3340977.012574479</v>
      </c>
      <c r="F253" s="1">
        <f>Tabela7[[#This Row],[Tensão (Pa)]]/1000000</f>
        <v>3.3409770125744789</v>
      </c>
    </row>
    <row r="254" spans="1:6" x14ac:dyDescent="0.3">
      <c r="A254" s="2">
        <v>20.399999999999999</v>
      </c>
      <c r="B254" s="2">
        <v>1.6930000000000001</v>
      </c>
      <c r="C254" s="1">
        <f>Tabela7[[#This Row],[Alongamento (mm/mm)]]/$I$2</f>
        <v>3.3860000000000001E-2</v>
      </c>
      <c r="D254" s="2">
        <v>143.38999999999999</v>
      </c>
      <c r="E254" s="1">
        <f>Tabela7[[#This Row],[Força (N)]]/$I$5</f>
        <v>3368935.9622577671</v>
      </c>
      <c r="F254" s="1">
        <f>Tabela7[[#This Row],[Tensão (Pa)]]/1000000</f>
        <v>3.3689359622577673</v>
      </c>
    </row>
    <row r="255" spans="1:6" x14ac:dyDescent="0.3">
      <c r="A255" s="2">
        <v>20.45</v>
      </c>
      <c r="B255" s="2">
        <v>1.6971000000000001</v>
      </c>
      <c r="C255" s="1">
        <f>Tabela7[[#This Row],[Alongamento (mm/mm)]]/$I$2</f>
        <v>3.3942E-2</v>
      </c>
      <c r="D255" s="2">
        <v>144.41</v>
      </c>
      <c r="E255" s="1">
        <f>Tabela7[[#This Row],[Força (N)]]/$I$5</f>
        <v>3392900.7762720147</v>
      </c>
      <c r="F255" s="1">
        <f>Tabela7[[#This Row],[Tensão (Pa)]]/1000000</f>
        <v>3.3929007762720147</v>
      </c>
    </row>
    <row r="256" spans="1:6" x14ac:dyDescent="0.3">
      <c r="A256" s="2">
        <v>20.5</v>
      </c>
      <c r="B256" s="2">
        <v>1.7013</v>
      </c>
      <c r="C256" s="1">
        <f>Tabela7[[#This Row],[Alongamento (mm/mm)]]/$I$2</f>
        <v>3.4026000000000001E-2</v>
      </c>
      <c r="D256" s="2">
        <v>145.43</v>
      </c>
      <c r="E256" s="1">
        <f>Tabela7[[#This Row],[Força (N)]]/$I$5</f>
        <v>3416865.5902862623</v>
      </c>
      <c r="F256" s="1">
        <f>Tabela7[[#This Row],[Tensão (Pa)]]/1000000</f>
        <v>3.4168655902862621</v>
      </c>
    </row>
    <row r="257" spans="1:6" x14ac:dyDescent="0.3">
      <c r="A257" s="2">
        <v>20.567</v>
      </c>
      <c r="B257" s="2">
        <v>1.7069000000000001</v>
      </c>
      <c r="C257" s="1">
        <f>Tabela7[[#This Row],[Alongamento (mm/mm)]]/$I$2</f>
        <v>3.4138000000000002E-2</v>
      </c>
      <c r="D257" s="2">
        <v>146.63</v>
      </c>
      <c r="E257" s="1">
        <f>Tabela7[[#This Row],[Força (N)]]/$I$5</f>
        <v>3445059.4891265533</v>
      </c>
      <c r="F257" s="1">
        <f>Tabela7[[#This Row],[Tensão (Pa)]]/1000000</f>
        <v>3.4450594891265531</v>
      </c>
    </row>
    <row r="258" spans="1:6" x14ac:dyDescent="0.3">
      <c r="A258" s="2">
        <v>20.617000000000001</v>
      </c>
      <c r="B258" s="2">
        <v>1.7111000000000001</v>
      </c>
      <c r="C258" s="1">
        <f>Tabela7[[#This Row],[Alongamento (mm/mm)]]/$I$2</f>
        <v>3.4222000000000002E-2</v>
      </c>
      <c r="D258" s="2">
        <v>147.65</v>
      </c>
      <c r="E258" s="1">
        <f>Tabela7[[#This Row],[Força (N)]]/$I$5</f>
        <v>3469024.3031408004</v>
      </c>
      <c r="F258" s="1">
        <f>Tabela7[[#This Row],[Tensão (Pa)]]/1000000</f>
        <v>3.4690243031408006</v>
      </c>
    </row>
    <row r="259" spans="1:6" x14ac:dyDescent="0.3">
      <c r="A259" s="2">
        <v>20.667000000000002</v>
      </c>
      <c r="B259" s="2">
        <v>1.7152000000000001</v>
      </c>
      <c r="C259" s="1">
        <f>Tabela7[[#This Row],[Alongamento (mm/mm)]]/$I$2</f>
        <v>3.4304000000000001E-2</v>
      </c>
      <c r="D259" s="2">
        <v>148.66999999999999</v>
      </c>
      <c r="E259" s="1">
        <f>Tabela7[[#This Row],[Força (N)]]/$I$5</f>
        <v>3492989.1171550476</v>
      </c>
      <c r="F259" s="1">
        <f>Tabela7[[#This Row],[Tensão (Pa)]]/1000000</f>
        <v>3.4929891171550476</v>
      </c>
    </row>
    <row r="260" spans="1:6" x14ac:dyDescent="0.3">
      <c r="A260" s="2">
        <v>20.716999999999999</v>
      </c>
      <c r="B260" s="2">
        <v>1.7193000000000001</v>
      </c>
      <c r="C260" s="1">
        <f>Tabela7[[#This Row],[Alongamento (mm/mm)]]/$I$2</f>
        <v>3.4386E-2</v>
      </c>
      <c r="D260" s="2">
        <v>149.69</v>
      </c>
      <c r="E260" s="1">
        <f>Tabela7[[#This Row],[Força (N)]]/$I$5</f>
        <v>3516953.9311692952</v>
      </c>
      <c r="F260" s="1">
        <f>Tabela7[[#This Row],[Tensão (Pa)]]/1000000</f>
        <v>3.516953931169295</v>
      </c>
    </row>
    <row r="261" spans="1:6" x14ac:dyDescent="0.3">
      <c r="A261" s="2">
        <v>20.766999999999999</v>
      </c>
      <c r="B261" s="2">
        <v>1.7235</v>
      </c>
      <c r="C261" s="1">
        <f>Tabela7[[#This Row],[Alongamento (mm/mm)]]/$I$2</f>
        <v>3.4470000000000001E-2</v>
      </c>
      <c r="D261" s="2">
        <v>150.71</v>
      </c>
      <c r="E261" s="1">
        <f>Tabela7[[#This Row],[Força (N)]]/$I$5</f>
        <v>3540918.7451835428</v>
      </c>
      <c r="F261" s="1">
        <f>Tabela7[[#This Row],[Tensão (Pa)]]/1000000</f>
        <v>3.5409187451835429</v>
      </c>
    </row>
    <row r="262" spans="1:6" x14ac:dyDescent="0.3">
      <c r="A262" s="2">
        <v>20.832999999999998</v>
      </c>
      <c r="B262" s="2">
        <v>1.7291000000000001</v>
      </c>
      <c r="C262" s="1">
        <f>Tabela7[[#This Row],[Alongamento (mm/mm)]]/$I$2</f>
        <v>3.4582000000000002E-2</v>
      </c>
      <c r="D262" s="2">
        <v>151.9</v>
      </c>
      <c r="E262" s="1">
        <f>Tabela7[[#This Row],[Força (N)]]/$I$5</f>
        <v>3568877.6948668309</v>
      </c>
      <c r="F262" s="1">
        <f>Tabela7[[#This Row],[Tensão (Pa)]]/1000000</f>
        <v>3.5688776948668308</v>
      </c>
    </row>
    <row r="263" spans="1:6" x14ac:dyDescent="0.3">
      <c r="A263" s="2">
        <v>20.882999999999999</v>
      </c>
      <c r="B263" s="2">
        <v>1.7332000000000001</v>
      </c>
      <c r="C263" s="1">
        <f>Tabela7[[#This Row],[Alongamento (mm/mm)]]/$I$2</f>
        <v>3.4664E-2</v>
      </c>
      <c r="D263" s="2">
        <v>152.91999999999999</v>
      </c>
      <c r="E263" s="1">
        <f>Tabela7[[#This Row],[Força (N)]]/$I$5</f>
        <v>3592842.5088810781</v>
      </c>
      <c r="F263" s="1">
        <f>Tabela7[[#This Row],[Tensão (Pa)]]/1000000</f>
        <v>3.5928425088810783</v>
      </c>
    </row>
    <row r="264" spans="1:6" x14ac:dyDescent="0.3">
      <c r="A264" s="2">
        <v>20.933</v>
      </c>
      <c r="B264" s="2">
        <v>1.7374000000000001</v>
      </c>
      <c r="C264" s="1">
        <f>Tabela7[[#This Row],[Alongamento (mm/mm)]]/$I$2</f>
        <v>3.4748000000000001E-2</v>
      </c>
      <c r="D264" s="2">
        <v>153.94</v>
      </c>
      <c r="E264" s="1">
        <f>Tabela7[[#This Row],[Força (N)]]/$I$5</f>
        <v>3616807.3228953257</v>
      </c>
      <c r="F264" s="1">
        <f>Tabela7[[#This Row],[Tensão (Pa)]]/1000000</f>
        <v>3.6168073228953257</v>
      </c>
    </row>
    <row r="265" spans="1:6" x14ac:dyDescent="0.3">
      <c r="A265" s="2">
        <v>20.983000000000001</v>
      </c>
      <c r="B265" s="2">
        <v>1.7417</v>
      </c>
      <c r="C265" s="1">
        <f>Tabela7[[#This Row],[Alongamento (mm/mm)]]/$I$2</f>
        <v>3.4834000000000004E-2</v>
      </c>
      <c r="D265" s="2">
        <v>154.96</v>
      </c>
      <c r="E265" s="1">
        <f>Tabela7[[#This Row],[Força (N)]]/$I$5</f>
        <v>3640772.1369095733</v>
      </c>
      <c r="F265" s="1">
        <f>Tabela7[[#This Row],[Tensão (Pa)]]/1000000</f>
        <v>3.6407721369095731</v>
      </c>
    </row>
    <row r="266" spans="1:6" x14ac:dyDescent="0.3">
      <c r="A266" s="2">
        <v>21.033000000000001</v>
      </c>
      <c r="B266" s="2">
        <v>1.7458</v>
      </c>
      <c r="C266" s="1">
        <f>Tabela7[[#This Row],[Alongamento (mm/mm)]]/$I$2</f>
        <v>3.4916000000000003E-2</v>
      </c>
      <c r="D266" s="2">
        <v>155.97999999999999</v>
      </c>
      <c r="E266" s="1">
        <f>Tabela7[[#This Row],[Força (N)]]/$I$5</f>
        <v>3664736.95092382</v>
      </c>
      <c r="F266" s="1">
        <f>Tabela7[[#This Row],[Tensão (Pa)]]/1000000</f>
        <v>3.6647369509238201</v>
      </c>
    </row>
    <row r="267" spans="1:6" x14ac:dyDescent="0.3">
      <c r="A267" s="2">
        <v>21.082999999999998</v>
      </c>
      <c r="B267" s="2">
        <v>1.75</v>
      </c>
      <c r="C267" s="1">
        <f>Tabela7[[#This Row],[Alongamento (mm/mm)]]/$I$2</f>
        <v>3.5000000000000003E-2</v>
      </c>
      <c r="D267" s="2">
        <v>157</v>
      </c>
      <c r="E267" s="1">
        <f>Tabela7[[#This Row],[Força (N)]]/$I$5</f>
        <v>3688701.7649380676</v>
      </c>
      <c r="F267" s="1">
        <f>Tabela7[[#This Row],[Tensão (Pa)]]/1000000</f>
        <v>3.6887017649380676</v>
      </c>
    </row>
    <row r="268" spans="1:6" x14ac:dyDescent="0.3">
      <c r="A268" s="2">
        <v>21.132999999999999</v>
      </c>
      <c r="B268" s="2">
        <v>1.7541</v>
      </c>
      <c r="C268" s="1">
        <f>Tabela7[[#This Row],[Alongamento (mm/mm)]]/$I$2</f>
        <v>3.5082000000000002E-2</v>
      </c>
      <c r="D268" s="2">
        <v>158.02000000000001</v>
      </c>
      <c r="E268" s="1">
        <f>Tabela7[[#This Row],[Força (N)]]/$I$5</f>
        <v>3712666.5789523153</v>
      </c>
      <c r="F268" s="1">
        <f>Tabela7[[#This Row],[Tensão (Pa)]]/1000000</f>
        <v>3.7126665789523154</v>
      </c>
    </row>
    <row r="269" spans="1:6" x14ac:dyDescent="0.3">
      <c r="A269" s="2">
        <v>21.183</v>
      </c>
      <c r="B269" s="2">
        <v>1.7582</v>
      </c>
      <c r="C269" s="1">
        <f>Tabela7[[#This Row],[Alongamento (mm/mm)]]/$I$2</f>
        <v>3.5164000000000001E-2</v>
      </c>
      <c r="D269" s="2">
        <v>159.04</v>
      </c>
      <c r="E269" s="1">
        <f>Tabela7[[#This Row],[Força (N)]]/$I$5</f>
        <v>3736631.392966562</v>
      </c>
      <c r="F269" s="1">
        <f>Tabela7[[#This Row],[Tensão (Pa)]]/1000000</f>
        <v>3.736631392966562</v>
      </c>
    </row>
    <row r="270" spans="1:6" x14ac:dyDescent="0.3">
      <c r="A270" s="2">
        <v>21.233000000000001</v>
      </c>
      <c r="B270" s="2">
        <v>1.7625</v>
      </c>
      <c r="C270" s="1">
        <f>Tabela7[[#This Row],[Alongamento (mm/mm)]]/$I$2</f>
        <v>3.5249999999999997E-2</v>
      </c>
      <c r="D270" s="2">
        <v>160.06</v>
      </c>
      <c r="E270" s="1">
        <f>Tabela7[[#This Row],[Força (N)]]/$I$5</f>
        <v>3760596.2069808096</v>
      </c>
      <c r="F270" s="1">
        <f>Tabela7[[#This Row],[Tensão (Pa)]]/1000000</f>
        <v>3.7605962069808094</v>
      </c>
    </row>
    <row r="271" spans="1:6" x14ac:dyDescent="0.3">
      <c r="A271" s="2">
        <v>21.283000000000001</v>
      </c>
      <c r="B271" s="2">
        <v>1.7665999999999999</v>
      </c>
      <c r="C271" s="1">
        <f>Tabela7[[#This Row],[Alongamento (mm/mm)]]/$I$2</f>
        <v>3.5332000000000002E-2</v>
      </c>
      <c r="D271" s="2">
        <v>161.08000000000001</v>
      </c>
      <c r="E271" s="1">
        <f>Tabela7[[#This Row],[Força (N)]]/$I$5</f>
        <v>3784561.0209950572</v>
      </c>
      <c r="F271" s="1">
        <f>Tabela7[[#This Row],[Tensão (Pa)]]/1000000</f>
        <v>3.7845610209950573</v>
      </c>
    </row>
    <row r="272" spans="1:6" x14ac:dyDescent="0.3">
      <c r="A272" s="2">
        <v>21.332999999999998</v>
      </c>
      <c r="B272" s="2">
        <v>1.7707999999999999</v>
      </c>
      <c r="C272" s="1">
        <f>Tabela7[[#This Row],[Alongamento (mm/mm)]]/$I$2</f>
        <v>3.5415999999999996E-2</v>
      </c>
      <c r="D272" s="2">
        <v>162.1</v>
      </c>
      <c r="E272" s="1">
        <f>Tabela7[[#This Row],[Força (N)]]/$I$5</f>
        <v>3808525.8350093039</v>
      </c>
      <c r="F272" s="1">
        <f>Tabela7[[#This Row],[Tensão (Pa)]]/1000000</f>
        <v>3.8085258350093039</v>
      </c>
    </row>
    <row r="273" spans="1:6" x14ac:dyDescent="0.3">
      <c r="A273" s="2">
        <v>21.382999999999999</v>
      </c>
      <c r="B273" s="2">
        <v>1.7748999999999999</v>
      </c>
      <c r="C273" s="1">
        <f>Tabela7[[#This Row],[Alongamento (mm/mm)]]/$I$2</f>
        <v>3.5498000000000002E-2</v>
      </c>
      <c r="D273" s="2">
        <v>163.12</v>
      </c>
      <c r="E273" s="1">
        <f>Tabela7[[#This Row],[Força (N)]]/$I$5</f>
        <v>3832490.6490235515</v>
      </c>
      <c r="F273" s="1">
        <f>Tabela7[[#This Row],[Tensão (Pa)]]/1000000</f>
        <v>3.8324906490235513</v>
      </c>
    </row>
    <row r="274" spans="1:6" x14ac:dyDescent="0.3">
      <c r="A274" s="2">
        <v>21.433</v>
      </c>
      <c r="B274" s="2">
        <v>1.7790999999999999</v>
      </c>
      <c r="C274" s="1">
        <f>Tabela7[[#This Row],[Alongamento (mm/mm)]]/$I$2</f>
        <v>3.5581999999999996E-2</v>
      </c>
      <c r="D274" s="2">
        <v>164.15</v>
      </c>
      <c r="E274" s="1">
        <f>Tabela7[[#This Row],[Força (N)]]/$I$5</f>
        <v>3856690.4121948015</v>
      </c>
      <c r="F274" s="1">
        <f>Tabela7[[#This Row],[Tensão (Pa)]]/1000000</f>
        <v>3.8566904121948014</v>
      </c>
    </row>
    <row r="275" spans="1:6" x14ac:dyDescent="0.3">
      <c r="A275" s="2">
        <v>21.483000000000001</v>
      </c>
      <c r="B275" s="2">
        <v>1.7833000000000001</v>
      </c>
      <c r="C275" s="1">
        <f>Tabela7[[#This Row],[Alongamento (mm/mm)]]/$I$2</f>
        <v>3.5666000000000003E-2</v>
      </c>
      <c r="D275" s="2">
        <v>165.17</v>
      </c>
      <c r="E275" s="1">
        <f>Tabela7[[#This Row],[Força (N)]]/$I$5</f>
        <v>3880655.2262090482</v>
      </c>
      <c r="F275" s="1">
        <f>Tabela7[[#This Row],[Tensão (Pa)]]/1000000</f>
        <v>3.8806552262090483</v>
      </c>
    </row>
    <row r="276" spans="1:6" x14ac:dyDescent="0.3">
      <c r="A276" s="2">
        <v>21.533000000000001</v>
      </c>
      <c r="B276" s="2">
        <v>1.7875000000000001</v>
      </c>
      <c r="C276" s="1">
        <f>Tabela7[[#This Row],[Alongamento (mm/mm)]]/$I$2</f>
        <v>3.5750000000000004E-2</v>
      </c>
      <c r="D276" s="2">
        <v>166.19</v>
      </c>
      <c r="E276" s="1">
        <f>Tabela7[[#This Row],[Força (N)]]/$I$5</f>
        <v>3904620.0402232958</v>
      </c>
      <c r="F276" s="1">
        <f>Tabela7[[#This Row],[Tensão (Pa)]]/1000000</f>
        <v>3.9046200402232958</v>
      </c>
    </row>
    <row r="277" spans="1:6" x14ac:dyDescent="0.3">
      <c r="A277" s="2">
        <v>21.582999999999998</v>
      </c>
      <c r="B277" s="2">
        <v>1.7916000000000001</v>
      </c>
      <c r="C277" s="1">
        <f>Tabela7[[#This Row],[Alongamento (mm/mm)]]/$I$2</f>
        <v>3.5832000000000003E-2</v>
      </c>
      <c r="D277" s="2">
        <v>167.38</v>
      </c>
      <c r="E277" s="1">
        <f>Tabela7[[#This Row],[Força (N)]]/$I$5</f>
        <v>3932578.9899065844</v>
      </c>
      <c r="F277" s="1">
        <f>Tabela7[[#This Row],[Tensão (Pa)]]/1000000</f>
        <v>3.9325789899065842</v>
      </c>
    </row>
    <row r="278" spans="1:6" x14ac:dyDescent="0.3">
      <c r="A278" s="2">
        <v>21.632999999999999</v>
      </c>
      <c r="B278" s="2">
        <v>1.7957000000000001</v>
      </c>
      <c r="C278" s="1">
        <f>Tabela7[[#This Row],[Alongamento (mm/mm)]]/$I$2</f>
        <v>3.5914000000000001E-2</v>
      </c>
      <c r="D278" s="2">
        <v>168.4</v>
      </c>
      <c r="E278" s="1">
        <f>Tabela7[[#This Row],[Força (N)]]/$I$5</f>
        <v>3956543.803920832</v>
      </c>
      <c r="F278" s="1">
        <f>Tabela7[[#This Row],[Tensão (Pa)]]/1000000</f>
        <v>3.956543803920832</v>
      </c>
    </row>
    <row r="279" spans="1:6" x14ac:dyDescent="0.3">
      <c r="A279" s="2">
        <v>21.683</v>
      </c>
      <c r="B279" s="2">
        <v>1.7999000000000001</v>
      </c>
      <c r="C279" s="1">
        <f>Tabela7[[#This Row],[Alongamento (mm/mm)]]/$I$2</f>
        <v>3.5998000000000002E-2</v>
      </c>
      <c r="D279" s="2">
        <v>169.59</v>
      </c>
      <c r="E279" s="1">
        <f>Tabela7[[#This Row],[Força (N)]]/$I$5</f>
        <v>3984502.7536041206</v>
      </c>
      <c r="F279" s="1">
        <f>Tabela7[[#This Row],[Tensão (Pa)]]/1000000</f>
        <v>3.9845027536041204</v>
      </c>
    </row>
    <row r="280" spans="1:6" x14ac:dyDescent="0.3">
      <c r="A280" s="2">
        <v>21.733000000000001</v>
      </c>
      <c r="B280" s="2">
        <v>1.8041</v>
      </c>
      <c r="C280" s="1">
        <f>Tabela7[[#This Row],[Alongamento (mm/mm)]]/$I$2</f>
        <v>3.6082000000000003E-2</v>
      </c>
      <c r="D280" s="2">
        <v>170.61</v>
      </c>
      <c r="E280" s="1">
        <f>Tabela7[[#This Row],[Força (N)]]/$I$5</f>
        <v>4008467.5676183677</v>
      </c>
      <c r="F280" s="1">
        <f>Tabela7[[#This Row],[Tensão (Pa)]]/1000000</f>
        <v>4.0084675676183679</v>
      </c>
    </row>
    <row r="281" spans="1:6" x14ac:dyDescent="0.3">
      <c r="A281" s="2">
        <v>21.783000000000001</v>
      </c>
      <c r="B281" s="2">
        <v>1.8083</v>
      </c>
      <c r="C281" s="1">
        <f>Tabela7[[#This Row],[Alongamento (mm/mm)]]/$I$2</f>
        <v>3.6166000000000004E-2</v>
      </c>
      <c r="D281" s="2">
        <v>171.8</v>
      </c>
      <c r="E281" s="1">
        <f>Tabela7[[#This Row],[Força (N)]]/$I$5</f>
        <v>4036426.5173016563</v>
      </c>
      <c r="F281" s="1">
        <f>Tabela7[[#This Row],[Tensão (Pa)]]/1000000</f>
        <v>4.0364265173016562</v>
      </c>
    </row>
    <row r="282" spans="1:6" x14ac:dyDescent="0.3">
      <c r="A282" s="2">
        <v>21.832999999999998</v>
      </c>
      <c r="B282" s="2">
        <v>1.8124</v>
      </c>
      <c r="C282" s="1">
        <f>Tabela7[[#This Row],[Alongamento (mm/mm)]]/$I$2</f>
        <v>3.6248000000000002E-2</v>
      </c>
      <c r="D282" s="2">
        <v>172.82</v>
      </c>
      <c r="E282" s="1">
        <f>Tabela7[[#This Row],[Força (N)]]/$I$5</f>
        <v>4060391.3313159035</v>
      </c>
      <c r="F282" s="1">
        <f>Tabela7[[#This Row],[Tensão (Pa)]]/1000000</f>
        <v>4.0603913313159037</v>
      </c>
    </row>
    <row r="283" spans="1:6" x14ac:dyDescent="0.3">
      <c r="A283" s="2">
        <v>21.882999999999999</v>
      </c>
      <c r="B283" s="2">
        <v>1.8166</v>
      </c>
      <c r="C283" s="1">
        <f>Tabela7[[#This Row],[Alongamento (mm/mm)]]/$I$2</f>
        <v>3.6332000000000003E-2</v>
      </c>
      <c r="D283" s="2">
        <v>173.84</v>
      </c>
      <c r="E283" s="1">
        <f>Tabela7[[#This Row],[Força (N)]]/$I$5</f>
        <v>4084356.1453301511</v>
      </c>
      <c r="F283" s="1">
        <f>Tabela7[[#This Row],[Tensão (Pa)]]/1000000</f>
        <v>4.0843561453301511</v>
      </c>
    </row>
    <row r="284" spans="1:6" x14ac:dyDescent="0.3">
      <c r="A284" s="2">
        <v>21.933</v>
      </c>
      <c r="B284" s="2">
        <v>1.8207</v>
      </c>
      <c r="C284" s="1">
        <f>Tabela7[[#This Row],[Alongamento (mm/mm)]]/$I$2</f>
        <v>3.6414000000000002E-2</v>
      </c>
      <c r="D284" s="2">
        <v>175.03</v>
      </c>
      <c r="E284" s="1">
        <f>Tabela7[[#This Row],[Força (N)]]/$I$5</f>
        <v>4112315.0950134392</v>
      </c>
      <c r="F284" s="1">
        <f>Tabela7[[#This Row],[Tensão (Pa)]]/1000000</f>
        <v>4.1123150950134395</v>
      </c>
    </row>
    <row r="285" spans="1:6" x14ac:dyDescent="0.3">
      <c r="A285" s="2">
        <v>22</v>
      </c>
      <c r="B285" s="2">
        <v>1.8263</v>
      </c>
      <c r="C285" s="1">
        <f>Tabela7[[#This Row],[Alongamento (mm/mm)]]/$I$2</f>
        <v>3.6526000000000003E-2</v>
      </c>
      <c r="D285" s="2">
        <v>176.39</v>
      </c>
      <c r="E285" s="1">
        <f>Tabela7[[#This Row],[Força (N)]]/$I$5</f>
        <v>4144268.1803657687</v>
      </c>
      <c r="F285" s="1">
        <f>Tabela7[[#This Row],[Tensão (Pa)]]/1000000</f>
        <v>4.1442681803657688</v>
      </c>
    </row>
    <row r="286" spans="1:6" x14ac:dyDescent="0.3">
      <c r="A286" s="2">
        <v>22.067</v>
      </c>
      <c r="B286" s="2">
        <v>1.8318000000000001</v>
      </c>
      <c r="C286" s="1">
        <f>Tabela7[[#This Row],[Alongamento (mm/mm)]]/$I$2</f>
        <v>3.6636000000000002E-2</v>
      </c>
      <c r="D286" s="2">
        <v>177.92</v>
      </c>
      <c r="E286" s="1">
        <f>Tabela7[[#This Row],[Força (N)]]/$I$5</f>
        <v>4180215.4013871397</v>
      </c>
      <c r="F286" s="1">
        <f>Tabela7[[#This Row],[Tensão (Pa)]]/1000000</f>
        <v>4.18021540138714</v>
      </c>
    </row>
    <row r="287" spans="1:6" x14ac:dyDescent="0.3">
      <c r="A287" s="2">
        <v>22.132999999999999</v>
      </c>
      <c r="B287" s="2">
        <v>1.8373999999999999</v>
      </c>
      <c r="C287" s="1">
        <f>Tabela7[[#This Row],[Alongamento (mm/mm)]]/$I$2</f>
        <v>3.6747999999999996E-2</v>
      </c>
      <c r="D287" s="2">
        <v>179.45</v>
      </c>
      <c r="E287" s="1">
        <f>Tabela7[[#This Row],[Força (N)]]/$I$5</f>
        <v>4216162.6224085111</v>
      </c>
      <c r="F287" s="1">
        <f>Tabela7[[#This Row],[Tensão (Pa)]]/1000000</f>
        <v>4.2161626224085111</v>
      </c>
    </row>
    <row r="288" spans="1:6" x14ac:dyDescent="0.3">
      <c r="A288" s="2">
        <v>22.2</v>
      </c>
      <c r="B288" s="2">
        <v>1.843</v>
      </c>
      <c r="C288" s="1">
        <f>Tabela7[[#This Row],[Alongamento (mm/mm)]]/$I$2</f>
        <v>3.6859999999999997E-2</v>
      </c>
      <c r="D288" s="2">
        <v>180.82</v>
      </c>
      <c r="E288" s="1">
        <f>Tabela7[[#This Row],[Força (N)]]/$I$5</f>
        <v>4248350.656917843</v>
      </c>
      <c r="F288" s="1">
        <f>Tabela7[[#This Row],[Tensão (Pa)]]/1000000</f>
        <v>4.2483506569178431</v>
      </c>
    </row>
    <row r="289" spans="1:6" x14ac:dyDescent="0.3">
      <c r="A289" s="2">
        <v>22.266999999999999</v>
      </c>
      <c r="B289" s="2">
        <v>1.8486</v>
      </c>
      <c r="C289" s="1">
        <f>Tabela7[[#This Row],[Alongamento (mm/mm)]]/$I$2</f>
        <v>3.6971999999999998E-2</v>
      </c>
      <c r="D289" s="2">
        <v>182.35</v>
      </c>
      <c r="E289" s="1">
        <f>Tabela7[[#This Row],[Força (N)]]/$I$5</f>
        <v>4284297.877939214</v>
      </c>
      <c r="F289" s="1">
        <f>Tabela7[[#This Row],[Tensão (Pa)]]/1000000</f>
        <v>4.2842978779392142</v>
      </c>
    </row>
    <row r="290" spans="1:6" x14ac:dyDescent="0.3">
      <c r="A290" s="2">
        <v>22.332999999999998</v>
      </c>
      <c r="B290" s="2">
        <v>1.8542000000000001</v>
      </c>
      <c r="C290" s="1">
        <f>Tabela7[[#This Row],[Alongamento (mm/mm)]]/$I$2</f>
        <v>3.7083999999999999E-2</v>
      </c>
      <c r="D290" s="2">
        <v>183.88</v>
      </c>
      <c r="E290" s="1">
        <f>Tabela7[[#This Row],[Força (N)]]/$I$5</f>
        <v>4320245.098960585</v>
      </c>
      <c r="F290" s="1">
        <f>Tabela7[[#This Row],[Tensão (Pa)]]/1000000</f>
        <v>4.3202450989605854</v>
      </c>
    </row>
    <row r="291" spans="1:6" x14ac:dyDescent="0.3">
      <c r="A291" s="2">
        <v>22.4</v>
      </c>
      <c r="B291" s="2">
        <v>1.8596999999999999</v>
      </c>
      <c r="C291" s="1">
        <f>Tabela7[[#This Row],[Alongamento (mm/mm)]]/$I$2</f>
        <v>3.7193999999999998E-2</v>
      </c>
      <c r="D291" s="2">
        <v>185.41</v>
      </c>
      <c r="E291" s="1">
        <f>Tabela7[[#This Row],[Força (N)]]/$I$5</f>
        <v>4356192.3199819559</v>
      </c>
      <c r="F291" s="1">
        <f>Tabela7[[#This Row],[Tensão (Pa)]]/1000000</f>
        <v>4.3561923199819557</v>
      </c>
    </row>
    <row r="292" spans="1:6" x14ac:dyDescent="0.3">
      <c r="A292" s="2">
        <v>22.466999999999999</v>
      </c>
      <c r="B292" s="2">
        <v>1.8653</v>
      </c>
      <c r="C292" s="1">
        <f>Tabela7[[#This Row],[Alongamento (mm/mm)]]/$I$2</f>
        <v>3.7305999999999999E-2</v>
      </c>
      <c r="D292" s="2">
        <v>186.94</v>
      </c>
      <c r="E292" s="1">
        <f>Tabela7[[#This Row],[Força (N)]]/$I$5</f>
        <v>4392139.5410033269</v>
      </c>
      <c r="F292" s="1">
        <f>Tabela7[[#This Row],[Tensão (Pa)]]/1000000</f>
        <v>4.3921395410033268</v>
      </c>
    </row>
    <row r="293" spans="1:6" x14ac:dyDescent="0.3">
      <c r="A293" s="2">
        <v>22.533000000000001</v>
      </c>
      <c r="B293" s="2">
        <v>1.8708</v>
      </c>
      <c r="C293" s="1">
        <f>Tabela7[[#This Row],[Alongamento (mm/mm)]]/$I$2</f>
        <v>3.7415999999999998E-2</v>
      </c>
      <c r="D293" s="2">
        <v>188.47</v>
      </c>
      <c r="E293" s="1">
        <f>Tabela7[[#This Row],[Força (N)]]/$I$5</f>
        <v>4428086.7620246978</v>
      </c>
      <c r="F293" s="1">
        <f>Tabela7[[#This Row],[Tensão (Pa)]]/1000000</f>
        <v>4.428086762024698</v>
      </c>
    </row>
    <row r="294" spans="1:6" x14ac:dyDescent="0.3">
      <c r="A294" s="2">
        <v>22.6</v>
      </c>
      <c r="B294" s="2">
        <v>1.8763000000000001</v>
      </c>
      <c r="C294" s="1">
        <f>Tabela7[[#This Row],[Alongamento (mm/mm)]]/$I$2</f>
        <v>3.7526000000000004E-2</v>
      </c>
      <c r="D294" s="2">
        <v>190</v>
      </c>
      <c r="E294" s="1">
        <f>Tabela7[[#This Row],[Força (N)]]/$I$5</f>
        <v>4464033.9830460688</v>
      </c>
      <c r="F294" s="1">
        <f>Tabela7[[#This Row],[Tensão (Pa)]]/1000000</f>
        <v>4.4640339830460691</v>
      </c>
    </row>
    <row r="295" spans="1:6" x14ac:dyDescent="0.3">
      <c r="A295" s="2">
        <v>22.667000000000002</v>
      </c>
      <c r="B295" s="2">
        <v>1.8817999999999999</v>
      </c>
      <c r="C295" s="1">
        <f>Tabela7[[#This Row],[Alongamento (mm/mm)]]/$I$2</f>
        <v>3.7635999999999996E-2</v>
      </c>
      <c r="D295" s="2">
        <v>191.53</v>
      </c>
      <c r="E295" s="1">
        <f>Tabela7[[#This Row],[Força (N)]]/$I$5</f>
        <v>4499981.2040674398</v>
      </c>
      <c r="F295" s="1">
        <f>Tabela7[[#This Row],[Tensão (Pa)]]/1000000</f>
        <v>4.4999812040674394</v>
      </c>
    </row>
    <row r="296" spans="1:6" x14ac:dyDescent="0.3">
      <c r="A296" s="2">
        <v>22.733000000000001</v>
      </c>
      <c r="B296" s="2">
        <v>1.8874</v>
      </c>
      <c r="C296" s="1">
        <f>Tabela7[[#This Row],[Alongamento (mm/mm)]]/$I$2</f>
        <v>3.7747999999999997E-2</v>
      </c>
      <c r="D296" s="2">
        <v>193.06</v>
      </c>
      <c r="E296" s="1">
        <f>Tabela7[[#This Row],[Força (N)]]/$I$5</f>
        <v>4535928.4250888107</v>
      </c>
      <c r="F296" s="1">
        <f>Tabela7[[#This Row],[Tensão (Pa)]]/1000000</f>
        <v>4.5359284250888106</v>
      </c>
    </row>
    <row r="297" spans="1:6" x14ac:dyDescent="0.3">
      <c r="A297" s="2">
        <v>22.8</v>
      </c>
      <c r="B297" s="2">
        <v>1.893</v>
      </c>
      <c r="C297" s="1">
        <f>Tabela7[[#This Row],[Alongamento (mm/mm)]]/$I$2</f>
        <v>3.7859999999999998E-2</v>
      </c>
      <c r="D297" s="2">
        <v>194.59</v>
      </c>
      <c r="E297" s="1">
        <f>Tabela7[[#This Row],[Força (N)]]/$I$5</f>
        <v>4571875.6461101817</v>
      </c>
      <c r="F297" s="1">
        <f>Tabela7[[#This Row],[Tensão (Pa)]]/1000000</f>
        <v>4.5718756461101817</v>
      </c>
    </row>
    <row r="298" spans="1:6" x14ac:dyDescent="0.3">
      <c r="A298" s="2">
        <v>22.867000000000001</v>
      </c>
      <c r="B298" s="2">
        <v>1.8985000000000001</v>
      </c>
      <c r="C298" s="1">
        <f>Tabela7[[#This Row],[Alongamento (mm/mm)]]/$I$2</f>
        <v>3.7970000000000004E-2</v>
      </c>
      <c r="D298" s="2">
        <v>196.29</v>
      </c>
      <c r="E298" s="1">
        <f>Tabela7[[#This Row],[Força (N)]]/$I$5</f>
        <v>4611817.0028005941</v>
      </c>
      <c r="F298" s="1">
        <f>Tabela7[[#This Row],[Tensão (Pa)]]/1000000</f>
        <v>4.6118170028005938</v>
      </c>
    </row>
    <row r="299" spans="1:6" x14ac:dyDescent="0.3">
      <c r="A299" s="2">
        <v>22.933</v>
      </c>
      <c r="B299" s="2">
        <v>1.9040999999999999</v>
      </c>
      <c r="C299" s="1">
        <f>Tabela7[[#This Row],[Alongamento (mm/mm)]]/$I$2</f>
        <v>3.8081999999999998E-2</v>
      </c>
      <c r="D299" s="2">
        <v>197.82</v>
      </c>
      <c r="E299" s="1">
        <f>Tabela7[[#This Row],[Força (N)]]/$I$5</f>
        <v>4647764.223821965</v>
      </c>
      <c r="F299" s="1">
        <f>Tabela7[[#This Row],[Tensão (Pa)]]/1000000</f>
        <v>4.647764223821965</v>
      </c>
    </row>
    <row r="300" spans="1:6" x14ac:dyDescent="0.3">
      <c r="A300" s="2">
        <v>23</v>
      </c>
      <c r="B300" s="2">
        <v>1.9096</v>
      </c>
      <c r="C300" s="1">
        <f>Tabela7[[#This Row],[Alongamento (mm/mm)]]/$I$2</f>
        <v>3.8191999999999997E-2</v>
      </c>
      <c r="D300" s="2">
        <v>199.36</v>
      </c>
      <c r="E300" s="1">
        <f>Tabela7[[#This Row],[Força (N)]]/$I$5</f>
        <v>4683946.3940003393</v>
      </c>
      <c r="F300" s="1">
        <f>Tabela7[[#This Row],[Tensão (Pa)]]/1000000</f>
        <v>4.6839463940003396</v>
      </c>
    </row>
    <row r="301" spans="1:6" x14ac:dyDescent="0.3">
      <c r="A301" s="2">
        <v>23.067</v>
      </c>
      <c r="B301" s="2">
        <v>1.9152</v>
      </c>
      <c r="C301" s="1">
        <f>Tabela7[[#This Row],[Alongamento (mm/mm)]]/$I$2</f>
        <v>3.8303999999999998E-2</v>
      </c>
      <c r="D301" s="2">
        <v>201.06</v>
      </c>
      <c r="E301" s="1">
        <f>Tabela7[[#This Row],[Força (N)]]/$I$5</f>
        <v>4723887.7506907508</v>
      </c>
      <c r="F301" s="1">
        <f>Tabela7[[#This Row],[Tensão (Pa)]]/1000000</f>
        <v>4.7238877506907508</v>
      </c>
    </row>
    <row r="302" spans="1:6" x14ac:dyDescent="0.3">
      <c r="A302" s="2">
        <v>23.132999999999999</v>
      </c>
      <c r="B302" s="2">
        <v>1.9208000000000001</v>
      </c>
      <c r="C302" s="1">
        <f>Tabela7[[#This Row],[Alongamento (mm/mm)]]/$I$2</f>
        <v>3.8415999999999999E-2</v>
      </c>
      <c r="D302" s="2">
        <v>202.76</v>
      </c>
      <c r="E302" s="1">
        <f>Tabela7[[#This Row],[Força (N)]]/$I$5</f>
        <v>4763829.1073811632</v>
      </c>
      <c r="F302" s="1">
        <f>Tabela7[[#This Row],[Tensão (Pa)]]/1000000</f>
        <v>4.7638291073811629</v>
      </c>
    </row>
    <row r="303" spans="1:6" x14ac:dyDescent="0.3">
      <c r="A303" s="2">
        <v>23.2</v>
      </c>
      <c r="B303" s="2">
        <v>1.9263999999999999</v>
      </c>
      <c r="C303" s="1">
        <f>Tabela7[[#This Row],[Alongamento (mm/mm)]]/$I$2</f>
        <v>3.8528E-2</v>
      </c>
      <c r="D303" s="2">
        <v>204.29</v>
      </c>
      <c r="E303" s="1">
        <f>Tabela7[[#This Row],[Força (N)]]/$I$5</f>
        <v>4799776.3284025341</v>
      </c>
      <c r="F303" s="1">
        <f>Tabela7[[#This Row],[Tensão (Pa)]]/1000000</f>
        <v>4.7997763284025341</v>
      </c>
    </row>
    <row r="304" spans="1:6" x14ac:dyDescent="0.3">
      <c r="A304" s="2">
        <v>23.25</v>
      </c>
      <c r="B304" s="2">
        <v>1.9305000000000001</v>
      </c>
      <c r="C304" s="1">
        <f>Tabela7[[#This Row],[Alongamento (mm/mm)]]/$I$2</f>
        <v>3.8610000000000005E-2</v>
      </c>
      <c r="D304" s="2">
        <v>205.65</v>
      </c>
      <c r="E304" s="1">
        <f>Tabela7[[#This Row],[Força (N)]]/$I$5</f>
        <v>4831729.4137548637</v>
      </c>
      <c r="F304" s="1">
        <f>Tabela7[[#This Row],[Tensão (Pa)]]/1000000</f>
        <v>4.8317294137548634</v>
      </c>
    </row>
    <row r="305" spans="1:6" x14ac:dyDescent="0.3">
      <c r="A305" s="2">
        <v>23.317</v>
      </c>
      <c r="B305" s="2">
        <v>1.9360999999999999</v>
      </c>
      <c r="C305" s="1">
        <f>Tabela7[[#This Row],[Alongamento (mm/mm)]]/$I$2</f>
        <v>3.8721999999999999E-2</v>
      </c>
      <c r="D305" s="2">
        <v>207.18</v>
      </c>
      <c r="E305" s="1">
        <f>Tabela7[[#This Row],[Força (N)]]/$I$5</f>
        <v>4867676.6347762346</v>
      </c>
      <c r="F305" s="1">
        <f>Tabela7[[#This Row],[Tensão (Pa)]]/1000000</f>
        <v>4.8676766347762346</v>
      </c>
    </row>
    <row r="306" spans="1:6" x14ac:dyDescent="0.3">
      <c r="A306" s="2">
        <v>23.382999999999999</v>
      </c>
      <c r="B306" s="2">
        <v>1.9417</v>
      </c>
      <c r="C306" s="1">
        <f>Tabela7[[#This Row],[Alongamento (mm/mm)]]/$I$2</f>
        <v>3.8834E-2</v>
      </c>
      <c r="D306" s="2">
        <v>208.71</v>
      </c>
      <c r="E306" s="1">
        <f>Tabela7[[#This Row],[Força (N)]]/$I$5</f>
        <v>4903623.8557976056</v>
      </c>
      <c r="F306" s="1">
        <f>Tabela7[[#This Row],[Tensão (Pa)]]/1000000</f>
        <v>4.9036238557976057</v>
      </c>
    </row>
    <row r="307" spans="1:6" x14ac:dyDescent="0.3">
      <c r="A307" s="2">
        <v>23.45</v>
      </c>
      <c r="B307" s="2">
        <v>1.9471000000000001</v>
      </c>
      <c r="C307" s="1">
        <f>Tabela7[[#This Row],[Alongamento (mm/mm)]]/$I$2</f>
        <v>3.8942000000000004E-2</v>
      </c>
      <c r="D307" s="2">
        <v>210.41</v>
      </c>
      <c r="E307" s="1">
        <f>Tabela7[[#This Row],[Força (N)]]/$I$5</f>
        <v>4943565.212488018</v>
      </c>
      <c r="F307" s="1">
        <f>Tabela7[[#This Row],[Tensão (Pa)]]/1000000</f>
        <v>4.9435652124880178</v>
      </c>
    </row>
    <row r="308" spans="1:6" x14ac:dyDescent="0.3">
      <c r="A308" s="2">
        <v>23.516999999999999</v>
      </c>
      <c r="B308" s="2">
        <v>1.9527000000000001</v>
      </c>
      <c r="C308" s="1">
        <f>Tabela7[[#This Row],[Alongamento (mm/mm)]]/$I$2</f>
        <v>3.9054000000000005E-2</v>
      </c>
      <c r="D308" s="2">
        <v>211.94</v>
      </c>
      <c r="E308" s="1">
        <f>Tabela7[[#This Row],[Força (N)]]/$I$5</f>
        <v>4979512.4335093889</v>
      </c>
      <c r="F308" s="1">
        <f>Tabela7[[#This Row],[Tensão (Pa)]]/1000000</f>
        <v>4.979512433509389</v>
      </c>
    </row>
    <row r="309" spans="1:6" x14ac:dyDescent="0.3">
      <c r="A309" s="2">
        <v>23.582999999999998</v>
      </c>
      <c r="B309" s="2">
        <v>1.9582999999999999</v>
      </c>
      <c r="C309" s="1">
        <f>Tabela7[[#This Row],[Alongamento (mm/mm)]]/$I$2</f>
        <v>3.9165999999999999E-2</v>
      </c>
      <c r="D309" s="2">
        <v>213.64</v>
      </c>
      <c r="E309" s="1">
        <f>Tabela7[[#This Row],[Força (N)]]/$I$5</f>
        <v>5019453.7901998004</v>
      </c>
      <c r="F309" s="1">
        <f>Tabela7[[#This Row],[Tensão (Pa)]]/1000000</f>
        <v>5.0194537901998002</v>
      </c>
    </row>
    <row r="310" spans="1:6" x14ac:dyDescent="0.3">
      <c r="A310" s="2">
        <v>23.65</v>
      </c>
      <c r="B310" s="2">
        <v>1.9639</v>
      </c>
      <c r="C310" s="1">
        <f>Tabela7[[#This Row],[Alongamento (mm/mm)]]/$I$2</f>
        <v>3.9278E-2</v>
      </c>
      <c r="D310" s="2">
        <v>215.18</v>
      </c>
      <c r="E310" s="1">
        <f>Tabela7[[#This Row],[Força (N)]]/$I$5</f>
        <v>5055635.9603781747</v>
      </c>
      <c r="F310" s="1">
        <f>Tabela7[[#This Row],[Tensão (Pa)]]/1000000</f>
        <v>5.0556359603781749</v>
      </c>
    </row>
    <row r="311" spans="1:6" x14ac:dyDescent="0.3">
      <c r="A311" s="2">
        <v>23.7</v>
      </c>
      <c r="B311" s="2">
        <v>1.968</v>
      </c>
      <c r="C311" s="1">
        <f>Tabela7[[#This Row],[Alongamento (mm/mm)]]/$I$2</f>
        <v>3.9359999999999999E-2</v>
      </c>
      <c r="D311" s="2">
        <v>216.54</v>
      </c>
      <c r="E311" s="1">
        <f>Tabela7[[#This Row],[Força (N)]]/$I$5</f>
        <v>5087589.0457305042</v>
      </c>
      <c r="F311" s="1">
        <f>Tabela7[[#This Row],[Tensão (Pa)]]/1000000</f>
        <v>5.0875890457305042</v>
      </c>
    </row>
    <row r="312" spans="1:6" x14ac:dyDescent="0.3">
      <c r="A312" s="2">
        <v>23.766999999999999</v>
      </c>
      <c r="B312" s="2">
        <v>1.9736</v>
      </c>
      <c r="C312" s="1">
        <f>Tabela7[[#This Row],[Alongamento (mm/mm)]]/$I$2</f>
        <v>3.9472E-2</v>
      </c>
      <c r="D312" s="2">
        <v>218.24</v>
      </c>
      <c r="E312" s="1">
        <f>Tabela7[[#This Row],[Força (N)]]/$I$5</f>
        <v>5127530.4024209166</v>
      </c>
      <c r="F312" s="1">
        <f>Tabela7[[#This Row],[Tensão (Pa)]]/1000000</f>
        <v>5.1275304024209163</v>
      </c>
    </row>
    <row r="313" spans="1:6" x14ac:dyDescent="0.3">
      <c r="A313" s="2">
        <v>23.832999999999998</v>
      </c>
      <c r="B313" s="2">
        <v>1.9792000000000001</v>
      </c>
      <c r="C313" s="1">
        <f>Tabela7[[#This Row],[Alongamento (mm/mm)]]/$I$2</f>
        <v>3.9584000000000001E-2</v>
      </c>
      <c r="D313" s="2">
        <v>219.94</v>
      </c>
      <c r="E313" s="1">
        <f>Tabela7[[#This Row],[Força (N)]]/$I$5</f>
        <v>5167471.759111329</v>
      </c>
      <c r="F313" s="1">
        <f>Tabela7[[#This Row],[Tensão (Pa)]]/1000000</f>
        <v>5.1674717591113293</v>
      </c>
    </row>
    <row r="314" spans="1:6" x14ac:dyDescent="0.3">
      <c r="A314" s="2">
        <v>23.9</v>
      </c>
      <c r="B314" s="2">
        <v>1.9845999999999999</v>
      </c>
      <c r="C314" s="1">
        <f>Tabela7[[#This Row],[Alongamento (mm/mm)]]/$I$2</f>
        <v>3.9691999999999998E-2</v>
      </c>
      <c r="D314" s="2">
        <v>221.81</v>
      </c>
      <c r="E314" s="1">
        <f>Tabela7[[#This Row],[Força (N)]]/$I$5</f>
        <v>5211407.2514707819</v>
      </c>
      <c r="F314" s="1">
        <f>Tabela7[[#This Row],[Tensão (Pa)]]/1000000</f>
        <v>5.2114072514707814</v>
      </c>
    </row>
    <row r="315" spans="1:6" x14ac:dyDescent="0.3">
      <c r="A315" s="2">
        <v>23.966999999999999</v>
      </c>
      <c r="B315" s="2">
        <v>1.9902</v>
      </c>
      <c r="C315" s="1">
        <f>Tabela7[[#This Row],[Alongamento (mm/mm)]]/$I$2</f>
        <v>3.9803999999999999E-2</v>
      </c>
      <c r="D315" s="2">
        <v>223.68</v>
      </c>
      <c r="E315" s="1">
        <f>Tabela7[[#This Row],[Força (N)]]/$I$5</f>
        <v>5255342.7438302357</v>
      </c>
      <c r="F315" s="1">
        <f>Tabela7[[#This Row],[Tensão (Pa)]]/1000000</f>
        <v>5.2553427438302354</v>
      </c>
    </row>
    <row r="316" spans="1:6" x14ac:dyDescent="0.3">
      <c r="A316" s="2">
        <v>24.033000000000001</v>
      </c>
      <c r="B316" s="2">
        <v>1.9958</v>
      </c>
      <c r="C316" s="1">
        <f>Tabela7[[#This Row],[Alongamento (mm/mm)]]/$I$2</f>
        <v>3.9916E-2</v>
      </c>
      <c r="D316" s="2">
        <v>225.38</v>
      </c>
      <c r="E316" s="1">
        <f>Tabela7[[#This Row],[Força (N)]]/$I$5</f>
        <v>5295284.1005206471</v>
      </c>
      <c r="F316" s="1">
        <f>Tabela7[[#This Row],[Tensão (Pa)]]/1000000</f>
        <v>5.2952841005206475</v>
      </c>
    </row>
    <row r="317" spans="1:6" x14ac:dyDescent="0.3">
      <c r="A317" s="2">
        <v>24.1</v>
      </c>
      <c r="B317" s="2">
        <v>2.0013000000000001</v>
      </c>
      <c r="C317" s="1">
        <f>Tabela7[[#This Row],[Alongamento (mm/mm)]]/$I$2</f>
        <v>4.0025999999999999E-2</v>
      </c>
      <c r="D317" s="2">
        <v>227.08</v>
      </c>
      <c r="E317" s="1">
        <f>Tabela7[[#This Row],[Força (N)]]/$I$5</f>
        <v>5335225.4572110604</v>
      </c>
      <c r="F317" s="1">
        <f>Tabela7[[#This Row],[Tensão (Pa)]]/1000000</f>
        <v>5.3352254572110605</v>
      </c>
    </row>
    <row r="318" spans="1:6" x14ac:dyDescent="0.3">
      <c r="A318" s="2">
        <v>24.167000000000002</v>
      </c>
      <c r="B318" s="2">
        <v>2.0068000000000001</v>
      </c>
      <c r="C318" s="1">
        <f>Tabela7[[#This Row],[Alongamento (mm/mm)]]/$I$2</f>
        <v>4.0136000000000005E-2</v>
      </c>
      <c r="D318" s="2">
        <v>228.95</v>
      </c>
      <c r="E318" s="1">
        <f>Tabela7[[#This Row],[Força (N)]]/$I$5</f>
        <v>5379160.9495705133</v>
      </c>
      <c r="F318" s="1">
        <f>Tabela7[[#This Row],[Tensão (Pa)]]/1000000</f>
        <v>5.3791609495705135</v>
      </c>
    </row>
    <row r="319" spans="1:6" x14ac:dyDescent="0.3">
      <c r="A319" s="2">
        <v>24.233000000000001</v>
      </c>
      <c r="B319" s="2">
        <v>2.0124</v>
      </c>
      <c r="C319" s="1">
        <f>Tabela7[[#This Row],[Alongamento (mm/mm)]]/$I$2</f>
        <v>4.0247999999999999E-2</v>
      </c>
      <c r="D319" s="2">
        <v>230.65</v>
      </c>
      <c r="E319" s="1">
        <f>Tabela7[[#This Row],[Força (N)]]/$I$5</f>
        <v>5419102.3062609257</v>
      </c>
      <c r="F319" s="1">
        <f>Tabela7[[#This Row],[Tensão (Pa)]]/1000000</f>
        <v>5.4191023062609256</v>
      </c>
    </row>
    <row r="320" spans="1:6" x14ac:dyDescent="0.3">
      <c r="A320" s="2">
        <v>24.3</v>
      </c>
      <c r="B320" s="2">
        <v>2.0179999999999998</v>
      </c>
      <c r="C320" s="1">
        <f>Tabela7[[#This Row],[Alongamento (mm/mm)]]/$I$2</f>
        <v>4.0359999999999993E-2</v>
      </c>
      <c r="D320" s="2">
        <v>232.35</v>
      </c>
      <c r="E320" s="1">
        <f>Tabela7[[#This Row],[Força (N)]]/$I$5</f>
        <v>5459043.6629513372</v>
      </c>
      <c r="F320" s="1">
        <f>Tabela7[[#This Row],[Tensão (Pa)]]/1000000</f>
        <v>5.4590436629513368</v>
      </c>
    </row>
    <row r="321" spans="1:6" x14ac:dyDescent="0.3">
      <c r="A321" s="2">
        <v>24.367000000000001</v>
      </c>
      <c r="B321" s="2">
        <v>2.0234999999999999</v>
      </c>
      <c r="C321" s="1">
        <f>Tabela7[[#This Row],[Alongamento (mm/mm)]]/$I$2</f>
        <v>4.0469999999999999E-2</v>
      </c>
      <c r="D321" s="2">
        <v>234.23</v>
      </c>
      <c r="E321" s="1">
        <f>Tabela7[[#This Row],[Força (N)]]/$I$5</f>
        <v>5503214.1044677934</v>
      </c>
      <c r="F321" s="1">
        <f>Tabela7[[#This Row],[Tensão (Pa)]]/1000000</f>
        <v>5.5032141044677934</v>
      </c>
    </row>
    <row r="322" spans="1:6" x14ac:dyDescent="0.3">
      <c r="A322" s="2">
        <v>24.433</v>
      </c>
      <c r="B322" s="2">
        <v>2.0291000000000001</v>
      </c>
      <c r="C322" s="1">
        <f>Tabela7[[#This Row],[Alongamento (mm/mm)]]/$I$2</f>
        <v>4.0582E-2</v>
      </c>
      <c r="D322" s="2">
        <v>235.93</v>
      </c>
      <c r="E322" s="1">
        <f>Tabela7[[#This Row],[Força (N)]]/$I$5</f>
        <v>5543155.4611582058</v>
      </c>
      <c r="F322" s="1">
        <f>Tabela7[[#This Row],[Tensão (Pa)]]/1000000</f>
        <v>5.5431554611582055</v>
      </c>
    </row>
    <row r="323" spans="1:6" x14ac:dyDescent="0.3">
      <c r="A323" s="2">
        <v>24.5</v>
      </c>
      <c r="B323" s="2">
        <v>2.0347</v>
      </c>
      <c r="C323" s="1">
        <f>Tabela7[[#This Row],[Alongamento (mm/mm)]]/$I$2</f>
        <v>4.0694000000000001E-2</v>
      </c>
      <c r="D323" s="2">
        <v>237.8</v>
      </c>
      <c r="E323" s="1">
        <f>Tabela7[[#This Row],[Força (N)]]/$I$5</f>
        <v>5587090.9535176596</v>
      </c>
      <c r="F323" s="1">
        <f>Tabela7[[#This Row],[Tensão (Pa)]]/1000000</f>
        <v>5.5870909535176594</v>
      </c>
    </row>
    <row r="324" spans="1:6" x14ac:dyDescent="0.3">
      <c r="A324" s="2">
        <v>24.567</v>
      </c>
      <c r="B324" s="2">
        <v>2.0402</v>
      </c>
      <c r="C324" s="1">
        <f>Tabela7[[#This Row],[Alongamento (mm/mm)]]/$I$2</f>
        <v>4.0804E-2</v>
      </c>
      <c r="D324" s="2">
        <v>239.5</v>
      </c>
      <c r="E324" s="1">
        <f>Tabela7[[#This Row],[Força (N)]]/$I$5</f>
        <v>5627032.310208071</v>
      </c>
      <c r="F324" s="1">
        <f>Tabela7[[#This Row],[Tensão (Pa)]]/1000000</f>
        <v>5.6270323102080706</v>
      </c>
    </row>
    <row r="325" spans="1:6" x14ac:dyDescent="0.3">
      <c r="A325" s="2">
        <v>24.632999999999999</v>
      </c>
      <c r="B325" s="2">
        <v>2.0457999999999998</v>
      </c>
      <c r="C325" s="1">
        <f>Tabela7[[#This Row],[Alongamento (mm/mm)]]/$I$2</f>
        <v>4.0915999999999994E-2</v>
      </c>
      <c r="D325" s="2">
        <v>241.37</v>
      </c>
      <c r="E325" s="1">
        <f>Tabela7[[#This Row],[Força (N)]]/$I$5</f>
        <v>5670967.8025675248</v>
      </c>
      <c r="F325" s="1">
        <f>Tabela7[[#This Row],[Tensão (Pa)]]/1000000</f>
        <v>5.6709678025675245</v>
      </c>
    </row>
    <row r="326" spans="1:6" x14ac:dyDescent="0.3">
      <c r="A326" s="2">
        <v>24.7</v>
      </c>
      <c r="B326" s="2">
        <v>2.0514000000000001</v>
      </c>
      <c r="C326" s="1">
        <f>Tabela7[[#This Row],[Alongamento (mm/mm)]]/$I$2</f>
        <v>4.1028000000000002E-2</v>
      </c>
      <c r="D326" s="2">
        <v>243.07</v>
      </c>
      <c r="E326" s="1">
        <f>Tabela7[[#This Row],[Força (N)]]/$I$5</f>
        <v>5710909.1592579363</v>
      </c>
      <c r="F326" s="1">
        <f>Tabela7[[#This Row],[Tensão (Pa)]]/1000000</f>
        <v>5.7109091592579366</v>
      </c>
    </row>
    <row r="327" spans="1:6" x14ac:dyDescent="0.3">
      <c r="A327" s="2">
        <v>24.766999999999999</v>
      </c>
      <c r="B327" s="2">
        <v>2.0569999999999999</v>
      </c>
      <c r="C327" s="1">
        <f>Tabela7[[#This Row],[Alongamento (mm/mm)]]/$I$2</f>
        <v>4.1139999999999996E-2</v>
      </c>
      <c r="D327" s="2">
        <v>244.94</v>
      </c>
      <c r="E327" s="1">
        <f>Tabela7[[#This Row],[Força (N)]]/$I$5</f>
        <v>5754844.6516173901</v>
      </c>
      <c r="F327" s="1">
        <f>Tabela7[[#This Row],[Tensão (Pa)]]/1000000</f>
        <v>5.7548446516173897</v>
      </c>
    </row>
    <row r="328" spans="1:6" x14ac:dyDescent="0.3">
      <c r="A328" s="2">
        <v>24.832999999999998</v>
      </c>
      <c r="B328" s="2">
        <v>2.0623999999999998</v>
      </c>
      <c r="C328" s="1">
        <f>Tabela7[[#This Row],[Alongamento (mm/mm)]]/$I$2</f>
        <v>4.1247999999999993E-2</v>
      </c>
      <c r="D328" s="2">
        <v>246.64</v>
      </c>
      <c r="E328" s="1">
        <f>Tabela7[[#This Row],[Força (N)]]/$I$5</f>
        <v>5794786.0083078025</v>
      </c>
      <c r="F328" s="1">
        <f>Tabela7[[#This Row],[Tensão (Pa)]]/1000000</f>
        <v>5.7947860083078027</v>
      </c>
    </row>
    <row r="329" spans="1:6" x14ac:dyDescent="0.3">
      <c r="A329" s="2">
        <v>24.9</v>
      </c>
      <c r="B329" s="2">
        <v>2.0680000000000001</v>
      </c>
      <c r="C329" s="1">
        <f>Tabela7[[#This Row],[Alongamento (mm/mm)]]/$I$2</f>
        <v>4.1360000000000001E-2</v>
      </c>
      <c r="D329" s="2">
        <v>248.51</v>
      </c>
      <c r="E329" s="1">
        <f>Tabela7[[#This Row],[Força (N)]]/$I$5</f>
        <v>5838721.5006672554</v>
      </c>
      <c r="F329" s="1">
        <f>Tabela7[[#This Row],[Tensão (Pa)]]/1000000</f>
        <v>5.8387215006672557</v>
      </c>
    </row>
    <row r="330" spans="1:6" x14ac:dyDescent="0.3">
      <c r="A330" s="2">
        <v>24.966999999999999</v>
      </c>
      <c r="B330" s="2">
        <v>2.0735000000000001</v>
      </c>
      <c r="C330" s="1">
        <f>Tabela7[[#This Row],[Alongamento (mm/mm)]]/$I$2</f>
        <v>4.147E-2</v>
      </c>
      <c r="D330" s="2">
        <v>250.22</v>
      </c>
      <c r="E330" s="1">
        <f>Tabela7[[#This Row],[Força (N)]]/$I$5</f>
        <v>5878897.8065146701</v>
      </c>
      <c r="F330" s="1">
        <f>Tabela7[[#This Row],[Tensão (Pa)]]/1000000</f>
        <v>5.8788978065146704</v>
      </c>
    </row>
    <row r="331" spans="1:6" x14ac:dyDescent="0.3">
      <c r="A331" s="2">
        <v>25.033000000000001</v>
      </c>
      <c r="B331" s="2">
        <v>2.0790999999999999</v>
      </c>
      <c r="C331" s="1">
        <f>Tabela7[[#This Row],[Alongamento (mm/mm)]]/$I$2</f>
        <v>4.1582000000000001E-2</v>
      </c>
      <c r="D331" s="2">
        <v>252.09</v>
      </c>
      <c r="E331" s="1">
        <f>Tabela7[[#This Row],[Força (N)]]/$I$5</f>
        <v>5922833.298874124</v>
      </c>
      <c r="F331" s="1">
        <f>Tabela7[[#This Row],[Tensão (Pa)]]/1000000</f>
        <v>5.9228332988741244</v>
      </c>
    </row>
    <row r="332" spans="1:6" x14ac:dyDescent="0.3">
      <c r="A332" s="2">
        <v>25.1</v>
      </c>
      <c r="B332" s="2">
        <v>2.0846</v>
      </c>
      <c r="C332" s="1">
        <f>Tabela7[[#This Row],[Alongamento (mm/mm)]]/$I$2</f>
        <v>4.1692E-2</v>
      </c>
      <c r="D332" s="2">
        <v>253.96</v>
      </c>
      <c r="E332" s="1">
        <f>Tabela7[[#This Row],[Força (N)]]/$I$5</f>
        <v>5966768.7912335778</v>
      </c>
      <c r="F332" s="1">
        <f>Tabela7[[#This Row],[Tensão (Pa)]]/1000000</f>
        <v>5.9667687912335774</v>
      </c>
    </row>
    <row r="333" spans="1:6" x14ac:dyDescent="0.3">
      <c r="A333" s="2">
        <v>25.167000000000002</v>
      </c>
      <c r="B333" s="2">
        <v>2.0901999999999998</v>
      </c>
      <c r="C333" s="1">
        <f>Tabela7[[#This Row],[Alongamento (mm/mm)]]/$I$2</f>
        <v>4.1803999999999994E-2</v>
      </c>
      <c r="D333" s="2">
        <v>255.83</v>
      </c>
      <c r="E333" s="1">
        <f>Tabela7[[#This Row],[Força (N)]]/$I$5</f>
        <v>6010704.2835930306</v>
      </c>
      <c r="F333" s="1">
        <f>Tabela7[[#This Row],[Tensão (Pa)]]/1000000</f>
        <v>6.0107042835930304</v>
      </c>
    </row>
    <row r="334" spans="1:6" x14ac:dyDescent="0.3">
      <c r="A334" s="2">
        <v>25.233000000000001</v>
      </c>
      <c r="B334" s="2">
        <v>2.0958000000000001</v>
      </c>
      <c r="C334" s="1">
        <f>Tabela7[[#This Row],[Alongamento (mm/mm)]]/$I$2</f>
        <v>4.1916000000000002E-2</v>
      </c>
      <c r="D334" s="2">
        <v>257.7</v>
      </c>
      <c r="E334" s="1">
        <f>Tabela7[[#This Row],[Força (N)]]/$I$5</f>
        <v>6054639.7759524835</v>
      </c>
      <c r="F334" s="1">
        <f>Tabela7[[#This Row],[Tensão (Pa)]]/1000000</f>
        <v>6.0546397759524835</v>
      </c>
    </row>
    <row r="335" spans="1:6" x14ac:dyDescent="0.3">
      <c r="A335" s="2">
        <v>25.3</v>
      </c>
      <c r="B335" s="2">
        <v>2.1013000000000002</v>
      </c>
      <c r="C335" s="1">
        <f>Tabela7[[#This Row],[Alongamento (mm/mm)]]/$I$2</f>
        <v>4.2026000000000001E-2</v>
      </c>
      <c r="D335" s="2">
        <v>259.39999999999998</v>
      </c>
      <c r="E335" s="1">
        <f>Tabela7[[#This Row],[Força (N)]]/$I$5</f>
        <v>6094581.1326428959</v>
      </c>
      <c r="F335" s="1">
        <f>Tabela7[[#This Row],[Tensão (Pa)]]/1000000</f>
        <v>6.0945811326428956</v>
      </c>
    </row>
    <row r="336" spans="1:6" x14ac:dyDescent="0.3">
      <c r="A336" s="2">
        <v>25.367000000000001</v>
      </c>
      <c r="B336" s="2">
        <v>2.1069</v>
      </c>
      <c r="C336" s="1">
        <f>Tabela7[[#This Row],[Alongamento (mm/mm)]]/$I$2</f>
        <v>4.2138000000000002E-2</v>
      </c>
      <c r="D336" s="2">
        <v>261.27</v>
      </c>
      <c r="E336" s="1">
        <f>Tabela7[[#This Row],[Força (N)]]/$I$5</f>
        <v>6138516.6250023497</v>
      </c>
      <c r="F336" s="1">
        <f>Tabela7[[#This Row],[Tensão (Pa)]]/1000000</f>
        <v>6.1385166250023495</v>
      </c>
    </row>
    <row r="337" spans="1:6" x14ac:dyDescent="0.3">
      <c r="A337" s="2">
        <v>25.45</v>
      </c>
      <c r="B337" s="2">
        <v>2.1137999999999999</v>
      </c>
      <c r="C337" s="1">
        <f>Tabela7[[#This Row],[Alongamento (mm/mm)]]/$I$2</f>
        <v>4.2276000000000001E-2</v>
      </c>
      <c r="D337" s="2">
        <v>263.64999999999998</v>
      </c>
      <c r="E337" s="1">
        <f>Tabela7[[#This Row],[Força (N)]]/$I$5</f>
        <v>6194434.524368926</v>
      </c>
      <c r="F337" s="1">
        <f>Tabela7[[#This Row],[Tensão (Pa)]]/1000000</f>
        <v>6.1944345243689263</v>
      </c>
    </row>
    <row r="338" spans="1:6" x14ac:dyDescent="0.3">
      <c r="A338" s="2">
        <v>25.533000000000001</v>
      </c>
      <c r="B338" s="2">
        <v>2.1208</v>
      </c>
      <c r="C338" s="1">
        <f>Tabela7[[#This Row],[Alongamento (mm/mm)]]/$I$2</f>
        <v>4.2416000000000002E-2</v>
      </c>
      <c r="D338" s="2">
        <v>265.86</v>
      </c>
      <c r="E338" s="1">
        <f>Tabela7[[#This Row],[Força (N)]]/$I$5</f>
        <v>6246358.2880664635</v>
      </c>
      <c r="F338" s="1">
        <f>Tabela7[[#This Row],[Tensão (Pa)]]/1000000</f>
        <v>6.2463582880664639</v>
      </c>
    </row>
    <row r="339" spans="1:6" x14ac:dyDescent="0.3">
      <c r="A339" s="2">
        <v>25.617000000000001</v>
      </c>
      <c r="B339" s="2">
        <v>2.1278000000000001</v>
      </c>
      <c r="C339" s="1">
        <f>Tabela7[[#This Row],[Alongamento (mm/mm)]]/$I$2</f>
        <v>4.2556000000000004E-2</v>
      </c>
      <c r="D339" s="2">
        <v>268.25</v>
      </c>
      <c r="E339" s="1">
        <f>Tabela7[[#This Row],[Força (N)]]/$I$5</f>
        <v>6302511.1365900422</v>
      </c>
      <c r="F339" s="1">
        <f>Tabela7[[#This Row],[Tensão (Pa)]]/1000000</f>
        <v>6.3025111365900424</v>
      </c>
    </row>
    <row r="340" spans="1:6" x14ac:dyDescent="0.3">
      <c r="A340" s="2">
        <v>25.7</v>
      </c>
      <c r="B340" s="2">
        <v>2.1347</v>
      </c>
      <c r="C340" s="1">
        <f>Tabela7[[#This Row],[Alongamento (mm/mm)]]/$I$2</f>
        <v>4.2694000000000003E-2</v>
      </c>
      <c r="D340" s="2">
        <v>270.45999999999998</v>
      </c>
      <c r="E340" s="1">
        <f>Tabela7[[#This Row],[Força (N)]]/$I$5</f>
        <v>6354434.9002875779</v>
      </c>
      <c r="F340" s="1">
        <f>Tabela7[[#This Row],[Tensão (Pa)]]/1000000</f>
        <v>6.3544349002875782</v>
      </c>
    </row>
    <row r="341" spans="1:6" x14ac:dyDescent="0.3">
      <c r="A341" s="2">
        <v>25.783000000000001</v>
      </c>
      <c r="B341" s="2">
        <v>2.1415000000000002</v>
      </c>
      <c r="C341" s="1">
        <f>Tabela7[[#This Row],[Alongamento (mm/mm)]]/$I$2</f>
        <v>4.2830000000000007E-2</v>
      </c>
      <c r="D341" s="2">
        <v>272.67</v>
      </c>
      <c r="E341" s="1">
        <f>Tabela7[[#This Row],[Força (N)]]/$I$5</f>
        <v>6406358.6639851145</v>
      </c>
      <c r="F341" s="1">
        <f>Tabela7[[#This Row],[Tensão (Pa)]]/1000000</f>
        <v>6.4063586639851149</v>
      </c>
    </row>
    <row r="342" spans="1:6" x14ac:dyDescent="0.3">
      <c r="A342" s="2">
        <v>25.867000000000001</v>
      </c>
      <c r="B342" s="2">
        <v>2.1484999999999999</v>
      </c>
      <c r="C342" s="1">
        <f>Tabela7[[#This Row],[Alongamento (mm/mm)]]/$I$2</f>
        <v>4.2969999999999994E-2</v>
      </c>
      <c r="D342" s="2">
        <v>275.05</v>
      </c>
      <c r="E342" s="1">
        <f>Tabela7[[#This Row],[Força (N)]]/$I$5</f>
        <v>6462276.5633516917</v>
      </c>
      <c r="F342" s="1">
        <f>Tabela7[[#This Row],[Tensão (Pa)]]/1000000</f>
        <v>6.4622765633516916</v>
      </c>
    </row>
    <row r="343" spans="1:6" x14ac:dyDescent="0.3">
      <c r="A343" s="2">
        <v>25.95</v>
      </c>
      <c r="B343" s="2">
        <v>2.1555</v>
      </c>
      <c r="C343" s="1">
        <f>Tabela7[[#This Row],[Alongamento (mm/mm)]]/$I$2</f>
        <v>4.3110000000000002E-2</v>
      </c>
      <c r="D343" s="2">
        <v>277.26</v>
      </c>
      <c r="E343" s="1">
        <f>Tabela7[[#This Row],[Força (N)]]/$I$5</f>
        <v>6514200.3270492265</v>
      </c>
      <c r="F343" s="1">
        <f>Tabela7[[#This Row],[Tensão (Pa)]]/1000000</f>
        <v>6.5142003270492266</v>
      </c>
    </row>
    <row r="344" spans="1:6" x14ac:dyDescent="0.3">
      <c r="A344" s="2">
        <v>26.033000000000001</v>
      </c>
      <c r="B344" s="2">
        <v>2.1623000000000001</v>
      </c>
      <c r="C344" s="1">
        <f>Tabela7[[#This Row],[Alongamento (mm/mm)]]/$I$2</f>
        <v>4.3246E-2</v>
      </c>
      <c r="D344" s="2">
        <v>279.64</v>
      </c>
      <c r="E344" s="1">
        <f>Tabela7[[#This Row],[Força (N)]]/$I$5</f>
        <v>6570118.2264158037</v>
      </c>
      <c r="F344" s="1">
        <f>Tabela7[[#This Row],[Tensão (Pa)]]/1000000</f>
        <v>6.5701182264158033</v>
      </c>
    </row>
    <row r="345" spans="1:6" x14ac:dyDescent="0.3">
      <c r="A345" s="2">
        <v>26.117000000000001</v>
      </c>
      <c r="B345" s="2">
        <v>2.1694</v>
      </c>
      <c r="C345" s="1">
        <f>Tabela7[[#This Row],[Alongamento (mm/mm)]]/$I$2</f>
        <v>4.3388000000000003E-2</v>
      </c>
      <c r="D345" s="2">
        <v>282.02</v>
      </c>
      <c r="E345" s="1">
        <f>Tabela7[[#This Row],[Força (N)]]/$I$5</f>
        <v>6626036.1257823808</v>
      </c>
      <c r="F345" s="1">
        <f>Tabela7[[#This Row],[Tensão (Pa)]]/1000000</f>
        <v>6.626036125782381</v>
      </c>
    </row>
    <row r="346" spans="1:6" x14ac:dyDescent="0.3">
      <c r="A346" s="2">
        <v>26.2</v>
      </c>
      <c r="B346" s="2">
        <v>2.1762999999999999</v>
      </c>
      <c r="C346" s="1">
        <f>Tabela7[[#This Row],[Alongamento (mm/mm)]]/$I$2</f>
        <v>4.3525999999999995E-2</v>
      </c>
      <c r="D346" s="2">
        <v>284.41000000000003</v>
      </c>
      <c r="E346" s="1">
        <f>Tabela7[[#This Row],[Força (N)]]/$I$5</f>
        <v>6682188.9743059613</v>
      </c>
      <c r="F346" s="1">
        <f>Tabela7[[#This Row],[Tensão (Pa)]]/1000000</f>
        <v>6.6821889743059613</v>
      </c>
    </row>
    <row r="347" spans="1:6" x14ac:dyDescent="0.3">
      <c r="A347" s="2">
        <v>26.266999999999999</v>
      </c>
      <c r="B347" s="2">
        <v>2.1819000000000002</v>
      </c>
      <c r="C347" s="1">
        <f>Tabela7[[#This Row],[Alongamento (mm/mm)]]/$I$2</f>
        <v>4.3638000000000003E-2</v>
      </c>
      <c r="D347" s="2">
        <v>286.45</v>
      </c>
      <c r="E347" s="1">
        <f>Tabela7[[#This Row],[Força (N)]]/$I$5</f>
        <v>6730118.6023344547</v>
      </c>
      <c r="F347" s="1">
        <f>Tabela7[[#This Row],[Tensão (Pa)]]/1000000</f>
        <v>6.7301186023344544</v>
      </c>
    </row>
    <row r="348" spans="1:6" x14ac:dyDescent="0.3">
      <c r="A348" s="2">
        <v>26.35</v>
      </c>
      <c r="B348" s="2">
        <v>2.1888000000000001</v>
      </c>
      <c r="C348" s="1">
        <f>Tabela7[[#This Row],[Alongamento (mm/mm)]]/$I$2</f>
        <v>4.3776000000000002E-2</v>
      </c>
      <c r="D348" s="2">
        <v>288.83</v>
      </c>
      <c r="E348" s="1">
        <f>Tabela7[[#This Row],[Força (N)]]/$I$5</f>
        <v>6786036.5017010318</v>
      </c>
      <c r="F348" s="1">
        <f>Tabela7[[#This Row],[Tensão (Pa)]]/1000000</f>
        <v>6.786036501701032</v>
      </c>
    </row>
    <row r="349" spans="1:6" x14ac:dyDescent="0.3">
      <c r="A349" s="2">
        <v>26.433</v>
      </c>
      <c r="B349" s="2">
        <v>2.1958000000000002</v>
      </c>
      <c r="C349" s="1">
        <f>Tabela7[[#This Row],[Alongamento (mm/mm)]]/$I$2</f>
        <v>4.3916000000000004E-2</v>
      </c>
      <c r="D349" s="2">
        <v>291.20999999999998</v>
      </c>
      <c r="E349" s="1">
        <f>Tabela7[[#This Row],[Força (N)]]/$I$5</f>
        <v>6841954.401067609</v>
      </c>
      <c r="F349" s="1">
        <f>Tabela7[[#This Row],[Tensão (Pa)]]/1000000</f>
        <v>6.8419544010676088</v>
      </c>
    </row>
    <row r="350" spans="1:6" x14ac:dyDescent="0.3">
      <c r="A350" s="2">
        <v>26.516999999999999</v>
      </c>
      <c r="B350" s="2">
        <v>2.2027000000000001</v>
      </c>
      <c r="C350" s="1">
        <f>Tabela7[[#This Row],[Alongamento (mm/mm)]]/$I$2</f>
        <v>4.4054000000000003E-2</v>
      </c>
      <c r="D350" s="2">
        <v>293.58999999999997</v>
      </c>
      <c r="E350" s="1">
        <f>Tabela7[[#This Row],[Força (N)]]/$I$5</f>
        <v>6897872.3004341861</v>
      </c>
      <c r="F350" s="1">
        <f>Tabela7[[#This Row],[Tensão (Pa)]]/1000000</f>
        <v>6.8978723004341864</v>
      </c>
    </row>
    <row r="351" spans="1:6" x14ac:dyDescent="0.3">
      <c r="A351" s="2">
        <v>26.582999999999998</v>
      </c>
      <c r="B351" s="2">
        <v>2.2082000000000002</v>
      </c>
      <c r="C351" s="1">
        <f>Tabela7[[#This Row],[Alongamento (mm/mm)]]/$I$2</f>
        <v>4.4164000000000002E-2</v>
      </c>
      <c r="D351" s="2">
        <v>295.63</v>
      </c>
      <c r="E351" s="1">
        <f>Tabela7[[#This Row],[Força (N)]]/$I$5</f>
        <v>6945801.9284626814</v>
      </c>
      <c r="F351" s="1">
        <f>Tabela7[[#This Row],[Tensão (Pa)]]/1000000</f>
        <v>6.9458019284626813</v>
      </c>
    </row>
    <row r="352" spans="1:6" x14ac:dyDescent="0.3">
      <c r="A352" s="2">
        <v>26.667000000000002</v>
      </c>
      <c r="B352" s="2">
        <v>2.2151999999999998</v>
      </c>
      <c r="C352" s="1">
        <f>Tabela7[[#This Row],[Alongamento (mm/mm)]]/$I$2</f>
        <v>4.4303999999999996E-2</v>
      </c>
      <c r="D352" s="2">
        <v>298.01</v>
      </c>
      <c r="E352" s="1">
        <f>Tabela7[[#This Row],[Força (N)]]/$I$5</f>
        <v>7001719.8278292576</v>
      </c>
      <c r="F352" s="1">
        <f>Tabela7[[#This Row],[Tensão (Pa)]]/1000000</f>
        <v>7.0017198278292572</v>
      </c>
    </row>
    <row r="353" spans="1:6" x14ac:dyDescent="0.3">
      <c r="A353" s="2">
        <v>26.75</v>
      </c>
      <c r="B353" s="2">
        <v>2.2222</v>
      </c>
      <c r="C353" s="1">
        <f>Tabela7[[#This Row],[Alongamento (mm/mm)]]/$I$2</f>
        <v>4.4443999999999997E-2</v>
      </c>
      <c r="D353" s="2">
        <v>300.39</v>
      </c>
      <c r="E353" s="1">
        <f>Tabela7[[#This Row],[Força (N)]]/$I$5</f>
        <v>7057637.7271958347</v>
      </c>
      <c r="F353" s="1">
        <f>Tabela7[[#This Row],[Tensão (Pa)]]/1000000</f>
        <v>7.0576377271958348</v>
      </c>
    </row>
    <row r="354" spans="1:6" x14ac:dyDescent="0.3">
      <c r="A354" s="2">
        <v>26.832999999999998</v>
      </c>
      <c r="B354" s="2">
        <v>2.2290999999999999</v>
      </c>
      <c r="C354" s="1">
        <f>Tabela7[[#This Row],[Alongamento (mm/mm)]]/$I$2</f>
        <v>4.4581999999999997E-2</v>
      </c>
      <c r="D354" s="2">
        <v>302.77999999999997</v>
      </c>
      <c r="E354" s="1">
        <f>Tabela7[[#This Row],[Força (N)]]/$I$5</f>
        <v>7113790.5757194143</v>
      </c>
      <c r="F354" s="1">
        <f>Tabela7[[#This Row],[Tensão (Pa)]]/1000000</f>
        <v>7.1137905757194142</v>
      </c>
    </row>
    <row r="355" spans="1:6" x14ac:dyDescent="0.3">
      <c r="A355" s="2">
        <v>26.9</v>
      </c>
      <c r="B355" s="2">
        <v>2.2345999999999999</v>
      </c>
      <c r="C355" s="1">
        <f>Tabela7[[#This Row],[Alongamento (mm/mm)]]/$I$2</f>
        <v>4.4691999999999996E-2</v>
      </c>
      <c r="D355" s="2">
        <v>304.82</v>
      </c>
      <c r="E355" s="1">
        <f>Tabela7[[#This Row],[Força (N)]]/$I$5</f>
        <v>7161720.2037479095</v>
      </c>
      <c r="F355" s="1">
        <f>Tabela7[[#This Row],[Tensão (Pa)]]/1000000</f>
        <v>7.1617202037479091</v>
      </c>
    </row>
    <row r="356" spans="1:6" x14ac:dyDescent="0.3">
      <c r="A356" s="2">
        <v>26.983000000000001</v>
      </c>
      <c r="B356" s="2">
        <v>2.2416</v>
      </c>
      <c r="C356" s="1">
        <f>Tabela7[[#This Row],[Alongamento (mm/mm)]]/$I$2</f>
        <v>4.4832000000000004E-2</v>
      </c>
      <c r="D356" s="2">
        <v>307.2</v>
      </c>
      <c r="E356" s="1">
        <f>Tabela7[[#This Row],[Força (N)]]/$I$5</f>
        <v>7217638.1031144857</v>
      </c>
      <c r="F356" s="1">
        <f>Tabela7[[#This Row],[Tensão (Pa)]]/1000000</f>
        <v>7.2176381031144858</v>
      </c>
    </row>
    <row r="357" spans="1:6" x14ac:dyDescent="0.3">
      <c r="A357" s="2">
        <v>27.067</v>
      </c>
      <c r="B357" s="2">
        <v>2.2486000000000002</v>
      </c>
      <c r="C357" s="1">
        <f>Tabela7[[#This Row],[Alongamento (mm/mm)]]/$I$2</f>
        <v>4.4972000000000005E-2</v>
      </c>
      <c r="D357" s="2">
        <v>309.58</v>
      </c>
      <c r="E357" s="1">
        <f>Tabela7[[#This Row],[Força (N)]]/$I$5</f>
        <v>7273556.0024810629</v>
      </c>
      <c r="F357" s="1">
        <f>Tabela7[[#This Row],[Tensão (Pa)]]/1000000</f>
        <v>7.2735560024810626</v>
      </c>
    </row>
    <row r="358" spans="1:6" x14ac:dyDescent="0.3">
      <c r="A358" s="2">
        <v>27.15</v>
      </c>
      <c r="B358" s="2">
        <v>2.2553999999999998</v>
      </c>
      <c r="C358" s="1">
        <f>Tabela7[[#This Row],[Alongamento (mm/mm)]]/$I$2</f>
        <v>4.5107999999999995E-2</v>
      </c>
      <c r="D358" s="2">
        <v>312.13</v>
      </c>
      <c r="E358" s="1">
        <f>Tabela7[[#This Row],[Força (N)]]/$I$5</f>
        <v>7333468.0375166815</v>
      </c>
      <c r="F358" s="1">
        <f>Tabela7[[#This Row],[Tensão (Pa)]]/1000000</f>
        <v>7.3334680375166812</v>
      </c>
    </row>
    <row r="359" spans="1:6" x14ac:dyDescent="0.3">
      <c r="A359" s="2">
        <v>27.233000000000001</v>
      </c>
      <c r="B359" s="2">
        <v>2.2624</v>
      </c>
      <c r="C359" s="1">
        <f>Tabela7[[#This Row],[Alongamento (mm/mm)]]/$I$2</f>
        <v>4.5247999999999997E-2</v>
      </c>
      <c r="D359" s="2">
        <v>314.51</v>
      </c>
      <c r="E359" s="1">
        <f>Tabela7[[#This Row],[Força (N)]]/$I$5</f>
        <v>7389385.9368832586</v>
      </c>
      <c r="F359" s="1">
        <f>Tabela7[[#This Row],[Tensão (Pa)]]/1000000</f>
        <v>7.3893859368832588</v>
      </c>
    </row>
    <row r="360" spans="1:6" x14ac:dyDescent="0.3">
      <c r="A360" s="2">
        <v>27.317</v>
      </c>
      <c r="B360" s="2">
        <v>2.2694000000000001</v>
      </c>
      <c r="C360" s="1">
        <f>Tabela7[[#This Row],[Alongamento (mm/mm)]]/$I$2</f>
        <v>4.5388000000000005E-2</v>
      </c>
      <c r="D360" s="2">
        <v>317.06</v>
      </c>
      <c r="E360" s="1">
        <f>Tabela7[[#This Row],[Força (N)]]/$I$5</f>
        <v>7449297.9719188772</v>
      </c>
      <c r="F360" s="1">
        <f>Tabela7[[#This Row],[Tensão (Pa)]]/1000000</f>
        <v>7.4492979719188774</v>
      </c>
    </row>
    <row r="361" spans="1:6" x14ac:dyDescent="0.3">
      <c r="A361" s="2">
        <v>27.4</v>
      </c>
      <c r="B361" s="2">
        <v>2.2763</v>
      </c>
      <c r="C361" s="1">
        <f>Tabela7[[#This Row],[Alongamento (mm/mm)]]/$I$2</f>
        <v>4.5525999999999997E-2</v>
      </c>
      <c r="D361" s="2">
        <v>319.62</v>
      </c>
      <c r="E361" s="1">
        <f>Tabela7[[#This Row],[Força (N)]]/$I$5</f>
        <v>7509444.9561114982</v>
      </c>
      <c r="F361" s="1">
        <f>Tabela7[[#This Row],[Tensão (Pa)]]/1000000</f>
        <v>7.5094449561114978</v>
      </c>
    </row>
    <row r="362" spans="1:6" x14ac:dyDescent="0.3">
      <c r="A362" s="2">
        <v>27.483000000000001</v>
      </c>
      <c r="B362" s="2">
        <v>2.2833000000000001</v>
      </c>
      <c r="C362" s="1">
        <f>Tabela7[[#This Row],[Alongamento (mm/mm)]]/$I$2</f>
        <v>4.5666000000000005E-2</v>
      </c>
      <c r="D362" s="2">
        <v>322</v>
      </c>
      <c r="E362" s="1">
        <f>Tabela7[[#This Row],[Força (N)]]/$I$5</f>
        <v>7565362.8554780753</v>
      </c>
      <c r="F362" s="1">
        <f>Tabela7[[#This Row],[Tensão (Pa)]]/1000000</f>
        <v>7.5653628554780754</v>
      </c>
    </row>
    <row r="363" spans="1:6" x14ac:dyDescent="0.3">
      <c r="A363" s="2">
        <v>27.567</v>
      </c>
      <c r="B363" s="2">
        <v>2.2902999999999998</v>
      </c>
      <c r="C363" s="1">
        <f>Tabela7[[#This Row],[Alongamento (mm/mm)]]/$I$2</f>
        <v>4.5805999999999993E-2</v>
      </c>
      <c r="D363" s="2">
        <v>324.55</v>
      </c>
      <c r="E363" s="1">
        <f>Tabela7[[#This Row],[Força (N)]]/$I$5</f>
        <v>7625274.8905136939</v>
      </c>
      <c r="F363" s="1">
        <f>Tabela7[[#This Row],[Tensão (Pa)]]/1000000</f>
        <v>7.625274890513694</v>
      </c>
    </row>
    <row r="364" spans="1:6" x14ac:dyDescent="0.3">
      <c r="A364" s="2">
        <v>27.65</v>
      </c>
      <c r="B364" s="2">
        <v>2.2970999999999999</v>
      </c>
      <c r="C364" s="1">
        <f>Tabela7[[#This Row],[Alongamento (mm/mm)]]/$I$2</f>
        <v>4.5941999999999997E-2</v>
      </c>
      <c r="D364" s="2">
        <v>327.10000000000002</v>
      </c>
      <c r="E364" s="1">
        <f>Tabela7[[#This Row],[Força (N)]]/$I$5</f>
        <v>7685186.9255493125</v>
      </c>
      <c r="F364" s="1">
        <f>Tabela7[[#This Row],[Tensão (Pa)]]/1000000</f>
        <v>7.6851869255493126</v>
      </c>
    </row>
    <row r="365" spans="1:6" x14ac:dyDescent="0.3">
      <c r="A365" s="2">
        <v>27.733000000000001</v>
      </c>
      <c r="B365" s="2">
        <v>2.3041</v>
      </c>
      <c r="C365" s="1">
        <f>Tabela7[[#This Row],[Alongamento (mm/mm)]]/$I$2</f>
        <v>4.6081999999999998E-2</v>
      </c>
      <c r="D365" s="2">
        <v>329.65</v>
      </c>
      <c r="E365" s="1">
        <f>Tabela7[[#This Row],[Força (N)]]/$I$5</f>
        <v>7745098.9605849292</v>
      </c>
      <c r="F365" s="1">
        <f>Tabela7[[#This Row],[Tensão (Pa)]]/1000000</f>
        <v>7.7450989605849294</v>
      </c>
    </row>
    <row r="366" spans="1:6" x14ac:dyDescent="0.3">
      <c r="A366" s="2">
        <v>27.817</v>
      </c>
      <c r="B366" s="2">
        <v>2.3111000000000002</v>
      </c>
      <c r="C366" s="1">
        <f>Tabela7[[#This Row],[Alongamento (mm/mm)]]/$I$2</f>
        <v>4.6222000000000006E-2</v>
      </c>
      <c r="D366" s="2">
        <v>332.03</v>
      </c>
      <c r="E366" s="1">
        <f>Tabela7[[#This Row],[Força (N)]]/$I$5</f>
        <v>7801016.8599515064</v>
      </c>
      <c r="F366" s="1">
        <f>Tabela7[[#This Row],[Tensão (Pa)]]/1000000</f>
        <v>7.8010168599515062</v>
      </c>
    </row>
    <row r="367" spans="1:6" x14ac:dyDescent="0.3">
      <c r="A367" s="2">
        <v>27.9</v>
      </c>
      <c r="B367" s="2">
        <v>2.3180000000000001</v>
      </c>
      <c r="C367" s="1">
        <f>Tabela7[[#This Row],[Alongamento (mm/mm)]]/$I$2</f>
        <v>4.6359999999999998E-2</v>
      </c>
      <c r="D367" s="2">
        <v>334.58</v>
      </c>
      <c r="E367" s="1">
        <f>Tabela7[[#This Row],[Força (N)]]/$I$5</f>
        <v>7860928.8949871249</v>
      </c>
      <c r="F367" s="1">
        <f>Tabela7[[#This Row],[Tensão (Pa)]]/1000000</f>
        <v>7.8609288949871248</v>
      </c>
    </row>
    <row r="368" spans="1:6" x14ac:dyDescent="0.3">
      <c r="A368" s="2">
        <v>27.983000000000001</v>
      </c>
      <c r="B368" s="2">
        <v>2.3250000000000002</v>
      </c>
      <c r="C368" s="1">
        <f>Tabela7[[#This Row],[Alongamento (mm/mm)]]/$I$2</f>
        <v>4.6500000000000007E-2</v>
      </c>
      <c r="D368" s="2">
        <v>337.14</v>
      </c>
      <c r="E368" s="1">
        <f>Tabela7[[#This Row],[Força (N)]]/$I$5</f>
        <v>7921075.8791797459</v>
      </c>
      <c r="F368" s="1">
        <f>Tabela7[[#This Row],[Tensão (Pa)]]/1000000</f>
        <v>7.921075879179746</v>
      </c>
    </row>
    <row r="369" spans="1:6" x14ac:dyDescent="0.3">
      <c r="A369" s="2">
        <v>28.067</v>
      </c>
      <c r="B369" s="2">
        <v>2.3317999999999999</v>
      </c>
      <c r="C369" s="1">
        <f>Tabela7[[#This Row],[Alongamento (mm/mm)]]/$I$2</f>
        <v>4.6635999999999997E-2</v>
      </c>
      <c r="D369" s="2">
        <v>339.69</v>
      </c>
      <c r="E369" s="1">
        <f>Tabela7[[#This Row],[Força (N)]]/$I$5</f>
        <v>7980987.9142153645</v>
      </c>
      <c r="F369" s="1">
        <f>Tabela7[[#This Row],[Tensão (Pa)]]/1000000</f>
        <v>7.9809879142153646</v>
      </c>
    </row>
    <row r="370" spans="1:6" x14ac:dyDescent="0.3">
      <c r="A370" s="2">
        <v>28.15</v>
      </c>
      <c r="B370" s="2">
        <v>2.3388</v>
      </c>
      <c r="C370" s="1">
        <f>Tabela7[[#This Row],[Alongamento (mm/mm)]]/$I$2</f>
        <v>4.6775999999999998E-2</v>
      </c>
      <c r="D370" s="2">
        <v>342.24</v>
      </c>
      <c r="E370" s="1">
        <f>Tabela7[[#This Row],[Força (N)]]/$I$5</f>
        <v>8040899.9492509831</v>
      </c>
      <c r="F370" s="1">
        <f>Tabela7[[#This Row],[Tensão (Pa)]]/1000000</f>
        <v>8.0408999492509832</v>
      </c>
    </row>
    <row r="371" spans="1:6" x14ac:dyDescent="0.3">
      <c r="A371" s="2">
        <v>28.233000000000001</v>
      </c>
      <c r="B371" s="2">
        <v>2.3458000000000001</v>
      </c>
      <c r="C371" s="1">
        <f>Tabela7[[#This Row],[Alongamento (mm/mm)]]/$I$2</f>
        <v>4.6915999999999999E-2</v>
      </c>
      <c r="D371" s="2">
        <v>344.79</v>
      </c>
      <c r="E371" s="1">
        <f>Tabela7[[#This Row],[Força (N)]]/$I$5</f>
        <v>8100811.9842866017</v>
      </c>
      <c r="F371" s="1">
        <f>Tabela7[[#This Row],[Tensão (Pa)]]/1000000</f>
        <v>8.1008119842866009</v>
      </c>
    </row>
    <row r="372" spans="1:6" x14ac:dyDescent="0.3">
      <c r="A372" s="2">
        <v>28.317</v>
      </c>
      <c r="B372" s="2">
        <v>2.3527</v>
      </c>
      <c r="C372" s="1">
        <f>Tabela7[[#This Row],[Alongamento (mm/mm)]]/$I$2</f>
        <v>4.7053999999999999E-2</v>
      </c>
      <c r="D372" s="2">
        <v>347.34</v>
      </c>
      <c r="E372" s="1">
        <f>Tabela7[[#This Row],[Força (N)]]/$I$5</f>
        <v>8160724.0193222184</v>
      </c>
      <c r="F372" s="1">
        <f>Tabela7[[#This Row],[Tensão (Pa)]]/1000000</f>
        <v>8.1607240193222186</v>
      </c>
    </row>
    <row r="373" spans="1:6" x14ac:dyDescent="0.3">
      <c r="A373" s="2">
        <v>28.4</v>
      </c>
      <c r="B373" s="2">
        <v>2.3597000000000001</v>
      </c>
      <c r="C373" s="1">
        <f>Tabela7[[#This Row],[Alongamento (mm/mm)]]/$I$2</f>
        <v>4.7194E-2</v>
      </c>
      <c r="D373" s="2">
        <v>349.89</v>
      </c>
      <c r="E373" s="1">
        <f>Tabela7[[#This Row],[Força (N)]]/$I$5</f>
        <v>8220636.054357837</v>
      </c>
      <c r="F373" s="1">
        <f>Tabela7[[#This Row],[Tensão (Pa)]]/1000000</f>
        <v>8.2206360543578363</v>
      </c>
    </row>
    <row r="374" spans="1:6" x14ac:dyDescent="0.3">
      <c r="A374" s="2">
        <v>28.5</v>
      </c>
      <c r="B374" s="2">
        <v>2.3679999999999999</v>
      </c>
      <c r="C374" s="1">
        <f>Tabela7[[#This Row],[Alongamento (mm/mm)]]/$I$2</f>
        <v>4.7359999999999999E-2</v>
      </c>
      <c r="D374" s="2">
        <v>352.96</v>
      </c>
      <c r="E374" s="1">
        <f>Tabela7[[#This Row],[Força (N)]]/$I$5</f>
        <v>8292765.4455575813</v>
      </c>
      <c r="F374" s="1">
        <f>Tabela7[[#This Row],[Tensão (Pa)]]/1000000</f>
        <v>8.2927654455575812</v>
      </c>
    </row>
    <row r="375" spans="1:6" x14ac:dyDescent="0.3">
      <c r="A375" s="2">
        <v>28.582999999999998</v>
      </c>
      <c r="B375" s="2">
        <v>2.3748999999999998</v>
      </c>
      <c r="C375" s="1">
        <f>Tabela7[[#This Row],[Alongamento (mm/mm)]]/$I$2</f>
        <v>4.7497999999999999E-2</v>
      </c>
      <c r="D375" s="2">
        <v>355.68</v>
      </c>
      <c r="E375" s="1">
        <f>Tabela7[[#This Row],[Força (N)]]/$I$5</f>
        <v>8356671.6162622413</v>
      </c>
      <c r="F375" s="1">
        <f>Tabela7[[#This Row],[Tensão (Pa)]]/1000000</f>
        <v>8.3566716162622416</v>
      </c>
    </row>
    <row r="376" spans="1:6" x14ac:dyDescent="0.3">
      <c r="A376" s="2">
        <v>28.683</v>
      </c>
      <c r="B376" s="2">
        <v>2.3833000000000002</v>
      </c>
      <c r="C376" s="1">
        <f>Tabela7[[#This Row],[Alongamento (mm/mm)]]/$I$2</f>
        <v>4.7666000000000007E-2</v>
      </c>
      <c r="D376" s="2">
        <v>358.74</v>
      </c>
      <c r="E376" s="1">
        <f>Tabela7[[#This Row],[Força (N)]]/$I$5</f>
        <v>8428566.0583049841</v>
      </c>
      <c r="F376" s="1">
        <f>Tabela7[[#This Row],[Tensão (Pa)]]/1000000</f>
        <v>8.428566058304984</v>
      </c>
    </row>
    <row r="377" spans="1:6" x14ac:dyDescent="0.3">
      <c r="A377" s="2">
        <v>28.783000000000001</v>
      </c>
      <c r="B377" s="2">
        <v>2.3915999999999999</v>
      </c>
      <c r="C377" s="1">
        <f>Tabela7[[#This Row],[Alongamento (mm/mm)]]/$I$2</f>
        <v>4.7832E-2</v>
      </c>
      <c r="D377" s="2">
        <v>361.8</v>
      </c>
      <c r="E377" s="1">
        <f>Tabela7[[#This Row],[Força (N)]]/$I$5</f>
        <v>8500460.500347726</v>
      </c>
      <c r="F377" s="1">
        <f>Tabela7[[#This Row],[Tensão (Pa)]]/1000000</f>
        <v>8.5004605003477263</v>
      </c>
    </row>
    <row r="378" spans="1:6" x14ac:dyDescent="0.3">
      <c r="A378" s="2">
        <v>28.867000000000001</v>
      </c>
      <c r="B378" s="2">
        <v>2.3986000000000001</v>
      </c>
      <c r="C378" s="1">
        <f>Tabela7[[#This Row],[Alongamento (mm/mm)]]/$I$2</f>
        <v>4.7972000000000001E-2</v>
      </c>
      <c r="D378" s="2">
        <v>364.52</v>
      </c>
      <c r="E378" s="1">
        <f>Tabela7[[#This Row],[Força (N)]]/$I$5</f>
        <v>8564366.6710523851</v>
      </c>
      <c r="F378" s="1">
        <f>Tabela7[[#This Row],[Tensão (Pa)]]/1000000</f>
        <v>8.5643666710523849</v>
      </c>
    </row>
    <row r="379" spans="1:6" x14ac:dyDescent="0.3">
      <c r="A379" s="2">
        <v>28.966999999999999</v>
      </c>
      <c r="B379" s="2">
        <v>2.4068999999999998</v>
      </c>
      <c r="C379" s="1">
        <f>Tabela7[[#This Row],[Alongamento (mm/mm)]]/$I$2</f>
        <v>4.8137999999999993E-2</v>
      </c>
      <c r="D379" s="2">
        <v>367.58</v>
      </c>
      <c r="E379" s="1">
        <f>Tabela7[[#This Row],[Força (N)]]/$I$5</f>
        <v>8636261.113095127</v>
      </c>
      <c r="F379" s="1">
        <f>Tabela7[[#This Row],[Tensão (Pa)]]/1000000</f>
        <v>8.6362611130951272</v>
      </c>
    </row>
    <row r="380" spans="1:6" x14ac:dyDescent="0.3">
      <c r="A380" s="2">
        <v>29.05</v>
      </c>
      <c r="B380" s="2">
        <v>2.4138000000000002</v>
      </c>
      <c r="C380" s="1">
        <f>Tabela7[[#This Row],[Alongamento (mm/mm)]]/$I$2</f>
        <v>4.8276000000000006E-2</v>
      </c>
      <c r="D380" s="2">
        <v>370.31</v>
      </c>
      <c r="E380" s="1">
        <f>Tabela7[[#This Row],[Força (N)]]/$I$5</f>
        <v>8700402.2329567894</v>
      </c>
      <c r="F380" s="1">
        <f>Tabela7[[#This Row],[Tensão (Pa)]]/1000000</f>
        <v>8.7004022329567903</v>
      </c>
    </row>
    <row r="381" spans="1:6" x14ac:dyDescent="0.3">
      <c r="A381" s="2">
        <v>29.15</v>
      </c>
      <c r="B381" s="2">
        <v>2.4222000000000001</v>
      </c>
      <c r="C381" s="1">
        <f>Tabela7[[#This Row],[Alongamento (mm/mm)]]/$I$2</f>
        <v>4.8444000000000001E-2</v>
      </c>
      <c r="D381" s="2">
        <v>373.37</v>
      </c>
      <c r="E381" s="1">
        <f>Tabela7[[#This Row],[Força (N)]]/$I$5</f>
        <v>8772296.6749995314</v>
      </c>
      <c r="F381" s="1">
        <f>Tabela7[[#This Row],[Tensão (Pa)]]/1000000</f>
        <v>8.7722966749995308</v>
      </c>
    </row>
    <row r="382" spans="1:6" x14ac:dyDescent="0.3">
      <c r="A382" s="2">
        <v>29.233000000000001</v>
      </c>
      <c r="B382" s="2">
        <v>2.4291999999999998</v>
      </c>
      <c r="C382" s="1">
        <f>Tabela7[[#This Row],[Alongamento (mm/mm)]]/$I$2</f>
        <v>4.8583999999999995E-2</v>
      </c>
      <c r="D382" s="2">
        <v>376.09</v>
      </c>
      <c r="E382" s="1">
        <f>Tabela7[[#This Row],[Força (N)]]/$I$5</f>
        <v>8836202.8457041904</v>
      </c>
      <c r="F382" s="1">
        <f>Tabela7[[#This Row],[Tensão (Pa)]]/1000000</f>
        <v>8.8362028457041912</v>
      </c>
    </row>
    <row r="383" spans="1:6" x14ac:dyDescent="0.3">
      <c r="A383" s="2">
        <v>29.317</v>
      </c>
      <c r="B383" s="2">
        <v>2.4359999999999999</v>
      </c>
      <c r="C383" s="1">
        <f>Tabela7[[#This Row],[Alongamento (mm/mm)]]/$I$2</f>
        <v>4.8719999999999999E-2</v>
      </c>
      <c r="D383" s="2">
        <v>378.98</v>
      </c>
      <c r="E383" s="1">
        <f>Tabela7[[#This Row],[Força (N)]]/$I$5</f>
        <v>8904103.1520778909</v>
      </c>
      <c r="F383" s="1">
        <f>Tabela7[[#This Row],[Tensão (Pa)]]/1000000</f>
        <v>8.9041031520778908</v>
      </c>
    </row>
    <row r="384" spans="1:6" x14ac:dyDescent="0.3">
      <c r="A384" s="2">
        <v>29.4</v>
      </c>
      <c r="B384" s="2">
        <v>2.4430000000000001</v>
      </c>
      <c r="C384" s="1">
        <f>Tabela7[[#This Row],[Alongamento (mm/mm)]]/$I$2</f>
        <v>4.8860000000000001E-2</v>
      </c>
      <c r="D384" s="2">
        <v>381.7</v>
      </c>
      <c r="E384" s="1">
        <f>Tabela7[[#This Row],[Força (N)]]/$I$5</f>
        <v>8968009.32278255</v>
      </c>
      <c r="F384" s="1">
        <f>Tabela7[[#This Row],[Tensão (Pa)]]/1000000</f>
        <v>8.9680093227825495</v>
      </c>
    </row>
    <row r="385" spans="1:6" x14ac:dyDescent="0.3">
      <c r="A385" s="2">
        <v>29.483000000000001</v>
      </c>
      <c r="B385" s="2">
        <v>2.4499</v>
      </c>
      <c r="C385" s="1">
        <f>Tabela7[[#This Row],[Alongamento (mm/mm)]]/$I$2</f>
        <v>4.8998E-2</v>
      </c>
      <c r="D385" s="2">
        <v>384.42</v>
      </c>
      <c r="E385" s="1">
        <f>Tabela7[[#This Row],[Força (N)]]/$I$5</f>
        <v>9031915.4934872109</v>
      </c>
      <c r="F385" s="1">
        <f>Tabela7[[#This Row],[Tensão (Pa)]]/1000000</f>
        <v>9.0319154934872117</v>
      </c>
    </row>
    <row r="386" spans="1:6" x14ac:dyDescent="0.3">
      <c r="A386" s="2">
        <v>29.567</v>
      </c>
      <c r="B386" s="2">
        <v>2.4567999999999999</v>
      </c>
      <c r="C386" s="1">
        <f>Tabela7[[#This Row],[Alongamento (mm/mm)]]/$I$2</f>
        <v>4.9135999999999999E-2</v>
      </c>
      <c r="D386" s="2">
        <v>387.14</v>
      </c>
      <c r="E386" s="1">
        <f>Tabela7[[#This Row],[Força (N)]]/$I$5</f>
        <v>9095821.6641918682</v>
      </c>
      <c r="F386" s="1">
        <f>Tabela7[[#This Row],[Tensão (Pa)]]/1000000</f>
        <v>9.0958216641918685</v>
      </c>
    </row>
    <row r="387" spans="1:6" x14ac:dyDescent="0.3">
      <c r="A387" s="2">
        <v>29.65</v>
      </c>
      <c r="B387" s="2">
        <v>2.4638</v>
      </c>
      <c r="C387" s="1">
        <f>Tabela7[[#This Row],[Alongamento (mm/mm)]]/$I$2</f>
        <v>4.9276E-2</v>
      </c>
      <c r="D387" s="2">
        <v>389.87</v>
      </c>
      <c r="E387" s="1">
        <f>Tabela7[[#This Row],[Força (N)]]/$I$5</f>
        <v>9159962.7840535305</v>
      </c>
      <c r="F387" s="1">
        <f>Tabela7[[#This Row],[Tensão (Pa)]]/1000000</f>
        <v>9.1599627840535298</v>
      </c>
    </row>
    <row r="388" spans="1:6" x14ac:dyDescent="0.3">
      <c r="A388" s="2">
        <v>29.733000000000001</v>
      </c>
      <c r="B388" s="2">
        <v>2.4708000000000001</v>
      </c>
      <c r="C388" s="1">
        <f>Tabela7[[#This Row],[Alongamento (mm/mm)]]/$I$2</f>
        <v>4.9416000000000002E-2</v>
      </c>
      <c r="D388" s="2">
        <v>392.76</v>
      </c>
      <c r="E388" s="1">
        <f>Tabela7[[#This Row],[Força (N)]]/$I$5</f>
        <v>9227863.090427231</v>
      </c>
      <c r="F388" s="1">
        <f>Tabela7[[#This Row],[Tensão (Pa)]]/1000000</f>
        <v>9.2278630904272312</v>
      </c>
    </row>
    <row r="389" spans="1:6" x14ac:dyDescent="0.3">
      <c r="A389" s="2">
        <v>29.832999999999998</v>
      </c>
      <c r="B389" s="2">
        <v>2.4790999999999999</v>
      </c>
      <c r="C389" s="1">
        <f>Tabela7[[#This Row],[Alongamento (mm/mm)]]/$I$2</f>
        <v>4.9581999999999994E-2</v>
      </c>
      <c r="D389" s="2">
        <v>395.99</v>
      </c>
      <c r="E389" s="1">
        <f>Tabela7[[#This Row],[Força (N)]]/$I$5</f>
        <v>9303751.6681390163</v>
      </c>
      <c r="F389" s="1">
        <f>Tabela7[[#This Row],[Tensão (Pa)]]/1000000</f>
        <v>9.3037516681390162</v>
      </c>
    </row>
    <row r="390" spans="1:6" x14ac:dyDescent="0.3">
      <c r="A390" s="2">
        <v>29.933</v>
      </c>
      <c r="B390" s="2">
        <v>2.4872999999999998</v>
      </c>
      <c r="C390" s="1">
        <f>Tabela7[[#This Row],[Alongamento (mm/mm)]]/$I$2</f>
        <v>4.9745999999999999E-2</v>
      </c>
      <c r="D390" s="2">
        <v>399.39</v>
      </c>
      <c r="E390" s="1">
        <f>Tabela7[[#This Row],[Força (N)]]/$I$5</f>
        <v>9383634.3815198392</v>
      </c>
      <c r="F390" s="1">
        <f>Tabela7[[#This Row],[Tensão (Pa)]]/1000000</f>
        <v>9.3836343815198386</v>
      </c>
    </row>
    <row r="391" spans="1:6" x14ac:dyDescent="0.3">
      <c r="A391" s="2">
        <v>30.033000000000001</v>
      </c>
      <c r="B391" s="2">
        <v>2.4958</v>
      </c>
      <c r="C391" s="1">
        <f>Tabela7[[#This Row],[Alongamento (mm/mm)]]/$I$2</f>
        <v>4.9916000000000002E-2</v>
      </c>
      <c r="D391" s="2">
        <v>402.79</v>
      </c>
      <c r="E391" s="1">
        <f>Tabela7[[#This Row],[Força (N)]]/$I$5</f>
        <v>9463517.0949006639</v>
      </c>
      <c r="F391" s="1">
        <f>Tabela7[[#This Row],[Tensão (Pa)]]/1000000</f>
        <v>9.4635170949006646</v>
      </c>
    </row>
    <row r="392" spans="1:6" x14ac:dyDescent="0.3">
      <c r="A392" s="2">
        <v>30.132999999999999</v>
      </c>
      <c r="B392" s="2">
        <v>2.5041000000000002</v>
      </c>
      <c r="C392" s="1">
        <f>Tabela7[[#This Row],[Alongamento (mm/mm)]]/$I$2</f>
        <v>5.0082000000000002E-2</v>
      </c>
      <c r="D392" s="2">
        <v>406.2</v>
      </c>
      <c r="E392" s="1">
        <f>Tabela7[[#This Row],[Força (N)]]/$I$5</f>
        <v>9543634.7574384902</v>
      </c>
      <c r="F392" s="1">
        <f>Tabela7[[#This Row],[Tensão (Pa)]]/1000000</f>
        <v>9.5436347574384897</v>
      </c>
    </row>
    <row r="393" spans="1:6" x14ac:dyDescent="0.3">
      <c r="A393" s="2">
        <v>30.233000000000001</v>
      </c>
      <c r="B393" s="2">
        <v>2.5124</v>
      </c>
      <c r="C393" s="1">
        <f>Tabela7[[#This Row],[Alongamento (mm/mm)]]/$I$2</f>
        <v>5.0248000000000001E-2</v>
      </c>
      <c r="D393" s="2">
        <v>409.6</v>
      </c>
      <c r="E393" s="1">
        <f>Tabela7[[#This Row],[Força (N)]]/$I$5</f>
        <v>9623517.4708193149</v>
      </c>
      <c r="F393" s="1">
        <f>Tabela7[[#This Row],[Tensão (Pa)]]/1000000</f>
        <v>9.6235174708193156</v>
      </c>
    </row>
    <row r="394" spans="1:6" x14ac:dyDescent="0.3">
      <c r="A394" s="2">
        <v>30.332999999999998</v>
      </c>
      <c r="B394" s="2">
        <v>2.5207999999999999</v>
      </c>
      <c r="C394" s="1">
        <f>Tabela7[[#This Row],[Alongamento (mm/mm)]]/$I$2</f>
        <v>5.0415999999999996E-2</v>
      </c>
      <c r="D394" s="2">
        <v>413</v>
      </c>
      <c r="E394" s="1">
        <f>Tabela7[[#This Row],[Força (N)]]/$I$5</f>
        <v>9703400.1842001397</v>
      </c>
      <c r="F394" s="1">
        <f>Tabela7[[#This Row],[Tensão (Pa)]]/1000000</f>
        <v>9.7034001842001398</v>
      </c>
    </row>
    <row r="395" spans="1:6" x14ac:dyDescent="0.3">
      <c r="A395" s="2">
        <v>30.433</v>
      </c>
      <c r="B395" s="2">
        <v>2.5289999999999999</v>
      </c>
      <c r="C395" s="1">
        <f>Tabela7[[#This Row],[Alongamento (mm/mm)]]/$I$2</f>
        <v>5.058E-2</v>
      </c>
      <c r="D395" s="2">
        <v>416.4</v>
      </c>
      <c r="E395" s="1">
        <f>Tabela7[[#This Row],[Força (N)]]/$I$5</f>
        <v>9783282.8975809626</v>
      </c>
      <c r="F395" s="1">
        <f>Tabela7[[#This Row],[Tensão (Pa)]]/1000000</f>
        <v>9.7832828975809623</v>
      </c>
    </row>
    <row r="396" spans="1:6" x14ac:dyDescent="0.3">
      <c r="A396" s="2">
        <v>30.516999999999999</v>
      </c>
      <c r="B396" s="2">
        <v>2.536</v>
      </c>
      <c r="C396" s="1">
        <f>Tabela7[[#This Row],[Alongamento (mm/mm)]]/$I$2</f>
        <v>5.0720000000000001E-2</v>
      </c>
      <c r="D396" s="2">
        <v>419.46</v>
      </c>
      <c r="E396" s="1">
        <f>Tabela7[[#This Row],[Força (N)]]/$I$5</f>
        <v>9855177.3396237064</v>
      </c>
      <c r="F396" s="1">
        <f>Tabela7[[#This Row],[Tensão (Pa)]]/1000000</f>
        <v>9.8551773396237063</v>
      </c>
    </row>
    <row r="397" spans="1:6" x14ac:dyDescent="0.3">
      <c r="A397" s="2">
        <v>30.617000000000001</v>
      </c>
      <c r="B397" s="2">
        <v>2.5444</v>
      </c>
      <c r="C397" s="1">
        <f>Tabela7[[#This Row],[Alongamento (mm/mm)]]/$I$2</f>
        <v>5.0888000000000003E-2</v>
      </c>
      <c r="D397" s="2">
        <v>422.87</v>
      </c>
      <c r="E397" s="1">
        <f>Tabela7[[#This Row],[Força (N)]]/$I$5</f>
        <v>9935295.0021615326</v>
      </c>
      <c r="F397" s="1">
        <f>Tabela7[[#This Row],[Tensão (Pa)]]/1000000</f>
        <v>9.9352950021615332</v>
      </c>
    </row>
    <row r="398" spans="1:6" x14ac:dyDescent="0.3">
      <c r="A398" s="2">
        <v>30.7</v>
      </c>
      <c r="B398" s="2">
        <v>2.5512999999999999</v>
      </c>
      <c r="C398" s="1">
        <f>Tabela7[[#This Row],[Alongamento (mm/mm)]]/$I$2</f>
        <v>5.1025999999999995E-2</v>
      </c>
      <c r="D398" s="2">
        <v>425.93</v>
      </c>
      <c r="E398" s="1">
        <f>Tabela7[[#This Row],[Força (N)]]/$I$5</f>
        <v>10007189.444204275</v>
      </c>
      <c r="F398" s="1">
        <f>Tabela7[[#This Row],[Tensão (Pa)]]/1000000</f>
        <v>10.007189444204274</v>
      </c>
    </row>
    <row r="399" spans="1:6" x14ac:dyDescent="0.3">
      <c r="A399" s="2">
        <v>30.8</v>
      </c>
      <c r="B399" s="2">
        <v>2.5596999999999999</v>
      </c>
      <c r="C399" s="1">
        <f>Tabela7[[#This Row],[Alongamento (mm/mm)]]/$I$2</f>
        <v>5.1193999999999996E-2</v>
      </c>
      <c r="D399" s="2">
        <v>429.33</v>
      </c>
      <c r="E399" s="1">
        <f>Tabela7[[#This Row],[Força (N)]]/$I$5</f>
        <v>10087072.157585099</v>
      </c>
      <c r="F399" s="1">
        <f>Tabela7[[#This Row],[Tensão (Pa)]]/1000000</f>
        <v>10.0870721575851</v>
      </c>
    </row>
    <row r="400" spans="1:6" x14ac:dyDescent="0.3">
      <c r="A400" s="2">
        <v>30.9</v>
      </c>
      <c r="B400" s="2">
        <v>2.5680000000000001</v>
      </c>
      <c r="C400" s="1">
        <f>Tabela7[[#This Row],[Alongamento (mm/mm)]]/$I$2</f>
        <v>5.1360000000000003E-2</v>
      </c>
      <c r="D400" s="2">
        <v>432.9</v>
      </c>
      <c r="E400" s="1">
        <f>Tabela7[[#This Row],[Força (N)]]/$I$5</f>
        <v>10170949.006634964</v>
      </c>
      <c r="F400" s="1">
        <f>Tabela7[[#This Row],[Tensão (Pa)]]/1000000</f>
        <v>10.170949006634963</v>
      </c>
    </row>
    <row r="401" spans="1:6" x14ac:dyDescent="0.3">
      <c r="A401" s="2">
        <v>31</v>
      </c>
      <c r="B401" s="2">
        <v>2.5762999999999998</v>
      </c>
      <c r="C401" s="1">
        <f>Tabela7[[#This Row],[Alongamento (mm/mm)]]/$I$2</f>
        <v>5.1525999999999995E-2</v>
      </c>
      <c r="D401" s="2">
        <v>436.47</v>
      </c>
      <c r="E401" s="1">
        <f>Tabela7[[#This Row],[Força (N)]]/$I$5</f>
        <v>10254825.855684832</v>
      </c>
      <c r="F401" s="1">
        <f>Tabela7[[#This Row],[Tensão (Pa)]]/1000000</f>
        <v>10.254825855684832</v>
      </c>
    </row>
    <row r="402" spans="1:6" x14ac:dyDescent="0.3">
      <c r="A402" s="2">
        <v>31.1</v>
      </c>
      <c r="B402" s="2">
        <v>2.5847000000000002</v>
      </c>
      <c r="C402" s="1">
        <f>Tabela7[[#This Row],[Alongamento (mm/mm)]]/$I$2</f>
        <v>5.1694000000000004E-2</v>
      </c>
      <c r="D402" s="2">
        <v>439.88</v>
      </c>
      <c r="E402" s="1">
        <f>Tabela7[[#This Row],[Força (N)]]/$I$5</f>
        <v>10334943.518222658</v>
      </c>
      <c r="F402" s="1">
        <f>Tabela7[[#This Row],[Tensão (Pa)]]/1000000</f>
        <v>10.334943518222659</v>
      </c>
    </row>
    <row r="403" spans="1:6" x14ac:dyDescent="0.3">
      <c r="A403" s="2">
        <v>31.2</v>
      </c>
      <c r="B403" s="2">
        <v>2.5931000000000002</v>
      </c>
      <c r="C403" s="1">
        <f>Tabela7[[#This Row],[Alongamento (mm/mm)]]/$I$2</f>
        <v>5.1862000000000005E-2</v>
      </c>
      <c r="D403" s="2">
        <v>443.62</v>
      </c>
      <c r="E403" s="1">
        <f>Tabela7[[#This Row],[Força (N)]]/$I$5</f>
        <v>10422814.502941564</v>
      </c>
      <c r="F403" s="1">
        <f>Tabela7[[#This Row],[Tensão (Pa)]]/1000000</f>
        <v>10.422814502941563</v>
      </c>
    </row>
    <row r="404" spans="1:6" x14ac:dyDescent="0.3">
      <c r="A404" s="2">
        <v>31.3</v>
      </c>
      <c r="B404" s="2">
        <v>2.6013000000000002</v>
      </c>
      <c r="C404" s="1">
        <f>Tabela7[[#This Row],[Alongamento (mm/mm)]]/$I$2</f>
        <v>5.2026000000000003E-2</v>
      </c>
      <c r="D404" s="2">
        <v>447.02</v>
      </c>
      <c r="E404" s="1">
        <f>Tabela7[[#This Row],[Força (N)]]/$I$5</f>
        <v>10502697.216322388</v>
      </c>
      <c r="F404" s="1">
        <f>Tabela7[[#This Row],[Tensão (Pa)]]/1000000</f>
        <v>10.502697216322389</v>
      </c>
    </row>
    <row r="405" spans="1:6" x14ac:dyDescent="0.3">
      <c r="A405" s="2">
        <v>31.4</v>
      </c>
      <c r="B405" s="2">
        <v>2.6095999999999999</v>
      </c>
      <c r="C405" s="1">
        <f>Tabela7[[#This Row],[Alongamento (mm/mm)]]/$I$2</f>
        <v>5.2191999999999995E-2</v>
      </c>
      <c r="D405" s="2">
        <v>450.76</v>
      </c>
      <c r="E405" s="1">
        <f>Tabela7[[#This Row],[Força (N)]]/$I$5</f>
        <v>10590568.201041294</v>
      </c>
      <c r="F405" s="1">
        <f>Tabela7[[#This Row],[Tensão (Pa)]]/1000000</f>
        <v>10.590568201041295</v>
      </c>
    </row>
    <row r="406" spans="1:6" x14ac:dyDescent="0.3">
      <c r="A406" s="2">
        <v>31.5</v>
      </c>
      <c r="B406" s="2">
        <v>2.6179999999999999</v>
      </c>
      <c r="C406" s="1">
        <f>Tabela7[[#This Row],[Alongamento (mm/mm)]]/$I$2</f>
        <v>5.2359999999999997E-2</v>
      </c>
      <c r="D406" s="2">
        <v>454.33</v>
      </c>
      <c r="E406" s="1">
        <f>Tabela7[[#This Row],[Força (N)]]/$I$5</f>
        <v>10674445.05009116</v>
      </c>
      <c r="F406" s="1">
        <f>Tabela7[[#This Row],[Tensão (Pa)]]/1000000</f>
        <v>10.67444505009116</v>
      </c>
    </row>
    <row r="407" spans="1:6" x14ac:dyDescent="0.3">
      <c r="A407" s="2">
        <v>31.6</v>
      </c>
      <c r="B407" s="2">
        <v>2.6263000000000001</v>
      </c>
      <c r="C407" s="1">
        <f>Tabela7[[#This Row],[Alongamento (mm/mm)]]/$I$2</f>
        <v>5.2526000000000003E-2</v>
      </c>
      <c r="D407" s="2">
        <v>457.91</v>
      </c>
      <c r="E407" s="1">
        <f>Tabela7[[#This Row],[Força (N)]]/$I$5</f>
        <v>10758556.84829803</v>
      </c>
      <c r="F407" s="1">
        <f>Tabela7[[#This Row],[Tensão (Pa)]]/1000000</f>
        <v>10.75855684829803</v>
      </c>
    </row>
    <row r="408" spans="1:6" x14ac:dyDescent="0.3">
      <c r="A408" s="2">
        <v>31.7</v>
      </c>
      <c r="B408" s="2">
        <v>2.6347</v>
      </c>
      <c r="C408" s="1">
        <f>Tabela7[[#This Row],[Alongamento (mm/mm)]]/$I$2</f>
        <v>5.2693999999999998E-2</v>
      </c>
      <c r="D408" s="2">
        <v>461.48</v>
      </c>
      <c r="E408" s="1">
        <f>Tabela7[[#This Row],[Força (N)]]/$I$5</f>
        <v>10842433.697347894</v>
      </c>
      <c r="F408" s="1">
        <f>Tabela7[[#This Row],[Tensão (Pa)]]/1000000</f>
        <v>10.842433697347895</v>
      </c>
    </row>
    <row r="409" spans="1:6" x14ac:dyDescent="0.3">
      <c r="A409" s="2">
        <v>31.8</v>
      </c>
      <c r="B409" s="2">
        <v>2.6429</v>
      </c>
      <c r="C409" s="1">
        <f>Tabela7[[#This Row],[Alongamento (mm/mm)]]/$I$2</f>
        <v>5.2858000000000002E-2</v>
      </c>
      <c r="D409" s="2">
        <v>465.22</v>
      </c>
      <c r="E409" s="1">
        <f>Tabela7[[#This Row],[Força (N)]]/$I$5</f>
        <v>10930304.682066802</v>
      </c>
      <c r="F409" s="1">
        <f>Tabela7[[#This Row],[Tensão (Pa)]]/1000000</f>
        <v>10.930304682066803</v>
      </c>
    </row>
    <row r="410" spans="1:6" x14ac:dyDescent="0.3">
      <c r="A410" s="2">
        <v>31.9</v>
      </c>
      <c r="B410" s="2">
        <v>2.6513</v>
      </c>
      <c r="C410" s="1">
        <f>Tabela7[[#This Row],[Alongamento (mm/mm)]]/$I$2</f>
        <v>5.3025999999999997E-2</v>
      </c>
      <c r="D410" s="2">
        <v>468.79</v>
      </c>
      <c r="E410" s="1">
        <f>Tabela7[[#This Row],[Força (N)]]/$I$5</f>
        <v>11014181.531116668</v>
      </c>
      <c r="F410" s="1">
        <f>Tabela7[[#This Row],[Tensão (Pa)]]/1000000</f>
        <v>11.014181531116668</v>
      </c>
    </row>
    <row r="411" spans="1:6" x14ac:dyDescent="0.3">
      <c r="A411" s="2">
        <v>32</v>
      </c>
      <c r="B411" s="2">
        <v>2.6596000000000002</v>
      </c>
      <c r="C411" s="1">
        <f>Tabela7[[#This Row],[Alongamento (mm/mm)]]/$I$2</f>
        <v>5.3192000000000003E-2</v>
      </c>
      <c r="D411" s="2">
        <v>472.36</v>
      </c>
      <c r="E411" s="1">
        <f>Tabela7[[#This Row],[Força (N)]]/$I$5</f>
        <v>11098058.380166532</v>
      </c>
      <c r="F411" s="1">
        <f>Tabela7[[#This Row],[Tensão (Pa)]]/1000000</f>
        <v>11.098058380166533</v>
      </c>
    </row>
    <row r="412" spans="1:6" x14ac:dyDescent="0.3">
      <c r="A412" s="2">
        <v>32.1</v>
      </c>
      <c r="B412" s="2">
        <v>2.6680000000000001</v>
      </c>
      <c r="C412" s="1">
        <f>Tabela7[[#This Row],[Alongamento (mm/mm)]]/$I$2</f>
        <v>5.3360000000000005E-2</v>
      </c>
      <c r="D412" s="2">
        <v>475.94</v>
      </c>
      <c r="E412" s="1">
        <f>Tabela7[[#This Row],[Força (N)]]/$I$5</f>
        <v>11182170.1783734</v>
      </c>
      <c r="F412" s="1">
        <f>Tabela7[[#This Row],[Tensão (Pa)]]/1000000</f>
        <v>11.182170178373401</v>
      </c>
    </row>
    <row r="413" spans="1:6" x14ac:dyDescent="0.3">
      <c r="A413" s="2">
        <v>32.200000000000003</v>
      </c>
      <c r="B413" s="2">
        <v>2.6762999999999999</v>
      </c>
      <c r="C413" s="1">
        <f>Tabela7[[#This Row],[Alongamento (mm/mm)]]/$I$2</f>
        <v>5.3525999999999997E-2</v>
      </c>
      <c r="D413" s="2">
        <v>479.51</v>
      </c>
      <c r="E413" s="1">
        <f>Tabela7[[#This Row],[Força (N)]]/$I$5</f>
        <v>11266047.027423266</v>
      </c>
      <c r="F413" s="1">
        <f>Tabela7[[#This Row],[Tensão (Pa)]]/1000000</f>
        <v>11.266047027423266</v>
      </c>
    </row>
    <row r="414" spans="1:6" x14ac:dyDescent="0.3">
      <c r="A414" s="2">
        <v>32.317</v>
      </c>
      <c r="B414" s="2">
        <v>2.6861000000000002</v>
      </c>
      <c r="C414" s="1">
        <f>Tabela7[[#This Row],[Alongamento (mm/mm)]]/$I$2</f>
        <v>5.3722000000000006E-2</v>
      </c>
      <c r="D414" s="2">
        <v>483.76</v>
      </c>
      <c r="E414" s="1">
        <f>Tabela7[[#This Row],[Força (N)]]/$I$5</f>
        <v>11365900.419149296</v>
      </c>
      <c r="F414" s="1">
        <f>Tabela7[[#This Row],[Tensão (Pa)]]/1000000</f>
        <v>11.365900419149296</v>
      </c>
    </row>
    <row r="415" spans="1:6" x14ac:dyDescent="0.3">
      <c r="A415" s="2">
        <v>32.433</v>
      </c>
      <c r="B415" s="2">
        <v>2.6958000000000002</v>
      </c>
      <c r="C415" s="1">
        <f>Tabela7[[#This Row],[Alongamento (mm/mm)]]/$I$2</f>
        <v>5.3916000000000006E-2</v>
      </c>
      <c r="D415" s="2">
        <v>487.84</v>
      </c>
      <c r="E415" s="1">
        <f>Tabela7[[#This Row],[Força (N)]]/$I$5</f>
        <v>11461759.675206285</v>
      </c>
      <c r="F415" s="1">
        <f>Tabela7[[#This Row],[Tensão (Pa)]]/1000000</f>
        <v>11.461759675206284</v>
      </c>
    </row>
    <row r="416" spans="1:6" x14ac:dyDescent="0.3">
      <c r="A416" s="2">
        <v>32.549999999999997</v>
      </c>
      <c r="B416" s="2">
        <v>2.7054</v>
      </c>
      <c r="C416" s="1">
        <f>Tabela7[[#This Row],[Alongamento (mm/mm)]]/$I$2</f>
        <v>5.4108000000000003E-2</v>
      </c>
      <c r="D416" s="2">
        <v>492.1</v>
      </c>
      <c r="E416" s="1">
        <f>Tabela7[[#This Row],[Força (N)]]/$I$5</f>
        <v>11561848.01608932</v>
      </c>
      <c r="F416" s="1">
        <f>Tabela7[[#This Row],[Tensão (Pa)]]/1000000</f>
        <v>11.56184801608932</v>
      </c>
    </row>
    <row r="417" spans="1:6" x14ac:dyDescent="0.3">
      <c r="A417" s="2">
        <v>32.667000000000002</v>
      </c>
      <c r="B417" s="2">
        <v>2.7151999999999998</v>
      </c>
      <c r="C417" s="1">
        <f>Tabela7[[#This Row],[Alongamento (mm/mm)]]/$I$2</f>
        <v>5.4303999999999998E-2</v>
      </c>
      <c r="D417" s="2">
        <v>496.18</v>
      </c>
      <c r="E417" s="1">
        <f>Tabela7[[#This Row],[Força (N)]]/$I$5</f>
        <v>11657707.272146309</v>
      </c>
      <c r="F417" s="1">
        <f>Tabela7[[#This Row],[Tensão (Pa)]]/1000000</f>
        <v>11.657707272146309</v>
      </c>
    </row>
    <row r="418" spans="1:6" x14ac:dyDescent="0.3">
      <c r="A418" s="2">
        <v>32.767000000000003</v>
      </c>
      <c r="B418" s="2">
        <v>2.7235</v>
      </c>
      <c r="C418" s="1">
        <f>Tabela7[[#This Row],[Alongamento (mm/mm)]]/$I$2</f>
        <v>5.4469999999999998E-2</v>
      </c>
      <c r="D418" s="2">
        <v>499.92</v>
      </c>
      <c r="E418" s="1">
        <f>Tabela7[[#This Row],[Força (N)]]/$I$5</f>
        <v>11745578.256865215</v>
      </c>
      <c r="F418" s="1">
        <f>Tabela7[[#This Row],[Tensão (Pa)]]/1000000</f>
        <v>11.745578256865215</v>
      </c>
    </row>
    <row r="419" spans="1:6" x14ac:dyDescent="0.3">
      <c r="A419" s="2">
        <v>32.883000000000003</v>
      </c>
      <c r="B419" s="2">
        <v>2.7332999999999998</v>
      </c>
      <c r="C419" s="1">
        <f>Tabela7[[#This Row],[Alongamento (mm/mm)]]/$I$2</f>
        <v>5.4665999999999999E-2</v>
      </c>
      <c r="D419" s="2">
        <v>504.17</v>
      </c>
      <c r="E419" s="1">
        <f>Tabela7[[#This Row],[Força (N)]]/$I$5</f>
        <v>11845431.648591246</v>
      </c>
      <c r="F419" s="1">
        <f>Tabela7[[#This Row],[Tensão (Pa)]]/1000000</f>
        <v>11.845431648591246</v>
      </c>
    </row>
    <row r="420" spans="1:6" x14ac:dyDescent="0.3">
      <c r="A420" s="2">
        <v>32.982999999999997</v>
      </c>
      <c r="B420" s="2">
        <v>2.7416</v>
      </c>
      <c r="C420" s="1">
        <f>Tabela7[[#This Row],[Alongamento (mm/mm)]]/$I$2</f>
        <v>5.4831999999999999E-2</v>
      </c>
      <c r="D420" s="2">
        <v>507.92</v>
      </c>
      <c r="E420" s="1">
        <f>Tabela7[[#This Row],[Força (N)]]/$I$5</f>
        <v>11933537.582467156</v>
      </c>
      <c r="F420" s="1">
        <f>Tabela7[[#This Row],[Tensão (Pa)]]/1000000</f>
        <v>11.933537582467155</v>
      </c>
    </row>
    <row r="421" spans="1:6" x14ac:dyDescent="0.3">
      <c r="A421" s="2">
        <v>33.1</v>
      </c>
      <c r="B421" s="2">
        <v>2.7513000000000001</v>
      </c>
      <c r="C421" s="1">
        <f>Tabela7[[#This Row],[Alongamento (mm/mm)]]/$I$2</f>
        <v>5.5025999999999999E-2</v>
      </c>
      <c r="D421" s="2">
        <v>512.16999999999996</v>
      </c>
      <c r="E421" s="1">
        <f>Tabela7[[#This Row],[Força (N)]]/$I$5</f>
        <v>12033390.974193184</v>
      </c>
      <c r="F421" s="1">
        <f>Tabela7[[#This Row],[Tensão (Pa)]]/1000000</f>
        <v>12.033390974193184</v>
      </c>
    </row>
    <row r="422" spans="1:6" x14ac:dyDescent="0.3">
      <c r="A422" s="2">
        <v>33.216999999999999</v>
      </c>
      <c r="B422" s="2">
        <v>2.7610000000000001</v>
      </c>
      <c r="C422" s="1">
        <f>Tabela7[[#This Row],[Alongamento (mm/mm)]]/$I$2</f>
        <v>5.5220000000000005E-2</v>
      </c>
      <c r="D422" s="2">
        <v>516.41999999999996</v>
      </c>
      <c r="E422" s="1">
        <f>Tabela7[[#This Row],[Força (N)]]/$I$5</f>
        <v>12133244.365919216</v>
      </c>
      <c r="F422" s="1">
        <f>Tabela7[[#This Row],[Tensão (Pa)]]/1000000</f>
        <v>12.133244365919216</v>
      </c>
    </row>
    <row r="423" spans="1:6" x14ac:dyDescent="0.3">
      <c r="A423" s="2">
        <v>33.317</v>
      </c>
      <c r="B423" s="2">
        <v>2.7694000000000001</v>
      </c>
      <c r="C423" s="1">
        <f>Tabela7[[#This Row],[Alongamento (mm/mm)]]/$I$2</f>
        <v>5.5388E-2</v>
      </c>
      <c r="D423" s="2">
        <v>520.16</v>
      </c>
      <c r="E423" s="1">
        <f>Tabela7[[#This Row],[Força (N)]]/$I$5</f>
        <v>12221115.350638121</v>
      </c>
      <c r="F423" s="1">
        <f>Tabela7[[#This Row],[Tensão (Pa)]]/1000000</f>
        <v>12.22111535063812</v>
      </c>
    </row>
    <row r="424" spans="1:6" x14ac:dyDescent="0.3">
      <c r="A424" s="2">
        <v>33.433</v>
      </c>
      <c r="B424" s="2">
        <v>2.7791999999999999</v>
      </c>
      <c r="C424" s="1">
        <f>Tabela7[[#This Row],[Alongamento (mm/mm)]]/$I$2</f>
        <v>5.5583999999999995E-2</v>
      </c>
      <c r="D424" s="2">
        <v>524.41</v>
      </c>
      <c r="E424" s="1">
        <f>Tabela7[[#This Row],[Força (N)]]/$I$5</f>
        <v>12320968.742364153</v>
      </c>
      <c r="F424" s="1">
        <f>Tabela7[[#This Row],[Tensão (Pa)]]/1000000</f>
        <v>12.320968742364153</v>
      </c>
    </row>
    <row r="425" spans="1:6" x14ac:dyDescent="0.3">
      <c r="A425" s="2">
        <v>33.549999999999997</v>
      </c>
      <c r="B425" s="2">
        <v>2.7888000000000002</v>
      </c>
      <c r="C425" s="1">
        <f>Tabela7[[#This Row],[Alongamento (mm/mm)]]/$I$2</f>
        <v>5.5776000000000006E-2</v>
      </c>
      <c r="D425" s="2">
        <v>528.66999999999996</v>
      </c>
      <c r="E425" s="1">
        <f>Tabela7[[#This Row],[Força (N)]]/$I$5</f>
        <v>12421057.083247185</v>
      </c>
      <c r="F425" s="1">
        <f>Tabela7[[#This Row],[Tensão (Pa)]]/1000000</f>
        <v>12.421057083247184</v>
      </c>
    </row>
    <row r="426" spans="1:6" x14ac:dyDescent="0.3">
      <c r="A426" s="2">
        <v>33.667000000000002</v>
      </c>
      <c r="B426" s="2">
        <v>2.7984</v>
      </c>
      <c r="C426" s="1">
        <f>Tabela7[[#This Row],[Alongamento (mm/mm)]]/$I$2</f>
        <v>5.5967999999999997E-2</v>
      </c>
      <c r="D426" s="2">
        <v>532.91999999999996</v>
      </c>
      <c r="E426" s="1">
        <f>Tabela7[[#This Row],[Força (N)]]/$I$5</f>
        <v>12520910.474973215</v>
      </c>
      <c r="F426" s="1">
        <f>Tabela7[[#This Row],[Tensão (Pa)]]/1000000</f>
        <v>12.520910474973215</v>
      </c>
    </row>
    <row r="427" spans="1:6" x14ac:dyDescent="0.3">
      <c r="A427" s="2">
        <v>33.783000000000001</v>
      </c>
      <c r="B427" s="2">
        <v>2.8081999999999998</v>
      </c>
      <c r="C427" s="1">
        <f>Tabela7[[#This Row],[Alongamento (mm/mm)]]/$I$2</f>
        <v>5.6163999999999999E-2</v>
      </c>
      <c r="D427" s="2">
        <v>537.34</v>
      </c>
      <c r="E427" s="1">
        <f>Tabela7[[#This Row],[Força (N)]]/$I$5</f>
        <v>12624758.002368288</v>
      </c>
      <c r="F427" s="1">
        <f>Tabela7[[#This Row],[Tensão (Pa)]]/1000000</f>
        <v>12.624758002368289</v>
      </c>
    </row>
    <row r="428" spans="1:6" x14ac:dyDescent="0.3">
      <c r="A428" s="2">
        <v>33.9</v>
      </c>
      <c r="B428" s="2">
        <v>2.8180000000000001</v>
      </c>
      <c r="C428" s="1">
        <f>Tabela7[[#This Row],[Alongamento (mm/mm)]]/$I$2</f>
        <v>5.636E-2</v>
      </c>
      <c r="D428" s="2">
        <v>541.59</v>
      </c>
      <c r="E428" s="1">
        <f>Tabela7[[#This Row],[Força (N)]]/$I$5</f>
        <v>12724611.39409432</v>
      </c>
      <c r="F428" s="1">
        <f>Tabela7[[#This Row],[Tensão (Pa)]]/1000000</f>
        <v>12.724611394094319</v>
      </c>
    </row>
    <row r="429" spans="1:6" x14ac:dyDescent="0.3">
      <c r="A429" s="2">
        <v>34.017000000000003</v>
      </c>
      <c r="B429" s="2">
        <v>2.8277999999999999</v>
      </c>
      <c r="C429" s="1">
        <f>Tabela7[[#This Row],[Alongamento (mm/mm)]]/$I$2</f>
        <v>5.6555999999999995E-2</v>
      </c>
      <c r="D429" s="2">
        <v>545.85</v>
      </c>
      <c r="E429" s="1">
        <f>Tabela7[[#This Row],[Força (N)]]/$I$5</f>
        <v>12824699.734977352</v>
      </c>
      <c r="F429" s="1">
        <f>Tabela7[[#This Row],[Tensão (Pa)]]/1000000</f>
        <v>12.824699734977351</v>
      </c>
    </row>
    <row r="430" spans="1:6" x14ac:dyDescent="0.3">
      <c r="A430" s="2">
        <v>34.133000000000003</v>
      </c>
      <c r="B430" s="2">
        <v>2.8374000000000001</v>
      </c>
      <c r="C430" s="1">
        <f>Tabela7[[#This Row],[Alongamento (mm/mm)]]/$I$2</f>
        <v>5.6748E-2</v>
      </c>
      <c r="D430" s="2">
        <v>550.27</v>
      </c>
      <c r="E430" s="1">
        <f>Tabela7[[#This Row],[Força (N)]]/$I$5</f>
        <v>12928547.262372423</v>
      </c>
      <c r="F430" s="1">
        <f>Tabela7[[#This Row],[Tensão (Pa)]]/1000000</f>
        <v>12.928547262372422</v>
      </c>
    </row>
    <row r="431" spans="1:6" x14ac:dyDescent="0.3">
      <c r="A431" s="2">
        <v>34.25</v>
      </c>
      <c r="B431" s="2">
        <v>2.8472</v>
      </c>
      <c r="C431" s="1">
        <f>Tabela7[[#This Row],[Alongamento (mm/mm)]]/$I$2</f>
        <v>5.6944000000000002E-2</v>
      </c>
      <c r="D431" s="2">
        <v>554.52</v>
      </c>
      <c r="E431" s="1">
        <f>Tabela7[[#This Row],[Força (N)]]/$I$5</f>
        <v>13028400.654098453</v>
      </c>
      <c r="F431" s="1">
        <f>Tabela7[[#This Row],[Tensão (Pa)]]/1000000</f>
        <v>13.028400654098453</v>
      </c>
    </row>
    <row r="432" spans="1:6" x14ac:dyDescent="0.3">
      <c r="A432" s="2">
        <v>34.366999999999997</v>
      </c>
      <c r="B432" s="2">
        <v>2.8569</v>
      </c>
      <c r="C432" s="1">
        <f>Tabela7[[#This Row],[Alongamento (mm/mm)]]/$I$2</f>
        <v>5.7138000000000001E-2</v>
      </c>
      <c r="D432" s="2">
        <v>558.94000000000005</v>
      </c>
      <c r="E432" s="1">
        <f>Tabela7[[#This Row],[Força (N)]]/$I$5</f>
        <v>13132248.181493526</v>
      </c>
      <c r="F432" s="1">
        <f>Tabela7[[#This Row],[Tensão (Pa)]]/1000000</f>
        <v>13.132248181493527</v>
      </c>
    </row>
    <row r="433" spans="1:6" x14ac:dyDescent="0.3">
      <c r="A433" s="2">
        <v>34.482999999999997</v>
      </c>
      <c r="B433" s="2">
        <v>2.8666999999999998</v>
      </c>
      <c r="C433" s="1">
        <f>Tabela7[[#This Row],[Alongamento (mm/mm)]]/$I$2</f>
        <v>5.7333999999999996E-2</v>
      </c>
      <c r="D433" s="2">
        <v>563.20000000000005</v>
      </c>
      <c r="E433" s="1">
        <f>Tabela7[[#This Row],[Força (N)]]/$I$5</f>
        <v>13232336.52237656</v>
      </c>
      <c r="F433" s="1">
        <f>Tabela7[[#This Row],[Tensão (Pa)]]/1000000</f>
        <v>13.23233652237656</v>
      </c>
    </row>
    <row r="434" spans="1:6" x14ac:dyDescent="0.3">
      <c r="A434" s="2">
        <v>34.6</v>
      </c>
      <c r="B434" s="2">
        <v>2.8763000000000001</v>
      </c>
      <c r="C434" s="1">
        <f>Tabela7[[#This Row],[Alongamento (mm/mm)]]/$I$2</f>
        <v>5.7526000000000001E-2</v>
      </c>
      <c r="D434" s="2">
        <v>567.45000000000005</v>
      </c>
      <c r="E434" s="1">
        <f>Tabela7[[#This Row],[Força (N)]]/$I$5</f>
        <v>13332189.91410259</v>
      </c>
      <c r="F434" s="1">
        <f>Tabela7[[#This Row],[Tensão (Pa)]]/1000000</f>
        <v>13.332189914102591</v>
      </c>
    </row>
    <row r="435" spans="1:6" x14ac:dyDescent="0.3">
      <c r="A435" s="2">
        <v>34.716999999999999</v>
      </c>
      <c r="B435" s="2">
        <v>2.8860000000000001</v>
      </c>
      <c r="C435" s="1">
        <f>Tabela7[[#This Row],[Alongamento (mm/mm)]]/$I$2</f>
        <v>5.772E-2</v>
      </c>
      <c r="D435" s="2">
        <v>571.87</v>
      </c>
      <c r="E435" s="1">
        <f>Tabela7[[#This Row],[Força (N)]]/$I$5</f>
        <v>13436037.441497661</v>
      </c>
      <c r="F435" s="1">
        <f>Tabela7[[#This Row],[Tensão (Pa)]]/1000000</f>
        <v>13.43603744149766</v>
      </c>
    </row>
    <row r="436" spans="1:6" x14ac:dyDescent="0.3">
      <c r="A436" s="2">
        <v>34.832999999999998</v>
      </c>
      <c r="B436" s="2">
        <v>2.8957999999999999</v>
      </c>
      <c r="C436" s="1">
        <f>Tabela7[[#This Row],[Alongamento (mm/mm)]]/$I$2</f>
        <v>5.7915999999999995E-2</v>
      </c>
      <c r="D436" s="2">
        <v>576.29</v>
      </c>
      <c r="E436" s="1">
        <f>Tabela7[[#This Row],[Força (N)]]/$I$5</f>
        <v>13539884.968892731</v>
      </c>
      <c r="F436" s="1">
        <f>Tabela7[[#This Row],[Tensão (Pa)]]/1000000</f>
        <v>13.53988496889273</v>
      </c>
    </row>
    <row r="437" spans="1:6" x14ac:dyDescent="0.3">
      <c r="A437" s="2">
        <v>34.950000000000003</v>
      </c>
      <c r="B437" s="2">
        <v>2.9055</v>
      </c>
      <c r="C437" s="1">
        <f>Tabela7[[#This Row],[Alongamento (mm/mm)]]/$I$2</f>
        <v>5.8110000000000002E-2</v>
      </c>
      <c r="D437" s="2">
        <v>580.72</v>
      </c>
      <c r="E437" s="1">
        <f>Tabela7[[#This Row],[Força (N)]]/$I$5</f>
        <v>13643967.445444807</v>
      </c>
      <c r="F437" s="1">
        <f>Tabela7[[#This Row],[Tensão (Pa)]]/1000000</f>
        <v>13.643967445444808</v>
      </c>
    </row>
    <row r="438" spans="1:6" x14ac:dyDescent="0.3">
      <c r="A438" s="2">
        <v>35.067</v>
      </c>
      <c r="B438" s="2">
        <v>2.9152</v>
      </c>
      <c r="C438" s="1">
        <f>Tabela7[[#This Row],[Alongamento (mm/mm)]]/$I$2</f>
        <v>5.8304000000000002E-2</v>
      </c>
      <c r="D438" s="2">
        <v>585.30999999999995</v>
      </c>
      <c r="E438" s="1">
        <f>Tabela7[[#This Row],[Força (N)]]/$I$5</f>
        <v>13751809.108508918</v>
      </c>
      <c r="F438" s="1">
        <f>Tabela7[[#This Row],[Tensão (Pa)]]/1000000</f>
        <v>13.751809108508919</v>
      </c>
    </row>
    <row r="439" spans="1:6" x14ac:dyDescent="0.3">
      <c r="A439" s="2">
        <v>35.183</v>
      </c>
      <c r="B439" s="2">
        <v>2.9249999999999998</v>
      </c>
      <c r="C439" s="1">
        <f>Tabela7[[#This Row],[Alongamento (mm/mm)]]/$I$2</f>
        <v>5.8499999999999996E-2</v>
      </c>
      <c r="D439" s="2">
        <v>589.9</v>
      </c>
      <c r="E439" s="1">
        <f>Tabela7[[#This Row],[Força (N)]]/$I$5</f>
        <v>13859650.771573031</v>
      </c>
      <c r="F439" s="1">
        <f>Tabela7[[#This Row],[Tensão (Pa)]]/1000000</f>
        <v>13.859650771573031</v>
      </c>
    </row>
    <row r="440" spans="1:6" x14ac:dyDescent="0.3">
      <c r="A440" s="2">
        <v>35.299999999999997</v>
      </c>
      <c r="B440" s="2">
        <v>2.9346999999999999</v>
      </c>
      <c r="C440" s="1">
        <f>Tabela7[[#This Row],[Alongamento (mm/mm)]]/$I$2</f>
        <v>5.8693999999999996E-2</v>
      </c>
      <c r="D440" s="2">
        <v>594.33000000000004</v>
      </c>
      <c r="E440" s="1">
        <f>Tabela7[[#This Row],[Força (N)]]/$I$5</f>
        <v>13963733.248125108</v>
      </c>
      <c r="F440" s="1">
        <f>Tabela7[[#This Row],[Tensão (Pa)]]/1000000</f>
        <v>13.963733248125108</v>
      </c>
    </row>
    <row r="441" spans="1:6" x14ac:dyDescent="0.3">
      <c r="A441" s="2">
        <v>35.417000000000002</v>
      </c>
      <c r="B441" s="2">
        <v>2.9443999999999999</v>
      </c>
      <c r="C441" s="1">
        <f>Tabela7[[#This Row],[Alongamento (mm/mm)]]/$I$2</f>
        <v>5.8887999999999996E-2</v>
      </c>
      <c r="D441" s="2">
        <v>598.91999999999996</v>
      </c>
      <c r="E441" s="1">
        <f>Tabela7[[#This Row],[Força (N)]]/$I$5</f>
        <v>14071574.911189219</v>
      </c>
      <c r="F441" s="1">
        <f>Tabela7[[#This Row],[Tensão (Pa)]]/1000000</f>
        <v>14.071574911189218</v>
      </c>
    </row>
    <row r="442" spans="1:6" x14ac:dyDescent="0.3">
      <c r="A442" s="2">
        <v>35.533000000000001</v>
      </c>
      <c r="B442" s="2">
        <v>2.9540000000000002</v>
      </c>
      <c r="C442" s="1">
        <f>Tabela7[[#This Row],[Alongamento (mm/mm)]]/$I$2</f>
        <v>5.9080000000000001E-2</v>
      </c>
      <c r="D442" s="2">
        <v>603.34</v>
      </c>
      <c r="E442" s="1">
        <f>Tabela7[[#This Row],[Força (N)]]/$I$5</f>
        <v>14175422.438584292</v>
      </c>
      <c r="F442" s="1">
        <f>Tabela7[[#This Row],[Tensão (Pa)]]/1000000</f>
        <v>14.175422438584292</v>
      </c>
    </row>
    <row r="443" spans="1:6" x14ac:dyDescent="0.3">
      <c r="A443" s="2">
        <v>35.65</v>
      </c>
      <c r="B443" s="2">
        <v>2.9638</v>
      </c>
      <c r="C443" s="1">
        <f>Tabela7[[#This Row],[Alongamento (mm/mm)]]/$I$2</f>
        <v>5.9276000000000002E-2</v>
      </c>
      <c r="D443" s="2">
        <v>607.76</v>
      </c>
      <c r="E443" s="1">
        <f>Tabela7[[#This Row],[Força (N)]]/$I$5</f>
        <v>14279269.965979362</v>
      </c>
      <c r="F443" s="1">
        <f>Tabela7[[#This Row],[Tensão (Pa)]]/1000000</f>
        <v>14.279269965979362</v>
      </c>
    </row>
    <row r="444" spans="1:6" x14ac:dyDescent="0.3">
      <c r="A444" s="2">
        <v>35.767000000000003</v>
      </c>
      <c r="B444" s="2">
        <v>2.9735</v>
      </c>
      <c r="C444" s="1">
        <f>Tabela7[[#This Row],[Alongamento (mm/mm)]]/$I$2</f>
        <v>5.9470000000000002E-2</v>
      </c>
      <c r="D444" s="2">
        <v>612.36</v>
      </c>
      <c r="E444" s="1">
        <f>Tabela7[[#This Row],[Força (N)]]/$I$5</f>
        <v>14387346.578200478</v>
      </c>
      <c r="F444" s="1">
        <f>Tabela7[[#This Row],[Tensão (Pa)]]/1000000</f>
        <v>14.387346578200479</v>
      </c>
    </row>
    <row r="445" spans="1:6" x14ac:dyDescent="0.3">
      <c r="A445" s="2">
        <v>35.9</v>
      </c>
      <c r="B445" s="2">
        <v>2.9845999999999999</v>
      </c>
      <c r="C445" s="1">
        <f>Tabela7[[#This Row],[Alongamento (mm/mm)]]/$I$2</f>
        <v>5.9691999999999995E-2</v>
      </c>
      <c r="D445" s="2">
        <v>617.63</v>
      </c>
      <c r="E445" s="1">
        <f>Tabela7[[#This Row],[Força (N)]]/$I$5</f>
        <v>14511164.783940757</v>
      </c>
      <c r="F445" s="1">
        <f>Tabela7[[#This Row],[Tensão (Pa)]]/1000000</f>
        <v>14.511164783940757</v>
      </c>
    </row>
    <row r="446" spans="1:6" x14ac:dyDescent="0.3">
      <c r="A446" s="2">
        <v>36.017000000000003</v>
      </c>
      <c r="B446" s="2">
        <v>2.9943</v>
      </c>
      <c r="C446" s="1">
        <f>Tabela7[[#This Row],[Alongamento (mm/mm)]]/$I$2</f>
        <v>5.9886000000000002E-2</v>
      </c>
      <c r="D446" s="2">
        <v>622.39</v>
      </c>
      <c r="E446" s="1">
        <f>Tabela7[[#This Row],[Força (N)]]/$I$5</f>
        <v>14623000.582673909</v>
      </c>
      <c r="F446" s="1">
        <f>Tabela7[[#This Row],[Tensão (Pa)]]/1000000</f>
        <v>14.623000582673908</v>
      </c>
    </row>
    <row r="447" spans="1:6" x14ac:dyDescent="0.3">
      <c r="A447" s="2">
        <v>36.15</v>
      </c>
      <c r="B447" s="2">
        <v>3.0055000000000001</v>
      </c>
      <c r="C447" s="1">
        <f>Tabela7[[#This Row],[Alongamento (mm/mm)]]/$I$2</f>
        <v>6.0110000000000004E-2</v>
      </c>
      <c r="D447" s="2">
        <v>627.66</v>
      </c>
      <c r="E447" s="1">
        <f>Tabela7[[#This Row],[Força (N)]]/$I$5</f>
        <v>14746818.788414188</v>
      </c>
      <c r="F447" s="1">
        <f>Tabela7[[#This Row],[Tensão (Pa)]]/1000000</f>
        <v>14.746818788414188</v>
      </c>
    </row>
    <row r="448" spans="1:6" x14ac:dyDescent="0.3">
      <c r="A448" s="2">
        <v>36.283000000000001</v>
      </c>
      <c r="B448" s="2">
        <v>3.0167000000000002</v>
      </c>
      <c r="C448" s="1">
        <f>Tabela7[[#This Row],[Alongamento (mm/mm)]]/$I$2</f>
        <v>6.0334000000000006E-2</v>
      </c>
      <c r="D448" s="2">
        <v>632.94000000000005</v>
      </c>
      <c r="E448" s="1">
        <f>Tabela7[[#This Row],[Força (N)]]/$I$5</f>
        <v>14870871.94331147</v>
      </c>
      <c r="F448" s="1">
        <f>Tabela7[[#This Row],[Tensão (Pa)]]/1000000</f>
        <v>14.870871943311469</v>
      </c>
    </row>
    <row r="449" spans="1:6" x14ac:dyDescent="0.3">
      <c r="A449" s="2">
        <v>36.4</v>
      </c>
      <c r="B449" s="2">
        <v>3.0263</v>
      </c>
      <c r="C449" s="1">
        <f>Tabela7[[#This Row],[Alongamento (mm/mm)]]/$I$2</f>
        <v>6.0525999999999996E-2</v>
      </c>
      <c r="D449" s="2">
        <v>637.70000000000005</v>
      </c>
      <c r="E449" s="1">
        <f>Tabela7[[#This Row],[Força (N)]]/$I$5</f>
        <v>14982707.742044624</v>
      </c>
      <c r="F449" s="1">
        <f>Tabela7[[#This Row],[Tensão (Pa)]]/1000000</f>
        <v>14.982707742044624</v>
      </c>
    </row>
    <row r="450" spans="1:6" x14ac:dyDescent="0.3">
      <c r="A450" s="2">
        <v>36.533000000000001</v>
      </c>
      <c r="B450" s="2">
        <v>3.0373999999999999</v>
      </c>
      <c r="C450" s="1">
        <f>Tabela7[[#This Row],[Alongamento (mm/mm)]]/$I$2</f>
        <v>6.0747999999999996E-2</v>
      </c>
      <c r="D450" s="2">
        <v>642.97</v>
      </c>
      <c r="E450" s="1">
        <f>Tabela7[[#This Row],[Força (N)]]/$I$5</f>
        <v>15106525.947784901</v>
      </c>
      <c r="F450" s="1">
        <f>Tabela7[[#This Row],[Tensão (Pa)]]/1000000</f>
        <v>15.106525947784901</v>
      </c>
    </row>
    <row r="451" spans="1:6" x14ac:dyDescent="0.3">
      <c r="A451" s="2">
        <v>36.667000000000002</v>
      </c>
      <c r="B451" s="2">
        <v>3.0486</v>
      </c>
      <c r="C451" s="1">
        <f>Tabela7[[#This Row],[Alongamento (mm/mm)]]/$I$2</f>
        <v>6.0971999999999998E-2</v>
      </c>
      <c r="D451" s="2">
        <v>648.25</v>
      </c>
      <c r="E451" s="1">
        <f>Tabela7[[#This Row],[Força (N)]]/$I$5</f>
        <v>15230579.102682181</v>
      </c>
      <c r="F451" s="1">
        <f>Tabela7[[#This Row],[Tensão (Pa)]]/1000000</f>
        <v>15.230579102682182</v>
      </c>
    </row>
    <row r="452" spans="1:6" x14ac:dyDescent="0.3">
      <c r="A452" s="2">
        <v>36.799999999999997</v>
      </c>
      <c r="B452" s="2">
        <v>3.0596999999999999</v>
      </c>
      <c r="C452" s="1">
        <f>Tabela7[[#This Row],[Alongamento (mm/mm)]]/$I$2</f>
        <v>6.1193999999999998E-2</v>
      </c>
      <c r="D452" s="2">
        <v>653.52</v>
      </c>
      <c r="E452" s="1">
        <f>Tabela7[[#This Row],[Força (N)]]/$I$5</f>
        <v>15354397.308422457</v>
      </c>
      <c r="F452" s="1">
        <f>Tabela7[[#This Row],[Tensão (Pa)]]/1000000</f>
        <v>15.354397308422458</v>
      </c>
    </row>
    <row r="453" spans="1:6" x14ac:dyDescent="0.3">
      <c r="A453" s="2">
        <v>36.933</v>
      </c>
      <c r="B453" s="2">
        <v>3.0707</v>
      </c>
      <c r="C453" s="1">
        <f>Tabela7[[#This Row],[Alongamento (mm/mm)]]/$I$2</f>
        <v>6.1413999999999996E-2</v>
      </c>
      <c r="D453" s="2">
        <v>658.79</v>
      </c>
      <c r="E453" s="1">
        <f>Tabela7[[#This Row],[Força (N)]]/$I$5</f>
        <v>15478215.514162736</v>
      </c>
      <c r="F453" s="1">
        <f>Tabela7[[#This Row],[Tensão (Pa)]]/1000000</f>
        <v>15.478215514162736</v>
      </c>
    </row>
    <row r="454" spans="1:6" x14ac:dyDescent="0.3">
      <c r="A454" s="2">
        <v>37.067</v>
      </c>
      <c r="B454" s="2">
        <v>3.0819000000000001</v>
      </c>
      <c r="C454" s="1">
        <f>Tabela7[[#This Row],[Alongamento (mm/mm)]]/$I$2</f>
        <v>6.1637999999999998E-2</v>
      </c>
      <c r="D454" s="2">
        <v>664.07</v>
      </c>
      <c r="E454" s="1">
        <f>Tabela7[[#This Row],[Força (N)]]/$I$5</f>
        <v>15602268.669060018</v>
      </c>
      <c r="F454" s="1">
        <f>Tabela7[[#This Row],[Tensão (Pa)]]/1000000</f>
        <v>15.602268669060019</v>
      </c>
    </row>
    <row r="455" spans="1:6" x14ac:dyDescent="0.3">
      <c r="A455" s="2">
        <v>37.200000000000003</v>
      </c>
      <c r="B455" s="2">
        <v>3.0929000000000002</v>
      </c>
      <c r="C455" s="1">
        <f>Tabela7[[#This Row],[Alongamento (mm/mm)]]/$I$2</f>
        <v>6.1858000000000003E-2</v>
      </c>
      <c r="D455" s="2">
        <v>669.51</v>
      </c>
      <c r="E455" s="1">
        <f>Tabela7[[#This Row],[Força (N)]]/$I$5</f>
        <v>15730081.010469334</v>
      </c>
      <c r="F455" s="1">
        <f>Tabela7[[#This Row],[Tensão (Pa)]]/1000000</f>
        <v>15.730081010469334</v>
      </c>
    </row>
    <row r="456" spans="1:6" x14ac:dyDescent="0.3">
      <c r="A456" s="2">
        <v>37.332999999999998</v>
      </c>
      <c r="B456" s="2">
        <v>3.1040999999999999</v>
      </c>
      <c r="C456" s="1">
        <f>Tabela7[[#This Row],[Alongamento (mm/mm)]]/$I$2</f>
        <v>6.2081999999999998E-2</v>
      </c>
      <c r="D456" s="2">
        <v>674.78</v>
      </c>
      <c r="E456" s="1">
        <f>Tabela7[[#This Row],[Força (N)]]/$I$5</f>
        <v>15853899.216209613</v>
      </c>
      <c r="F456" s="1">
        <f>Tabela7[[#This Row],[Tensão (Pa)]]/1000000</f>
        <v>15.853899216209612</v>
      </c>
    </row>
    <row r="457" spans="1:6" x14ac:dyDescent="0.3">
      <c r="A457" s="2">
        <v>37.466999999999999</v>
      </c>
      <c r="B457" s="2">
        <v>3.1152000000000002</v>
      </c>
      <c r="C457" s="1">
        <f>Tabela7[[#This Row],[Alongamento (mm/mm)]]/$I$2</f>
        <v>6.2304000000000005E-2</v>
      </c>
      <c r="D457" s="2">
        <v>680.23</v>
      </c>
      <c r="E457" s="1">
        <f>Tabela7[[#This Row],[Força (N)]]/$I$5</f>
        <v>15981946.506775934</v>
      </c>
      <c r="F457" s="1">
        <f>Tabela7[[#This Row],[Tensão (Pa)]]/1000000</f>
        <v>15.981946506775934</v>
      </c>
    </row>
    <row r="458" spans="1:6" x14ac:dyDescent="0.3">
      <c r="A458" s="2">
        <v>37.6</v>
      </c>
      <c r="B458" s="2">
        <v>3.1263999999999998</v>
      </c>
      <c r="C458" s="1">
        <f>Tabela7[[#This Row],[Alongamento (mm/mm)]]/$I$2</f>
        <v>6.2528E-2</v>
      </c>
      <c r="D458" s="2">
        <v>685.5</v>
      </c>
      <c r="E458" s="1">
        <f>Tabela7[[#This Row],[Força (N)]]/$I$5</f>
        <v>16105764.712516213</v>
      </c>
      <c r="F458" s="1">
        <f>Tabela7[[#This Row],[Tensão (Pa)]]/1000000</f>
        <v>16.105764712516212</v>
      </c>
    </row>
    <row r="459" spans="1:6" x14ac:dyDescent="0.3">
      <c r="A459" s="2">
        <v>37.732999999999997</v>
      </c>
      <c r="B459" s="2">
        <v>3.1375000000000002</v>
      </c>
      <c r="C459" s="1">
        <f>Tabela7[[#This Row],[Alongamento (mm/mm)]]/$I$2</f>
        <v>6.275E-2</v>
      </c>
      <c r="D459" s="2">
        <v>690.94</v>
      </c>
      <c r="E459" s="1">
        <f>Tabela7[[#This Row],[Força (N)]]/$I$5</f>
        <v>16233577.053925533</v>
      </c>
      <c r="F459" s="1">
        <f>Tabela7[[#This Row],[Tensão (Pa)]]/1000000</f>
        <v>16.233577053925533</v>
      </c>
    </row>
    <row r="460" spans="1:6" x14ac:dyDescent="0.3">
      <c r="A460" s="2">
        <v>37.866999999999997</v>
      </c>
      <c r="B460" s="2">
        <v>3.1484999999999999</v>
      </c>
      <c r="C460" s="1">
        <f>Tabela7[[#This Row],[Alongamento (mm/mm)]]/$I$2</f>
        <v>6.2969999999999998E-2</v>
      </c>
      <c r="D460" s="2">
        <v>696.38</v>
      </c>
      <c r="E460" s="1">
        <f>Tabela7[[#This Row],[Força (N)]]/$I$5</f>
        <v>16361389.395334851</v>
      </c>
      <c r="F460" s="1">
        <f>Tabela7[[#This Row],[Tensão (Pa)]]/1000000</f>
        <v>16.36138939533485</v>
      </c>
    </row>
    <row r="461" spans="1:6" x14ac:dyDescent="0.3">
      <c r="A461" s="2">
        <v>38</v>
      </c>
      <c r="B461" s="2">
        <v>3.1596000000000002</v>
      </c>
      <c r="C461" s="1">
        <f>Tabela7[[#This Row],[Alongamento (mm/mm)]]/$I$2</f>
        <v>6.3191999999999998E-2</v>
      </c>
      <c r="D461" s="2">
        <v>701.83</v>
      </c>
      <c r="E461" s="1">
        <f>Tabela7[[#This Row],[Força (N)]]/$I$5</f>
        <v>16489436.685901172</v>
      </c>
      <c r="F461" s="1">
        <f>Tabela7[[#This Row],[Tensão (Pa)]]/1000000</f>
        <v>16.489436685901172</v>
      </c>
    </row>
    <row r="462" spans="1:6" x14ac:dyDescent="0.3">
      <c r="A462" s="2">
        <v>38.133000000000003</v>
      </c>
      <c r="B462" s="2">
        <v>3.1707000000000001</v>
      </c>
      <c r="C462" s="1">
        <f>Tabela7[[#This Row],[Alongamento (mm/mm)]]/$I$2</f>
        <v>6.3413999999999998E-2</v>
      </c>
      <c r="D462" s="2">
        <v>707.27</v>
      </c>
      <c r="E462" s="1">
        <f>Tabela7[[#This Row],[Força (N)]]/$I$5</f>
        <v>16617249.027310491</v>
      </c>
      <c r="F462" s="1">
        <f>Tabela7[[#This Row],[Tensão (Pa)]]/1000000</f>
        <v>16.617249027310489</v>
      </c>
    </row>
    <row r="463" spans="1:6" x14ac:dyDescent="0.3">
      <c r="A463" s="2">
        <v>38.267000000000003</v>
      </c>
      <c r="B463" s="2">
        <v>3.1818</v>
      </c>
      <c r="C463" s="1">
        <f>Tabela7[[#This Row],[Alongamento (mm/mm)]]/$I$2</f>
        <v>6.3635999999999998E-2</v>
      </c>
      <c r="D463" s="2">
        <v>712.71</v>
      </c>
      <c r="E463" s="1">
        <f>Tabela7[[#This Row],[Força (N)]]/$I$5</f>
        <v>16745061.368719811</v>
      </c>
      <c r="F463" s="1">
        <f>Tabela7[[#This Row],[Tensão (Pa)]]/1000000</f>
        <v>16.74506136871981</v>
      </c>
    </row>
    <row r="464" spans="1:6" x14ac:dyDescent="0.3">
      <c r="A464" s="2">
        <v>38.4</v>
      </c>
      <c r="B464" s="2">
        <v>3.1930000000000001</v>
      </c>
      <c r="C464" s="1">
        <f>Tabela7[[#This Row],[Alongamento (mm/mm)]]/$I$2</f>
        <v>6.386E-2</v>
      </c>
      <c r="D464" s="2">
        <v>718.16</v>
      </c>
      <c r="E464" s="1">
        <f>Tabela7[[#This Row],[Força (N)]]/$I$5</f>
        <v>16873108.65928613</v>
      </c>
      <c r="F464" s="1">
        <f>Tabela7[[#This Row],[Tensão (Pa)]]/1000000</f>
        <v>16.873108659286132</v>
      </c>
    </row>
    <row r="465" spans="1:6" x14ac:dyDescent="0.3">
      <c r="A465" s="2">
        <v>38.533000000000001</v>
      </c>
      <c r="B465" s="2">
        <v>3.2042000000000002</v>
      </c>
      <c r="C465" s="1">
        <f>Tabela7[[#This Row],[Alongamento (mm/mm)]]/$I$2</f>
        <v>6.4084000000000002E-2</v>
      </c>
      <c r="D465" s="2">
        <v>723.6</v>
      </c>
      <c r="E465" s="1">
        <f>Tabela7[[#This Row],[Força (N)]]/$I$5</f>
        <v>17000921.000695452</v>
      </c>
      <c r="F465" s="1">
        <f>Tabela7[[#This Row],[Tensão (Pa)]]/1000000</f>
        <v>17.000921000695453</v>
      </c>
    </row>
    <row r="466" spans="1:6" x14ac:dyDescent="0.3">
      <c r="A466" s="2">
        <v>38.667000000000002</v>
      </c>
      <c r="B466" s="2">
        <v>3.2151999999999998</v>
      </c>
      <c r="C466" s="1">
        <f>Tabela7[[#This Row],[Alongamento (mm/mm)]]/$I$2</f>
        <v>6.4304E-2</v>
      </c>
      <c r="D466" s="2">
        <v>729.04</v>
      </c>
      <c r="E466" s="1">
        <f>Tabela7[[#This Row],[Força (N)]]/$I$5</f>
        <v>17128733.34210477</v>
      </c>
      <c r="F466" s="1">
        <f>Tabela7[[#This Row],[Tensão (Pa)]]/1000000</f>
        <v>17.12873334210477</v>
      </c>
    </row>
    <row r="467" spans="1:6" x14ac:dyDescent="0.3">
      <c r="A467" s="2">
        <v>38.799999999999997</v>
      </c>
      <c r="B467" s="2">
        <v>3.2263000000000002</v>
      </c>
      <c r="C467" s="1">
        <f>Tabela7[[#This Row],[Alongamento (mm/mm)]]/$I$2</f>
        <v>6.4526E-2</v>
      </c>
      <c r="D467" s="2">
        <v>734.49</v>
      </c>
      <c r="E467" s="1">
        <f>Tabela7[[#This Row],[Força (N)]]/$I$5</f>
        <v>17256780.632671092</v>
      </c>
      <c r="F467" s="1">
        <f>Tabela7[[#This Row],[Tensão (Pa)]]/1000000</f>
        <v>17.256780632671092</v>
      </c>
    </row>
    <row r="468" spans="1:6" x14ac:dyDescent="0.3">
      <c r="A468" s="2">
        <v>38.933</v>
      </c>
      <c r="B468" s="2">
        <v>3.2374999999999998</v>
      </c>
      <c r="C468" s="1">
        <f>Tabela7[[#This Row],[Alongamento (mm/mm)]]/$I$2</f>
        <v>6.4750000000000002E-2</v>
      </c>
      <c r="D468" s="2">
        <v>739.93</v>
      </c>
      <c r="E468" s="1">
        <f>Tabela7[[#This Row],[Força (N)]]/$I$5</f>
        <v>17384592.97408041</v>
      </c>
      <c r="F468" s="1">
        <f>Tabela7[[#This Row],[Tensão (Pa)]]/1000000</f>
        <v>17.384592974080409</v>
      </c>
    </row>
    <row r="469" spans="1:6" x14ac:dyDescent="0.3">
      <c r="A469" s="2">
        <v>39.082999999999998</v>
      </c>
      <c r="B469" s="2">
        <v>3.25</v>
      </c>
      <c r="C469" s="1">
        <f>Tabela7[[#This Row],[Alongamento (mm/mm)]]/$I$2</f>
        <v>6.5000000000000002E-2</v>
      </c>
      <c r="D469" s="2">
        <v>745.88</v>
      </c>
      <c r="E469" s="1">
        <f>Tabela7[[#This Row],[Força (N)]]/$I$5</f>
        <v>17524387.722496852</v>
      </c>
      <c r="F469" s="1">
        <f>Tabela7[[#This Row],[Tensão (Pa)]]/1000000</f>
        <v>17.524387722496851</v>
      </c>
    </row>
    <row r="470" spans="1:6" x14ac:dyDescent="0.3">
      <c r="A470" s="2">
        <v>39.232999999999997</v>
      </c>
      <c r="B470" s="2">
        <v>3.2624</v>
      </c>
      <c r="C470" s="1">
        <f>Tabela7[[#This Row],[Alongamento (mm/mm)]]/$I$2</f>
        <v>6.5248E-2</v>
      </c>
      <c r="D470" s="2">
        <v>751.84</v>
      </c>
      <c r="E470" s="1">
        <f>Tabela7[[#This Row],[Força (N)]]/$I$5</f>
        <v>17664417.420070298</v>
      </c>
      <c r="F470" s="1">
        <f>Tabela7[[#This Row],[Tensão (Pa)]]/1000000</f>
        <v>17.664417420070297</v>
      </c>
    </row>
    <row r="471" spans="1:6" x14ac:dyDescent="0.3">
      <c r="A471" s="2">
        <v>39.383000000000003</v>
      </c>
      <c r="B471" s="2">
        <v>3.2749000000000001</v>
      </c>
      <c r="C471" s="1">
        <f>Tabela7[[#This Row],[Alongamento (mm/mm)]]/$I$2</f>
        <v>6.5498000000000001E-2</v>
      </c>
      <c r="D471" s="2">
        <v>757.96</v>
      </c>
      <c r="E471" s="1">
        <f>Tabela7[[#This Row],[Força (N)]]/$I$5</f>
        <v>17808206.304155782</v>
      </c>
      <c r="F471" s="1">
        <f>Tabela7[[#This Row],[Tensão (Pa)]]/1000000</f>
        <v>17.808206304155782</v>
      </c>
    </row>
    <row r="472" spans="1:6" x14ac:dyDescent="0.3">
      <c r="A472" s="2">
        <v>39.533000000000001</v>
      </c>
      <c r="B472" s="2">
        <v>3.2875000000000001</v>
      </c>
      <c r="C472" s="1">
        <f>Tabela7[[#This Row],[Alongamento (mm/mm)]]/$I$2</f>
        <v>6.5750000000000003E-2</v>
      </c>
      <c r="D472" s="2">
        <v>764.08</v>
      </c>
      <c r="E472" s="1">
        <f>Tabela7[[#This Row],[Força (N)]]/$I$5</f>
        <v>17951995.188241266</v>
      </c>
      <c r="F472" s="1">
        <f>Tabela7[[#This Row],[Tensão (Pa)]]/1000000</f>
        <v>17.951995188241266</v>
      </c>
    </row>
    <row r="473" spans="1:6" x14ac:dyDescent="0.3">
      <c r="A473" s="2">
        <v>39.683</v>
      </c>
      <c r="B473" s="2">
        <v>3.2999000000000001</v>
      </c>
      <c r="C473" s="1">
        <f>Tabela7[[#This Row],[Alongamento (mm/mm)]]/$I$2</f>
        <v>6.5998000000000001E-2</v>
      </c>
      <c r="D473" s="2">
        <v>770.38</v>
      </c>
      <c r="E473" s="1">
        <f>Tabela7[[#This Row],[Força (N)]]/$I$5</f>
        <v>18100013.157152794</v>
      </c>
      <c r="F473" s="1">
        <f>Tabela7[[#This Row],[Tensão (Pa)]]/1000000</f>
        <v>18.100013157152794</v>
      </c>
    </row>
    <row r="474" spans="1:6" x14ac:dyDescent="0.3">
      <c r="A474" s="2">
        <v>39.832999999999998</v>
      </c>
      <c r="B474" s="2">
        <v>3.3125</v>
      </c>
      <c r="C474" s="1">
        <f>Tabela7[[#This Row],[Alongamento (mm/mm)]]/$I$2</f>
        <v>6.6250000000000003E-2</v>
      </c>
      <c r="D474" s="2">
        <v>776.5</v>
      </c>
      <c r="E474" s="1">
        <f>Tabela7[[#This Row],[Força (N)]]/$I$5</f>
        <v>18243802.041238278</v>
      </c>
      <c r="F474" s="1">
        <f>Tabela7[[#This Row],[Tensão (Pa)]]/1000000</f>
        <v>18.243802041238279</v>
      </c>
    </row>
    <row r="475" spans="1:6" x14ac:dyDescent="0.3">
      <c r="A475" s="2">
        <v>39.982999999999997</v>
      </c>
      <c r="B475" s="2">
        <v>3.3249</v>
      </c>
      <c r="C475" s="1">
        <f>Tabela7[[#This Row],[Alongamento (mm/mm)]]/$I$2</f>
        <v>6.6498000000000002E-2</v>
      </c>
      <c r="D475" s="2">
        <v>782.79</v>
      </c>
      <c r="E475" s="1">
        <f>Tabela7[[#This Row],[Força (N)]]/$I$5</f>
        <v>18391585.0609928</v>
      </c>
      <c r="F475" s="1">
        <f>Tabela7[[#This Row],[Tensão (Pa)]]/1000000</f>
        <v>18.391585060992799</v>
      </c>
    </row>
    <row r="476" spans="1:6" x14ac:dyDescent="0.3">
      <c r="A476" s="2">
        <v>40.133000000000003</v>
      </c>
      <c r="B476" s="2">
        <v>3.3374000000000001</v>
      </c>
      <c r="C476" s="1">
        <f>Tabela7[[#This Row],[Alongamento (mm/mm)]]/$I$2</f>
        <v>6.6748000000000002E-2</v>
      </c>
      <c r="D476" s="2">
        <v>788.92</v>
      </c>
      <c r="E476" s="1">
        <f>Tabela7[[#This Row],[Força (N)]]/$I$5</f>
        <v>18535608.894235287</v>
      </c>
      <c r="F476" s="1">
        <f>Tabela7[[#This Row],[Tensão (Pa)]]/1000000</f>
        <v>18.535608894235288</v>
      </c>
    </row>
    <row r="477" spans="1:6" x14ac:dyDescent="0.3">
      <c r="A477" s="2">
        <v>40.283000000000001</v>
      </c>
      <c r="B477" s="2">
        <v>3.3498999999999999</v>
      </c>
      <c r="C477" s="1">
        <f>Tabela7[[#This Row],[Alongamento (mm/mm)]]/$I$2</f>
        <v>6.6998000000000002E-2</v>
      </c>
      <c r="D477" s="2">
        <v>795.04</v>
      </c>
      <c r="E477" s="1">
        <f>Tabela7[[#This Row],[Força (N)]]/$I$5</f>
        <v>18679397.778320771</v>
      </c>
      <c r="F477" s="1">
        <f>Tabela7[[#This Row],[Tensão (Pa)]]/1000000</f>
        <v>18.679397778320769</v>
      </c>
    </row>
    <row r="478" spans="1:6" x14ac:dyDescent="0.3">
      <c r="A478" s="2">
        <v>40.433</v>
      </c>
      <c r="B478" s="2">
        <v>3.3624000000000001</v>
      </c>
      <c r="C478" s="1">
        <f>Tabela7[[#This Row],[Alongamento (mm/mm)]]/$I$2</f>
        <v>6.7248000000000002E-2</v>
      </c>
      <c r="D478" s="2">
        <v>801.17</v>
      </c>
      <c r="E478" s="1">
        <f>Tabela7[[#This Row],[Força (N)]]/$I$5</f>
        <v>18823421.611563258</v>
      </c>
      <c r="F478" s="1">
        <f>Tabela7[[#This Row],[Tensão (Pa)]]/1000000</f>
        <v>18.823421611563258</v>
      </c>
    </row>
    <row r="479" spans="1:6" x14ac:dyDescent="0.3">
      <c r="A479" s="2">
        <v>40.6</v>
      </c>
      <c r="B479" s="2">
        <v>3.3763000000000001</v>
      </c>
      <c r="C479" s="1">
        <f>Tabela7[[#This Row],[Alongamento (mm/mm)]]/$I$2</f>
        <v>6.7526000000000003E-2</v>
      </c>
      <c r="D479" s="2">
        <v>807.8</v>
      </c>
      <c r="E479" s="1">
        <f>Tabela7[[#This Row],[Força (N)]]/$I$5</f>
        <v>18979192.902655866</v>
      </c>
      <c r="F479" s="1">
        <f>Tabela7[[#This Row],[Tensão (Pa)]]/1000000</f>
        <v>18.979192902655868</v>
      </c>
    </row>
    <row r="480" spans="1:6" x14ac:dyDescent="0.3">
      <c r="A480" s="2">
        <v>40.75</v>
      </c>
      <c r="B480" s="2">
        <v>3.3887999999999998</v>
      </c>
      <c r="C480" s="1">
        <f>Tabela7[[#This Row],[Alongamento (mm/mm)]]/$I$2</f>
        <v>6.7776000000000003E-2</v>
      </c>
      <c r="D480" s="2">
        <v>813.92</v>
      </c>
      <c r="E480" s="1">
        <f>Tabela7[[#This Row],[Força (N)]]/$I$5</f>
        <v>19122981.78674135</v>
      </c>
      <c r="F480" s="1">
        <f>Tabela7[[#This Row],[Tensão (Pa)]]/1000000</f>
        <v>19.122981786741349</v>
      </c>
    </row>
    <row r="481" spans="1:6" x14ac:dyDescent="0.3">
      <c r="A481" s="2">
        <v>40.9</v>
      </c>
      <c r="B481" s="2">
        <v>3.4014000000000002</v>
      </c>
      <c r="C481" s="1">
        <f>Tabela7[[#This Row],[Alongamento (mm/mm)]]/$I$2</f>
        <v>6.8028000000000005E-2</v>
      </c>
      <c r="D481" s="2">
        <v>820.22</v>
      </c>
      <c r="E481" s="1">
        <f>Tabela7[[#This Row],[Força (N)]]/$I$5</f>
        <v>19270999.755652878</v>
      </c>
      <c r="F481" s="1">
        <f>Tabela7[[#This Row],[Tensão (Pa)]]/1000000</f>
        <v>19.270999755652877</v>
      </c>
    </row>
    <row r="482" spans="1:6" x14ac:dyDescent="0.3">
      <c r="A482" s="2">
        <v>41.05</v>
      </c>
      <c r="B482" s="2">
        <v>3.4138000000000002</v>
      </c>
      <c r="C482" s="1">
        <f>Tabela7[[#This Row],[Alongamento (mm/mm)]]/$I$2</f>
        <v>6.8276000000000003E-2</v>
      </c>
      <c r="D482" s="2">
        <v>826.51</v>
      </c>
      <c r="E482" s="1">
        <f>Tabela7[[#This Row],[Força (N)]]/$I$5</f>
        <v>19418782.775407404</v>
      </c>
      <c r="F482" s="1">
        <f>Tabela7[[#This Row],[Tensão (Pa)]]/1000000</f>
        <v>19.418782775407404</v>
      </c>
    </row>
    <row r="483" spans="1:6" x14ac:dyDescent="0.3">
      <c r="A483" s="2">
        <v>41.2</v>
      </c>
      <c r="B483" s="2">
        <v>3.4264000000000001</v>
      </c>
      <c r="C483" s="1">
        <f>Tabela7[[#This Row],[Alongamento (mm/mm)]]/$I$2</f>
        <v>6.8528000000000006E-2</v>
      </c>
      <c r="D483" s="2">
        <v>832.8</v>
      </c>
      <c r="E483" s="1">
        <f>Tabela7[[#This Row],[Força (N)]]/$I$5</f>
        <v>19566565.795161925</v>
      </c>
      <c r="F483" s="1">
        <f>Tabela7[[#This Row],[Tensão (Pa)]]/1000000</f>
        <v>19.566565795161925</v>
      </c>
    </row>
    <row r="484" spans="1:6" x14ac:dyDescent="0.3">
      <c r="A484" s="2">
        <v>41.366999999999997</v>
      </c>
      <c r="B484" s="2">
        <v>3.4401999999999999</v>
      </c>
      <c r="C484" s="1">
        <f>Tabela7[[#This Row],[Alongamento (mm/mm)]]/$I$2</f>
        <v>6.8804000000000004E-2</v>
      </c>
      <c r="D484" s="2">
        <v>839.61</v>
      </c>
      <c r="E484" s="1">
        <f>Tabela7[[#This Row],[Força (N)]]/$I$5</f>
        <v>19726566.171080578</v>
      </c>
      <c r="F484" s="1">
        <f>Tabela7[[#This Row],[Tensão (Pa)]]/1000000</f>
        <v>19.726566171080577</v>
      </c>
    </row>
    <row r="485" spans="1:6" x14ac:dyDescent="0.3">
      <c r="A485" s="2">
        <v>41.533000000000001</v>
      </c>
      <c r="B485" s="2">
        <v>3.4540999999999999</v>
      </c>
      <c r="C485" s="1">
        <f>Tabela7[[#This Row],[Alongamento (mm/mm)]]/$I$2</f>
        <v>6.9082000000000005E-2</v>
      </c>
      <c r="D485" s="2">
        <v>846.75</v>
      </c>
      <c r="E485" s="1">
        <f>Tabela7[[#This Row],[Força (N)]]/$I$5</f>
        <v>19894319.869180311</v>
      </c>
      <c r="F485" s="1">
        <f>Tabela7[[#This Row],[Tensão (Pa)]]/1000000</f>
        <v>19.894319869180311</v>
      </c>
    </row>
    <row r="486" spans="1:6" x14ac:dyDescent="0.3">
      <c r="A486" s="2">
        <v>41.7</v>
      </c>
      <c r="B486" s="2">
        <v>3.468</v>
      </c>
      <c r="C486" s="1">
        <f>Tabela7[[#This Row],[Alongamento (mm/mm)]]/$I$2</f>
        <v>6.9360000000000005E-2</v>
      </c>
      <c r="D486" s="2">
        <v>853.73</v>
      </c>
      <c r="E486" s="1">
        <f>Tabela7[[#This Row],[Força (N)]]/$I$5</f>
        <v>20058314.380768005</v>
      </c>
      <c r="F486" s="1">
        <f>Tabela7[[#This Row],[Tensão (Pa)]]/1000000</f>
        <v>20.058314380768003</v>
      </c>
    </row>
    <row r="487" spans="1:6" x14ac:dyDescent="0.3">
      <c r="A487" s="2">
        <v>41.85</v>
      </c>
      <c r="B487" s="2">
        <v>3.4805000000000001</v>
      </c>
      <c r="C487" s="1">
        <f>Tabela7[[#This Row],[Alongamento (mm/mm)]]/$I$2</f>
        <v>6.9610000000000005E-2</v>
      </c>
      <c r="D487" s="2">
        <v>860.19</v>
      </c>
      <c r="E487" s="1">
        <f>Tabela7[[#This Row],[Força (N)]]/$I$5</f>
        <v>20210091.536191572</v>
      </c>
      <c r="F487" s="1">
        <f>Tabela7[[#This Row],[Tensão (Pa)]]/1000000</f>
        <v>20.210091536191573</v>
      </c>
    </row>
    <row r="488" spans="1:6" x14ac:dyDescent="0.3">
      <c r="A488" s="2">
        <v>42.017000000000003</v>
      </c>
      <c r="B488" s="2">
        <v>3.4944000000000002</v>
      </c>
      <c r="C488" s="1">
        <f>Tabela7[[#This Row],[Alongamento (mm/mm)]]/$I$2</f>
        <v>6.9888000000000006E-2</v>
      </c>
      <c r="D488" s="2">
        <v>867.33</v>
      </c>
      <c r="E488" s="1">
        <f>Tabela7[[#This Row],[Força (N)]]/$I$5</f>
        <v>20377845.2342913</v>
      </c>
      <c r="F488" s="1">
        <f>Tabela7[[#This Row],[Tensão (Pa)]]/1000000</f>
        <v>20.3778452342913</v>
      </c>
    </row>
    <row r="489" spans="1:6" x14ac:dyDescent="0.3">
      <c r="A489" s="2">
        <v>42.183</v>
      </c>
      <c r="B489" s="2">
        <v>3.5083000000000002</v>
      </c>
      <c r="C489" s="1">
        <f>Tabela7[[#This Row],[Alongamento (mm/mm)]]/$I$2</f>
        <v>7.0166000000000006E-2</v>
      </c>
      <c r="D489" s="2">
        <v>874.31</v>
      </c>
      <c r="E489" s="1">
        <f>Tabela7[[#This Row],[Força (N)]]/$I$5</f>
        <v>20541839.745878991</v>
      </c>
      <c r="F489" s="1">
        <f>Tabela7[[#This Row],[Tensão (Pa)]]/1000000</f>
        <v>20.541839745878992</v>
      </c>
    </row>
    <row r="490" spans="1:6" x14ac:dyDescent="0.3">
      <c r="A490" s="2">
        <v>42.35</v>
      </c>
      <c r="B490" s="2">
        <v>3.5222000000000002</v>
      </c>
      <c r="C490" s="1">
        <f>Tabela7[[#This Row],[Alongamento (mm/mm)]]/$I$2</f>
        <v>7.0444000000000007E-2</v>
      </c>
      <c r="D490" s="2">
        <v>881.45</v>
      </c>
      <c r="E490" s="1">
        <f>Tabela7[[#This Row],[Força (N)]]/$I$5</f>
        <v>20709593.443978727</v>
      </c>
      <c r="F490" s="1">
        <f>Tabela7[[#This Row],[Tensão (Pa)]]/1000000</f>
        <v>20.709593443978726</v>
      </c>
    </row>
    <row r="491" spans="1:6" x14ac:dyDescent="0.3">
      <c r="A491" s="2">
        <v>42.517000000000003</v>
      </c>
      <c r="B491" s="2">
        <v>3.536</v>
      </c>
      <c r="C491" s="1">
        <f>Tabela7[[#This Row],[Alongamento (mm/mm)]]/$I$2</f>
        <v>7.0720000000000005E-2</v>
      </c>
      <c r="D491" s="2">
        <v>888.6</v>
      </c>
      <c r="E491" s="1">
        <f>Tabela7[[#This Row],[Força (N)]]/$I$5</f>
        <v>20877582.091235459</v>
      </c>
      <c r="F491" s="1">
        <f>Tabela7[[#This Row],[Tensão (Pa)]]/1000000</f>
        <v>20.87758209123546</v>
      </c>
    </row>
    <row r="492" spans="1:6" x14ac:dyDescent="0.3">
      <c r="A492" s="2">
        <v>42.683</v>
      </c>
      <c r="B492" s="2">
        <v>3.55</v>
      </c>
      <c r="C492" s="1">
        <f>Tabela7[[#This Row],[Alongamento (mm/mm)]]/$I$2</f>
        <v>7.0999999999999994E-2</v>
      </c>
      <c r="D492" s="2">
        <v>895.91</v>
      </c>
      <c r="E492" s="1">
        <f>Tabela7[[#This Row],[Força (N)]]/$I$5</f>
        <v>21049329.925004229</v>
      </c>
      <c r="F492" s="1">
        <f>Tabela7[[#This Row],[Tensão (Pa)]]/1000000</f>
        <v>21.04932992500423</v>
      </c>
    </row>
    <row r="493" spans="1:6" x14ac:dyDescent="0.3">
      <c r="A493" s="2">
        <v>42.85</v>
      </c>
      <c r="B493" s="2">
        <v>3.5638000000000001</v>
      </c>
      <c r="C493" s="1">
        <f>Tabela7[[#This Row],[Alongamento (mm/mm)]]/$I$2</f>
        <v>7.1276000000000006E-2</v>
      </c>
      <c r="D493" s="2">
        <v>903.05</v>
      </c>
      <c r="E493" s="1">
        <f>Tabela7[[#This Row],[Força (N)]]/$I$5</f>
        <v>21217083.623103961</v>
      </c>
      <c r="F493" s="1">
        <f>Tabela7[[#This Row],[Tensão (Pa)]]/1000000</f>
        <v>21.21708362310396</v>
      </c>
    </row>
    <row r="494" spans="1:6" x14ac:dyDescent="0.3">
      <c r="A494" s="2">
        <v>43.017000000000003</v>
      </c>
      <c r="B494" s="2">
        <v>3.5777000000000001</v>
      </c>
      <c r="C494" s="1">
        <f>Tabela7[[#This Row],[Alongamento (mm/mm)]]/$I$2</f>
        <v>7.1554000000000006E-2</v>
      </c>
      <c r="D494" s="2">
        <v>910.2</v>
      </c>
      <c r="E494" s="1">
        <f>Tabela7[[#This Row],[Força (N)]]/$I$5</f>
        <v>21385072.270360697</v>
      </c>
      <c r="F494" s="1">
        <f>Tabela7[[#This Row],[Tensão (Pa)]]/1000000</f>
        <v>21.385072270360698</v>
      </c>
    </row>
    <row r="495" spans="1:6" x14ac:dyDescent="0.3">
      <c r="A495" s="2">
        <v>43.183</v>
      </c>
      <c r="B495" s="2">
        <v>3.5916999999999999</v>
      </c>
      <c r="C495" s="1">
        <f>Tabela7[[#This Row],[Alongamento (mm/mm)]]/$I$2</f>
        <v>7.1833999999999995E-2</v>
      </c>
      <c r="D495" s="2">
        <v>917.51</v>
      </c>
      <c r="E495" s="1">
        <f>Tabela7[[#This Row],[Força (N)]]/$I$5</f>
        <v>21556820.104129467</v>
      </c>
      <c r="F495" s="1">
        <f>Tabela7[[#This Row],[Tensão (Pa)]]/1000000</f>
        <v>21.556820104129468</v>
      </c>
    </row>
    <row r="496" spans="1:6" x14ac:dyDescent="0.3">
      <c r="A496" s="2">
        <v>43.35</v>
      </c>
      <c r="B496" s="2">
        <v>3.6053999999999999</v>
      </c>
      <c r="C496" s="1">
        <f>Tabela7[[#This Row],[Alongamento (mm/mm)]]/$I$2</f>
        <v>7.2108000000000005E-2</v>
      </c>
      <c r="D496" s="2">
        <v>924.66</v>
      </c>
      <c r="E496" s="1">
        <f>Tabela7[[#This Row],[Força (N)]]/$I$5</f>
        <v>21724808.751386199</v>
      </c>
      <c r="F496" s="1">
        <f>Tabela7[[#This Row],[Tensão (Pa)]]/1000000</f>
        <v>21.724808751386199</v>
      </c>
    </row>
    <row r="497" spans="1:6" x14ac:dyDescent="0.3">
      <c r="A497" s="2">
        <v>43.517000000000003</v>
      </c>
      <c r="B497" s="2">
        <v>3.6194000000000002</v>
      </c>
      <c r="C497" s="1">
        <f>Tabela7[[#This Row],[Alongamento (mm/mm)]]/$I$2</f>
        <v>7.2388000000000008E-2</v>
      </c>
      <c r="D497" s="2">
        <v>931.8</v>
      </c>
      <c r="E497" s="1">
        <f>Tabela7[[#This Row],[Força (N)]]/$I$5</f>
        <v>21892562.449485932</v>
      </c>
      <c r="F497" s="1">
        <f>Tabela7[[#This Row],[Tensão (Pa)]]/1000000</f>
        <v>21.892562449485933</v>
      </c>
    </row>
    <row r="498" spans="1:6" x14ac:dyDescent="0.3">
      <c r="A498" s="2">
        <v>43.683</v>
      </c>
      <c r="B498" s="2">
        <v>3.6333000000000002</v>
      </c>
      <c r="C498" s="1">
        <f>Tabela7[[#This Row],[Alongamento (mm/mm)]]/$I$2</f>
        <v>7.2666000000000008E-2</v>
      </c>
      <c r="D498" s="2">
        <v>938.95</v>
      </c>
      <c r="E498" s="1">
        <f>Tabela7[[#This Row],[Força (N)]]/$I$5</f>
        <v>22060551.096742667</v>
      </c>
      <c r="F498" s="1">
        <f>Tabela7[[#This Row],[Tensão (Pa)]]/1000000</f>
        <v>22.060551096742667</v>
      </c>
    </row>
    <row r="499" spans="1:6" x14ac:dyDescent="0.3">
      <c r="A499" s="2">
        <v>43.85</v>
      </c>
      <c r="B499" s="2">
        <v>3.6471</v>
      </c>
      <c r="C499" s="1">
        <f>Tabela7[[#This Row],[Alongamento (mm/mm)]]/$I$2</f>
        <v>7.2942000000000007E-2</v>
      </c>
      <c r="D499" s="2">
        <v>946.09</v>
      </c>
      <c r="E499" s="1">
        <f>Tabela7[[#This Row],[Força (N)]]/$I$5</f>
        <v>22228304.7948424</v>
      </c>
      <c r="F499" s="1">
        <f>Tabela7[[#This Row],[Tensão (Pa)]]/1000000</f>
        <v>22.228304794842401</v>
      </c>
    </row>
    <row r="500" spans="1:6" x14ac:dyDescent="0.3">
      <c r="A500" s="2">
        <v>44.017000000000003</v>
      </c>
      <c r="B500" s="2">
        <v>3.661</v>
      </c>
      <c r="C500" s="1">
        <f>Tabela7[[#This Row],[Alongamento (mm/mm)]]/$I$2</f>
        <v>7.3220000000000007E-2</v>
      </c>
      <c r="D500" s="2">
        <v>953.23</v>
      </c>
      <c r="E500" s="1">
        <f>Tabela7[[#This Row],[Força (N)]]/$I$5</f>
        <v>22396058.492942128</v>
      </c>
      <c r="F500" s="1">
        <f>Tabela7[[#This Row],[Tensão (Pa)]]/1000000</f>
        <v>22.396058492942128</v>
      </c>
    </row>
    <row r="501" spans="1:6" x14ac:dyDescent="0.3">
      <c r="A501" s="2">
        <v>44.183</v>
      </c>
      <c r="B501" s="2">
        <v>3.6749999999999998</v>
      </c>
      <c r="C501" s="1">
        <f>Tabela7[[#This Row],[Alongamento (mm/mm)]]/$I$2</f>
        <v>7.3499999999999996E-2</v>
      </c>
      <c r="D501" s="2">
        <v>960.38</v>
      </c>
      <c r="E501" s="1">
        <f>Tabela7[[#This Row],[Força (N)]]/$I$5</f>
        <v>22564047.14019886</v>
      </c>
      <c r="F501" s="1">
        <f>Tabela7[[#This Row],[Tensão (Pa)]]/1000000</f>
        <v>22.564047140198859</v>
      </c>
    </row>
    <row r="502" spans="1:6" x14ac:dyDescent="0.3">
      <c r="A502" s="2">
        <v>44.366999999999997</v>
      </c>
      <c r="B502" s="2">
        <v>3.6901999999999999</v>
      </c>
      <c r="C502" s="1">
        <f>Tabela7[[#This Row],[Alongamento (mm/mm)]]/$I$2</f>
        <v>7.3803999999999995E-2</v>
      </c>
      <c r="D502" s="2">
        <v>968.2</v>
      </c>
      <c r="E502" s="1">
        <f>Tabela7[[#This Row],[Força (N)]]/$I$5</f>
        <v>22747777.380974758</v>
      </c>
      <c r="F502" s="1">
        <f>Tabela7[[#This Row],[Tensão (Pa)]]/1000000</f>
        <v>22.747777380974757</v>
      </c>
    </row>
    <row r="503" spans="1:6" x14ac:dyDescent="0.3">
      <c r="A503" s="2">
        <v>44.55</v>
      </c>
      <c r="B503" s="2">
        <v>3.7054999999999998</v>
      </c>
      <c r="C503" s="1">
        <f>Tabela7[[#This Row],[Alongamento (mm/mm)]]/$I$2</f>
        <v>7.4109999999999995E-2</v>
      </c>
      <c r="D503" s="2">
        <v>976.03</v>
      </c>
      <c r="E503" s="1">
        <f>Tabela7[[#This Row],[Força (N)]]/$I$5</f>
        <v>22931742.570907656</v>
      </c>
      <c r="F503" s="1">
        <f>Tabela7[[#This Row],[Tensão (Pa)]]/1000000</f>
        <v>22.931742570907655</v>
      </c>
    </row>
    <row r="504" spans="1:6" x14ac:dyDescent="0.3">
      <c r="A504" s="2">
        <v>44.732999999999997</v>
      </c>
      <c r="B504" s="2">
        <v>3.7206999999999999</v>
      </c>
      <c r="C504" s="1">
        <f>Tabela7[[#This Row],[Alongamento (mm/mm)]]/$I$2</f>
        <v>7.4413999999999994E-2</v>
      </c>
      <c r="D504" s="2">
        <v>983.85</v>
      </c>
      <c r="E504" s="1">
        <f>Tabela7[[#This Row],[Força (N)]]/$I$5</f>
        <v>23115472.811683554</v>
      </c>
      <c r="F504" s="1">
        <f>Tabela7[[#This Row],[Tensão (Pa)]]/1000000</f>
        <v>23.115472811683553</v>
      </c>
    </row>
    <row r="505" spans="1:6" x14ac:dyDescent="0.3">
      <c r="A505" s="2">
        <v>44.917000000000002</v>
      </c>
      <c r="B505" s="2">
        <v>3.7360000000000002</v>
      </c>
      <c r="C505" s="1">
        <f>Tabela7[[#This Row],[Alongamento (mm/mm)]]/$I$2</f>
        <v>7.4720000000000009E-2</v>
      </c>
      <c r="D505" s="2">
        <v>991.34</v>
      </c>
      <c r="E505" s="1">
        <f>Tabela7[[#This Row],[Força (N)]]/$I$5</f>
        <v>23291449.730278369</v>
      </c>
      <c r="F505" s="1">
        <f>Tabela7[[#This Row],[Tensão (Pa)]]/1000000</f>
        <v>23.291449730278369</v>
      </c>
    </row>
    <row r="506" spans="1:6" x14ac:dyDescent="0.3">
      <c r="A506" s="2">
        <v>45.1</v>
      </c>
      <c r="B506" s="2">
        <v>3.7513999999999998</v>
      </c>
      <c r="C506" s="1">
        <f>Tabela7[[#This Row],[Alongamento (mm/mm)]]/$I$2</f>
        <v>7.5027999999999997E-2</v>
      </c>
      <c r="D506" s="2">
        <v>998.99</v>
      </c>
      <c r="E506" s="1">
        <f>Tabela7[[#This Row],[Força (N)]]/$I$5</f>
        <v>23471185.835385226</v>
      </c>
      <c r="F506" s="1">
        <f>Tabela7[[#This Row],[Tensão (Pa)]]/1000000</f>
        <v>23.471185835385224</v>
      </c>
    </row>
    <row r="507" spans="1:6" x14ac:dyDescent="0.3">
      <c r="A507" s="2">
        <v>45.283000000000001</v>
      </c>
      <c r="B507" s="2">
        <v>3.7665999999999999</v>
      </c>
      <c r="C507" s="1">
        <f>Tabela7[[#This Row],[Alongamento (mm/mm)]]/$I$2</f>
        <v>7.5331999999999996E-2</v>
      </c>
      <c r="D507" s="2">
        <v>1006.8</v>
      </c>
      <c r="E507" s="1">
        <f>Tabela7[[#This Row],[Força (N)]]/$I$5</f>
        <v>23654681.127004117</v>
      </c>
      <c r="F507" s="1">
        <f>Tabela7[[#This Row],[Tensão (Pa)]]/1000000</f>
        <v>23.654681127004118</v>
      </c>
    </row>
    <row r="508" spans="1:6" x14ac:dyDescent="0.3">
      <c r="A508" s="2">
        <v>45.466999999999999</v>
      </c>
      <c r="B508" s="2">
        <v>3.7818999999999998</v>
      </c>
      <c r="C508" s="1">
        <f>Tabela7[[#This Row],[Alongamento (mm/mm)]]/$I$2</f>
        <v>7.5637999999999997E-2</v>
      </c>
      <c r="D508" s="2">
        <v>1014.6</v>
      </c>
      <c r="E508" s="1">
        <f>Tabela7[[#This Row],[Força (N)]]/$I$5</f>
        <v>23837941.469466008</v>
      </c>
      <c r="F508" s="1">
        <f>Tabela7[[#This Row],[Tensão (Pa)]]/1000000</f>
        <v>23.83794146946601</v>
      </c>
    </row>
    <row r="509" spans="1:6" x14ac:dyDescent="0.3">
      <c r="A509" s="2">
        <v>45.65</v>
      </c>
      <c r="B509" s="2">
        <v>3.7972000000000001</v>
      </c>
      <c r="C509" s="1">
        <f>Tabela7[[#This Row],[Alongamento (mm/mm)]]/$I$2</f>
        <v>7.5943999999999998E-2</v>
      </c>
      <c r="D509" s="2">
        <v>1022.5</v>
      </c>
      <c r="E509" s="1">
        <f>Tabela7[[#This Row],[Força (N)]]/$I$5</f>
        <v>24023551.303497925</v>
      </c>
      <c r="F509" s="1">
        <f>Tabela7[[#This Row],[Tensão (Pa)]]/1000000</f>
        <v>24.023551303497925</v>
      </c>
    </row>
    <row r="510" spans="1:6" x14ac:dyDescent="0.3">
      <c r="A510" s="2">
        <v>45.85</v>
      </c>
      <c r="B510" s="2">
        <v>3.8138000000000001</v>
      </c>
      <c r="C510" s="1">
        <f>Tabela7[[#This Row],[Alongamento (mm/mm)]]/$I$2</f>
        <v>7.6275999999999997E-2</v>
      </c>
      <c r="D510" s="2">
        <v>1030.8</v>
      </c>
      <c r="E510" s="1">
        <f>Tabela7[[#This Row],[Força (N)]]/$I$5</f>
        <v>24218559.103809934</v>
      </c>
      <c r="F510" s="1">
        <f>Tabela7[[#This Row],[Tensão (Pa)]]/1000000</f>
        <v>24.218559103809934</v>
      </c>
    </row>
    <row r="511" spans="1:6" x14ac:dyDescent="0.3">
      <c r="A511" s="2">
        <v>46.05</v>
      </c>
      <c r="B511" s="2">
        <v>3.8304999999999998</v>
      </c>
      <c r="C511" s="1">
        <f>Tabela7[[#This Row],[Alongamento (mm/mm)]]/$I$2</f>
        <v>7.6609999999999998E-2</v>
      </c>
      <c r="D511" s="2">
        <v>1039.0999999999999</v>
      </c>
      <c r="E511" s="1">
        <f>Tabela7[[#This Row],[Força (N)]]/$I$5</f>
        <v>24413566.904121947</v>
      </c>
      <c r="F511" s="1">
        <f>Tabela7[[#This Row],[Tensão (Pa)]]/1000000</f>
        <v>24.413566904121947</v>
      </c>
    </row>
    <row r="512" spans="1:6" x14ac:dyDescent="0.3">
      <c r="A512" s="2">
        <v>46.232999999999997</v>
      </c>
      <c r="B512" s="2">
        <v>3.8458000000000001</v>
      </c>
      <c r="C512" s="1">
        <f>Tabela7[[#This Row],[Alongamento (mm/mm)]]/$I$2</f>
        <v>7.6915999999999998E-2</v>
      </c>
      <c r="D512" s="2">
        <v>1047</v>
      </c>
      <c r="E512" s="1">
        <f>Tabela7[[#This Row],[Força (N)]]/$I$5</f>
        <v>24599176.738153864</v>
      </c>
      <c r="F512" s="1">
        <f>Tabela7[[#This Row],[Tensão (Pa)]]/1000000</f>
        <v>24.599176738153865</v>
      </c>
    </row>
    <row r="513" spans="1:6" x14ac:dyDescent="0.3">
      <c r="A513" s="2">
        <v>46.433</v>
      </c>
      <c r="B513" s="2">
        <v>3.8624000000000001</v>
      </c>
      <c r="C513" s="1">
        <f>Tabela7[[#This Row],[Alongamento (mm/mm)]]/$I$2</f>
        <v>7.7247999999999997E-2</v>
      </c>
      <c r="D513" s="2">
        <v>1055.5</v>
      </c>
      <c r="E513" s="1">
        <f>Tabela7[[#This Row],[Força (N)]]/$I$5</f>
        <v>24798883.521605927</v>
      </c>
      <c r="F513" s="1">
        <f>Tabela7[[#This Row],[Tensão (Pa)]]/1000000</f>
        <v>24.798883521605926</v>
      </c>
    </row>
    <row r="514" spans="1:6" x14ac:dyDescent="0.3">
      <c r="A514" s="2">
        <v>46.633000000000003</v>
      </c>
      <c r="B514" s="2">
        <v>3.879</v>
      </c>
      <c r="C514" s="1">
        <f>Tabela7[[#This Row],[Alongamento (mm/mm)]]/$I$2</f>
        <v>7.7579999999999996E-2</v>
      </c>
      <c r="D514" s="2">
        <v>1064</v>
      </c>
      <c r="E514" s="1">
        <f>Tabela7[[#This Row],[Força (N)]]/$I$5</f>
        <v>24998590.305057988</v>
      </c>
      <c r="F514" s="1">
        <f>Tabela7[[#This Row],[Tensão (Pa)]]/1000000</f>
        <v>24.998590305057988</v>
      </c>
    </row>
    <row r="515" spans="1:6" x14ac:dyDescent="0.3">
      <c r="A515" s="2">
        <v>46.832999999999998</v>
      </c>
      <c r="B515" s="2">
        <v>3.8957999999999999</v>
      </c>
      <c r="C515" s="1">
        <f>Tabela7[[#This Row],[Alongamento (mm/mm)]]/$I$2</f>
        <v>7.7915999999999999E-2</v>
      </c>
      <c r="D515" s="2">
        <v>1072.5</v>
      </c>
      <c r="E515" s="1">
        <f>Tabela7[[#This Row],[Força (N)]]/$I$5</f>
        <v>25198297.088510048</v>
      </c>
      <c r="F515" s="1">
        <f>Tabela7[[#This Row],[Tensão (Pa)]]/1000000</f>
        <v>25.198297088510049</v>
      </c>
    </row>
    <row r="516" spans="1:6" x14ac:dyDescent="0.3">
      <c r="A516" s="2">
        <v>47.033000000000001</v>
      </c>
      <c r="B516" s="2">
        <v>3.9123999999999999</v>
      </c>
      <c r="C516" s="1">
        <f>Tabela7[[#This Row],[Alongamento (mm/mm)]]/$I$2</f>
        <v>7.8247999999999998E-2</v>
      </c>
      <c r="D516" s="2">
        <v>1081</v>
      </c>
      <c r="E516" s="1">
        <f>Tabela7[[#This Row],[Força (N)]]/$I$5</f>
        <v>25398003.871962108</v>
      </c>
      <c r="F516" s="1">
        <f>Tabela7[[#This Row],[Tensão (Pa)]]/1000000</f>
        <v>25.398003871962107</v>
      </c>
    </row>
    <row r="517" spans="1:6" x14ac:dyDescent="0.3">
      <c r="A517" s="2">
        <v>47.232999999999997</v>
      </c>
      <c r="B517" s="2">
        <v>3.9291</v>
      </c>
      <c r="C517" s="1">
        <f>Tabela7[[#This Row],[Alongamento (mm/mm)]]/$I$2</f>
        <v>7.8581999999999999E-2</v>
      </c>
      <c r="D517" s="2">
        <v>1089.5</v>
      </c>
      <c r="E517" s="1">
        <f>Tabela7[[#This Row],[Força (N)]]/$I$5</f>
        <v>25597710.655414172</v>
      </c>
      <c r="F517" s="1">
        <f>Tabela7[[#This Row],[Tensão (Pa)]]/1000000</f>
        <v>25.597710655414172</v>
      </c>
    </row>
    <row r="518" spans="1:6" x14ac:dyDescent="0.3">
      <c r="A518" s="2">
        <v>47.433</v>
      </c>
      <c r="B518" s="2">
        <v>3.9457</v>
      </c>
      <c r="C518" s="1">
        <f>Tabela7[[#This Row],[Alongamento (mm/mm)]]/$I$2</f>
        <v>7.8913999999999998E-2</v>
      </c>
      <c r="D518" s="2">
        <v>1098.5</v>
      </c>
      <c r="E518" s="1">
        <f>Tabela7[[#This Row],[Força (N)]]/$I$5</f>
        <v>25809164.896716353</v>
      </c>
      <c r="F518" s="1">
        <f>Tabela7[[#This Row],[Tensão (Pa)]]/1000000</f>
        <v>25.809164896716354</v>
      </c>
    </row>
    <row r="519" spans="1:6" x14ac:dyDescent="0.3">
      <c r="A519" s="2">
        <v>47.633000000000003</v>
      </c>
      <c r="B519" s="2">
        <v>3.9624000000000001</v>
      </c>
      <c r="C519" s="1">
        <f>Tabela7[[#This Row],[Alongamento (mm/mm)]]/$I$2</f>
        <v>7.9247999999999999E-2</v>
      </c>
      <c r="D519" s="2">
        <v>1107.2</v>
      </c>
      <c r="E519" s="1">
        <f>Tabela7[[#This Row],[Força (N)]]/$I$5</f>
        <v>26013570.663308464</v>
      </c>
      <c r="F519" s="1">
        <f>Tabela7[[#This Row],[Tensão (Pa)]]/1000000</f>
        <v>26.013570663308464</v>
      </c>
    </row>
    <row r="520" spans="1:6" x14ac:dyDescent="0.3">
      <c r="A520" s="2">
        <v>47.832999999999998</v>
      </c>
      <c r="B520" s="2">
        <v>3.9792000000000001</v>
      </c>
      <c r="C520" s="1">
        <f>Tabela7[[#This Row],[Alongamento (mm/mm)]]/$I$2</f>
        <v>7.9584000000000002E-2</v>
      </c>
      <c r="D520" s="2">
        <v>1115.8</v>
      </c>
      <c r="E520" s="1">
        <f>Tabela7[[#This Row],[Força (N)]]/$I$5</f>
        <v>26215626.938330546</v>
      </c>
      <c r="F520" s="1">
        <f>Tabela7[[#This Row],[Tensão (Pa)]]/1000000</f>
        <v>26.215626938330544</v>
      </c>
    </row>
    <row r="521" spans="1:6" x14ac:dyDescent="0.3">
      <c r="A521" s="2">
        <v>48.033000000000001</v>
      </c>
      <c r="B521" s="2">
        <v>3.9958</v>
      </c>
      <c r="C521" s="1">
        <f>Tabela7[[#This Row],[Alongamento (mm/mm)]]/$I$2</f>
        <v>7.9916000000000001E-2</v>
      </c>
      <c r="D521" s="2">
        <v>1124.7</v>
      </c>
      <c r="E521" s="1">
        <f>Tabela7[[#This Row],[Força (N)]]/$I$5</f>
        <v>26424731.688062705</v>
      </c>
      <c r="F521" s="1">
        <f>Tabela7[[#This Row],[Tensão (Pa)]]/1000000</f>
        <v>26.424731688062707</v>
      </c>
    </row>
    <row r="522" spans="1:6" x14ac:dyDescent="0.3">
      <c r="A522" s="2">
        <v>48.232999999999997</v>
      </c>
      <c r="B522" s="2">
        <v>4.0124000000000004</v>
      </c>
      <c r="C522" s="1">
        <f>Tabela7[[#This Row],[Alongamento (mm/mm)]]/$I$2</f>
        <v>8.0248000000000014E-2</v>
      </c>
      <c r="D522" s="2">
        <v>1133.9000000000001</v>
      </c>
      <c r="E522" s="1">
        <f>Tabela7[[#This Row],[Força (N)]]/$I$5</f>
        <v>26640884.912504937</v>
      </c>
      <c r="F522" s="1">
        <f>Tabela7[[#This Row],[Tensão (Pa)]]/1000000</f>
        <v>26.640884912504937</v>
      </c>
    </row>
    <row r="523" spans="1:6" x14ac:dyDescent="0.3">
      <c r="A523" s="2">
        <v>48.433</v>
      </c>
      <c r="B523" s="2">
        <v>4.0289999999999999</v>
      </c>
      <c r="C523" s="1">
        <f>Tabela7[[#This Row],[Alongamento (mm/mm)]]/$I$2</f>
        <v>8.0579999999999999E-2</v>
      </c>
      <c r="D523" s="2">
        <v>1142.7</v>
      </c>
      <c r="E523" s="1">
        <f>Tabela7[[#This Row],[Força (N)]]/$I$5</f>
        <v>26847640.170667071</v>
      </c>
      <c r="F523" s="1">
        <f>Tabela7[[#This Row],[Tensão (Pa)]]/1000000</f>
        <v>26.84764017066707</v>
      </c>
    </row>
    <row r="524" spans="1:6" x14ac:dyDescent="0.3">
      <c r="A524" s="2">
        <v>48.633000000000003</v>
      </c>
      <c r="B524" s="2">
        <v>4.0457999999999998</v>
      </c>
      <c r="C524" s="1">
        <f>Tabela7[[#This Row],[Alongamento (mm/mm)]]/$I$2</f>
        <v>8.0916000000000002E-2</v>
      </c>
      <c r="D524" s="2">
        <v>1151.7</v>
      </c>
      <c r="E524" s="1">
        <f>Tabela7[[#This Row],[Força (N)]]/$I$5</f>
        <v>27059094.411969252</v>
      </c>
      <c r="F524" s="1">
        <f>Tabela7[[#This Row],[Tensão (Pa)]]/1000000</f>
        <v>27.059094411969252</v>
      </c>
    </row>
    <row r="525" spans="1:6" x14ac:dyDescent="0.3">
      <c r="A525" s="2">
        <v>48.832999999999998</v>
      </c>
      <c r="B525" s="2">
        <v>4.0624000000000002</v>
      </c>
      <c r="C525" s="1">
        <f>Tabela7[[#This Row],[Alongamento (mm/mm)]]/$I$2</f>
        <v>8.1248000000000001E-2</v>
      </c>
      <c r="D525" s="2">
        <v>1160.5999999999999</v>
      </c>
      <c r="E525" s="1">
        <f>Tabela7[[#This Row],[Força (N)]]/$I$5</f>
        <v>27268199.161701407</v>
      </c>
      <c r="F525" s="1">
        <f>Tabela7[[#This Row],[Tensão (Pa)]]/1000000</f>
        <v>27.268199161701407</v>
      </c>
    </row>
    <row r="526" spans="1:6" x14ac:dyDescent="0.3">
      <c r="A526" s="2">
        <v>49.033000000000001</v>
      </c>
      <c r="B526" s="2">
        <v>4.0791000000000004</v>
      </c>
      <c r="C526" s="1">
        <f>Tabela7[[#This Row],[Alongamento (mm/mm)]]/$I$2</f>
        <v>8.1582000000000002E-2</v>
      </c>
      <c r="D526" s="2">
        <v>1169.5999999999999</v>
      </c>
      <c r="E526" s="1">
        <f>Tabela7[[#This Row],[Força (N)]]/$I$5</f>
        <v>27479653.403003588</v>
      </c>
      <c r="F526" s="1">
        <f>Tabela7[[#This Row],[Tensão (Pa)]]/1000000</f>
        <v>27.479653403003589</v>
      </c>
    </row>
    <row r="527" spans="1:6" x14ac:dyDescent="0.3">
      <c r="A527" s="2">
        <v>49.232999999999997</v>
      </c>
      <c r="B527" s="2">
        <v>4.0957999999999997</v>
      </c>
      <c r="C527" s="1">
        <f>Tabela7[[#This Row],[Alongamento (mm/mm)]]/$I$2</f>
        <v>8.1915999999999989E-2</v>
      </c>
      <c r="D527" s="2">
        <v>1178.4000000000001</v>
      </c>
      <c r="E527" s="1">
        <f>Tabela7[[#This Row],[Força (N)]]/$I$5</f>
        <v>27686408.661165729</v>
      </c>
      <c r="F527" s="1">
        <f>Tabela7[[#This Row],[Tensão (Pa)]]/1000000</f>
        <v>27.686408661165729</v>
      </c>
    </row>
    <row r="528" spans="1:6" x14ac:dyDescent="0.3">
      <c r="A528" s="2">
        <v>49.45</v>
      </c>
      <c r="B528" s="2">
        <v>4.1138000000000003</v>
      </c>
      <c r="C528" s="1">
        <f>Tabela7[[#This Row],[Alongamento (mm/mm)]]/$I$2</f>
        <v>8.2276000000000002E-2</v>
      </c>
      <c r="D528" s="2">
        <v>1188.3</v>
      </c>
      <c r="E528" s="1">
        <f>Tabela7[[#This Row],[Força (N)]]/$I$5</f>
        <v>27919008.326598126</v>
      </c>
      <c r="F528" s="1">
        <f>Tabela7[[#This Row],[Tensão (Pa)]]/1000000</f>
        <v>27.919008326598128</v>
      </c>
    </row>
    <row r="529" spans="1:6" x14ac:dyDescent="0.3">
      <c r="A529" s="2">
        <v>49.667000000000002</v>
      </c>
      <c r="B529" s="2">
        <v>4.1318000000000001</v>
      </c>
      <c r="C529" s="1">
        <f>Tabela7[[#This Row],[Alongamento (mm/mm)]]/$I$2</f>
        <v>8.2636000000000001E-2</v>
      </c>
      <c r="D529" s="2">
        <v>1198</v>
      </c>
      <c r="E529" s="1">
        <f>Tabela7[[#This Row],[Força (N)]]/$I$5</f>
        <v>28146909.008890476</v>
      </c>
      <c r="F529" s="1">
        <f>Tabela7[[#This Row],[Tensão (Pa)]]/1000000</f>
        <v>28.146909008890475</v>
      </c>
    </row>
    <row r="530" spans="1:6" x14ac:dyDescent="0.3">
      <c r="A530" s="2">
        <v>49.883000000000003</v>
      </c>
      <c r="B530" s="2">
        <v>4.1498999999999997</v>
      </c>
      <c r="C530" s="1">
        <f>Tabela7[[#This Row],[Alongamento (mm/mm)]]/$I$2</f>
        <v>8.2997999999999988E-2</v>
      </c>
      <c r="D530" s="2">
        <v>1207.9000000000001</v>
      </c>
      <c r="E530" s="1">
        <f>Tabela7[[#This Row],[Força (N)]]/$I$5</f>
        <v>28379508.674322881</v>
      </c>
      <c r="F530" s="1">
        <f>Tabela7[[#This Row],[Tensão (Pa)]]/1000000</f>
        <v>28.379508674322881</v>
      </c>
    </row>
    <row r="531" spans="1:6" x14ac:dyDescent="0.3">
      <c r="A531" s="2">
        <v>50.1</v>
      </c>
      <c r="B531" s="2">
        <v>4.1680000000000001</v>
      </c>
      <c r="C531" s="1">
        <f>Tabela7[[#This Row],[Alongamento (mm/mm)]]/$I$2</f>
        <v>8.3360000000000004E-2</v>
      </c>
      <c r="D531" s="2">
        <v>1217.4000000000001</v>
      </c>
      <c r="E531" s="1">
        <f>Tabela7[[#This Row],[Força (N)]]/$I$5</f>
        <v>28602710.373475183</v>
      </c>
      <c r="F531" s="1">
        <f>Tabela7[[#This Row],[Tensão (Pa)]]/1000000</f>
        <v>28.602710373475183</v>
      </c>
    </row>
    <row r="532" spans="1:6" x14ac:dyDescent="0.3">
      <c r="A532" s="2">
        <v>50.317</v>
      </c>
      <c r="B532" s="2">
        <v>4.1859999999999999</v>
      </c>
      <c r="C532" s="1">
        <f>Tabela7[[#This Row],[Alongamento (mm/mm)]]/$I$2</f>
        <v>8.3720000000000003E-2</v>
      </c>
      <c r="D532" s="2">
        <v>1227.0999999999999</v>
      </c>
      <c r="E532" s="1">
        <f>Tabela7[[#This Row],[Força (N)]]/$I$5</f>
        <v>28830611.055767532</v>
      </c>
      <c r="F532" s="1">
        <f>Tabela7[[#This Row],[Tensão (Pa)]]/1000000</f>
        <v>28.830611055767534</v>
      </c>
    </row>
    <row r="533" spans="1:6" x14ac:dyDescent="0.3">
      <c r="A533" s="2">
        <v>50.533000000000001</v>
      </c>
      <c r="B533" s="2">
        <v>4.2041000000000004</v>
      </c>
      <c r="C533" s="1">
        <f>Tabela7[[#This Row],[Alongamento (mm/mm)]]/$I$2</f>
        <v>8.4082000000000004E-2</v>
      </c>
      <c r="D533" s="2">
        <v>1236.5999999999999</v>
      </c>
      <c r="E533" s="1">
        <f>Tabela7[[#This Row],[Força (N)]]/$I$5</f>
        <v>29053812.754919834</v>
      </c>
      <c r="F533" s="1">
        <f>Tabela7[[#This Row],[Tensão (Pa)]]/1000000</f>
        <v>29.053812754919836</v>
      </c>
    </row>
    <row r="534" spans="1:6" x14ac:dyDescent="0.3">
      <c r="A534" s="2">
        <v>50.75</v>
      </c>
      <c r="B534" s="2">
        <v>4.2222</v>
      </c>
      <c r="C534" s="1">
        <f>Tabela7[[#This Row],[Alongamento (mm/mm)]]/$I$2</f>
        <v>8.4444000000000005E-2</v>
      </c>
      <c r="D534" s="2">
        <v>1246.3</v>
      </c>
      <c r="E534" s="1">
        <f>Tabela7[[#This Row],[Força (N)]]/$I$5</f>
        <v>29281713.437212188</v>
      </c>
      <c r="F534" s="1">
        <f>Tabela7[[#This Row],[Tensão (Pa)]]/1000000</f>
        <v>29.281713437212186</v>
      </c>
    </row>
    <row r="535" spans="1:6" x14ac:dyDescent="0.3">
      <c r="A535" s="2">
        <v>50.966999999999999</v>
      </c>
      <c r="B535" s="2">
        <v>4.2401</v>
      </c>
      <c r="C535" s="1">
        <f>Tabela7[[#This Row],[Alongamento (mm/mm)]]/$I$2</f>
        <v>8.4802000000000002E-2</v>
      </c>
      <c r="D535" s="2">
        <v>1255.8</v>
      </c>
      <c r="E535" s="1">
        <f>Tabela7[[#This Row],[Força (N)]]/$I$5</f>
        <v>29504915.13636449</v>
      </c>
      <c r="F535" s="1">
        <f>Tabela7[[#This Row],[Tensão (Pa)]]/1000000</f>
        <v>29.504915136364488</v>
      </c>
    </row>
    <row r="536" spans="1:6" x14ac:dyDescent="0.3">
      <c r="A536" s="2">
        <v>51.183</v>
      </c>
      <c r="B536" s="2">
        <v>4.2582000000000004</v>
      </c>
      <c r="C536" s="1">
        <f>Tabela7[[#This Row],[Alongamento (mm/mm)]]/$I$2</f>
        <v>8.5164000000000004E-2</v>
      </c>
      <c r="D536" s="2">
        <v>1265.5</v>
      </c>
      <c r="E536" s="1">
        <f>Tabela7[[#This Row],[Força (N)]]/$I$5</f>
        <v>29732815.818656843</v>
      </c>
      <c r="F536" s="1">
        <f>Tabela7[[#This Row],[Tensão (Pa)]]/1000000</f>
        <v>29.732815818656842</v>
      </c>
    </row>
    <row r="537" spans="1:6" x14ac:dyDescent="0.3">
      <c r="A537" s="2">
        <v>51.417000000000002</v>
      </c>
      <c r="B537" s="2">
        <v>4.2777000000000003</v>
      </c>
      <c r="C537" s="1">
        <f>Tabela7[[#This Row],[Alongamento (mm/mm)]]/$I$2</f>
        <v>8.5554000000000005E-2</v>
      </c>
      <c r="D537" s="2">
        <v>1275.9000000000001</v>
      </c>
      <c r="E537" s="1">
        <f>Tabela7[[#This Row],[Força (N)]]/$I$5</f>
        <v>29977162.941939369</v>
      </c>
      <c r="F537" s="1">
        <f>Tabela7[[#This Row],[Tensão (Pa)]]/1000000</f>
        <v>29.977162941939369</v>
      </c>
    </row>
    <row r="538" spans="1:6" x14ac:dyDescent="0.3">
      <c r="A538" s="2">
        <v>51.65</v>
      </c>
      <c r="B538" s="2">
        <v>4.2971000000000004</v>
      </c>
      <c r="C538" s="1">
        <f>Tabela7[[#This Row],[Alongamento (mm/mm)]]/$I$2</f>
        <v>8.5942000000000005E-2</v>
      </c>
      <c r="D538" s="2">
        <v>1286.3</v>
      </c>
      <c r="E538" s="1">
        <f>Tabela7[[#This Row],[Força (N)]]/$I$5</f>
        <v>30221510.065221887</v>
      </c>
      <c r="F538" s="1">
        <f>Tabela7[[#This Row],[Tensão (Pa)]]/1000000</f>
        <v>30.221510065221889</v>
      </c>
    </row>
    <row r="539" spans="1:6" x14ac:dyDescent="0.3">
      <c r="A539" s="2">
        <v>51.883000000000003</v>
      </c>
      <c r="B539" s="2">
        <v>4.3166000000000002</v>
      </c>
      <c r="C539" s="1">
        <f>Tabela7[[#This Row],[Alongamento (mm/mm)]]/$I$2</f>
        <v>8.6332000000000006E-2</v>
      </c>
      <c r="D539" s="2">
        <v>1296.7</v>
      </c>
      <c r="E539" s="1">
        <f>Tabela7[[#This Row],[Força (N)]]/$I$5</f>
        <v>30465857.188504409</v>
      </c>
      <c r="F539" s="1">
        <f>Tabela7[[#This Row],[Tensão (Pa)]]/1000000</f>
        <v>30.465857188504408</v>
      </c>
    </row>
    <row r="540" spans="1:6" x14ac:dyDescent="0.3">
      <c r="A540" s="2">
        <v>52.116999999999997</v>
      </c>
      <c r="B540" s="2">
        <v>4.3360000000000003</v>
      </c>
      <c r="C540" s="1">
        <f>Tabela7[[#This Row],[Alongamento (mm/mm)]]/$I$2</f>
        <v>8.6720000000000005E-2</v>
      </c>
      <c r="D540" s="2">
        <v>1307</v>
      </c>
      <c r="E540" s="1">
        <f>Tabela7[[#This Row],[Força (N)]]/$I$5</f>
        <v>30707854.820216905</v>
      </c>
      <c r="F540" s="1">
        <f>Tabela7[[#This Row],[Tensão (Pa)]]/1000000</f>
        <v>30.707854820216905</v>
      </c>
    </row>
    <row r="541" spans="1:6" x14ac:dyDescent="0.3">
      <c r="A541" s="2">
        <v>52.35</v>
      </c>
      <c r="B541" s="2">
        <v>4.3555000000000001</v>
      </c>
      <c r="C541" s="1">
        <f>Tabela7[[#This Row],[Alongamento (mm/mm)]]/$I$2</f>
        <v>8.7110000000000007E-2</v>
      </c>
      <c r="D541" s="2">
        <v>1317.4</v>
      </c>
      <c r="E541" s="1">
        <f>Tabela7[[#This Row],[Força (N)]]/$I$5</f>
        <v>30952201.943499431</v>
      </c>
      <c r="F541" s="1">
        <f>Tabela7[[#This Row],[Tensão (Pa)]]/1000000</f>
        <v>30.952201943499432</v>
      </c>
    </row>
    <row r="542" spans="1:6" x14ac:dyDescent="0.3">
      <c r="A542" s="2">
        <v>52.582999999999998</v>
      </c>
      <c r="B542" s="2">
        <v>4.3749000000000002</v>
      </c>
      <c r="C542" s="1">
        <f>Tabela7[[#This Row],[Alongamento (mm/mm)]]/$I$2</f>
        <v>8.7498000000000006E-2</v>
      </c>
      <c r="D542" s="2">
        <v>1327.8</v>
      </c>
      <c r="E542" s="1">
        <f>Tabela7[[#This Row],[Força (N)]]/$I$5</f>
        <v>31196549.066781949</v>
      </c>
      <c r="F542" s="1">
        <f>Tabela7[[#This Row],[Tensão (Pa)]]/1000000</f>
        <v>31.196549066781948</v>
      </c>
    </row>
    <row r="543" spans="1:6" x14ac:dyDescent="0.3">
      <c r="A543" s="2">
        <v>52.817</v>
      </c>
      <c r="B543" s="2">
        <v>4.3944000000000001</v>
      </c>
      <c r="C543" s="1">
        <f>Tabela7[[#This Row],[Alongamento (mm/mm)]]/$I$2</f>
        <v>8.7888000000000008E-2</v>
      </c>
      <c r="D543" s="2">
        <v>1338</v>
      </c>
      <c r="E543" s="1">
        <f>Tabela7[[#This Row],[Força (N)]]/$I$5</f>
        <v>31436197.206924424</v>
      </c>
      <c r="F543" s="1">
        <f>Tabela7[[#This Row],[Tensão (Pa)]]/1000000</f>
        <v>31.436197206924422</v>
      </c>
    </row>
    <row r="544" spans="1:6" x14ac:dyDescent="0.3">
      <c r="A544" s="2">
        <v>53.05</v>
      </c>
      <c r="B544" s="2">
        <v>4.4138000000000002</v>
      </c>
      <c r="C544" s="1">
        <f>Tabela7[[#This Row],[Alongamento (mm/mm)]]/$I$2</f>
        <v>8.8276000000000007E-2</v>
      </c>
      <c r="D544" s="2">
        <v>1348.2</v>
      </c>
      <c r="E544" s="1">
        <f>Tabela7[[#This Row],[Força (N)]]/$I$5</f>
        <v>31675845.347066898</v>
      </c>
      <c r="F544" s="1">
        <f>Tabela7[[#This Row],[Tensão (Pa)]]/1000000</f>
        <v>31.675845347066897</v>
      </c>
    </row>
    <row r="545" spans="1:6" x14ac:dyDescent="0.3">
      <c r="A545" s="2">
        <v>53.283000000000001</v>
      </c>
      <c r="B545" s="2">
        <v>4.4333</v>
      </c>
      <c r="C545" s="1">
        <f>Tabela7[[#This Row],[Alongamento (mm/mm)]]/$I$2</f>
        <v>8.8665999999999995E-2</v>
      </c>
      <c r="D545" s="2">
        <v>1358.7</v>
      </c>
      <c r="E545" s="1">
        <f>Tabela7[[#This Row],[Força (N)]]/$I$5</f>
        <v>31922541.961919442</v>
      </c>
      <c r="F545" s="1">
        <f>Tabela7[[#This Row],[Tensão (Pa)]]/1000000</f>
        <v>31.922541961919443</v>
      </c>
    </row>
    <row r="546" spans="1:6" x14ac:dyDescent="0.3">
      <c r="A546" s="2">
        <v>53.517000000000003</v>
      </c>
      <c r="B546" s="2">
        <v>4.4527000000000001</v>
      </c>
      <c r="C546" s="1">
        <f>Tabela7[[#This Row],[Alongamento (mm/mm)]]/$I$2</f>
        <v>8.9054000000000008E-2</v>
      </c>
      <c r="D546" s="2">
        <v>1369.3</v>
      </c>
      <c r="E546" s="1">
        <f>Tabela7[[#This Row],[Força (N)]]/$I$5</f>
        <v>32171588.068342011</v>
      </c>
      <c r="F546" s="1">
        <f>Tabela7[[#This Row],[Tensão (Pa)]]/1000000</f>
        <v>32.171588068342011</v>
      </c>
    </row>
    <row r="547" spans="1:6" x14ac:dyDescent="0.3">
      <c r="A547" s="2">
        <v>53.767000000000003</v>
      </c>
      <c r="B547" s="2">
        <v>4.4734999999999996</v>
      </c>
      <c r="C547" s="1">
        <f>Tabela7[[#This Row],[Alongamento (mm/mm)]]/$I$2</f>
        <v>8.9469999999999994E-2</v>
      </c>
      <c r="D547" s="2">
        <v>1380.4</v>
      </c>
      <c r="E547" s="1">
        <f>Tabela7[[#This Row],[Força (N)]]/$I$5</f>
        <v>32432381.632614706</v>
      </c>
      <c r="F547" s="1">
        <f>Tabela7[[#This Row],[Tensão (Pa)]]/1000000</f>
        <v>32.432381632614707</v>
      </c>
    </row>
    <row r="548" spans="1:6" x14ac:dyDescent="0.3">
      <c r="A548" s="2">
        <v>54</v>
      </c>
      <c r="B548" s="2">
        <v>4.4930000000000003</v>
      </c>
      <c r="C548" s="1">
        <f>Tabela7[[#This Row],[Alongamento (mm/mm)]]/$I$2</f>
        <v>8.9860000000000009E-2</v>
      </c>
      <c r="D548" s="2">
        <v>1390.9</v>
      </c>
      <c r="E548" s="1">
        <f>Tabela7[[#This Row],[Força (N)]]/$I$5</f>
        <v>32679078.247467253</v>
      </c>
      <c r="F548" s="1">
        <f>Tabela7[[#This Row],[Tensão (Pa)]]/1000000</f>
        <v>32.679078247467253</v>
      </c>
    </row>
    <row r="549" spans="1:6" x14ac:dyDescent="0.3">
      <c r="A549" s="2">
        <v>54.232999999999997</v>
      </c>
      <c r="B549" s="2">
        <v>4.5125000000000002</v>
      </c>
      <c r="C549" s="1">
        <f>Tabela7[[#This Row],[Alongamento (mm/mm)]]/$I$2</f>
        <v>9.0249999999999997E-2</v>
      </c>
      <c r="D549" s="2">
        <v>1401.4</v>
      </c>
      <c r="E549" s="1">
        <f>Tabela7[[#This Row],[Força (N)]]/$I$5</f>
        <v>32925774.862319797</v>
      </c>
      <c r="F549" s="1">
        <f>Tabela7[[#This Row],[Tensão (Pa)]]/1000000</f>
        <v>32.925774862319798</v>
      </c>
    </row>
    <row r="550" spans="1:6" x14ac:dyDescent="0.3">
      <c r="A550" s="2">
        <v>54.482999999999997</v>
      </c>
      <c r="B550" s="2">
        <v>4.5332999999999997</v>
      </c>
      <c r="C550" s="1">
        <f>Tabela7[[#This Row],[Alongamento (mm/mm)]]/$I$2</f>
        <v>9.0665999999999997E-2</v>
      </c>
      <c r="D550" s="2">
        <v>1412.8</v>
      </c>
      <c r="E550" s="1">
        <f>Tabela7[[#This Row],[Força (N)]]/$I$5</f>
        <v>33193616.901302557</v>
      </c>
      <c r="F550" s="1">
        <f>Tabela7[[#This Row],[Tensão (Pa)]]/1000000</f>
        <v>33.193616901302555</v>
      </c>
    </row>
    <row r="551" spans="1:6" x14ac:dyDescent="0.3">
      <c r="A551" s="2">
        <v>54.732999999999997</v>
      </c>
      <c r="B551" s="2">
        <v>4.5541999999999998</v>
      </c>
      <c r="C551" s="1">
        <f>Tabela7[[#This Row],[Alongamento (mm/mm)]]/$I$2</f>
        <v>9.1083999999999998E-2</v>
      </c>
      <c r="D551" s="2">
        <v>1424.4</v>
      </c>
      <c r="E551" s="1">
        <f>Tabela7[[#This Row],[Força (N)]]/$I$5</f>
        <v>33466157.923425376</v>
      </c>
      <c r="F551" s="1">
        <f>Tabela7[[#This Row],[Tensão (Pa)]]/1000000</f>
        <v>33.466157923425378</v>
      </c>
    </row>
    <row r="552" spans="1:6" x14ac:dyDescent="0.3">
      <c r="A552" s="2">
        <v>54.982999999999997</v>
      </c>
      <c r="B552" s="2">
        <v>4.5749000000000004</v>
      </c>
      <c r="C552" s="1">
        <f>Tabela7[[#This Row],[Alongamento (mm/mm)]]/$I$2</f>
        <v>9.149800000000001E-2</v>
      </c>
      <c r="D552" s="2">
        <v>1435.8</v>
      </c>
      <c r="E552" s="1">
        <f>Tabela7[[#This Row],[Força (N)]]/$I$5</f>
        <v>33733999.962408133</v>
      </c>
      <c r="F552" s="1">
        <f>Tabela7[[#This Row],[Tensão (Pa)]]/1000000</f>
        <v>33.733999962408134</v>
      </c>
    </row>
    <row r="553" spans="1:6" x14ac:dyDescent="0.3">
      <c r="A553" s="2">
        <v>55.216999999999999</v>
      </c>
      <c r="B553" s="2">
        <v>4.5945</v>
      </c>
      <c r="C553" s="1">
        <f>Tabela7[[#This Row],[Alongamento (mm/mm)]]/$I$2</f>
        <v>9.1889999999999999E-2</v>
      </c>
      <c r="D553" s="2">
        <v>1446.7</v>
      </c>
      <c r="E553" s="1">
        <f>Tabela7[[#This Row],[Força (N)]]/$I$5</f>
        <v>33990094.543540783</v>
      </c>
      <c r="F553" s="1">
        <f>Tabela7[[#This Row],[Tensão (Pa)]]/1000000</f>
        <v>33.990094543540785</v>
      </c>
    </row>
    <row r="554" spans="1:6" x14ac:dyDescent="0.3">
      <c r="A554" s="2">
        <v>55.466999999999999</v>
      </c>
      <c r="B554" s="2">
        <v>4.6151999999999997</v>
      </c>
      <c r="C554" s="1">
        <f>Tabela7[[#This Row],[Alongamento (mm/mm)]]/$I$2</f>
        <v>9.2303999999999997E-2</v>
      </c>
      <c r="D554" s="2">
        <v>1458.3</v>
      </c>
      <c r="E554" s="1">
        <f>Tabela7[[#This Row],[Força (N)]]/$I$5</f>
        <v>34262635.565663591</v>
      </c>
      <c r="F554" s="1">
        <f>Tabela7[[#This Row],[Tensão (Pa)]]/1000000</f>
        <v>34.262635565663594</v>
      </c>
    </row>
    <row r="555" spans="1:6" x14ac:dyDescent="0.3">
      <c r="A555" s="2">
        <v>55.716999999999999</v>
      </c>
      <c r="B555" s="2">
        <v>4.6360999999999999</v>
      </c>
      <c r="C555" s="1">
        <f>Tabela7[[#This Row],[Alongamento (mm/mm)]]/$I$2</f>
        <v>9.2721999999999999E-2</v>
      </c>
      <c r="D555" s="2">
        <v>1469.7</v>
      </c>
      <c r="E555" s="1">
        <f>Tabela7[[#This Row],[Força (N)]]/$I$5</f>
        <v>34530477.604646355</v>
      </c>
      <c r="F555" s="1">
        <f>Tabela7[[#This Row],[Tensão (Pa)]]/1000000</f>
        <v>34.530477604646357</v>
      </c>
    </row>
    <row r="556" spans="1:6" x14ac:dyDescent="0.3">
      <c r="A556" s="2">
        <v>55.966999999999999</v>
      </c>
      <c r="B556" s="2">
        <v>4.6569000000000003</v>
      </c>
      <c r="C556" s="1">
        <f>Tabela7[[#This Row],[Alongamento (mm/mm)]]/$I$2</f>
        <v>9.3137999999999999E-2</v>
      </c>
      <c r="D556" s="2">
        <v>1480.9</v>
      </c>
      <c r="E556" s="1">
        <f>Tabela7[[#This Row],[Força (N)]]/$I$5</f>
        <v>34793620.660489075</v>
      </c>
      <c r="F556" s="1">
        <f>Tabela7[[#This Row],[Tensão (Pa)]]/1000000</f>
        <v>34.793620660489076</v>
      </c>
    </row>
    <row r="557" spans="1:6" x14ac:dyDescent="0.3">
      <c r="A557" s="2">
        <v>56.232999999999997</v>
      </c>
      <c r="B557" s="2">
        <v>4.6791</v>
      </c>
      <c r="C557" s="1">
        <f>Tabela7[[#This Row],[Alongamento (mm/mm)]]/$I$2</f>
        <v>9.3581999999999999E-2</v>
      </c>
      <c r="D557" s="2">
        <v>1492.6</v>
      </c>
      <c r="E557" s="1">
        <f>Tabela7[[#This Row],[Força (N)]]/$I$5</f>
        <v>35068511.174181908</v>
      </c>
      <c r="F557" s="1">
        <f>Tabela7[[#This Row],[Tensão (Pa)]]/1000000</f>
        <v>35.068511174181907</v>
      </c>
    </row>
    <row r="558" spans="1:6" x14ac:dyDescent="0.3">
      <c r="A558" s="2">
        <v>56.5</v>
      </c>
      <c r="B558" s="2">
        <v>4.7012999999999998</v>
      </c>
      <c r="C558" s="1">
        <f>Tabela7[[#This Row],[Alongamento (mm/mm)]]/$I$2</f>
        <v>9.4025999999999998E-2</v>
      </c>
      <c r="D558" s="2">
        <v>1504.4</v>
      </c>
      <c r="E558" s="1">
        <f>Tabela7[[#This Row],[Força (N)]]/$I$5</f>
        <v>35345751.179444775</v>
      </c>
      <c r="F558" s="1">
        <f>Tabela7[[#This Row],[Tensão (Pa)]]/1000000</f>
        <v>35.345751179444775</v>
      </c>
    </row>
    <row r="559" spans="1:6" x14ac:dyDescent="0.3">
      <c r="A559" s="2">
        <v>56.767000000000003</v>
      </c>
      <c r="B559" s="2">
        <v>4.7234999999999996</v>
      </c>
      <c r="C559" s="1">
        <f>Tabela7[[#This Row],[Alongamento (mm/mm)]]/$I$2</f>
        <v>9.4469999999999998E-2</v>
      </c>
      <c r="D559" s="2">
        <v>1516.1</v>
      </c>
      <c r="E559" s="1">
        <f>Tabela7[[#This Row],[Força (N)]]/$I$5</f>
        <v>35620641.693137608</v>
      </c>
      <c r="F559" s="1">
        <f>Tabela7[[#This Row],[Tensão (Pa)]]/1000000</f>
        <v>35.620641693137607</v>
      </c>
    </row>
    <row r="560" spans="1:6" x14ac:dyDescent="0.3">
      <c r="A560" s="2">
        <v>57.033000000000001</v>
      </c>
      <c r="B560" s="2">
        <v>4.7458</v>
      </c>
      <c r="C560" s="1">
        <f>Tabela7[[#This Row],[Alongamento (mm/mm)]]/$I$2</f>
        <v>9.4916E-2</v>
      </c>
      <c r="D560" s="2">
        <v>1528</v>
      </c>
      <c r="E560" s="1">
        <f>Tabela7[[#This Row],[Força (N)]]/$I$5</f>
        <v>35900231.189970493</v>
      </c>
      <c r="F560" s="1">
        <f>Tabela7[[#This Row],[Tensão (Pa)]]/1000000</f>
        <v>35.900231189970491</v>
      </c>
    </row>
    <row r="561" spans="1:6" x14ac:dyDescent="0.3">
      <c r="A561" s="2">
        <v>57.317</v>
      </c>
      <c r="B561" s="2">
        <v>4.7694000000000001</v>
      </c>
      <c r="C561" s="1">
        <f>Tabela7[[#This Row],[Alongamento (mm/mm)]]/$I$2</f>
        <v>9.5388000000000001E-2</v>
      </c>
      <c r="D561" s="2">
        <v>1540.6</v>
      </c>
      <c r="E561" s="1">
        <f>Tabela7[[#This Row],[Força (N)]]/$I$5</f>
        <v>36196267.127793543</v>
      </c>
      <c r="F561" s="1">
        <f>Tabela7[[#This Row],[Tensão (Pa)]]/1000000</f>
        <v>36.19626712779354</v>
      </c>
    </row>
    <row r="562" spans="1:6" x14ac:dyDescent="0.3">
      <c r="A562" s="2">
        <v>57.6</v>
      </c>
      <c r="B562" s="2">
        <v>4.7930000000000001</v>
      </c>
      <c r="C562" s="1">
        <f>Tabela7[[#This Row],[Alongamento (mm/mm)]]/$I$2</f>
        <v>9.5860000000000001E-2</v>
      </c>
      <c r="D562" s="2">
        <v>1553.2</v>
      </c>
      <c r="E562" s="1">
        <f>Tabela7[[#This Row],[Força (N)]]/$I$5</f>
        <v>36492303.0656166</v>
      </c>
      <c r="F562" s="1">
        <f>Tabela7[[#This Row],[Tensão (Pa)]]/1000000</f>
        <v>36.492303065616603</v>
      </c>
    </row>
    <row r="563" spans="1:6" x14ac:dyDescent="0.3">
      <c r="A563" s="2">
        <v>57.866999999999997</v>
      </c>
      <c r="B563" s="2">
        <v>4.8151999999999999</v>
      </c>
      <c r="C563" s="1">
        <f>Tabela7[[#This Row],[Alongamento (mm/mm)]]/$I$2</f>
        <v>9.6304000000000001E-2</v>
      </c>
      <c r="D563" s="2">
        <v>1565.1</v>
      </c>
      <c r="E563" s="1">
        <f>Tabela7[[#This Row],[Força (N)]]/$I$5</f>
        <v>36771892.562449485</v>
      </c>
      <c r="F563" s="1">
        <f>Tabela7[[#This Row],[Tensão (Pa)]]/1000000</f>
        <v>36.771892562449487</v>
      </c>
    </row>
    <row r="564" spans="1:6" x14ac:dyDescent="0.3">
      <c r="A564" s="2">
        <v>58.15</v>
      </c>
      <c r="B564" s="2">
        <v>4.8388</v>
      </c>
      <c r="C564" s="1">
        <f>Tabela7[[#This Row],[Alongamento (mm/mm)]]/$I$2</f>
        <v>9.6776000000000001E-2</v>
      </c>
      <c r="D564" s="2">
        <v>1577.5</v>
      </c>
      <c r="E564" s="1">
        <f>Tabela7[[#This Row],[Força (N)]]/$I$5</f>
        <v>37063229.517132498</v>
      </c>
      <c r="F564" s="1">
        <f>Tabela7[[#This Row],[Tensão (Pa)]]/1000000</f>
        <v>37.063229517132498</v>
      </c>
    </row>
    <row r="565" spans="1:6" x14ac:dyDescent="0.3">
      <c r="A565" s="2">
        <v>58.433</v>
      </c>
      <c r="B565" s="2">
        <v>4.8624000000000001</v>
      </c>
      <c r="C565" s="1">
        <f>Tabela7[[#This Row],[Alongamento (mm/mm)]]/$I$2</f>
        <v>9.7248000000000001E-2</v>
      </c>
      <c r="D565" s="2">
        <v>1590.1</v>
      </c>
      <c r="E565" s="1">
        <f>Tabela7[[#This Row],[Força (N)]]/$I$5</f>
        <v>37359265.454955548</v>
      </c>
      <c r="F565" s="1">
        <f>Tabela7[[#This Row],[Tensão (Pa)]]/1000000</f>
        <v>37.359265454955548</v>
      </c>
    </row>
    <row r="566" spans="1:6" x14ac:dyDescent="0.3">
      <c r="A566" s="2">
        <v>58.716999999999999</v>
      </c>
      <c r="B566" s="2">
        <v>4.8860000000000001</v>
      </c>
      <c r="C566" s="1">
        <f>Tabela7[[#This Row],[Alongamento (mm/mm)]]/$I$2</f>
        <v>9.7720000000000001E-2</v>
      </c>
      <c r="D566" s="2">
        <v>1602.5</v>
      </c>
      <c r="E566" s="1">
        <f>Tabela7[[#This Row],[Força (N)]]/$I$5</f>
        <v>37650602.409638554</v>
      </c>
      <c r="F566" s="1">
        <f>Tabela7[[#This Row],[Tensão (Pa)]]/1000000</f>
        <v>37.650602409638552</v>
      </c>
    </row>
    <row r="567" spans="1:6" x14ac:dyDescent="0.3">
      <c r="A567" s="2">
        <v>59</v>
      </c>
      <c r="B567" s="2">
        <v>4.9096000000000002</v>
      </c>
      <c r="C567" s="1">
        <f>Tabela7[[#This Row],[Alongamento (mm/mm)]]/$I$2</f>
        <v>9.8192000000000002E-2</v>
      </c>
      <c r="D567" s="2">
        <v>1615.3</v>
      </c>
      <c r="E567" s="1">
        <f>Tabela7[[#This Row],[Força (N)]]/$I$5</f>
        <v>37951337.330601662</v>
      </c>
      <c r="F567" s="1">
        <f>Tabela7[[#This Row],[Tensão (Pa)]]/1000000</f>
        <v>37.95133733060166</v>
      </c>
    </row>
    <row r="568" spans="1:6" x14ac:dyDescent="0.3">
      <c r="A568" s="2">
        <v>59.283000000000001</v>
      </c>
      <c r="B568" s="2">
        <v>4.9332000000000003</v>
      </c>
      <c r="C568" s="1">
        <f>Tabela7[[#This Row],[Alongamento (mm/mm)]]/$I$2</f>
        <v>9.8664000000000002E-2</v>
      </c>
      <c r="D568" s="2">
        <v>1627.8</v>
      </c>
      <c r="E568" s="1">
        <f>Tabela7[[#This Row],[Força (N)]]/$I$5</f>
        <v>38245023.776854686</v>
      </c>
      <c r="F568" s="1">
        <f>Tabela7[[#This Row],[Tensão (Pa)]]/1000000</f>
        <v>38.245023776854687</v>
      </c>
    </row>
    <row r="569" spans="1:6" x14ac:dyDescent="0.3">
      <c r="A569" s="2">
        <v>59.567</v>
      </c>
      <c r="B569" s="2">
        <v>4.9569000000000001</v>
      </c>
      <c r="C569" s="1">
        <f>Tabela7[[#This Row],[Alongamento (mm/mm)]]/$I$2</f>
        <v>9.9138000000000004E-2</v>
      </c>
      <c r="D569" s="2">
        <v>1640.4</v>
      </c>
      <c r="E569" s="1">
        <f>Tabela7[[#This Row],[Força (N)]]/$I$5</f>
        <v>38541059.714677751</v>
      </c>
      <c r="F569" s="1">
        <f>Tabela7[[#This Row],[Tensão (Pa)]]/1000000</f>
        <v>38.54105971467775</v>
      </c>
    </row>
    <row r="570" spans="1:6" x14ac:dyDescent="0.3">
      <c r="A570" s="2">
        <v>59.85</v>
      </c>
      <c r="B570" s="2">
        <v>4.9805000000000001</v>
      </c>
      <c r="C570" s="1">
        <f>Tabela7[[#This Row],[Alongamento (mm/mm)]]/$I$2</f>
        <v>9.9610000000000004E-2</v>
      </c>
      <c r="D570" s="2">
        <v>1653.4</v>
      </c>
      <c r="E570" s="1">
        <f>Tabela7[[#This Row],[Força (N)]]/$I$5</f>
        <v>38846493.618780904</v>
      </c>
      <c r="F570" s="1">
        <f>Tabela7[[#This Row],[Tensão (Pa)]]/1000000</f>
        <v>38.846493618780904</v>
      </c>
    </row>
    <row r="571" spans="1:6" x14ac:dyDescent="0.3">
      <c r="A571" s="2">
        <v>60.133000000000003</v>
      </c>
      <c r="B571" s="2">
        <v>5.0041000000000002</v>
      </c>
      <c r="C571" s="1">
        <f>Tabela7[[#This Row],[Alongamento (mm/mm)]]/$I$2</f>
        <v>0.100082</v>
      </c>
      <c r="D571" s="2">
        <v>1666.3</v>
      </c>
      <c r="E571" s="1">
        <f>Tabela7[[#This Row],[Força (N)]]/$I$5</f>
        <v>39149578.031314023</v>
      </c>
      <c r="F571" s="1">
        <f>Tabela7[[#This Row],[Tensão (Pa)]]/1000000</f>
        <v>39.149578031314022</v>
      </c>
    </row>
    <row r="572" spans="1:6" x14ac:dyDescent="0.3">
      <c r="A572" s="2">
        <v>60.417000000000002</v>
      </c>
      <c r="B572" s="2">
        <v>5.0277000000000003</v>
      </c>
      <c r="C572" s="1">
        <f>Tabela7[[#This Row],[Alongamento (mm/mm)]]/$I$2</f>
        <v>0.100554</v>
      </c>
      <c r="D572" s="2">
        <v>1679.2</v>
      </c>
      <c r="E572" s="1">
        <f>Tabela7[[#This Row],[Força (N)]]/$I$5</f>
        <v>39452662.443847157</v>
      </c>
      <c r="F572" s="1">
        <f>Tabela7[[#This Row],[Tensão (Pa)]]/1000000</f>
        <v>39.45266244384716</v>
      </c>
    </row>
    <row r="573" spans="1:6" x14ac:dyDescent="0.3">
      <c r="A573" s="2">
        <v>60.716999999999999</v>
      </c>
      <c r="B573" s="2">
        <v>5.0526999999999997</v>
      </c>
      <c r="C573" s="1">
        <f>Tabela7[[#This Row],[Alongamento (mm/mm)]]/$I$2</f>
        <v>0.10105399999999999</v>
      </c>
      <c r="D573" s="2">
        <v>1692.8</v>
      </c>
      <c r="E573" s="1">
        <f>Tabela7[[#This Row],[Força (N)]]/$I$5</f>
        <v>39772193.297370449</v>
      </c>
      <c r="F573" s="1">
        <f>Tabela7[[#This Row],[Tensão (Pa)]]/1000000</f>
        <v>39.77219329737045</v>
      </c>
    </row>
    <row r="574" spans="1:6" x14ac:dyDescent="0.3">
      <c r="A574" s="2">
        <v>61.017000000000003</v>
      </c>
      <c r="B574" s="2">
        <v>5.0776000000000003</v>
      </c>
      <c r="C574" s="1">
        <f>Tabela7[[#This Row],[Alongamento (mm/mm)]]/$I$2</f>
        <v>0.101552</v>
      </c>
      <c r="D574" s="2">
        <v>1706.4</v>
      </c>
      <c r="E574" s="1">
        <f>Tabela7[[#This Row],[Força (N)]]/$I$5</f>
        <v>40091724.150893748</v>
      </c>
      <c r="F574" s="1">
        <f>Tabela7[[#This Row],[Tensão (Pa)]]/1000000</f>
        <v>40.091724150893747</v>
      </c>
    </row>
    <row r="575" spans="1:6" x14ac:dyDescent="0.3">
      <c r="A575" s="2">
        <v>61.317</v>
      </c>
      <c r="B575" s="2">
        <v>5.1026999999999996</v>
      </c>
      <c r="C575" s="1">
        <f>Tabela7[[#This Row],[Alongamento (mm/mm)]]/$I$2</f>
        <v>0.10205399999999999</v>
      </c>
      <c r="D575" s="2">
        <v>1719.9</v>
      </c>
      <c r="E575" s="1">
        <f>Tabela7[[#This Row],[Força (N)]]/$I$5</f>
        <v>40408905.512847021</v>
      </c>
      <c r="F575" s="1">
        <f>Tabela7[[#This Row],[Tensão (Pa)]]/1000000</f>
        <v>40.408905512847021</v>
      </c>
    </row>
    <row r="576" spans="1:6" x14ac:dyDescent="0.3">
      <c r="A576" s="2">
        <v>61.616999999999997</v>
      </c>
      <c r="B576" s="2">
        <v>5.1277999999999997</v>
      </c>
      <c r="C576" s="1">
        <f>Tabela7[[#This Row],[Alongamento (mm/mm)]]/$I$2</f>
        <v>0.10255599999999999</v>
      </c>
      <c r="D576" s="2">
        <v>1733.1</v>
      </c>
      <c r="E576" s="1">
        <f>Tabela7[[#This Row],[Força (N)]]/$I$5</f>
        <v>40719038.400090218</v>
      </c>
      <c r="F576" s="1">
        <f>Tabela7[[#This Row],[Tensão (Pa)]]/1000000</f>
        <v>40.71903840009022</v>
      </c>
    </row>
    <row r="577" spans="1:6" x14ac:dyDescent="0.3">
      <c r="A577" s="2">
        <v>61.917000000000002</v>
      </c>
      <c r="B577" s="2">
        <v>5.1527000000000003</v>
      </c>
      <c r="C577" s="1">
        <f>Tabela7[[#This Row],[Alongamento (mm/mm)]]/$I$2</f>
        <v>0.10305400000000001</v>
      </c>
      <c r="D577" s="2">
        <v>1746.4</v>
      </c>
      <c r="E577" s="1">
        <f>Tabela7[[#This Row],[Força (N)]]/$I$5</f>
        <v>41031520.778903447</v>
      </c>
      <c r="F577" s="1">
        <f>Tabela7[[#This Row],[Tensão (Pa)]]/1000000</f>
        <v>41.031520778903449</v>
      </c>
    </row>
    <row r="578" spans="1:6" x14ac:dyDescent="0.3">
      <c r="A578" s="2">
        <v>62.232999999999997</v>
      </c>
      <c r="B578" s="2">
        <v>5.1790000000000003</v>
      </c>
      <c r="C578" s="1">
        <f>Tabela7[[#This Row],[Alongamento (mm/mm)]]/$I$2</f>
        <v>0.10358000000000001</v>
      </c>
      <c r="D578" s="2">
        <v>1760.4</v>
      </c>
      <c r="E578" s="1">
        <f>Tabela7[[#This Row],[Força (N)]]/$I$5</f>
        <v>41360449.598706841</v>
      </c>
      <c r="F578" s="1">
        <f>Tabela7[[#This Row],[Tensão (Pa)]]/1000000</f>
        <v>41.360449598706843</v>
      </c>
    </row>
    <row r="579" spans="1:6" x14ac:dyDescent="0.3">
      <c r="A579" s="2">
        <v>62.55</v>
      </c>
      <c r="B579" s="2">
        <v>5.2055999999999996</v>
      </c>
      <c r="C579" s="1">
        <f>Tabela7[[#This Row],[Alongamento (mm/mm)]]/$I$2</f>
        <v>0.104112</v>
      </c>
      <c r="D579" s="2">
        <v>1774.1</v>
      </c>
      <c r="E579" s="1">
        <f>Tabela7[[#This Row],[Força (N)]]/$I$5</f>
        <v>41682329.943800159</v>
      </c>
      <c r="F579" s="1">
        <f>Tabela7[[#This Row],[Tensão (Pa)]]/1000000</f>
        <v>41.682329943800156</v>
      </c>
    </row>
    <row r="580" spans="1:6" x14ac:dyDescent="0.3">
      <c r="A580" s="2">
        <v>62.866999999999997</v>
      </c>
      <c r="B580" s="2">
        <v>5.2319000000000004</v>
      </c>
      <c r="C580" s="1">
        <f>Tabela7[[#This Row],[Alongamento (mm/mm)]]/$I$2</f>
        <v>0.10463800000000001</v>
      </c>
      <c r="D580" s="2">
        <v>1787.9</v>
      </c>
      <c r="E580" s="1">
        <f>Tabela7[[#This Row],[Força (N)]]/$I$5</f>
        <v>42006559.780463509</v>
      </c>
      <c r="F580" s="1">
        <f>Tabela7[[#This Row],[Tensão (Pa)]]/1000000</f>
        <v>42.006559780463512</v>
      </c>
    </row>
    <row r="581" spans="1:6" x14ac:dyDescent="0.3">
      <c r="A581" s="2">
        <v>63.2</v>
      </c>
      <c r="B581" s="2">
        <v>5.2595999999999998</v>
      </c>
      <c r="C581" s="1">
        <f>Tabela7[[#This Row],[Alongamento (mm/mm)]]/$I$2</f>
        <v>0.10519199999999999</v>
      </c>
      <c r="D581" s="2">
        <v>1802.4</v>
      </c>
      <c r="E581" s="1">
        <f>Tabela7[[#This Row],[Força (N)]]/$I$5</f>
        <v>42347236.058117025</v>
      </c>
      <c r="F581" s="1">
        <f>Tabela7[[#This Row],[Tensão (Pa)]]/1000000</f>
        <v>42.347236058117026</v>
      </c>
    </row>
    <row r="582" spans="1:6" x14ac:dyDescent="0.3">
      <c r="A582" s="2">
        <v>63.533000000000001</v>
      </c>
      <c r="B582" s="2">
        <v>5.2874999999999996</v>
      </c>
      <c r="C582" s="1">
        <f>Tabela7[[#This Row],[Alongamento (mm/mm)]]/$I$2</f>
        <v>0.10575</v>
      </c>
      <c r="D582" s="2">
        <v>1816.8</v>
      </c>
      <c r="E582" s="1">
        <f>Tabela7[[#This Row],[Força (N)]]/$I$5</f>
        <v>42685562.844200514</v>
      </c>
      <c r="F582" s="1">
        <f>Tabela7[[#This Row],[Tensão (Pa)]]/1000000</f>
        <v>42.685562844200511</v>
      </c>
    </row>
    <row r="583" spans="1:6" x14ac:dyDescent="0.3">
      <c r="A583" s="2">
        <v>63.866999999999997</v>
      </c>
      <c r="B583" s="2">
        <v>5.3151999999999999</v>
      </c>
      <c r="C583" s="1">
        <f>Tabela7[[#This Row],[Alongamento (mm/mm)]]/$I$2</f>
        <v>0.106304</v>
      </c>
      <c r="D583" s="2">
        <v>1830.8</v>
      </c>
      <c r="E583" s="1">
        <f>Tabela7[[#This Row],[Força (N)]]/$I$5</f>
        <v>43014491.664003909</v>
      </c>
      <c r="F583" s="1">
        <f>Tabela7[[#This Row],[Tensão (Pa)]]/1000000</f>
        <v>43.014491664003906</v>
      </c>
    </row>
    <row r="584" spans="1:6" x14ac:dyDescent="0.3">
      <c r="A584" s="2">
        <v>64.216999999999999</v>
      </c>
      <c r="B584" s="2">
        <v>5.3444000000000003</v>
      </c>
      <c r="C584" s="1">
        <f>Tabela7[[#This Row],[Alongamento (mm/mm)]]/$I$2</f>
        <v>0.10688800000000001</v>
      </c>
      <c r="D584" s="2">
        <v>1845.6</v>
      </c>
      <c r="E584" s="1">
        <f>Tabela7[[#This Row],[Força (N)]]/$I$5</f>
        <v>43362216.416367501</v>
      </c>
      <c r="F584" s="1">
        <f>Tabela7[[#This Row],[Tensão (Pa)]]/1000000</f>
        <v>43.362216416367502</v>
      </c>
    </row>
    <row r="585" spans="1:6" x14ac:dyDescent="0.3">
      <c r="A585" s="2">
        <v>64.566999999999993</v>
      </c>
      <c r="B585" s="2">
        <v>5.3734999999999999</v>
      </c>
      <c r="C585" s="1">
        <f>Tabela7[[#This Row],[Alongamento (mm/mm)]]/$I$2</f>
        <v>0.10747</v>
      </c>
      <c r="D585" s="2">
        <v>1860.2</v>
      </c>
      <c r="E585" s="1">
        <f>Tabela7[[#This Row],[Força (N)]]/$I$5</f>
        <v>43705242.185591042</v>
      </c>
      <c r="F585" s="1">
        <f>Tabela7[[#This Row],[Tensão (Pa)]]/1000000</f>
        <v>43.70524218559104</v>
      </c>
    </row>
    <row r="586" spans="1:6" x14ac:dyDescent="0.3">
      <c r="A586" s="2">
        <v>64.917000000000002</v>
      </c>
      <c r="B586" s="2">
        <v>5.4027000000000003</v>
      </c>
      <c r="C586" s="1">
        <f>Tabela7[[#This Row],[Alongamento (mm/mm)]]/$I$2</f>
        <v>0.10805400000000001</v>
      </c>
      <c r="D586" s="2">
        <v>1874.5</v>
      </c>
      <c r="E586" s="1">
        <f>Tabela7[[#This Row],[Força (N)]]/$I$5</f>
        <v>44041219.480104506</v>
      </c>
      <c r="F586" s="1">
        <f>Tabela7[[#This Row],[Tensão (Pa)]]/1000000</f>
        <v>44.041219480104509</v>
      </c>
    </row>
    <row r="587" spans="1:6" x14ac:dyDescent="0.3">
      <c r="A587" s="2">
        <v>65.283000000000001</v>
      </c>
      <c r="B587" s="2">
        <v>5.4333</v>
      </c>
      <c r="C587" s="1">
        <f>Tabela7[[#This Row],[Alongamento (mm/mm)]]/$I$2</f>
        <v>0.108666</v>
      </c>
      <c r="D587" s="2">
        <v>1889.6</v>
      </c>
      <c r="E587" s="1">
        <f>Tabela7[[#This Row],[Força (N)]]/$I$5</f>
        <v>44395992.707178168</v>
      </c>
      <c r="F587" s="1">
        <f>Tabela7[[#This Row],[Tensão (Pa)]]/1000000</f>
        <v>44.395992707178166</v>
      </c>
    </row>
    <row r="588" spans="1:6" x14ac:dyDescent="0.3">
      <c r="A588" s="2">
        <v>65.650000000000006</v>
      </c>
      <c r="B588" s="2">
        <v>5.4638</v>
      </c>
      <c r="C588" s="1">
        <f>Tabela7[[#This Row],[Alongamento (mm/mm)]]/$I$2</f>
        <v>0.109276</v>
      </c>
      <c r="D588" s="2">
        <v>1904.6</v>
      </c>
      <c r="E588" s="1">
        <f>Tabela7[[#This Row],[Força (N)]]/$I$5</f>
        <v>44748416.442681804</v>
      </c>
      <c r="F588" s="1">
        <f>Tabela7[[#This Row],[Tensão (Pa)]]/1000000</f>
        <v>44.748416442681801</v>
      </c>
    </row>
    <row r="589" spans="1:6" x14ac:dyDescent="0.3">
      <c r="A589" s="2">
        <v>66.016999999999996</v>
      </c>
      <c r="B589" s="2">
        <v>5.4943999999999997</v>
      </c>
      <c r="C589" s="1">
        <f>Tabela7[[#This Row],[Alongamento (mm/mm)]]/$I$2</f>
        <v>0.109888</v>
      </c>
      <c r="D589" s="2">
        <v>1919.4</v>
      </c>
      <c r="E589" s="1">
        <f>Tabela7[[#This Row],[Força (N)]]/$I$5</f>
        <v>45096141.195045397</v>
      </c>
      <c r="F589" s="1">
        <f>Tabela7[[#This Row],[Tensão (Pa)]]/1000000</f>
        <v>45.096141195045398</v>
      </c>
    </row>
    <row r="590" spans="1:6" x14ac:dyDescent="0.3">
      <c r="A590" s="2">
        <v>66.382999999999996</v>
      </c>
      <c r="B590" s="2">
        <v>5.5248999999999997</v>
      </c>
      <c r="C590" s="1">
        <f>Tabela7[[#This Row],[Alongamento (mm/mm)]]/$I$2</f>
        <v>0.110498</v>
      </c>
      <c r="D590" s="2">
        <v>1934.5</v>
      </c>
      <c r="E590" s="1">
        <f>Tabela7[[#This Row],[Força (N)]]/$I$5</f>
        <v>45450914.422119059</v>
      </c>
      <c r="F590" s="1">
        <f>Tabela7[[#This Row],[Tensão (Pa)]]/1000000</f>
        <v>45.450914422119055</v>
      </c>
    </row>
    <row r="591" spans="1:6" x14ac:dyDescent="0.3">
      <c r="A591" s="2">
        <v>66.75</v>
      </c>
      <c r="B591" s="2">
        <v>5.5555000000000003</v>
      </c>
      <c r="C591" s="1">
        <f>Tabela7[[#This Row],[Alongamento (mm/mm)]]/$I$2</f>
        <v>0.11111</v>
      </c>
      <c r="D591" s="2">
        <v>1949.5</v>
      </c>
      <c r="E591" s="1">
        <f>Tabela7[[#This Row],[Força (N)]]/$I$5</f>
        <v>45803338.157622695</v>
      </c>
      <c r="F591" s="1">
        <f>Tabela7[[#This Row],[Tensão (Pa)]]/1000000</f>
        <v>45.803338157622697</v>
      </c>
    </row>
    <row r="592" spans="1:6" x14ac:dyDescent="0.3">
      <c r="A592" s="2">
        <v>67.132999999999996</v>
      </c>
      <c r="B592" s="2">
        <v>5.5875000000000004</v>
      </c>
      <c r="C592" s="1">
        <f>Tabela7[[#This Row],[Alongamento (mm/mm)]]/$I$2</f>
        <v>0.11175</v>
      </c>
      <c r="D592" s="2">
        <v>1964.8</v>
      </c>
      <c r="E592" s="1">
        <f>Tabela7[[#This Row],[Força (N)]]/$I$5</f>
        <v>46162810.367836401</v>
      </c>
      <c r="F592" s="1">
        <f>Tabela7[[#This Row],[Tensão (Pa)]]/1000000</f>
        <v>46.1628103678364</v>
      </c>
    </row>
    <row r="593" spans="1:6" x14ac:dyDescent="0.3">
      <c r="A593" s="2">
        <v>67.533000000000001</v>
      </c>
      <c r="B593" s="2">
        <v>5.6207000000000003</v>
      </c>
      <c r="C593" s="1">
        <f>Tabela7[[#This Row],[Alongamento (mm/mm)]]/$I$2</f>
        <v>0.112414</v>
      </c>
      <c r="D593" s="2">
        <v>1980.5</v>
      </c>
      <c r="E593" s="1">
        <f>Tabela7[[#This Row],[Força (N)]]/$I$5</f>
        <v>46531680.544330209</v>
      </c>
      <c r="F593" s="1">
        <f>Tabela7[[#This Row],[Tensão (Pa)]]/1000000</f>
        <v>46.531680544330207</v>
      </c>
    </row>
    <row r="594" spans="1:6" x14ac:dyDescent="0.3">
      <c r="A594" s="2">
        <v>67.95</v>
      </c>
      <c r="B594" s="2">
        <v>5.6555</v>
      </c>
      <c r="C594" s="1">
        <f>Tabela7[[#This Row],[Alongamento (mm/mm)]]/$I$2</f>
        <v>0.11311</v>
      </c>
      <c r="D594" s="2">
        <v>1996.1</v>
      </c>
      <c r="E594" s="1">
        <f>Tabela7[[#This Row],[Força (N)]]/$I$5</f>
        <v>46898201.229253992</v>
      </c>
      <c r="F594" s="1">
        <f>Tabela7[[#This Row],[Tensão (Pa)]]/1000000</f>
        <v>46.898201229253992</v>
      </c>
    </row>
    <row r="595" spans="1:6" x14ac:dyDescent="0.3">
      <c r="A595" s="2">
        <v>68.382999999999996</v>
      </c>
      <c r="B595" s="2">
        <v>5.6916000000000002</v>
      </c>
      <c r="C595" s="1">
        <f>Tabela7[[#This Row],[Alongamento (mm/mm)]]/$I$2</f>
        <v>0.113832</v>
      </c>
      <c r="D595" s="2">
        <v>2011.4</v>
      </c>
      <c r="E595" s="1">
        <f>Tabela7[[#This Row],[Força (N)]]/$I$5</f>
        <v>47257673.439467706</v>
      </c>
      <c r="F595" s="1">
        <f>Tabela7[[#This Row],[Tensão (Pa)]]/1000000</f>
        <v>47.257673439467709</v>
      </c>
    </row>
    <row r="596" spans="1:6" x14ac:dyDescent="0.3">
      <c r="A596" s="2">
        <v>68.849999999999994</v>
      </c>
      <c r="B596" s="2">
        <v>5.7304000000000004</v>
      </c>
      <c r="C596" s="1">
        <f>Tabela7[[#This Row],[Alongamento (mm/mm)]]/$I$2</f>
        <v>0.114608</v>
      </c>
      <c r="D596" s="2">
        <v>2027.2</v>
      </c>
      <c r="E596" s="1">
        <f>Tabela7[[#This Row],[Força (N)]]/$I$5</f>
        <v>47628893.107531533</v>
      </c>
      <c r="F596" s="1">
        <f>Tabela7[[#This Row],[Tensão (Pa)]]/1000000</f>
        <v>47.628893107531532</v>
      </c>
    </row>
    <row r="597" spans="1:6" x14ac:dyDescent="0.3">
      <c r="A597" s="2">
        <v>69.349999999999994</v>
      </c>
      <c r="B597" s="2">
        <v>5.7721999999999998</v>
      </c>
      <c r="C597" s="1">
        <f>Tabela7[[#This Row],[Alongamento (mm/mm)]]/$I$2</f>
        <v>0.11544399999999999</v>
      </c>
      <c r="D597" s="2">
        <v>2043.2</v>
      </c>
      <c r="E597" s="1">
        <f>Tabela7[[#This Row],[Força (N)]]/$I$5</f>
        <v>48004811.758735411</v>
      </c>
      <c r="F597" s="1">
        <f>Tabela7[[#This Row],[Tensão (Pa)]]/1000000</f>
        <v>48.004811758735414</v>
      </c>
    </row>
    <row r="598" spans="1:6" x14ac:dyDescent="0.3">
      <c r="A598" s="2">
        <v>69.849999999999994</v>
      </c>
      <c r="B598" s="2">
        <v>5.8137999999999996</v>
      </c>
      <c r="C598" s="1">
        <f>Tabela7[[#This Row],[Alongamento (mm/mm)]]/$I$2</f>
        <v>0.11627599999999999</v>
      </c>
      <c r="D598" s="2">
        <v>2058.5</v>
      </c>
      <c r="E598" s="1">
        <f>Tabela7[[#This Row],[Força (N)]]/$I$5</f>
        <v>48364283.968949124</v>
      </c>
      <c r="F598" s="1">
        <f>Tabela7[[#This Row],[Tensão (Pa)]]/1000000</f>
        <v>48.364283968949124</v>
      </c>
    </row>
    <row r="599" spans="1:6" x14ac:dyDescent="0.3">
      <c r="A599" s="2">
        <v>70.349999999999994</v>
      </c>
      <c r="B599" s="2">
        <v>5.8555999999999999</v>
      </c>
      <c r="C599" s="1">
        <f>Tabela7[[#This Row],[Alongamento (mm/mm)]]/$I$2</f>
        <v>0.11711199999999999</v>
      </c>
      <c r="D599" s="2">
        <v>2072.1</v>
      </c>
      <c r="E599" s="1">
        <f>Tabela7[[#This Row],[Força (N)]]/$I$5</f>
        <v>48683814.822472416</v>
      </c>
      <c r="F599" s="1">
        <f>Tabela7[[#This Row],[Tensão (Pa)]]/1000000</f>
        <v>48.683814822472414</v>
      </c>
    </row>
    <row r="600" spans="1:6" x14ac:dyDescent="0.3">
      <c r="A600" s="2">
        <v>70.849999999999994</v>
      </c>
      <c r="B600" s="2">
        <v>5.8971999999999998</v>
      </c>
      <c r="C600" s="1">
        <f>Tabela7[[#This Row],[Alongamento (mm/mm)]]/$I$2</f>
        <v>0.11794399999999999</v>
      </c>
      <c r="D600" s="2">
        <v>2076.4</v>
      </c>
      <c r="E600" s="1">
        <f>Tabela7[[#This Row],[Força (N)]]/$I$5</f>
        <v>48784842.959983468</v>
      </c>
      <c r="F600" s="1">
        <f>Tabela7[[#This Row],[Tensão (Pa)]]/1000000</f>
        <v>48.784842959983465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A666-D9CA-4D23-B1A7-0D5C98336ECE}">
  <dimension ref="A1:K589"/>
  <sheetViews>
    <sheetView topLeftCell="A582" workbookViewId="0">
      <selection activeCell="G589" sqref="G589"/>
    </sheetView>
  </sheetViews>
  <sheetFormatPr defaultRowHeight="14.4" x14ac:dyDescent="0.3"/>
  <cols>
    <col min="1" max="1" width="11.88671875" bestFit="1" customWidth="1"/>
    <col min="2" max="2" width="25.5546875" bestFit="1" customWidth="1"/>
    <col min="3" max="3" width="24.44140625" bestFit="1" customWidth="1"/>
    <col min="4" max="4" width="11.44140625" bestFit="1" customWidth="1"/>
    <col min="5" max="5" width="13.5546875" bestFit="1" customWidth="1"/>
    <col min="6" max="6" width="15.5546875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2">
        <v>0.15</v>
      </c>
      <c r="B2" s="2">
        <v>5.9557000000000004E-3</v>
      </c>
      <c r="C2" s="1">
        <f>Tabela9[[#This Row],[Alongamento (mm/mm)]]/$I$2</f>
        <v>1.1911400000000001E-4</v>
      </c>
      <c r="D2" s="2">
        <v>0</v>
      </c>
      <c r="E2" s="1">
        <f>Tabela9[[#This Row],[Força (N)]]/$I$5</f>
        <v>0</v>
      </c>
      <c r="F2" s="1">
        <f>Tabela9[[#This Row],[Tensão (Pa)]]/1000000</f>
        <v>0</v>
      </c>
      <c r="H2" t="s">
        <v>10</v>
      </c>
      <c r="I2">
        <v>50</v>
      </c>
      <c r="J2">
        <v>12.84</v>
      </c>
      <c r="K2">
        <v>3.3</v>
      </c>
    </row>
    <row r="3" spans="1:11" x14ac:dyDescent="0.3">
      <c r="A3" s="2">
        <v>11.067</v>
      </c>
      <c r="B3" s="2">
        <v>0.91466999999999998</v>
      </c>
      <c r="C3" s="1">
        <f>Tabela9[[#This Row],[Alongamento (mm/mm)]]/$I$2</f>
        <v>1.8293400000000001E-2</v>
      </c>
      <c r="D3" s="2">
        <v>6.6338999999999997</v>
      </c>
      <c r="E3" s="1">
        <f>Tabela9[[#This Row],[Força (N)]]/$I$5</f>
        <v>156563.29651656753</v>
      </c>
      <c r="F3" s="1">
        <f>Tabela9[[#This Row],[Tensão (Pa)]]/1000000</f>
        <v>0.15656329651656753</v>
      </c>
      <c r="H3" t="s">
        <v>12</v>
      </c>
      <c r="I3">
        <f>I2/1000</f>
        <v>0.05</v>
      </c>
      <c r="J3">
        <f t="shared" ref="J3:K3" si="0">J2/1000</f>
        <v>1.2840000000000001E-2</v>
      </c>
      <c r="K3">
        <f t="shared" si="0"/>
        <v>3.3E-3</v>
      </c>
    </row>
    <row r="4" spans="1:11" x14ac:dyDescent="0.3">
      <c r="A4" s="2">
        <v>11.167</v>
      </c>
      <c r="B4" s="2">
        <v>0.92295000000000005</v>
      </c>
      <c r="C4" s="1">
        <f>Tabela9[[#This Row],[Alongamento (mm/mm)]]/$I$2</f>
        <v>1.8459E-2</v>
      </c>
      <c r="D4" s="2">
        <v>6.6338999999999997</v>
      </c>
      <c r="E4" s="1">
        <f>Tabela9[[#This Row],[Força (N)]]/$I$5</f>
        <v>156563.29651656753</v>
      </c>
      <c r="F4" s="1">
        <f>Tabela9[[#This Row],[Tensão (Pa)]]/1000000</f>
        <v>0.15656329651656753</v>
      </c>
    </row>
    <row r="5" spans="1:11" x14ac:dyDescent="0.3">
      <c r="A5" s="2">
        <v>11.266999999999999</v>
      </c>
      <c r="B5" s="2">
        <v>0.93123</v>
      </c>
      <c r="C5" s="1">
        <f>Tabela9[[#This Row],[Alongamento (mm/mm)]]/$I$2</f>
        <v>1.8624600000000002E-2</v>
      </c>
      <c r="D5" s="2">
        <v>6.6338999999999997</v>
      </c>
      <c r="E5" s="1">
        <f>Tabela9[[#This Row],[Força (N)]]/$I$5</f>
        <v>156563.29651656753</v>
      </c>
      <c r="F5" s="1">
        <f>Tabela9[[#This Row],[Tensão (Pa)]]/1000000</f>
        <v>0.15656329651656753</v>
      </c>
      <c r="H5" t="s">
        <v>13</v>
      </c>
      <c r="I5">
        <f>J3*K3</f>
        <v>4.2372E-5</v>
      </c>
    </row>
    <row r="6" spans="1:11" x14ac:dyDescent="0.3">
      <c r="A6" s="2">
        <v>11.367000000000001</v>
      </c>
      <c r="B6" s="2">
        <v>0.93960999999999995</v>
      </c>
      <c r="C6" s="1">
        <f>Tabela9[[#This Row],[Alongamento (mm/mm)]]/$I$2</f>
        <v>1.8792199999999998E-2</v>
      </c>
      <c r="D6" s="2">
        <v>6.6338999999999997</v>
      </c>
      <c r="E6" s="1">
        <f>Tabela9[[#This Row],[Força (N)]]/$I$5</f>
        <v>156563.29651656753</v>
      </c>
      <c r="F6" s="1">
        <f>Tabela9[[#This Row],[Tensão (Pa)]]/1000000</f>
        <v>0.15656329651656753</v>
      </c>
    </row>
    <row r="7" spans="1:11" x14ac:dyDescent="0.3">
      <c r="A7" s="2">
        <v>11.467000000000001</v>
      </c>
      <c r="B7" s="2">
        <v>0.94789000000000001</v>
      </c>
      <c r="C7" s="1">
        <f>Tabela9[[#This Row],[Alongamento (mm/mm)]]/$I$2</f>
        <v>1.89578E-2</v>
      </c>
      <c r="D7" s="2">
        <v>6.6338999999999997</v>
      </c>
      <c r="E7" s="1">
        <f>Tabela9[[#This Row],[Força (N)]]/$I$5</f>
        <v>156563.29651656753</v>
      </c>
      <c r="F7" s="1">
        <f>Tabela9[[#This Row],[Tensão (Pa)]]/1000000</f>
        <v>0.15656329651656753</v>
      </c>
    </row>
    <row r="8" spans="1:11" x14ac:dyDescent="0.3">
      <c r="A8" s="2">
        <v>11.567</v>
      </c>
      <c r="B8" s="2">
        <v>0.95626</v>
      </c>
      <c r="C8" s="1">
        <f>Tabela9[[#This Row],[Alongamento (mm/mm)]]/$I$2</f>
        <v>1.9125199999999998E-2</v>
      </c>
      <c r="D8" s="2">
        <v>6.6338999999999997</v>
      </c>
      <c r="E8" s="1">
        <f>Tabela9[[#This Row],[Força (N)]]/$I$5</f>
        <v>156563.29651656753</v>
      </c>
      <c r="F8" s="1">
        <f>Tabela9[[#This Row],[Tensão (Pa)]]/1000000</f>
        <v>0.15656329651656753</v>
      </c>
    </row>
    <row r="9" spans="1:11" x14ac:dyDescent="0.3">
      <c r="A9" s="2">
        <v>11.667</v>
      </c>
      <c r="B9" s="2">
        <v>0.96464000000000005</v>
      </c>
      <c r="C9" s="1">
        <f>Tabela9[[#This Row],[Alongamento (mm/mm)]]/$I$2</f>
        <v>1.9292800000000002E-2</v>
      </c>
      <c r="D9" s="2">
        <v>6.6338999999999997</v>
      </c>
      <c r="E9" s="1">
        <f>Tabela9[[#This Row],[Força (N)]]/$I$5</f>
        <v>156563.29651656753</v>
      </c>
      <c r="F9" s="1">
        <f>Tabela9[[#This Row],[Tensão (Pa)]]/1000000</f>
        <v>0.15656329651656753</v>
      </c>
    </row>
    <row r="10" spans="1:11" x14ac:dyDescent="0.3">
      <c r="A10" s="2">
        <v>11.766999999999999</v>
      </c>
      <c r="B10" s="2">
        <v>0.97292000000000001</v>
      </c>
      <c r="C10" s="1">
        <f>Tabela9[[#This Row],[Alongamento (mm/mm)]]/$I$2</f>
        <v>1.9458400000000001E-2</v>
      </c>
      <c r="D10" s="2">
        <v>6.6338999999999997</v>
      </c>
      <c r="E10" s="1">
        <f>Tabela9[[#This Row],[Força (N)]]/$I$5</f>
        <v>156563.29651656753</v>
      </c>
      <c r="F10" s="1">
        <f>Tabela9[[#This Row],[Tensão (Pa)]]/1000000</f>
        <v>0.15656329651656753</v>
      </c>
    </row>
    <row r="11" spans="1:11" x14ac:dyDescent="0.3">
      <c r="A11" s="2">
        <v>11.867000000000001</v>
      </c>
      <c r="B11" s="2">
        <v>0.98129999999999995</v>
      </c>
      <c r="C11" s="1">
        <f>Tabela9[[#This Row],[Alongamento (mm/mm)]]/$I$2</f>
        <v>1.9625999999999998E-2</v>
      </c>
      <c r="D11" s="2">
        <v>6.6338999999999997</v>
      </c>
      <c r="E11" s="1">
        <f>Tabela9[[#This Row],[Força (N)]]/$I$5</f>
        <v>156563.29651656753</v>
      </c>
      <c r="F11" s="1">
        <f>Tabela9[[#This Row],[Tensão (Pa)]]/1000000</f>
        <v>0.15656329651656753</v>
      </c>
    </row>
    <row r="12" spans="1:11" x14ac:dyDescent="0.3">
      <c r="A12" s="2">
        <v>11.967000000000001</v>
      </c>
      <c r="B12" s="2">
        <v>0.98958000000000002</v>
      </c>
      <c r="C12" s="1">
        <f>Tabela9[[#This Row],[Alongamento (mm/mm)]]/$I$2</f>
        <v>1.9791599999999999E-2</v>
      </c>
      <c r="D12" s="2">
        <v>6.8040000000000003</v>
      </c>
      <c r="E12" s="1">
        <f>Tabela9[[#This Row],[Força (N)]]/$I$5</f>
        <v>160577.74001699235</v>
      </c>
      <c r="F12" s="1">
        <f>Tabela9[[#This Row],[Tensão (Pa)]]/1000000</f>
        <v>0.16057774001699235</v>
      </c>
    </row>
    <row r="13" spans="1:11" x14ac:dyDescent="0.3">
      <c r="A13" s="2">
        <v>12.067</v>
      </c>
      <c r="B13" s="2">
        <v>0.99795</v>
      </c>
      <c r="C13" s="1">
        <f>Tabela9[[#This Row],[Alongamento (mm/mm)]]/$I$2</f>
        <v>1.9959000000000001E-2</v>
      </c>
      <c r="D13" s="2">
        <v>6.8040000000000003</v>
      </c>
      <c r="E13" s="1">
        <f>Tabela9[[#This Row],[Força (N)]]/$I$5</f>
        <v>160577.74001699235</v>
      </c>
      <c r="F13" s="1">
        <f>Tabela9[[#This Row],[Tensão (Pa)]]/1000000</f>
        <v>0.16057774001699235</v>
      </c>
    </row>
    <row r="14" spans="1:11" x14ac:dyDescent="0.3">
      <c r="A14" s="2">
        <v>12.167</v>
      </c>
      <c r="B14" s="2">
        <v>1.0063</v>
      </c>
      <c r="C14" s="1">
        <f>Tabela9[[#This Row],[Alongamento (mm/mm)]]/$I$2</f>
        <v>2.0125999999999998E-2</v>
      </c>
      <c r="D14" s="2">
        <v>6.8040000000000003</v>
      </c>
      <c r="E14" s="1">
        <f>Tabela9[[#This Row],[Força (N)]]/$I$5</f>
        <v>160577.74001699235</v>
      </c>
      <c r="F14" s="1">
        <f>Tabela9[[#This Row],[Tensão (Pa)]]/1000000</f>
        <v>0.16057774001699235</v>
      </c>
    </row>
    <row r="15" spans="1:11" x14ac:dyDescent="0.3">
      <c r="A15" s="2">
        <v>12.266999999999999</v>
      </c>
      <c r="B15" s="2">
        <v>1.0145999999999999</v>
      </c>
      <c r="C15" s="1">
        <f>Tabela9[[#This Row],[Alongamento (mm/mm)]]/$I$2</f>
        <v>2.0291999999999998E-2</v>
      </c>
      <c r="D15" s="2">
        <v>6.8040000000000003</v>
      </c>
      <c r="E15" s="1">
        <f>Tabela9[[#This Row],[Força (N)]]/$I$5</f>
        <v>160577.74001699235</v>
      </c>
      <c r="F15" s="1">
        <f>Tabela9[[#This Row],[Tensão (Pa)]]/1000000</f>
        <v>0.16057774001699235</v>
      </c>
    </row>
    <row r="16" spans="1:11" x14ac:dyDescent="0.3">
      <c r="A16" s="2">
        <v>12.367000000000001</v>
      </c>
      <c r="B16" s="2">
        <v>1.0229999999999999</v>
      </c>
      <c r="C16" s="1">
        <f>Tabela9[[#This Row],[Alongamento (mm/mm)]]/$I$2</f>
        <v>2.0459999999999999E-2</v>
      </c>
      <c r="D16" s="2">
        <v>6.8040000000000003</v>
      </c>
      <c r="E16" s="1">
        <f>Tabela9[[#This Row],[Força (N)]]/$I$5</f>
        <v>160577.74001699235</v>
      </c>
      <c r="F16" s="1">
        <f>Tabela9[[#This Row],[Tensão (Pa)]]/1000000</f>
        <v>0.16057774001699235</v>
      </c>
    </row>
    <row r="17" spans="1:6" x14ac:dyDescent="0.3">
      <c r="A17" s="2">
        <v>12.467000000000001</v>
      </c>
      <c r="B17" s="2">
        <v>1.0313000000000001</v>
      </c>
      <c r="C17" s="1">
        <f>Tabela9[[#This Row],[Alongamento (mm/mm)]]/$I$2</f>
        <v>2.0626000000000002E-2</v>
      </c>
      <c r="D17" s="2">
        <v>6.9741</v>
      </c>
      <c r="E17" s="1">
        <f>Tabela9[[#This Row],[Força (N)]]/$I$5</f>
        <v>164592.18351741717</v>
      </c>
      <c r="F17" s="1">
        <f>Tabela9[[#This Row],[Tensão (Pa)]]/1000000</f>
        <v>0.16459218351741717</v>
      </c>
    </row>
    <row r="18" spans="1:6" x14ac:dyDescent="0.3">
      <c r="A18" s="2">
        <v>12.567</v>
      </c>
      <c r="B18" s="2">
        <v>1.0396000000000001</v>
      </c>
      <c r="C18" s="1">
        <f>Tabela9[[#This Row],[Alongamento (mm/mm)]]/$I$2</f>
        <v>2.0792000000000001E-2</v>
      </c>
      <c r="D18" s="2">
        <v>7.1441999999999997</v>
      </c>
      <c r="E18" s="1">
        <f>Tabela9[[#This Row],[Força (N)]]/$I$5</f>
        <v>168606.62701784197</v>
      </c>
      <c r="F18" s="1">
        <f>Tabela9[[#This Row],[Tensão (Pa)]]/1000000</f>
        <v>0.16860662701784196</v>
      </c>
    </row>
    <row r="19" spans="1:6" x14ac:dyDescent="0.3">
      <c r="A19" s="2">
        <v>12.667</v>
      </c>
      <c r="B19" s="2">
        <v>1.0479000000000001</v>
      </c>
      <c r="C19" s="1">
        <f>Tabela9[[#This Row],[Alongamento (mm/mm)]]/$I$2</f>
        <v>2.0958000000000001E-2</v>
      </c>
      <c r="D19" s="2">
        <v>7.1441999999999997</v>
      </c>
      <c r="E19" s="1">
        <f>Tabela9[[#This Row],[Força (N)]]/$I$5</f>
        <v>168606.62701784197</v>
      </c>
      <c r="F19" s="1">
        <f>Tabela9[[#This Row],[Tensão (Pa)]]/1000000</f>
        <v>0.16860662701784196</v>
      </c>
    </row>
    <row r="20" spans="1:6" x14ac:dyDescent="0.3">
      <c r="A20" s="2">
        <v>12.766999999999999</v>
      </c>
      <c r="B20" s="2">
        <v>1.0562</v>
      </c>
      <c r="C20" s="1">
        <f>Tabela9[[#This Row],[Alongamento (mm/mm)]]/$I$2</f>
        <v>2.1124E-2</v>
      </c>
      <c r="D20" s="2">
        <v>7.1441999999999997</v>
      </c>
      <c r="E20" s="1">
        <f>Tabela9[[#This Row],[Força (N)]]/$I$5</f>
        <v>168606.62701784197</v>
      </c>
      <c r="F20" s="1">
        <f>Tabela9[[#This Row],[Tensão (Pa)]]/1000000</f>
        <v>0.16860662701784196</v>
      </c>
    </row>
    <row r="21" spans="1:6" x14ac:dyDescent="0.3">
      <c r="A21" s="2">
        <v>12.867000000000001</v>
      </c>
      <c r="B21" s="2">
        <v>1.0646</v>
      </c>
      <c r="C21" s="1">
        <f>Tabela9[[#This Row],[Alongamento (mm/mm)]]/$I$2</f>
        <v>2.1291999999999998E-2</v>
      </c>
      <c r="D21" s="2">
        <v>7.1441999999999997</v>
      </c>
      <c r="E21" s="1">
        <f>Tabela9[[#This Row],[Força (N)]]/$I$5</f>
        <v>168606.62701784197</v>
      </c>
      <c r="F21" s="1">
        <f>Tabela9[[#This Row],[Tensão (Pa)]]/1000000</f>
        <v>0.16860662701784196</v>
      </c>
    </row>
    <row r="22" spans="1:6" x14ac:dyDescent="0.3">
      <c r="A22" s="2">
        <v>12.967000000000001</v>
      </c>
      <c r="B22" s="2">
        <v>1.073</v>
      </c>
      <c r="C22" s="1">
        <f>Tabela9[[#This Row],[Alongamento (mm/mm)]]/$I$2</f>
        <v>2.146E-2</v>
      </c>
      <c r="D22" s="2">
        <v>7.1441999999999997</v>
      </c>
      <c r="E22" s="1">
        <f>Tabela9[[#This Row],[Força (N)]]/$I$5</f>
        <v>168606.62701784197</v>
      </c>
      <c r="F22" s="1">
        <f>Tabela9[[#This Row],[Tensão (Pa)]]/1000000</f>
        <v>0.16860662701784196</v>
      </c>
    </row>
    <row r="23" spans="1:6" x14ac:dyDescent="0.3">
      <c r="A23" s="2">
        <v>13.083</v>
      </c>
      <c r="B23" s="2">
        <v>1.0826</v>
      </c>
      <c r="C23" s="1">
        <f>Tabela9[[#This Row],[Alongamento (mm/mm)]]/$I$2</f>
        <v>2.1652000000000001E-2</v>
      </c>
      <c r="D23" s="2">
        <v>7.4843000000000002</v>
      </c>
      <c r="E23" s="1">
        <f>Tabela9[[#This Row],[Força (N)]]/$I$5</f>
        <v>176633.15396960257</v>
      </c>
      <c r="F23" s="1">
        <f>Tabela9[[#This Row],[Tensão (Pa)]]/1000000</f>
        <v>0.17663315396960258</v>
      </c>
    </row>
    <row r="24" spans="1:6" x14ac:dyDescent="0.3">
      <c r="A24" s="2">
        <v>13.183</v>
      </c>
      <c r="B24" s="2">
        <v>1.091</v>
      </c>
      <c r="C24" s="1">
        <f>Tabela9[[#This Row],[Alongamento (mm/mm)]]/$I$2</f>
        <v>2.1819999999999999E-2</v>
      </c>
      <c r="D24" s="2">
        <v>7.4843000000000002</v>
      </c>
      <c r="E24" s="1">
        <f>Tabela9[[#This Row],[Força (N)]]/$I$5</f>
        <v>176633.15396960257</v>
      </c>
      <c r="F24" s="1">
        <f>Tabela9[[#This Row],[Tensão (Pa)]]/1000000</f>
        <v>0.17663315396960258</v>
      </c>
    </row>
    <row r="25" spans="1:6" x14ac:dyDescent="0.3">
      <c r="A25" s="2">
        <v>13.3</v>
      </c>
      <c r="B25" s="2">
        <v>1.1008</v>
      </c>
      <c r="C25" s="1">
        <f>Tabela9[[#This Row],[Alongamento (mm/mm)]]/$I$2</f>
        <v>2.2016000000000001E-2</v>
      </c>
      <c r="D25" s="2">
        <v>7.6543999999999999</v>
      </c>
      <c r="E25" s="1">
        <f>Tabela9[[#This Row],[Força (N)]]/$I$5</f>
        <v>180647.59747002737</v>
      </c>
      <c r="F25" s="1">
        <f>Tabela9[[#This Row],[Tensão (Pa)]]/1000000</f>
        <v>0.18064759747002737</v>
      </c>
    </row>
    <row r="26" spans="1:6" x14ac:dyDescent="0.3">
      <c r="A26" s="2">
        <v>13.417</v>
      </c>
      <c r="B26" s="2">
        <v>1.1105</v>
      </c>
      <c r="C26" s="1">
        <f>Tabela9[[#This Row],[Alongamento (mm/mm)]]/$I$2</f>
        <v>2.2210000000000001E-2</v>
      </c>
      <c r="D26" s="2">
        <v>7.8244999999999996</v>
      </c>
      <c r="E26" s="1">
        <f>Tabela9[[#This Row],[Força (N)]]/$I$5</f>
        <v>184662.04097045219</v>
      </c>
      <c r="F26" s="1">
        <f>Tabela9[[#This Row],[Tensão (Pa)]]/1000000</f>
        <v>0.18466204097045219</v>
      </c>
    </row>
    <row r="27" spans="1:6" x14ac:dyDescent="0.3">
      <c r="A27" s="2">
        <v>13.532999999999999</v>
      </c>
      <c r="B27" s="2">
        <v>1.1202000000000001</v>
      </c>
      <c r="C27" s="1">
        <f>Tabela9[[#This Row],[Alongamento (mm/mm)]]/$I$2</f>
        <v>2.2404E-2</v>
      </c>
      <c r="D27" s="2">
        <v>8.3347999999999995</v>
      </c>
      <c r="E27" s="1">
        <f>Tabela9[[#This Row],[Força (N)]]/$I$5</f>
        <v>196705.3714717266</v>
      </c>
      <c r="F27" s="1">
        <f>Tabela9[[#This Row],[Tensão (Pa)]]/1000000</f>
        <v>0.19670537147172659</v>
      </c>
    </row>
    <row r="28" spans="1:6" x14ac:dyDescent="0.3">
      <c r="A28" s="2">
        <v>13.65</v>
      </c>
      <c r="B28" s="2">
        <v>1.1298999999999999</v>
      </c>
      <c r="C28" s="1">
        <f>Tabela9[[#This Row],[Alongamento (mm/mm)]]/$I$2</f>
        <v>2.2597999999999997E-2</v>
      </c>
      <c r="D28" s="2">
        <v>8.6750000000000007</v>
      </c>
      <c r="E28" s="1">
        <f>Tabela9[[#This Row],[Força (N)]]/$I$5</f>
        <v>204734.25847257624</v>
      </c>
      <c r="F28" s="1">
        <f>Tabela9[[#This Row],[Tensão (Pa)]]/1000000</f>
        <v>0.20473425847257623</v>
      </c>
    </row>
    <row r="29" spans="1:6" x14ac:dyDescent="0.3">
      <c r="A29" s="2">
        <v>13.766999999999999</v>
      </c>
      <c r="B29" s="2">
        <v>1.1395999999999999</v>
      </c>
      <c r="C29" s="1">
        <f>Tabela9[[#This Row],[Alongamento (mm/mm)]]/$I$2</f>
        <v>2.2792E-2</v>
      </c>
      <c r="D29" s="2">
        <v>8.8451000000000004</v>
      </c>
      <c r="E29" s="1">
        <f>Tabela9[[#This Row],[Força (N)]]/$I$5</f>
        <v>208748.70197300104</v>
      </c>
      <c r="F29" s="1">
        <f>Tabela9[[#This Row],[Tensão (Pa)]]/1000000</f>
        <v>0.20874870197300105</v>
      </c>
    </row>
    <row r="30" spans="1:6" x14ac:dyDescent="0.3">
      <c r="A30" s="2">
        <v>13.882999999999999</v>
      </c>
      <c r="B30" s="2">
        <v>1.1493</v>
      </c>
      <c r="C30" s="1">
        <f>Tabela9[[#This Row],[Alongamento (mm/mm)]]/$I$2</f>
        <v>2.2985999999999999E-2</v>
      </c>
      <c r="D30" s="2">
        <v>8.1646999999999998</v>
      </c>
      <c r="E30" s="1">
        <f>Tabela9[[#This Row],[Força (N)]]/$I$5</f>
        <v>192690.9279713018</v>
      </c>
      <c r="F30" s="1">
        <f>Tabela9[[#This Row],[Tensão (Pa)]]/1000000</f>
        <v>0.1926909279713018</v>
      </c>
    </row>
    <row r="31" spans="1:6" x14ac:dyDescent="0.3">
      <c r="A31" s="2">
        <v>14</v>
      </c>
      <c r="B31" s="2">
        <v>1.159</v>
      </c>
      <c r="C31" s="1">
        <f>Tabela9[[#This Row],[Alongamento (mm/mm)]]/$I$2</f>
        <v>2.3179999999999999E-2</v>
      </c>
      <c r="D31" s="2">
        <v>7.9946000000000002</v>
      </c>
      <c r="E31" s="1">
        <f>Tabela9[[#This Row],[Força (N)]]/$I$5</f>
        <v>188676.48447087701</v>
      </c>
      <c r="F31" s="1">
        <f>Tabela9[[#This Row],[Tensão (Pa)]]/1000000</f>
        <v>0.18867648447087701</v>
      </c>
    </row>
    <row r="32" spans="1:6" x14ac:dyDescent="0.3">
      <c r="A32" s="2">
        <v>14.117000000000001</v>
      </c>
      <c r="B32" s="2">
        <v>1.1688000000000001</v>
      </c>
      <c r="C32" s="1">
        <f>Tabela9[[#This Row],[Alongamento (mm/mm)]]/$I$2</f>
        <v>2.3376000000000001E-2</v>
      </c>
      <c r="D32" s="2">
        <v>7.8244999999999996</v>
      </c>
      <c r="E32" s="1">
        <f>Tabela9[[#This Row],[Força (N)]]/$I$5</f>
        <v>184662.04097045219</v>
      </c>
      <c r="F32" s="1">
        <f>Tabela9[[#This Row],[Tensão (Pa)]]/1000000</f>
        <v>0.18466204097045219</v>
      </c>
    </row>
    <row r="33" spans="1:6" x14ac:dyDescent="0.3">
      <c r="A33" s="2">
        <v>14.233000000000001</v>
      </c>
      <c r="B33" s="2">
        <v>1.1785000000000001</v>
      </c>
      <c r="C33" s="1">
        <f>Tabela9[[#This Row],[Alongamento (mm/mm)]]/$I$2</f>
        <v>2.3570000000000001E-2</v>
      </c>
      <c r="D33" s="2">
        <v>7.8244999999999996</v>
      </c>
      <c r="E33" s="1">
        <f>Tabela9[[#This Row],[Força (N)]]/$I$5</f>
        <v>184662.04097045219</v>
      </c>
      <c r="F33" s="1">
        <f>Tabela9[[#This Row],[Tensão (Pa)]]/1000000</f>
        <v>0.18466204097045219</v>
      </c>
    </row>
    <row r="34" spans="1:6" x14ac:dyDescent="0.3">
      <c r="A34" s="2">
        <v>14.35</v>
      </c>
      <c r="B34" s="2">
        <v>1.1882999999999999</v>
      </c>
      <c r="C34" s="1">
        <f>Tabela9[[#This Row],[Alongamento (mm/mm)]]/$I$2</f>
        <v>2.3765999999999999E-2</v>
      </c>
      <c r="D34" s="2">
        <v>7.9946000000000002</v>
      </c>
      <c r="E34" s="1">
        <f>Tabela9[[#This Row],[Força (N)]]/$I$5</f>
        <v>188676.48447087701</v>
      </c>
      <c r="F34" s="1">
        <f>Tabela9[[#This Row],[Tensão (Pa)]]/1000000</f>
        <v>0.18867648447087701</v>
      </c>
    </row>
    <row r="35" spans="1:6" x14ac:dyDescent="0.3">
      <c r="A35" s="2">
        <v>14.467000000000001</v>
      </c>
      <c r="B35" s="2">
        <v>1.198</v>
      </c>
      <c r="C35" s="1">
        <f>Tabela9[[#This Row],[Alongamento (mm/mm)]]/$I$2</f>
        <v>2.3959999999999999E-2</v>
      </c>
      <c r="D35" s="2">
        <v>8.3347999999999995</v>
      </c>
      <c r="E35" s="1">
        <f>Tabela9[[#This Row],[Força (N)]]/$I$5</f>
        <v>196705.3714717266</v>
      </c>
      <c r="F35" s="1">
        <f>Tabela9[[#This Row],[Tensão (Pa)]]/1000000</f>
        <v>0.19670537147172659</v>
      </c>
    </row>
    <row r="36" spans="1:6" x14ac:dyDescent="0.3">
      <c r="A36" s="2">
        <v>14.583</v>
      </c>
      <c r="B36" s="2">
        <v>1.2077</v>
      </c>
      <c r="C36" s="1">
        <f>Tabela9[[#This Row],[Alongamento (mm/mm)]]/$I$2</f>
        <v>2.4153999999999998E-2</v>
      </c>
      <c r="D36" s="2">
        <v>8.8451000000000004</v>
      </c>
      <c r="E36" s="1">
        <f>Tabela9[[#This Row],[Força (N)]]/$I$5</f>
        <v>208748.70197300104</v>
      </c>
      <c r="F36" s="1">
        <f>Tabela9[[#This Row],[Tensão (Pa)]]/1000000</f>
        <v>0.20874870197300105</v>
      </c>
    </row>
    <row r="37" spans="1:6" x14ac:dyDescent="0.3">
      <c r="A37" s="2">
        <v>14.7</v>
      </c>
      <c r="B37" s="2">
        <v>1.2174</v>
      </c>
      <c r="C37" s="1">
        <f>Tabela9[[#This Row],[Alongamento (mm/mm)]]/$I$2</f>
        <v>2.4348000000000002E-2</v>
      </c>
      <c r="D37" s="2">
        <v>9.3553999999999995</v>
      </c>
      <c r="E37" s="1">
        <f>Tabela9[[#This Row],[Força (N)]]/$I$5</f>
        <v>220792.03247427545</v>
      </c>
      <c r="F37" s="1">
        <f>Tabela9[[#This Row],[Tensão (Pa)]]/1000000</f>
        <v>0.22079203247427545</v>
      </c>
    </row>
    <row r="38" spans="1:6" x14ac:dyDescent="0.3">
      <c r="A38" s="2">
        <v>14.817</v>
      </c>
      <c r="B38" s="2">
        <v>1.2271000000000001</v>
      </c>
      <c r="C38" s="1">
        <f>Tabela9[[#This Row],[Alongamento (mm/mm)]]/$I$2</f>
        <v>2.4542000000000001E-2</v>
      </c>
      <c r="D38" s="2">
        <v>9.5254999999999992</v>
      </c>
      <c r="E38" s="1">
        <f>Tabela9[[#This Row],[Força (N)]]/$I$5</f>
        <v>224806.47597470024</v>
      </c>
      <c r="F38" s="1">
        <f>Tabela9[[#This Row],[Tensão (Pa)]]/1000000</f>
        <v>0.22480647597470024</v>
      </c>
    </row>
    <row r="39" spans="1:6" x14ac:dyDescent="0.3">
      <c r="A39" s="2">
        <v>14.933</v>
      </c>
      <c r="B39" s="2">
        <v>1.2367999999999999</v>
      </c>
      <c r="C39" s="1">
        <f>Tabela9[[#This Row],[Alongamento (mm/mm)]]/$I$2</f>
        <v>2.4735999999999998E-2</v>
      </c>
      <c r="D39" s="2">
        <v>9.8657000000000004</v>
      </c>
      <c r="E39" s="1">
        <f>Tabela9[[#This Row],[Força (N)]]/$I$5</f>
        <v>232835.36297554991</v>
      </c>
      <c r="F39" s="1">
        <f>Tabela9[[#This Row],[Tensão (Pa)]]/1000000</f>
        <v>0.23283536297554991</v>
      </c>
    </row>
    <row r="40" spans="1:6" x14ac:dyDescent="0.3">
      <c r="A40" s="2">
        <v>15.05</v>
      </c>
      <c r="B40" s="2">
        <v>1.2464999999999999</v>
      </c>
      <c r="C40" s="1">
        <f>Tabela9[[#This Row],[Alongamento (mm/mm)]]/$I$2</f>
        <v>2.4929999999999997E-2</v>
      </c>
      <c r="D40" s="2">
        <v>10.036</v>
      </c>
      <c r="E40" s="1">
        <f>Tabela9[[#This Row],[Força (N)]]/$I$5</f>
        <v>236854.52657415273</v>
      </c>
      <c r="F40" s="1">
        <f>Tabela9[[#This Row],[Tensão (Pa)]]/1000000</f>
        <v>0.23685452657415274</v>
      </c>
    </row>
    <row r="41" spans="1:6" x14ac:dyDescent="0.3">
      <c r="A41" s="2">
        <v>15.167</v>
      </c>
      <c r="B41" s="2">
        <v>1.2563</v>
      </c>
      <c r="C41" s="1">
        <f>Tabela9[[#This Row],[Alongamento (mm/mm)]]/$I$2</f>
        <v>2.5125999999999999E-2</v>
      </c>
      <c r="D41" s="2">
        <v>10.206</v>
      </c>
      <c r="E41" s="1">
        <f>Tabela9[[#This Row],[Força (N)]]/$I$5</f>
        <v>240866.61002548851</v>
      </c>
      <c r="F41" s="1">
        <f>Tabela9[[#This Row],[Tensão (Pa)]]/1000000</f>
        <v>0.24086661002548851</v>
      </c>
    </row>
    <row r="42" spans="1:6" x14ac:dyDescent="0.3">
      <c r="A42" s="2">
        <v>15.282999999999999</v>
      </c>
      <c r="B42" s="2">
        <v>1.2661</v>
      </c>
      <c r="C42" s="1">
        <f>Tabela9[[#This Row],[Alongamento (mm/mm)]]/$I$2</f>
        <v>2.5322000000000001E-2</v>
      </c>
      <c r="D42" s="2">
        <v>10.206</v>
      </c>
      <c r="E42" s="1">
        <f>Tabela9[[#This Row],[Força (N)]]/$I$5</f>
        <v>240866.61002548851</v>
      </c>
      <c r="F42" s="1">
        <f>Tabela9[[#This Row],[Tensão (Pa)]]/1000000</f>
        <v>0.24086661002548851</v>
      </c>
    </row>
    <row r="43" spans="1:6" x14ac:dyDescent="0.3">
      <c r="A43" s="2">
        <v>15.417</v>
      </c>
      <c r="B43" s="2">
        <v>1.2770999999999999</v>
      </c>
      <c r="C43" s="1">
        <f>Tabela9[[#This Row],[Alongamento (mm/mm)]]/$I$2</f>
        <v>2.5541999999999999E-2</v>
      </c>
      <c r="D43" s="2">
        <v>10.206</v>
      </c>
      <c r="E43" s="1">
        <f>Tabela9[[#This Row],[Força (N)]]/$I$5</f>
        <v>240866.61002548851</v>
      </c>
      <c r="F43" s="1">
        <f>Tabela9[[#This Row],[Tensão (Pa)]]/1000000</f>
        <v>0.24086661002548851</v>
      </c>
    </row>
    <row r="44" spans="1:6" x14ac:dyDescent="0.3">
      <c r="A44" s="2">
        <v>15.55</v>
      </c>
      <c r="B44" s="2">
        <v>1.2882</v>
      </c>
      <c r="C44" s="1">
        <f>Tabela9[[#This Row],[Alongamento (mm/mm)]]/$I$2</f>
        <v>2.5763999999999999E-2</v>
      </c>
      <c r="D44" s="2">
        <v>10.206</v>
      </c>
      <c r="E44" s="1">
        <f>Tabela9[[#This Row],[Força (N)]]/$I$5</f>
        <v>240866.61002548851</v>
      </c>
      <c r="F44" s="1">
        <f>Tabela9[[#This Row],[Tensão (Pa)]]/1000000</f>
        <v>0.24086661002548851</v>
      </c>
    </row>
    <row r="45" spans="1:6" x14ac:dyDescent="0.3">
      <c r="A45" s="2">
        <v>15.683</v>
      </c>
      <c r="B45" s="2">
        <v>1.2992999999999999</v>
      </c>
      <c r="C45" s="1">
        <f>Tabela9[[#This Row],[Alongamento (mm/mm)]]/$I$2</f>
        <v>2.5985999999999999E-2</v>
      </c>
      <c r="D45" s="2">
        <v>10.206</v>
      </c>
      <c r="E45" s="1">
        <f>Tabela9[[#This Row],[Força (N)]]/$I$5</f>
        <v>240866.61002548851</v>
      </c>
      <c r="F45" s="1">
        <f>Tabela9[[#This Row],[Tensão (Pa)]]/1000000</f>
        <v>0.24086661002548851</v>
      </c>
    </row>
    <row r="46" spans="1:6" x14ac:dyDescent="0.3">
      <c r="A46" s="2">
        <v>15.817</v>
      </c>
      <c r="B46" s="2">
        <v>1.3104</v>
      </c>
      <c r="C46" s="1">
        <f>Tabela9[[#This Row],[Alongamento (mm/mm)]]/$I$2</f>
        <v>2.6207999999999999E-2</v>
      </c>
      <c r="D46" s="2">
        <v>10.206</v>
      </c>
      <c r="E46" s="1">
        <f>Tabela9[[#This Row],[Força (N)]]/$I$5</f>
        <v>240866.61002548851</v>
      </c>
      <c r="F46" s="1">
        <f>Tabela9[[#This Row],[Tensão (Pa)]]/1000000</f>
        <v>0.24086661002548851</v>
      </c>
    </row>
    <row r="47" spans="1:6" x14ac:dyDescent="0.3">
      <c r="A47" s="2">
        <v>15.95</v>
      </c>
      <c r="B47" s="2">
        <v>1.3214999999999999</v>
      </c>
      <c r="C47" s="1">
        <f>Tabela9[[#This Row],[Alongamento (mm/mm)]]/$I$2</f>
        <v>2.6429999999999999E-2</v>
      </c>
      <c r="D47" s="2">
        <v>10.206</v>
      </c>
      <c r="E47" s="1">
        <f>Tabela9[[#This Row],[Força (N)]]/$I$5</f>
        <v>240866.61002548851</v>
      </c>
      <c r="F47" s="1">
        <f>Tabela9[[#This Row],[Tensão (Pa)]]/1000000</f>
        <v>0.24086661002548851</v>
      </c>
    </row>
    <row r="48" spans="1:6" x14ac:dyDescent="0.3">
      <c r="A48" s="2">
        <v>16.082999999999998</v>
      </c>
      <c r="B48" s="2">
        <v>1.3327</v>
      </c>
      <c r="C48" s="1">
        <f>Tabela9[[#This Row],[Alongamento (mm/mm)]]/$I$2</f>
        <v>2.6654000000000001E-2</v>
      </c>
      <c r="D48" s="2">
        <v>10.206</v>
      </c>
      <c r="E48" s="1">
        <f>Tabela9[[#This Row],[Força (N)]]/$I$5</f>
        <v>240866.61002548851</v>
      </c>
      <c r="F48" s="1">
        <f>Tabela9[[#This Row],[Tensão (Pa)]]/1000000</f>
        <v>0.24086661002548851</v>
      </c>
    </row>
    <row r="49" spans="1:6" x14ac:dyDescent="0.3">
      <c r="A49" s="2">
        <v>16.216999999999999</v>
      </c>
      <c r="B49" s="2">
        <v>1.3438000000000001</v>
      </c>
      <c r="C49" s="1">
        <f>Tabela9[[#This Row],[Alongamento (mm/mm)]]/$I$2</f>
        <v>2.6876000000000001E-2</v>
      </c>
      <c r="D49" s="2">
        <v>10.375999999999999</v>
      </c>
      <c r="E49" s="1">
        <f>Tabela9[[#This Row],[Força (N)]]/$I$5</f>
        <v>244878.69347682429</v>
      </c>
      <c r="F49" s="1">
        <f>Tabela9[[#This Row],[Tensão (Pa)]]/1000000</f>
        <v>0.24487869347682428</v>
      </c>
    </row>
    <row r="50" spans="1:6" x14ac:dyDescent="0.3">
      <c r="A50" s="2">
        <v>16.350000000000001</v>
      </c>
      <c r="B50" s="2">
        <v>1.3549</v>
      </c>
      <c r="C50" s="1">
        <f>Tabela9[[#This Row],[Alongamento (mm/mm)]]/$I$2</f>
        <v>2.7098000000000001E-2</v>
      </c>
      <c r="D50" s="2">
        <v>10.375999999999999</v>
      </c>
      <c r="E50" s="1">
        <f>Tabela9[[#This Row],[Força (N)]]/$I$5</f>
        <v>244878.69347682429</v>
      </c>
      <c r="F50" s="1">
        <f>Tabela9[[#This Row],[Tensão (Pa)]]/1000000</f>
        <v>0.24487869347682428</v>
      </c>
    </row>
    <row r="51" spans="1:6" x14ac:dyDescent="0.3">
      <c r="A51" s="2">
        <v>16.483000000000001</v>
      </c>
      <c r="B51" s="2">
        <v>1.3658999999999999</v>
      </c>
      <c r="C51" s="1">
        <f>Tabela9[[#This Row],[Alongamento (mm/mm)]]/$I$2</f>
        <v>2.7317999999999999E-2</v>
      </c>
      <c r="D51" s="2">
        <v>10.375999999999999</v>
      </c>
      <c r="E51" s="1">
        <f>Tabela9[[#This Row],[Força (N)]]/$I$5</f>
        <v>244878.69347682429</v>
      </c>
      <c r="F51" s="1">
        <f>Tabela9[[#This Row],[Tensão (Pa)]]/1000000</f>
        <v>0.24487869347682428</v>
      </c>
    </row>
    <row r="52" spans="1:6" x14ac:dyDescent="0.3">
      <c r="A52" s="2">
        <v>16.617000000000001</v>
      </c>
      <c r="B52" s="2">
        <v>1.3772</v>
      </c>
      <c r="C52" s="1">
        <f>Tabela9[[#This Row],[Alongamento (mm/mm)]]/$I$2</f>
        <v>2.7543999999999999E-2</v>
      </c>
      <c r="D52" s="2">
        <v>10.545999999999999</v>
      </c>
      <c r="E52" s="1">
        <f>Tabela9[[#This Row],[Força (N)]]/$I$5</f>
        <v>248890.77692816008</v>
      </c>
      <c r="F52" s="1">
        <f>Tabela9[[#This Row],[Tensão (Pa)]]/1000000</f>
        <v>0.24889077692816008</v>
      </c>
    </row>
    <row r="53" spans="1:6" x14ac:dyDescent="0.3">
      <c r="A53" s="2">
        <v>16.75</v>
      </c>
      <c r="B53" s="2">
        <v>1.3882000000000001</v>
      </c>
      <c r="C53" s="1">
        <f>Tabela9[[#This Row],[Alongamento (mm/mm)]]/$I$2</f>
        <v>2.7764E-2</v>
      </c>
      <c r="D53" s="2">
        <v>10.885999999999999</v>
      </c>
      <c r="E53" s="1">
        <f>Tabela9[[#This Row],[Força (N)]]/$I$5</f>
        <v>256914.94383083167</v>
      </c>
      <c r="F53" s="1">
        <f>Tabela9[[#This Row],[Tensão (Pa)]]/1000000</f>
        <v>0.25691494383083169</v>
      </c>
    </row>
    <row r="54" spans="1:6" x14ac:dyDescent="0.3">
      <c r="A54" s="2">
        <v>16.867000000000001</v>
      </c>
      <c r="B54" s="2">
        <v>1.3978999999999999</v>
      </c>
      <c r="C54" s="1">
        <f>Tabela9[[#This Row],[Alongamento (mm/mm)]]/$I$2</f>
        <v>2.7957999999999997E-2</v>
      </c>
      <c r="D54" s="2">
        <v>11.567</v>
      </c>
      <c r="E54" s="1">
        <f>Tabela9[[#This Row],[Força (N)]]/$I$5</f>
        <v>272986.87812706502</v>
      </c>
      <c r="F54" s="1">
        <f>Tabela9[[#This Row],[Tensão (Pa)]]/1000000</f>
        <v>0.27298687812706501</v>
      </c>
    </row>
    <row r="55" spans="1:6" x14ac:dyDescent="0.3">
      <c r="A55" s="2">
        <v>17</v>
      </c>
      <c r="B55" s="2">
        <v>1.4091</v>
      </c>
      <c r="C55" s="1">
        <f>Tabela9[[#This Row],[Alongamento (mm/mm)]]/$I$2</f>
        <v>2.8181999999999999E-2</v>
      </c>
      <c r="D55" s="2">
        <v>11.907</v>
      </c>
      <c r="E55" s="1">
        <f>Tabela9[[#This Row],[Força (N)]]/$I$5</f>
        <v>281011.04502973659</v>
      </c>
      <c r="F55" s="1">
        <f>Tabela9[[#This Row],[Tensão (Pa)]]/1000000</f>
        <v>0.28101104502973662</v>
      </c>
    </row>
    <row r="56" spans="1:6" x14ac:dyDescent="0.3">
      <c r="A56" s="2">
        <v>17.132999999999999</v>
      </c>
      <c r="B56" s="2">
        <v>1.4201999999999999</v>
      </c>
      <c r="C56" s="1">
        <f>Tabela9[[#This Row],[Alongamento (mm/mm)]]/$I$2</f>
        <v>2.8403999999999999E-2</v>
      </c>
      <c r="D56" s="2">
        <v>12.077</v>
      </c>
      <c r="E56" s="1">
        <f>Tabela9[[#This Row],[Força (N)]]/$I$5</f>
        <v>285023.12848107243</v>
      </c>
      <c r="F56" s="1">
        <f>Tabela9[[#This Row],[Tensão (Pa)]]/1000000</f>
        <v>0.28502312848107242</v>
      </c>
    </row>
    <row r="57" spans="1:6" x14ac:dyDescent="0.3">
      <c r="A57" s="2">
        <v>17.266999999999999</v>
      </c>
      <c r="B57" s="2">
        <v>1.4313</v>
      </c>
      <c r="C57" s="1">
        <f>Tabela9[[#This Row],[Alongamento (mm/mm)]]/$I$2</f>
        <v>2.8625999999999999E-2</v>
      </c>
      <c r="D57" s="2">
        <v>12.247</v>
      </c>
      <c r="E57" s="1">
        <f>Tabela9[[#This Row],[Força (N)]]/$I$5</f>
        <v>289035.21193240822</v>
      </c>
      <c r="F57" s="1">
        <f>Tabela9[[#This Row],[Tensão (Pa)]]/1000000</f>
        <v>0.28903521193240822</v>
      </c>
    </row>
    <row r="58" spans="1:6" x14ac:dyDescent="0.3">
      <c r="A58" s="2">
        <v>17.417000000000002</v>
      </c>
      <c r="B58" s="2">
        <v>1.4437</v>
      </c>
      <c r="C58" s="1">
        <f>Tabela9[[#This Row],[Alongamento (mm/mm)]]/$I$2</f>
        <v>2.8874E-2</v>
      </c>
      <c r="D58" s="2">
        <v>12.417</v>
      </c>
      <c r="E58" s="1">
        <f>Tabela9[[#This Row],[Força (N)]]/$I$5</f>
        <v>293047.295383744</v>
      </c>
      <c r="F58" s="1">
        <f>Tabela9[[#This Row],[Tensão (Pa)]]/1000000</f>
        <v>0.29304729538374402</v>
      </c>
    </row>
    <row r="59" spans="1:6" x14ac:dyDescent="0.3">
      <c r="A59" s="2">
        <v>17.567</v>
      </c>
      <c r="B59" s="2">
        <v>1.4562999999999999</v>
      </c>
      <c r="C59" s="1">
        <f>Tabela9[[#This Row],[Alongamento (mm/mm)]]/$I$2</f>
        <v>2.9125999999999999E-2</v>
      </c>
      <c r="D59" s="2">
        <v>12.587</v>
      </c>
      <c r="E59" s="1">
        <f>Tabela9[[#This Row],[Força (N)]]/$I$5</f>
        <v>297059.37883507978</v>
      </c>
      <c r="F59" s="1">
        <f>Tabela9[[#This Row],[Tensão (Pa)]]/1000000</f>
        <v>0.29705937883507977</v>
      </c>
    </row>
    <row r="60" spans="1:6" x14ac:dyDescent="0.3">
      <c r="A60" s="2">
        <v>17.716999999999999</v>
      </c>
      <c r="B60" s="2">
        <v>1.4688000000000001</v>
      </c>
      <c r="C60" s="1">
        <f>Tabela9[[#This Row],[Alongamento (mm/mm)]]/$I$2</f>
        <v>2.9376000000000003E-2</v>
      </c>
      <c r="D60" s="2">
        <v>12.587</v>
      </c>
      <c r="E60" s="1">
        <f>Tabela9[[#This Row],[Força (N)]]/$I$5</f>
        <v>297059.37883507978</v>
      </c>
      <c r="F60" s="1">
        <f>Tabela9[[#This Row],[Tensão (Pa)]]/1000000</f>
        <v>0.29705937883507977</v>
      </c>
    </row>
    <row r="61" spans="1:6" x14ac:dyDescent="0.3">
      <c r="A61" s="2">
        <v>17.867000000000001</v>
      </c>
      <c r="B61" s="2">
        <v>1.4813000000000001</v>
      </c>
      <c r="C61" s="1">
        <f>Tabela9[[#This Row],[Alongamento (mm/mm)]]/$I$2</f>
        <v>2.9626E-2</v>
      </c>
      <c r="D61" s="2">
        <v>12.587</v>
      </c>
      <c r="E61" s="1">
        <f>Tabela9[[#This Row],[Força (N)]]/$I$5</f>
        <v>297059.37883507978</v>
      </c>
      <c r="F61" s="1">
        <f>Tabela9[[#This Row],[Tensão (Pa)]]/1000000</f>
        <v>0.29705937883507977</v>
      </c>
    </row>
    <row r="62" spans="1:6" x14ac:dyDescent="0.3">
      <c r="A62" s="2">
        <v>18.016999999999999</v>
      </c>
      <c r="B62" s="2">
        <v>1.4938</v>
      </c>
      <c r="C62" s="1">
        <f>Tabela9[[#This Row],[Alongamento (mm/mm)]]/$I$2</f>
        <v>2.9876E-2</v>
      </c>
      <c r="D62" s="2">
        <v>12.587</v>
      </c>
      <c r="E62" s="1">
        <f>Tabela9[[#This Row],[Força (N)]]/$I$5</f>
        <v>297059.37883507978</v>
      </c>
      <c r="F62" s="1">
        <f>Tabela9[[#This Row],[Tensão (Pa)]]/1000000</f>
        <v>0.29705937883507977</v>
      </c>
    </row>
    <row r="63" spans="1:6" x14ac:dyDescent="0.3">
      <c r="A63" s="2">
        <v>18.167000000000002</v>
      </c>
      <c r="B63" s="2">
        <v>1.5062</v>
      </c>
      <c r="C63" s="1">
        <f>Tabela9[[#This Row],[Alongamento (mm/mm)]]/$I$2</f>
        <v>3.0123999999999998E-2</v>
      </c>
      <c r="D63" s="2">
        <v>12.587</v>
      </c>
      <c r="E63" s="1">
        <f>Tabela9[[#This Row],[Força (N)]]/$I$5</f>
        <v>297059.37883507978</v>
      </c>
      <c r="F63" s="1">
        <f>Tabela9[[#This Row],[Tensão (Pa)]]/1000000</f>
        <v>0.29705937883507977</v>
      </c>
    </row>
    <row r="64" spans="1:6" x14ac:dyDescent="0.3">
      <c r="A64" s="2">
        <v>18.317</v>
      </c>
      <c r="B64" s="2">
        <v>1.5187999999999999</v>
      </c>
      <c r="C64" s="1">
        <f>Tabela9[[#This Row],[Alongamento (mm/mm)]]/$I$2</f>
        <v>3.0376E-2</v>
      </c>
      <c r="D64" s="2">
        <v>12.587</v>
      </c>
      <c r="E64" s="1">
        <f>Tabela9[[#This Row],[Força (N)]]/$I$5</f>
        <v>297059.37883507978</v>
      </c>
      <c r="F64" s="1">
        <f>Tabela9[[#This Row],[Tensão (Pa)]]/1000000</f>
        <v>0.29705937883507977</v>
      </c>
    </row>
    <row r="65" spans="1:6" x14ac:dyDescent="0.3">
      <c r="A65" s="2">
        <v>18.466999999999999</v>
      </c>
      <c r="B65" s="2">
        <v>1.5313000000000001</v>
      </c>
      <c r="C65" s="1">
        <f>Tabela9[[#This Row],[Alongamento (mm/mm)]]/$I$2</f>
        <v>3.0626E-2</v>
      </c>
      <c r="D65" s="2">
        <v>12.587</v>
      </c>
      <c r="E65" s="1">
        <f>Tabela9[[#This Row],[Força (N)]]/$I$5</f>
        <v>297059.37883507978</v>
      </c>
      <c r="F65" s="1">
        <f>Tabela9[[#This Row],[Tensão (Pa)]]/1000000</f>
        <v>0.29705937883507977</v>
      </c>
    </row>
    <row r="66" spans="1:6" x14ac:dyDescent="0.3">
      <c r="A66" s="2">
        <v>18.617000000000001</v>
      </c>
      <c r="B66" s="2">
        <v>1.5437000000000001</v>
      </c>
      <c r="C66" s="1">
        <f>Tabela9[[#This Row],[Alongamento (mm/mm)]]/$I$2</f>
        <v>3.0874000000000002E-2</v>
      </c>
      <c r="D66" s="2">
        <v>12.587</v>
      </c>
      <c r="E66" s="1">
        <f>Tabela9[[#This Row],[Força (N)]]/$I$5</f>
        <v>297059.37883507978</v>
      </c>
      <c r="F66" s="1">
        <f>Tabela9[[#This Row],[Tensão (Pa)]]/1000000</f>
        <v>0.29705937883507977</v>
      </c>
    </row>
    <row r="67" spans="1:6" x14ac:dyDescent="0.3">
      <c r="A67" s="2">
        <v>18.766999999999999</v>
      </c>
      <c r="B67" s="2">
        <v>1.5563</v>
      </c>
      <c r="C67" s="1">
        <f>Tabela9[[#This Row],[Alongamento (mm/mm)]]/$I$2</f>
        <v>3.1126000000000001E-2</v>
      </c>
      <c r="D67" s="2">
        <v>12.587</v>
      </c>
      <c r="E67" s="1">
        <f>Tabela9[[#This Row],[Força (N)]]/$I$5</f>
        <v>297059.37883507978</v>
      </c>
      <c r="F67" s="1">
        <f>Tabela9[[#This Row],[Tensão (Pa)]]/1000000</f>
        <v>0.29705937883507977</v>
      </c>
    </row>
    <row r="68" spans="1:6" x14ac:dyDescent="0.3">
      <c r="A68" s="2">
        <v>18.917000000000002</v>
      </c>
      <c r="B68" s="2">
        <v>1.5688</v>
      </c>
      <c r="C68" s="1">
        <f>Tabela9[[#This Row],[Alongamento (mm/mm)]]/$I$2</f>
        <v>3.1376000000000001E-2</v>
      </c>
      <c r="D68" s="2">
        <v>12.757</v>
      </c>
      <c r="E68" s="1">
        <f>Tabela9[[#This Row],[Força (N)]]/$I$5</f>
        <v>301071.46228641557</v>
      </c>
      <c r="F68" s="1">
        <f>Tabela9[[#This Row],[Tensão (Pa)]]/1000000</f>
        <v>0.30107146228641557</v>
      </c>
    </row>
    <row r="69" spans="1:6" x14ac:dyDescent="0.3">
      <c r="A69" s="2">
        <v>19.067</v>
      </c>
      <c r="B69" s="2">
        <v>1.5812999999999999</v>
      </c>
      <c r="C69" s="1">
        <f>Tabela9[[#This Row],[Alongamento (mm/mm)]]/$I$2</f>
        <v>3.1626000000000001E-2</v>
      </c>
      <c r="D69" s="2">
        <v>12.757</v>
      </c>
      <c r="E69" s="1">
        <f>Tabela9[[#This Row],[Força (N)]]/$I$5</f>
        <v>301071.46228641557</v>
      </c>
      <c r="F69" s="1">
        <f>Tabela9[[#This Row],[Tensão (Pa)]]/1000000</f>
        <v>0.30107146228641557</v>
      </c>
    </row>
    <row r="70" spans="1:6" x14ac:dyDescent="0.3">
      <c r="A70" s="2">
        <v>19.216999999999999</v>
      </c>
      <c r="B70" s="2">
        <v>1.5936999999999999</v>
      </c>
      <c r="C70" s="1">
        <f>Tabela9[[#This Row],[Alongamento (mm/mm)]]/$I$2</f>
        <v>3.1874E-2</v>
      </c>
      <c r="D70" s="2">
        <v>12.757</v>
      </c>
      <c r="E70" s="1">
        <f>Tabela9[[#This Row],[Força (N)]]/$I$5</f>
        <v>301071.46228641557</v>
      </c>
      <c r="F70" s="1">
        <f>Tabela9[[#This Row],[Tensão (Pa)]]/1000000</f>
        <v>0.30107146228641557</v>
      </c>
    </row>
    <row r="71" spans="1:6" x14ac:dyDescent="0.3">
      <c r="A71" s="2">
        <v>19.367000000000001</v>
      </c>
      <c r="B71" s="2">
        <v>1.6063000000000001</v>
      </c>
      <c r="C71" s="1">
        <f>Tabela9[[#This Row],[Alongamento (mm/mm)]]/$I$2</f>
        <v>3.2126000000000002E-2</v>
      </c>
      <c r="D71" s="2">
        <v>12.757</v>
      </c>
      <c r="E71" s="1">
        <f>Tabela9[[#This Row],[Força (N)]]/$I$5</f>
        <v>301071.46228641557</v>
      </c>
      <c r="F71" s="1">
        <f>Tabela9[[#This Row],[Tensão (Pa)]]/1000000</f>
        <v>0.30107146228641557</v>
      </c>
    </row>
    <row r="72" spans="1:6" x14ac:dyDescent="0.3">
      <c r="A72" s="2">
        <v>19.516999999999999</v>
      </c>
      <c r="B72" s="2">
        <v>1.6187</v>
      </c>
      <c r="C72" s="1">
        <f>Tabela9[[#This Row],[Alongamento (mm/mm)]]/$I$2</f>
        <v>3.2374E-2</v>
      </c>
      <c r="D72" s="2">
        <v>12.757</v>
      </c>
      <c r="E72" s="1">
        <f>Tabela9[[#This Row],[Força (N)]]/$I$5</f>
        <v>301071.46228641557</v>
      </c>
      <c r="F72" s="1">
        <f>Tabela9[[#This Row],[Tensão (Pa)]]/1000000</f>
        <v>0.30107146228641557</v>
      </c>
    </row>
    <row r="73" spans="1:6" x14ac:dyDescent="0.3">
      <c r="A73" s="2">
        <v>19.667000000000002</v>
      </c>
      <c r="B73" s="2">
        <v>1.6313</v>
      </c>
      <c r="C73" s="1">
        <f>Tabela9[[#This Row],[Alongamento (mm/mm)]]/$I$2</f>
        <v>3.2626000000000002E-2</v>
      </c>
      <c r="D73" s="2">
        <v>12.757</v>
      </c>
      <c r="E73" s="1">
        <f>Tabela9[[#This Row],[Força (N)]]/$I$5</f>
        <v>301071.46228641557</v>
      </c>
      <c r="F73" s="1">
        <f>Tabela9[[#This Row],[Tensão (Pa)]]/1000000</f>
        <v>0.30107146228641557</v>
      </c>
    </row>
    <row r="74" spans="1:6" x14ac:dyDescent="0.3">
      <c r="A74" s="2">
        <v>19.832999999999998</v>
      </c>
      <c r="B74" s="2">
        <v>1.6451</v>
      </c>
      <c r="C74" s="1">
        <f>Tabela9[[#This Row],[Alongamento (mm/mm)]]/$I$2</f>
        <v>3.2902000000000001E-2</v>
      </c>
      <c r="D74" s="2">
        <v>12.928000000000001</v>
      </c>
      <c r="E74" s="1">
        <f>Tabela9[[#This Row],[Força (N)]]/$I$5</f>
        <v>305107.14622864156</v>
      </c>
      <c r="F74" s="1">
        <f>Tabela9[[#This Row],[Tensão (Pa)]]/1000000</f>
        <v>0.30510714622864155</v>
      </c>
    </row>
    <row r="75" spans="1:6" x14ac:dyDescent="0.3">
      <c r="A75" s="2">
        <v>20</v>
      </c>
      <c r="B75" s="2">
        <v>1.659</v>
      </c>
      <c r="C75" s="1">
        <f>Tabela9[[#This Row],[Alongamento (mm/mm)]]/$I$2</f>
        <v>3.3180000000000001E-2</v>
      </c>
      <c r="D75" s="2">
        <v>12.757</v>
      </c>
      <c r="E75" s="1">
        <f>Tabela9[[#This Row],[Força (N)]]/$I$5</f>
        <v>301071.46228641557</v>
      </c>
      <c r="F75" s="1">
        <f>Tabela9[[#This Row],[Tensão (Pa)]]/1000000</f>
        <v>0.30107146228641557</v>
      </c>
    </row>
    <row r="76" spans="1:6" x14ac:dyDescent="0.3">
      <c r="A76" s="2">
        <v>20.167000000000002</v>
      </c>
      <c r="B76" s="2">
        <v>1.673</v>
      </c>
      <c r="C76" s="1">
        <f>Tabela9[[#This Row],[Alongamento (mm/mm)]]/$I$2</f>
        <v>3.3460000000000004E-2</v>
      </c>
      <c r="D76" s="2">
        <v>12.757</v>
      </c>
      <c r="E76" s="1">
        <f>Tabela9[[#This Row],[Força (N)]]/$I$5</f>
        <v>301071.46228641557</v>
      </c>
      <c r="F76" s="1">
        <f>Tabela9[[#This Row],[Tensão (Pa)]]/1000000</f>
        <v>0.30107146228641557</v>
      </c>
    </row>
    <row r="77" spans="1:6" x14ac:dyDescent="0.3">
      <c r="A77" s="2">
        <v>20.332999999999998</v>
      </c>
      <c r="B77" s="2">
        <v>1.6868000000000001</v>
      </c>
      <c r="C77" s="1">
        <f>Tabela9[[#This Row],[Alongamento (mm/mm)]]/$I$2</f>
        <v>3.3736000000000002E-2</v>
      </c>
      <c r="D77" s="2">
        <v>12.928000000000001</v>
      </c>
      <c r="E77" s="1">
        <f>Tabela9[[#This Row],[Força (N)]]/$I$5</f>
        <v>305107.14622864156</v>
      </c>
      <c r="F77" s="1">
        <f>Tabela9[[#This Row],[Tensão (Pa)]]/1000000</f>
        <v>0.30510714622864155</v>
      </c>
    </row>
    <row r="78" spans="1:6" x14ac:dyDescent="0.3">
      <c r="A78" s="2">
        <v>20.5</v>
      </c>
      <c r="B78" s="2">
        <v>1.7007000000000001</v>
      </c>
      <c r="C78" s="1">
        <f>Tabela9[[#This Row],[Alongamento (mm/mm)]]/$I$2</f>
        <v>3.4014000000000003E-2</v>
      </c>
      <c r="D78" s="2">
        <v>12.928000000000001</v>
      </c>
      <c r="E78" s="1">
        <f>Tabela9[[#This Row],[Força (N)]]/$I$5</f>
        <v>305107.14622864156</v>
      </c>
      <c r="F78" s="1">
        <f>Tabela9[[#This Row],[Tensão (Pa)]]/1000000</f>
        <v>0.30510714622864155</v>
      </c>
    </row>
    <row r="79" spans="1:6" x14ac:dyDescent="0.3">
      <c r="A79" s="2">
        <v>20.667000000000002</v>
      </c>
      <c r="B79" s="2">
        <v>1.7145999999999999</v>
      </c>
      <c r="C79" s="1">
        <f>Tabela9[[#This Row],[Alongamento (mm/mm)]]/$I$2</f>
        <v>3.4291999999999996E-2</v>
      </c>
      <c r="D79" s="2">
        <v>13.098000000000001</v>
      </c>
      <c r="E79" s="1">
        <f>Tabela9[[#This Row],[Força (N)]]/$I$5</f>
        <v>309119.22967997735</v>
      </c>
      <c r="F79" s="1">
        <f>Tabela9[[#This Row],[Tensão (Pa)]]/1000000</f>
        <v>0.30911922967997735</v>
      </c>
    </row>
    <row r="80" spans="1:6" x14ac:dyDescent="0.3">
      <c r="A80" s="2">
        <v>20.832999999999998</v>
      </c>
      <c r="B80" s="2">
        <v>1.7284999999999999</v>
      </c>
      <c r="C80" s="1">
        <f>Tabela9[[#This Row],[Alongamento (mm/mm)]]/$I$2</f>
        <v>3.4569999999999997E-2</v>
      </c>
      <c r="D80" s="2">
        <v>12.928000000000001</v>
      </c>
      <c r="E80" s="1">
        <f>Tabela9[[#This Row],[Força (N)]]/$I$5</f>
        <v>305107.14622864156</v>
      </c>
      <c r="F80" s="1">
        <f>Tabela9[[#This Row],[Tensão (Pa)]]/1000000</f>
        <v>0.30510714622864155</v>
      </c>
    </row>
    <row r="81" spans="1:6" x14ac:dyDescent="0.3">
      <c r="A81" s="2">
        <v>21</v>
      </c>
      <c r="B81" s="2">
        <v>1.7423999999999999</v>
      </c>
      <c r="C81" s="1">
        <f>Tabela9[[#This Row],[Alongamento (mm/mm)]]/$I$2</f>
        <v>3.4847999999999997E-2</v>
      </c>
      <c r="D81" s="2">
        <v>13.098000000000001</v>
      </c>
      <c r="E81" s="1">
        <f>Tabela9[[#This Row],[Força (N)]]/$I$5</f>
        <v>309119.22967997735</v>
      </c>
      <c r="F81" s="1">
        <f>Tabela9[[#This Row],[Tensão (Pa)]]/1000000</f>
        <v>0.30911922967997735</v>
      </c>
    </row>
    <row r="82" spans="1:6" x14ac:dyDescent="0.3">
      <c r="A82" s="2">
        <v>21.167000000000002</v>
      </c>
      <c r="B82" s="2">
        <v>1.7563</v>
      </c>
      <c r="C82" s="1">
        <f>Tabela9[[#This Row],[Alongamento (mm/mm)]]/$I$2</f>
        <v>3.5125999999999998E-2</v>
      </c>
      <c r="D82" s="2">
        <v>13.098000000000001</v>
      </c>
      <c r="E82" s="1">
        <f>Tabela9[[#This Row],[Força (N)]]/$I$5</f>
        <v>309119.22967997735</v>
      </c>
      <c r="F82" s="1">
        <f>Tabela9[[#This Row],[Tensão (Pa)]]/1000000</f>
        <v>0.30911922967997735</v>
      </c>
    </row>
    <row r="83" spans="1:6" x14ac:dyDescent="0.3">
      <c r="A83" s="2">
        <v>21.332999999999998</v>
      </c>
      <c r="B83" s="2">
        <v>1.7701</v>
      </c>
      <c r="C83" s="1">
        <f>Tabela9[[#This Row],[Alongamento (mm/mm)]]/$I$2</f>
        <v>3.5402000000000003E-2</v>
      </c>
      <c r="D83" s="2">
        <v>13.268000000000001</v>
      </c>
      <c r="E83" s="1">
        <f>Tabela9[[#This Row],[Força (N)]]/$I$5</f>
        <v>313131.31313131313</v>
      </c>
      <c r="F83" s="1">
        <f>Tabela9[[#This Row],[Tensão (Pa)]]/1000000</f>
        <v>0.31313131313131315</v>
      </c>
    </row>
    <row r="84" spans="1:6" x14ac:dyDescent="0.3">
      <c r="A84" s="2">
        <v>21.5</v>
      </c>
      <c r="B84" s="2">
        <v>1.784</v>
      </c>
      <c r="C84" s="1">
        <f>Tabela9[[#This Row],[Alongamento (mm/mm)]]/$I$2</f>
        <v>3.5680000000000003E-2</v>
      </c>
      <c r="D84" s="2">
        <v>13.268000000000001</v>
      </c>
      <c r="E84" s="1">
        <f>Tabela9[[#This Row],[Força (N)]]/$I$5</f>
        <v>313131.31313131313</v>
      </c>
      <c r="F84" s="1">
        <f>Tabela9[[#This Row],[Tensão (Pa)]]/1000000</f>
        <v>0.31313131313131315</v>
      </c>
    </row>
    <row r="85" spans="1:6" x14ac:dyDescent="0.3">
      <c r="A85" s="2">
        <v>21.667000000000002</v>
      </c>
      <c r="B85" s="2">
        <v>1.798</v>
      </c>
      <c r="C85" s="1">
        <f>Tabela9[[#This Row],[Alongamento (mm/mm)]]/$I$2</f>
        <v>3.5959999999999999E-2</v>
      </c>
      <c r="D85" s="2">
        <v>13.438000000000001</v>
      </c>
      <c r="E85" s="1">
        <f>Tabela9[[#This Row],[Força (N)]]/$I$5</f>
        <v>317143.39658264891</v>
      </c>
      <c r="F85" s="1">
        <f>Tabela9[[#This Row],[Tensão (Pa)]]/1000000</f>
        <v>0.3171433965826489</v>
      </c>
    </row>
    <row r="86" spans="1:6" x14ac:dyDescent="0.3">
      <c r="A86" s="2">
        <v>21.85</v>
      </c>
      <c r="B86" s="2">
        <v>1.8131999999999999</v>
      </c>
      <c r="C86" s="1">
        <f>Tabela9[[#This Row],[Alongamento (mm/mm)]]/$I$2</f>
        <v>3.6263999999999998E-2</v>
      </c>
      <c r="D86" s="2">
        <v>13.778</v>
      </c>
      <c r="E86" s="1">
        <f>Tabela9[[#This Row],[Força (N)]]/$I$5</f>
        <v>325167.56348532048</v>
      </c>
      <c r="F86" s="1">
        <f>Tabela9[[#This Row],[Tensão (Pa)]]/1000000</f>
        <v>0.3251675634853205</v>
      </c>
    </row>
    <row r="87" spans="1:6" x14ac:dyDescent="0.3">
      <c r="A87" s="2">
        <v>22</v>
      </c>
      <c r="B87" s="2">
        <v>1.8257000000000001</v>
      </c>
      <c r="C87" s="1">
        <f>Tabela9[[#This Row],[Alongamento (mm/mm)]]/$I$2</f>
        <v>3.6514000000000005E-2</v>
      </c>
      <c r="D87" s="2">
        <v>14.458</v>
      </c>
      <c r="E87" s="1">
        <f>Tabela9[[#This Row],[Força (N)]]/$I$5</f>
        <v>341215.89729066368</v>
      </c>
      <c r="F87" s="1">
        <f>Tabela9[[#This Row],[Tensão (Pa)]]/1000000</f>
        <v>0.34121589729066365</v>
      </c>
    </row>
    <row r="88" spans="1:6" x14ac:dyDescent="0.3">
      <c r="A88" s="2">
        <v>22.183</v>
      </c>
      <c r="B88" s="2">
        <v>1.8411</v>
      </c>
      <c r="C88" s="1">
        <f>Tabela9[[#This Row],[Alongamento (mm/mm)]]/$I$2</f>
        <v>3.6822000000000001E-2</v>
      </c>
      <c r="D88" s="2">
        <v>14.628</v>
      </c>
      <c r="E88" s="1">
        <f>Tabela9[[#This Row],[Força (N)]]/$I$5</f>
        <v>345227.98074199946</v>
      </c>
      <c r="F88" s="1">
        <f>Tabela9[[#This Row],[Tensão (Pa)]]/1000000</f>
        <v>0.34522798074199945</v>
      </c>
    </row>
    <row r="89" spans="1:6" x14ac:dyDescent="0.3">
      <c r="A89" s="2">
        <v>22.35</v>
      </c>
      <c r="B89" s="2">
        <v>1.8548</v>
      </c>
      <c r="C89" s="1">
        <f>Tabela9[[#This Row],[Alongamento (mm/mm)]]/$I$2</f>
        <v>3.7095999999999997E-2</v>
      </c>
      <c r="D89" s="2">
        <v>15.308999999999999</v>
      </c>
      <c r="E89" s="1">
        <f>Tabela9[[#This Row],[Força (N)]]/$I$5</f>
        <v>361299.91503823275</v>
      </c>
      <c r="F89" s="1">
        <f>Tabela9[[#This Row],[Tensão (Pa)]]/1000000</f>
        <v>0.36129991503823278</v>
      </c>
    </row>
    <row r="90" spans="1:6" x14ac:dyDescent="0.3">
      <c r="A90" s="2">
        <v>22.45</v>
      </c>
      <c r="B90" s="2">
        <v>1.8632</v>
      </c>
      <c r="C90" s="1">
        <f>Tabela9[[#This Row],[Alongamento (mm/mm)]]/$I$2</f>
        <v>3.7263999999999999E-2</v>
      </c>
      <c r="D90" s="2">
        <v>15.989000000000001</v>
      </c>
      <c r="E90" s="1">
        <f>Tabela9[[#This Row],[Força (N)]]/$I$5</f>
        <v>377348.24884357594</v>
      </c>
      <c r="F90" s="1">
        <f>Tabela9[[#This Row],[Tensão (Pa)]]/1000000</f>
        <v>0.37734824884357593</v>
      </c>
    </row>
    <row r="91" spans="1:6" x14ac:dyDescent="0.3">
      <c r="A91" s="2">
        <v>22.55</v>
      </c>
      <c r="B91" s="2">
        <v>1.8715999999999999</v>
      </c>
      <c r="C91" s="1">
        <f>Tabela9[[#This Row],[Alongamento (mm/mm)]]/$I$2</f>
        <v>3.7432E-2</v>
      </c>
      <c r="D91" s="2">
        <v>16.670000000000002</v>
      </c>
      <c r="E91" s="1">
        <f>Tabela9[[#This Row],[Força (N)]]/$I$5</f>
        <v>393420.18313980935</v>
      </c>
      <c r="F91" s="1">
        <f>Tabela9[[#This Row],[Tensão (Pa)]]/1000000</f>
        <v>0.39342018313980937</v>
      </c>
    </row>
    <row r="92" spans="1:6" x14ac:dyDescent="0.3">
      <c r="A92" s="2">
        <v>22.667000000000002</v>
      </c>
      <c r="B92" s="2">
        <v>1.8813</v>
      </c>
      <c r="C92" s="1">
        <f>Tabela9[[#This Row],[Alongamento (mm/mm)]]/$I$2</f>
        <v>3.7626E-2</v>
      </c>
      <c r="D92" s="2">
        <v>17.350000000000001</v>
      </c>
      <c r="E92" s="1">
        <f>Tabela9[[#This Row],[Força (N)]]/$I$5</f>
        <v>409468.51694515249</v>
      </c>
      <c r="F92" s="1">
        <f>Tabela9[[#This Row],[Tensão (Pa)]]/1000000</f>
        <v>0.40946851694515246</v>
      </c>
    </row>
    <row r="93" spans="1:6" x14ac:dyDescent="0.3">
      <c r="A93" s="2">
        <v>22.817</v>
      </c>
      <c r="B93" s="2">
        <v>1.8936999999999999</v>
      </c>
      <c r="C93" s="1">
        <f>Tabela9[[#This Row],[Alongamento (mm/mm)]]/$I$2</f>
        <v>3.7873999999999998E-2</v>
      </c>
      <c r="D93" s="2">
        <v>18.03</v>
      </c>
      <c r="E93" s="1">
        <f>Tabela9[[#This Row],[Força (N)]]/$I$5</f>
        <v>425516.85075049562</v>
      </c>
      <c r="F93" s="1">
        <f>Tabela9[[#This Row],[Tensão (Pa)]]/1000000</f>
        <v>0.42551685075049561</v>
      </c>
    </row>
    <row r="94" spans="1:6" x14ac:dyDescent="0.3">
      <c r="A94" s="2">
        <v>22.966999999999999</v>
      </c>
      <c r="B94" s="2">
        <v>1.9063000000000001</v>
      </c>
      <c r="C94" s="1">
        <f>Tabela9[[#This Row],[Alongamento (mm/mm)]]/$I$2</f>
        <v>3.8126E-2</v>
      </c>
      <c r="D94" s="2">
        <v>18.710999999999999</v>
      </c>
      <c r="E94" s="1">
        <f>Tabela9[[#This Row],[Força (N)]]/$I$5</f>
        <v>441588.78504672891</v>
      </c>
      <c r="F94" s="1">
        <f>Tabela9[[#This Row],[Tensão (Pa)]]/1000000</f>
        <v>0.44158878504672888</v>
      </c>
    </row>
    <row r="95" spans="1:6" x14ac:dyDescent="0.3">
      <c r="A95" s="2">
        <v>23.1</v>
      </c>
      <c r="B95" s="2">
        <v>1.9174</v>
      </c>
      <c r="C95" s="1">
        <f>Tabela9[[#This Row],[Alongamento (mm/mm)]]/$I$2</f>
        <v>3.8348E-2</v>
      </c>
      <c r="D95" s="2">
        <v>19.561</v>
      </c>
      <c r="E95" s="1">
        <f>Tabela9[[#This Row],[Força (N)]]/$I$5</f>
        <v>461649.20230340789</v>
      </c>
      <c r="F95" s="1">
        <f>Tabela9[[#This Row],[Tensão (Pa)]]/1000000</f>
        <v>0.46164920230340789</v>
      </c>
    </row>
    <row r="96" spans="1:6" x14ac:dyDescent="0.3">
      <c r="A96" s="2">
        <v>23.216999999999999</v>
      </c>
      <c r="B96" s="2">
        <v>1.9271</v>
      </c>
      <c r="C96" s="1">
        <f>Tabela9[[#This Row],[Alongamento (mm/mm)]]/$I$2</f>
        <v>3.8542E-2</v>
      </c>
      <c r="D96" s="2">
        <v>20.242000000000001</v>
      </c>
      <c r="E96" s="1">
        <f>Tabela9[[#This Row],[Força (N)]]/$I$5</f>
        <v>477721.13659964129</v>
      </c>
      <c r="F96" s="1">
        <f>Tabela9[[#This Row],[Tensão (Pa)]]/1000000</f>
        <v>0.47772113659964127</v>
      </c>
    </row>
    <row r="97" spans="1:6" x14ac:dyDescent="0.3">
      <c r="A97" s="2">
        <v>23.332999999999998</v>
      </c>
      <c r="B97" s="2">
        <v>1.9369000000000001</v>
      </c>
      <c r="C97" s="1">
        <f>Tabela9[[#This Row],[Alongamento (mm/mm)]]/$I$2</f>
        <v>3.8738000000000002E-2</v>
      </c>
      <c r="D97" s="2">
        <v>20.922000000000001</v>
      </c>
      <c r="E97" s="1">
        <f>Tabela9[[#This Row],[Força (N)]]/$I$5</f>
        <v>493769.47040498443</v>
      </c>
      <c r="F97" s="1">
        <f>Tabela9[[#This Row],[Tensão (Pa)]]/1000000</f>
        <v>0.49376947040498442</v>
      </c>
    </row>
    <row r="98" spans="1:6" x14ac:dyDescent="0.3">
      <c r="A98" s="2">
        <v>23.466999999999999</v>
      </c>
      <c r="B98" s="2">
        <v>1.9479</v>
      </c>
      <c r="C98" s="1">
        <f>Tabela9[[#This Row],[Alongamento (mm/mm)]]/$I$2</f>
        <v>3.8958E-2</v>
      </c>
      <c r="D98" s="2">
        <v>21.603000000000002</v>
      </c>
      <c r="E98" s="1">
        <f>Tabela9[[#This Row],[Força (N)]]/$I$5</f>
        <v>509841.40470121783</v>
      </c>
      <c r="F98" s="1">
        <f>Tabela9[[#This Row],[Tensão (Pa)]]/1000000</f>
        <v>0.50984140470121786</v>
      </c>
    </row>
    <row r="99" spans="1:6" x14ac:dyDescent="0.3">
      <c r="A99" s="2">
        <v>23.567</v>
      </c>
      <c r="B99" s="2">
        <v>1.9562999999999999</v>
      </c>
      <c r="C99" s="1">
        <f>Tabela9[[#This Row],[Alongamento (mm/mm)]]/$I$2</f>
        <v>3.9126000000000001E-2</v>
      </c>
      <c r="D99" s="2">
        <v>22.283000000000001</v>
      </c>
      <c r="E99" s="1">
        <f>Tabela9[[#This Row],[Força (N)]]/$I$5</f>
        <v>525889.73850656091</v>
      </c>
      <c r="F99" s="1">
        <f>Tabela9[[#This Row],[Tensão (Pa)]]/1000000</f>
        <v>0.52588973850656096</v>
      </c>
    </row>
    <row r="100" spans="1:6" x14ac:dyDescent="0.3">
      <c r="A100" s="2">
        <v>23.65</v>
      </c>
      <c r="B100" s="2">
        <v>1.9632000000000001</v>
      </c>
      <c r="C100" s="1">
        <f>Tabela9[[#This Row],[Alongamento (mm/mm)]]/$I$2</f>
        <v>3.9264E-2</v>
      </c>
      <c r="D100" s="2">
        <v>22.963000000000001</v>
      </c>
      <c r="E100" s="1">
        <f>Tabela9[[#This Row],[Força (N)]]/$I$5</f>
        <v>541938.07231190416</v>
      </c>
      <c r="F100" s="1">
        <f>Tabela9[[#This Row],[Tensão (Pa)]]/1000000</f>
        <v>0.54193807231190416</v>
      </c>
    </row>
    <row r="101" spans="1:6" x14ac:dyDescent="0.3">
      <c r="A101" s="2">
        <v>23.75</v>
      </c>
      <c r="B101" s="2">
        <v>1.9715</v>
      </c>
      <c r="C101" s="1">
        <f>Tabela9[[#This Row],[Alongamento (mm/mm)]]/$I$2</f>
        <v>3.943E-2</v>
      </c>
      <c r="D101" s="2">
        <v>23.643999999999998</v>
      </c>
      <c r="E101" s="1">
        <f>Tabela9[[#This Row],[Força (N)]]/$I$5</f>
        <v>558010.0066081374</v>
      </c>
      <c r="F101" s="1">
        <f>Tabela9[[#This Row],[Tensão (Pa)]]/1000000</f>
        <v>0.55801000660813738</v>
      </c>
    </row>
    <row r="102" spans="1:6" x14ac:dyDescent="0.3">
      <c r="A102" s="2">
        <v>23.85</v>
      </c>
      <c r="B102" s="2">
        <v>1.9799</v>
      </c>
      <c r="C102" s="1">
        <f>Tabela9[[#This Row],[Alongamento (mm/mm)]]/$I$2</f>
        <v>3.9598000000000001E-2</v>
      </c>
      <c r="D102" s="2">
        <v>24.324000000000002</v>
      </c>
      <c r="E102" s="1">
        <f>Tabela9[[#This Row],[Força (N)]]/$I$5</f>
        <v>574058.34041348065</v>
      </c>
      <c r="F102" s="1">
        <f>Tabela9[[#This Row],[Tensão (Pa)]]/1000000</f>
        <v>0.57405834041348069</v>
      </c>
    </row>
    <row r="103" spans="1:6" x14ac:dyDescent="0.3">
      <c r="A103" s="2">
        <v>23.95</v>
      </c>
      <c r="B103" s="2">
        <v>1.9883</v>
      </c>
      <c r="C103" s="1">
        <f>Tabela9[[#This Row],[Alongamento (mm/mm)]]/$I$2</f>
        <v>3.9765999999999996E-2</v>
      </c>
      <c r="D103" s="2">
        <v>25.175000000000001</v>
      </c>
      <c r="E103" s="1">
        <f>Tabela9[[#This Row],[Força (N)]]/$I$5</f>
        <v>594142.35816104978</v>
      </c>
      <c r="F103" s="1">
        <f>Tabela9[[#This Row],[Tensão (Pa)]]/1000000</f>
        <v>0.59414235816104977</v>
      </c>
    </row>
    <row r="104" spans="1:6" x14ac:dyDescent="0.3">
      <c r="A104" s="2">
        <v>24.05</v>
      </c>
      <c r="B104" s="2">
        <v>1.9965999999999999</v>
      </c>
      <c r="C104" s="1">
        <f>Tabela9[[#This Row],[Alongamento (mm/mm)]]/$I$2</f>
        <v>3.9931999999999995E-2</v>
      </c>
      <c r="D104" s="2">
        <v>25.855</v>
      </c>
      <c r="E104" s="1">
        <f>Tabela9[[#This Row],[Força (N)]]/$I$5</f>
        <v>610190.69196639291</v>
      </c>
      <c r="F104" s="1">
        <f>Tabela9[[#This Row],[Tensão (Pa)]]/1000000</f>
        <v>0.61019069196639286</v>
      </c>
    </row>
    <row r="105" spans="1:6" x14ac:dyDescent="0.3">
      <c r="A105" s="2">
        <v>24.132999999999999</v>
      </c>
      <c r="B105" s="2">
        <v>2.0034999999999998</v>
      </c>
      <c r="C105" s="1">
        <f>Tabela9[[#This Row],[Alongamento (mm/mm)]]/$I$2</f>
        <v>4.0069999999999995E-2</v>
      </c>
      <c r="D105" s="2">
        <v>26.535</v>
      </c>
      <c r="E105" s="1">
        <f>Tabela9[[#This Row],[Força (N)]]/$I$5</f>
        <v>626239.02577173605</v>
      </c>
      <c r="F105" s="1">
        <f>Tabela9[[#This Row],[Tensão (Pa)]]/1000000</f>
        <v>0.62623902577173607</v>
      </c>
    </row>
    <row r="106" spans="1:6" x14ac:dyDescent="0.3">
      <c r="A106" s="2">
        <v>24.216999999999999</v>
      </c>
      <c r="B106" s="2">
        <v>2.0104000000000002</v>
      </c>
      <c r="C106" s="1">
        <f>Tabela9[[#This Row],[Alongamento (mm/mm)]]/$I$2</f>
        <v>4.0208000000000001E-2</v>
      </c>
      <c r="D106" s="2">
        <v>27.216000000000001</v>
      </c>
      <c r="E106" s="1">
        <f>Tabela9[[#This Row],[Força (N)]]/$I$5</f>
        <v>642310.9600679694</v>
      </c>
      <c r="F106" s="1">
        <f>Tabela9[[#This Row],[Tensão (Pa)]]/1000000</f>
        <v>0.64231096006796939</v>
      </c>
    </row>
    <row r="107" spans="1:6" x14ac:dyDescent="0.3">
      <c r="A107" s="2">
        <v>24.3</v>
      </c>
      <c r="B107" s="2">
        <v>2.0173000000000001</v>
      </c>
      <c r="C107" s="1">
        <f>Tabela9[[#This Row],[Alongamento (mm/mm)]]/$I$2</f>
        <v>4.0346E-2</v>
      </c>
      <c r="D107" s="2">
        <v>27.896000000000001</v>
      </c>
      <c r="E107" s="1">
        <f>Tabela9[[#This Row],[Força (N)]]/$I$5</f>
        <v>658359.29387331253</v>
      </c>
      <c r="F107" s="1">
        <f>Tabela9[[#This Row],[Tensão (Pa)]]/1000000</f>
        <v>0.65835929387331249</v>
      </c>
    </row>
    <row r="108" spans="1:6" x14ac:dyDescent="0.3">
      <c r="A108" s="2">
        <v>24.382999999999999</v>
      </c>
      <c r="B108" s="2">
        <v>2.0244</v>
      </c>
      <c r="C108" s="1">
        <f>Tabela9[[#This Row],[Alongamento (mm/mm)]]/$I$2</f>
        <v>4.0487999999999996E-2</v>
      </c>
      <c r="D108" s="2">
        <v>28.577000000000002</v>
      </c>
      <c r="E108" s="1">
        <f>Tabela9[[#This Row],[Força (N)]]/$I$5</f>
        <v>674431.228169546</v>
      </c>
      <c r="F108" s="1">
        <f>Tabela9[[#This Row],[Tensão (Pa)]]/1000000</f>
        <v>0.67443122816954604</v>
      </c>
    </row>
    <row r="109" spans="1:6" x14ac:dyDescent="0.3">
      <c r="A109" s="2">
        <v>24.466999999999999</v>
      </c>
      <c r="B109" s="2">
        <v>2.0312999999999999</v>
      </c>
      <c r="C109" s="1">
        <f>Tabela9[[#This Row],[Alongamento (mm/mm)]]/$I$2</f>
        <v>4.0625999999999995E-2</v>
      </c>
      <c r="D109" s="2">
        <v>29.257000000000001</v>
      </c>
      <c r="E109" s="1">
        <f>Tabela9[[#This Row],[Força (N)]]/$I$5</f>
        <v>690479.56197488913</v>
      </c>
      <c r="F109" s="1">
        <f>Tabela9[[#This Row],[Tensão (Pa)]]/1000000</f>
        <v>0.69047956197488913</v>
      </c>
    </row>
    <row r="110" spans="1:6" x14ac:dyDescent="0.3">
      <c r="A110" s="2">
        <v>24.55</v>
      </c>
      <c r="B110" s="2">
        <v>2.0381999999999998</v>
      </c>
      <c r="C110" s="1">
        <f>Tabela9[[#This Row],[Alongamento (mm/mm)]]/$I$2</f>
        <v>4.0763999999999995E-2</v>
      </c>
      <c r="D110" s="2">
        <v>29.937000000000001</v>
      </c>
      <c r="E110" s="1">
        <f>Tabela9[[#This Row],[Força (N)]]/$I$5</f>
        <v>706527.89578023227</v>
      </c>
      <c r="F110" s="1">
        <f>Tabela9[[#This Row],[Tensão (Pa)]]/1000000</f>
        <v>0.70652789578023223</v>
      </c>
    </row>
    <row r="111" spans="1:6" x14ac:dyDescent="0.3">
      <c r="A111" s="2">
        <v>24.632999999999999</v>
      </c>
      <c r="B111" s="2">
        <v>2.0451999999999999</v>
      </c>
      <c r="C111" s="1">
        <f>Tabela9[[#This Row],[Alongamento (mm/mm)]]/$I$2</f>
        <v>4.0903999999999996E-2</v>
      </c>
      <c r="D111" s="2">
        <v>30.617999999999999</v>
      </c>
      <c r="E111" s="1">
        <f>Tabela9[[#This Row],[Força (N)]]/$I$5</f>
        <v>722599.8300764655</v>
      </c>
      <c r="F111" s="1">
        <f>Tabela9[[#This Row],[Tensão (Pa)]]/1000000</f>
        <v>0.72259983007646555</v>
      </c>
    </row>
    <row r="112" spans="1:6" x14ac:dyDescent="0.3">
      <c r="A112" s="2">
        <v>24.716999999999999</v>
      </c>
      <c r="B112" s="2">
        <v>2.0520999999999998</v>
      </c>
      <c r="C112" s="1">
        <f>Tabela9[[#This Row],[Alongamento (mm/mm)]]/$I$2</f>
        <v>4.1041999999999995E-2</v>
      </c>
      <c r="D112" s="2">
        <v>31.297999999999998</v>
      </c>
      <c r="E112" s="1">
        <f>Tabela9[[#This Row],[Força (N)]]/$I$5</f>
        <v>738648.16388180875</v>
      </c>
      <c r="F112" s="1">
        <f>Tabela9[[#This Row],[Tensão (Pa)]]/1000000</f>
        <v>0.73864816388180876</v>
      </c>
    </row>
    <row r="113" spans="1:6" x14ac:dyDescent="0.3">
      <c r="A113" s="2">
        <v>24.783000000000001</v>
      </c>
      <c r="B113" s="2">
        <v>2.0577000000000001</v>
      </c>
      <c r="C113" s="1">
        <f>Tabela9[[#This Row],[Alongamento (mm/mm)]]/$I$2</f>
        <v>4.1154000000000003E-2</v>
      </c>
      <c r="D113" s="2">
        <v>31.978999999999999</v>
      </c>
      <c r="E113" s="1">
        <f>Tabela9[[#This Row],[Força (N)]]/$I$5</f>
        <v>754720.0981780421</v>
      </c>
      <c r="F113" s="1">
        <f>Tabela9[[#This Row],[Tensão (Pa)]]/1000000</f>
        <v>0.75472009817804209</v>
      </c>
    </row>
    <row r="114" spans="1:6" x14ac:dyDescent="0.3">
      <c r="A114" s="2">
        <v>24.867000000000001</v>
      </c>
      <c r="B114" s="2">
        <v>2.0646</v>
      </c>
      <c r="C114" s="1">
        <f>Tabela9[[#This Row],[Alongamento (mm/mm)]]/$I$2</f>
        <v>4.1292000000000002E-2</v>
      </c>
      <c r="D114" s="2">
        <v>32.658999999999999</v>
      </c>
      <c r="E114" s="1">
        <f>Tabela9[[#This Row],[Força (N)]]/$I$5</f>
        <v>770768.43198338524</v>
      </c>
      <c r="F114" s="1">
        <f>Tabela9[[#This Row],[Tensão (Pa)]]/1000000</f>
        <v>0.77076843198338518</v>
      </c>
    </row>
    <row r="115" spans="1:6" x14ac:dyDescent="0.3">
      <c r="A115" s="2">
        <v>24.933</v>
      </c>
      <c r="B115" s="2">
        <v>2.0701999999999998</v>
      </c>
      <c r="C115" s="1">
        <f>Tabela9[[#This Row],[Alongamento (mm/mm)]]/$I$2</f>
        <v>4.1403999999999996E-2</v>
      </c>
      <c r="D115" s="2">
        <v>33.338999999999999</v>
      </c>
      <c r="E115" s="1">
        <f>Tabela9[[#This Row],[Força (N)]]/$I$5</f>
        <v>786816.76578872837</v>
      </c>
      <c r="F115" s="1">
        <f>Tabela9[[#This Row],[Tensão (Pa)]]/1000000</f>
        <v>0.78681676578872839</v>
      </c>
    </row>
    <row r="116" spans="1:6" x14ac:dyDescent="0.3">
      <c r="A116" s="2">
        <v>25.016999999999999</v>
      </c>
      <c r="B116" s="2">
        <v>2.0771000000000002</v>
      </c>
      <c r="C116" s="1">
        <f>Tabela9[[#This Row],[Alongamento (mm/mm)]]/$I$2</f>
        <v>4.1542000000000003E-2</v>
      </c>
      <c r="D116" s="2">
        <v>34.020000000000003</v>
      </c>
      <c r="E116" s="1">
        <f>Tabela9[[#This Row],[Força (N)]]/$I$5</f>
        <v>802888.70008496183</v>
      </c>
      <c r="F116" s="1">
        <f>Tabela9[[#This Row],[Tensão (Pa)]]/1000000</f>
        <v>0.80288870008496183</v>
      </c>
    </row>
    <row r="117" spans="1:6" x14ac:dyDescent="0.3">
      <c r="A117" s="2">
        <v>25.082999999999998</v>
      </c>
      <c r="B117" s="2">
        <v>2.0827</v>
      </c>
      <c r="C117" s="1">
        <f>Tabela9[[#This Row],[Alongamento (mm/mm)]]/$I$2</f>
        <v>4.1653999999999997E-2</v>
      </c>
      <c r="D117" s="2">
        <v>34.700000000000003</v>
      </c>
      <c r="E117" s="1">
        <f>Tabela9[[#This Row],[Força (N)]]/$I$5</f>
        <v>818937.03389030497</v>
      </c>
      <c r="F117" s="1">
        <f>Tabela9[[#This Row],[Tensão (Pa)]]/1000000</f>
        <v>0.81893703389030492</v>
      </c>
    </row>
    <row r="118" spans="1:6" x14ac:dyDescent="0.3">
      <c r="A118" s="2">
        <v>25.167000000000002</v>
      </c>
      <c r="B118" s="2">
        <v>2.0895999999999999</v>
      </c>
      <c r="C118" s="1">
        <f>Tabela9[[#This Row],[Alongamento (mm/mm)]]/$I$2</f>
        <v>4.1791999999999996E-2</v>
      </c>
      <c r="D118" s="2">
        <v>35.381</v>
      </c>
      <c r="E118" s="1">
        <f>Tabela9[[#This Row],[Força (N)]]/$I$5</f>
        <v>835008.96818653832</v>
      </c>
      <c r="F118" s="1">
        <f>Tabela9[[#This Row],[Tensão (Pa)]]/1000000</f>
        <v>0.83500896818653836</v>
      </c>
    </row>
    <row r="119" spans="1:6" x14ac:dyDescent="0.3">
      <c r="A119" s="2">
        <v>25.233000000000001</v>
      </c>
      <c r="B119" s="2">
        <v>2.0951</v>
      </c>
      <c r="C119" s="1">
        <f>Tabela9[[#This Row],[Alongamento (mm/mm)]]/$I$2</f>
        <v>4.1902000000000002E-2</v>
      </c>
      <c r="D119" s="2">
        <v>36.061</v>
      </c>
      <c r="E119" s="1">
        <f>Tabela9[[#This Row],[Força (N)]]/$I$5</f>
        <v>851057.30199188145</v>
      </c>
      <c r="F119" s="1">
        <f>Tabela9[[#This Row],[Tensão (Pa)]]/1000000</f>
        <v>0.85105730199188145</v>
      </c>
    </row>
    <row r="120" spans="1:6" x14ac:dyDescent="0.3">
      <c r="A120" s="2">
        <v>25.3</v>
      </c>
      <c r="B120" s="2">
        <v>2.1006999999999998</v>
      </c>
      <c r="C120" s="1">
        <f>Tabela9[[#This Row],[Alongamento (mm/mm)]]/$I$2</f>
        <v>4.2013999999999996E-2</v>
      </c>
      <c r="D120" s="2">
        <v>36.741</v>
      </c>
      <c r="E120" s="1">
        <f>Tabela9[[#This Row],[Força (N)]]/$I$5</f>
        <v>867105.63579722459</v>
      </c>
      <c r="F120" s="1">
        <f>Tabela9[[#This Row],[Tensão (Pa)]]/1000000</f>
        <v>0.86710563579722455</v>
      </c>
    </row>
    <row r="121" spans="1:6" x14ac:dyDescent="0.3">
      <c r="A121" s="2">
        <v>25.382999999999999</v>
      </c>
      <c r="B121" s="2">
        <v>2.1076999999999999</v>
      </c>
      <c r="C121" s="1">
        <f>Tabela9[[#This Row],[Alongamento (mm/mm)]]/$I$2</f>
        <v>4.2153999999999997E-2</v>
      </c>
      <c r="D121" s="2">
        <v>37.421999999999997</v>
      </c>
      <c r="E121" s="1">
        <f>Tabela9[[#This Row],[Força (N)]]/$I$5</f>
        <v>883177.57009345782</v>
      </c>
      <c r="F121" s="1">
        <f>Tabela9[[#This Row],[Tensão (Pa)]]/1000000</f>
        <v>0.88317757009345776</v>
      </c>
    </row>
    <row r="122" spans="1:6" x14ac:dyDescent="0.3">
      <c r="A122" s="2">
        <v>25.45</v>
      </c>
      <c r="B122" s="2">
        <v>2.1133000000000002</v>
      </c>
      <c r="C122" s="1">
        <f>Tabela9[[#This Row],[Alongamento (mm/mm)]]/$I$2</f>
        <v>4.2266000000000005E-2</v>
      </c>
      <c r="D122" s="2">
        <v>38.101999999999997</v>
      </c>
      <c r="E122" s="1">
        <f>Tabela9[[#This Row],[Força (N)]]/$I$5</f>
        <v>899225.90389880096</v>
      </c>
      <c r="F122" s="1">
        <f>Tabela9[[#This Row],[Tensão (Pa)]]/1000000</f>
        <v>0.89922590389880097</v>
      </c>
    </row>
    <row r="123" spans="1:6" x14ac:dyDescent="0.3">
      <c r="A123" s="2">
        <v>25.516999999999999</v>
      </c>
      <c r="B123" s="2">
        <v>2.1187999999999998</v>
      </c>
      <c r="C123" s="1">
        <f>Tabela9[[#This Row],[Alongamento (mm/mm)]]/$I$2</f>
        <v>4.2375999999999997E-2</v>
      </c>
      <c r="D123" s="2">
        <v>38.783000000000001</v>
      </c>
      <c r="E123" s="1">
        <f>Tabela9[[#This Row],[Força (N)]]/$I$5</f>
        <v>915297.83819503454</v>
      </c>
      <c r="F123" s="1">
        <f>Tabela9[[#This Row],[Tensão (Pa)]]/1000000</f>
        <v>0.91529783819503452</v>
      </c>
    </row>
    <row r="124" spans="1:6" x14ac:dyDescent="0.3">
      <c r="A124" s="2">
        <v>25.582999999999998</v>
      </c>
      <c r="B124" s="2">
        <v>2.1242999999999999</v>
      </c>
      <c r="C124" s="1">
        <f>Tabela9[[#This Row],[Alongamento (mm/mm)]]/$I$2</f>
        <v>4.2485999999999996E-2</v>
      </c>
      <c r="D124" s="2">
        <v>39.463000000000001</v>
      </c>
      <c r="E124" s="1">
        <f>Tabela9[[#This Row],[Força (N)]]/$I$5</f>
        <v>931346.17200037767</v>
      </c>
      <c r="F124" s="1">
        <f>Tabela9[[#This Row],[Tensão (Pa)]]/1000000</f>
        <v>0.93134617200037773</v>
      </c>
    </row>
    <row r="125" spans="1:6" x14ac:dyDescent="0.3">
      <c r="A125" s="2">
        <v>25.65</v>
      </c>
      <c r="B125" s="2">
        <v>2.1299000000000001</v>
      </c>
      <c r="C125" s="1">
        <f>Tabela9[[#This Row],[Alongamento (mm/mm)]]/$I$2</f>
        <v>4.2598000000000004E-2</v>
      </c>
      <c r="D125" s="2">
        <v>40.143000000000001</v>
      </c>
      <c r="E125" s="1">
        <f>Tabela9[[#This Row],[Força (N)]]/$I$5</f>
        <v>947394.50580572081</v>
      </c>
      <c r="F125" s="1">
        <f>Tabela9[[#This Row],[Tensão (Pa)]]/1000000</f>
        <v>0.94739450580572082</v>
      </c>
    </row>
    <row r="126" spans="1:6" x14ac:dyDescent="0.3">
      <c r="A126" s="2">
        <v>25.733000000000001</v>
      </c>
      <c r="B126" s="2">
        <v>2.1368</v>
      </c>
      <c r="C126" s="1">
        <f>Tabela9[[#This Row],[Alongamento (mm/mm)]]/$I$2</f>
        <v>4.2736000000000003E-2</v>
      </c>
      <c r="D126" s="2">
        <v>40.823999999999998</v>
      </c>
      <c r="E126" s="1">
        <f>Tabela9[[#This Row],[Força (N)]]/$I$5</f>
        <v>963466.44010195404</v>
      </c>
      <c r="F126" s="1">
        <f>Tabela9[[#This Row],[Tensão (Pa)]]/1000000</f>
        <v>0.96346644010195404</v>
      </c>
    </row>
    <row r="127" spans="1:6" x14ac:dyDescent="0.3">
      <c r="A127" s="2">
        <v>25.8</v>
      </c>
      <c r="B127" s="2">
        <v>2.1423999999999999</v>
      </c>
      <c r="C127" s="1">
        <f>Tabela9[[#This Row],[Alongamento (mm/mm)]]/$I$2</f>
        <v>4.2847999999999997E-2</v>
      </c>
      <c r="D127" s="2">
        <v>41.503999999999998</v>
      </c>
      <c r="E127" s="1">
        <f>Tabela9[[#This Row],[Força (N)]]/$I$5</f>
        <v>979514.77390729717</v>
      </c>
      <c r="F127" s="1">
        <f>Tabela9[[#This Row],[Tensão (Pa)]]/1000000</f>
        <v>0.97951477390729713</v>
      </c>
    </row>
    <row r="128" spans="1:6" x14ac:dyDescent="0.3">
      <c r="A128" s="2">
        <v>25.867000000000001</v>
      </c>
      <c r="B128" s="2">
        <v>2.1480000000000001</v>
      </c>
      <c r="C128" s="1">
        <f>Tabela9[[#This Row],[Alongamento (mm/mm)]]/$I$2</f>
        <v>4.2960000000000005E-2</v>
      </c>
      <c r="D128" s="2">
        <v>42.185000000000002</v>
      </c>
      <c r="E128" s="1">
        <f>Tabela9[[#This Row],[Força (N)]]/$I$5</f>
        <v>995586.70820353064</v>
      </c>
      <c r="F128" s="1">
        <f>Tabela9[[#This Row],[Tensão (Pa)]]/1000000</f>
        <v>0.99558670820353068</v>
      </c>
    </row>
    <row r="129" spans="1:6" x14ac:dyDescent="0.3">
      <c r="A129" s="2">
        <v>25.95</v>
      </c>
      <c r="B129" s="2">
        <v>2.1549</v>
      </c>
      <c r="C129" s="1">
        <f>Tabela9[[#This Row],[Alongamento (mm/mm)]]/$I$2</f>
        <v>4.3097999999999997E-2</v>
      </c>
      <c r="D129" s="2">
        <v>42.865000000000002</v>
      </c>
      <c r="E129" s="1">
        <f>Tabela9[[#This Row],[Força (N)]]/$I$5</f>
        <v>1011635.0420088738</v>
      </c>
      <c r="F129" s="1">
        <f>Tabela9[[#This Row],[Tensão (Pa)]]/1000000</f>
        <v>1.0116350420088738</v>
      </c>
    </row>
    <row r="130" spans="1:6" x14ac:dyDescent="0.3">
      <c r="A130" s="2">
        <v>26.016999999999999</v>
      </c>
      <c r="B130" s="2">
        <v>2.1604000000000001</v>
      </c>
      <c r="C130" s="1">
        <f>Tabela9[[#This Row],[Alongamento (mm/mm)]]/$I$2</f>
        <v>4.3208000000000003E-2</v>
      </c>
      <c r="D130" s="2">
        <v>43.545000000000002</v>
      </c>
      <c r="E130" s="1">
        <f>Tabela9[[#This Row],[Força (N)]]/$I$5</f>
        <v>1027683.375814217</v>
      </c>
      <c r="F130" s="1">
        <f>Tabela9[[#This Row],[Tensão (Pa)]]/1000000</f>
        <v>1.027683375814217</v>
      </c>
    </row>
    <row r="131" spans="1:6" x14ac:dyDescent="0.3">
      <c r="A131" s="2">
        <v>26.082999999999998</v>
      </c>
      <c r="B131" s="2">
        <v>2.1659999999999999</v>
      </c>
      <c r="C131" s="1">
        <f>Tabela9[[#This Row],[Alongamento (mm/mm)]]/$I$2</f>
        <v>4.3319999999999997E-2</v>
      </c>
      <c r="D131" s="2">
        <v>44.225999999999999</v>
      </c>
      <c r="E131" s="1">
        <f>Tabela9[[#This Row],[Força (N)]]/$I$5</f>
        <v>1043755.3101104503</v>
      </c>
      <c r="F131" s="1">
        <f>Tabela9[[#This Row],[Tensão (Pa)]]/1000000</f>
        <v>1.0437553101104502</v>
      </c>
    </row>
    <row r="132" spans="1:6" x14ac:dyDescent="0.3">
      <c r="A132" s="2">
        <v>26.15</v>
      </c>
      <c r="B132" s="2">
        <v>2.1715</v>
      </c>
      <c r="C132" s="1">
        <f>Tabela9[[#This Row],[Alongamento (mm/mm)]]/$I$2</f>
        <v>4.3429999999999996E-2</v>
      </c>
      <c r="D132" s="2">
        <v>44.905999999999999</v>
      </c>
      <c r="E132" s="1">
        <f>Tabela9[[#This Row],[Força (N)]]/$I$5</f>
        <v>1059803.6439157934</v>
      </c>
      <c r="F132" s="1">
        <f>Tabela9[[#This Row],[Tensão (Pa)]]/1000000</f>
        <v>1.0598036439157934</v>
      </c>
    </row>
    <row r="133" spans="1:6" x14ac:dyDescent="0.3">
      <c r="A133" s="2">
        <v>26.233000000000001</v>
      </c>
      <c r="B133" s="2">
        <v>2.1785000000000001</v>
      </c>
      <c r="C133" s="1">
        <f>Tabela9[[#This Row],[Alongamento (mm/mm)]]/$I$2</f>
        <v>4.3570000000000005E-2</v>
      </c>
      <c r="D133" s="2">
        <v>45.585999999999999</v>
      </c>
      <c r="E133" s="1">
        <f>Tabela9[[#This Row],[Força (N)]]/$I$5</f>
        <v>1075851.9777211365</v>
      </c>
      <c r="F133" s="1">
        <f>Tabela9[[#This Row],[Tensão (Pa)]]/1000000</f>
        <v>1.0758519777211366</v>
      </c>
    </row>
    <row r="134" spans="1:6" x14ac:dyDescent="0.3">
      <c r="A134" s="2">
        <v>26.317</v>
      </c>
      <c r="B134" s="2">
        <v>2.1855000000000002</v>
      </c>
      <c r="C134" s="1">
        <f>Tabela9[[#This Row],[Alongamento (mm/mm)]]/$I$2</f>
        <v>4.3710000000000006E-2</v>
      </c>
      <c r="D134" s="2">
        <v>46.267000000000003</v>
      </c>
      <c r="E134" s="1">
        <f>Tabela9[[#This Row],[Força (N)]]/$I$5</f>
        <v>1091923.9120173701</v>
      </c>
      <c r="F134" s="1">
        <f>Tabela9[[#This Row],[Tensão (Pa)]]/1000000</f>
        <v>1.09192391201737</v>
      </c>
    </row>
    <row r="135" spans="1:6" x14ac:dyDescent="0.3">
      <c r="A135" s="2">
        <v>26.382999999999999</v>
      </c>
      <c r="B135" s="2">
        <v>2.1911</v>
      </c>
      <c r="C135" s="1">
        <f>Tabela9[[#This Row],[Alongamento (mm/mm)]]/$I$2</f>
        <v>4.3822E-2</v>
      </c>
      <c r="D135" s="2">
        <v>46.947000000000003</v>
      </c>
      <c r="E135" s="1">
        <f>Tabela9[[#This Row],[Força (N)]]/$I$5</f>
        <v>1107972.2458227132</v>
      </c>
      <c r="F135" s="1">
        <f>Tabela9[[#This Row],[Tensão (Pa)]]/1000000</f>
        <v>1.1079722458227133</v>
      </c>
    </row>
    <row r="136" spans="1:6" x14ac:dyDescent="0.3">
      <c r="A136" s="2">
        <v>26.45</v>
      </c>
      <c r="B136" s="2">
        <v>2.1964999999999999</v>
      </c>
      <c r="C136" s="1">
        <f>Tabela9[[#This Row],[Alongamento (mm/mm)]]/$I$2</f>
        <v>4.3929999999999997E-2</v>
      </c>
      <c r="D136" s="2">
        <v>47.628</v>
      </c>
      <c r="E136" s="1">
        <f>Tabela9[[#This Row],[Força (N)]]/$I$5</f>
        <v>1124044.1801189464</v>
      </c>
      <c r="F136" s="1">
        <f>Tabela9[[#This Row],[Tensão (Pa)]]/1000000</f>
        <v>1.1240441801189465</v>
      </c>
    </row>
    <row r="137" spans="1:6" x14ac:dyDescent="0.3">
      <c r="A137" s="2">
        <v>26.533000000000001</v>
      </c>
      <c r="B137" s="2">
        <v>2.2033999999999998</v>
      </c>
      <c r="C137" s="1">
        <f>Tabela9[[#This Row],[Alongamento (mm/mm)]]/$I$2</f>
        <v>4.4067999999999996E-2</v>
      </c>
      <c r="D137" s="2">
        <v>48.308</v>
      </c>
      <c r="E137" s="1">
        <f>Tabela9[[#This Row],[Força (N)]]/$I$5</f>
        <v>1140092.5139242897</v>
      </c>
      <c r="F137" s="1">
        <f>Tabela9[[#This Row],[Tensão (Pa)]]/1000000</f>
        <v>1.1400925139242897</v>
      </c>
    </row>
    <row r="138" spans="1:6" x14ac:dyDescent="0.3">
      <c r="A138" s="2">
        <v>26.617000000000001</v>
      </c>
      <c r="B138" s="2">
        <v>2.2105000000000001</v>
      </c>
      <c r="C138" s="1">
        <f>Tabela9[[#This Row],[Alongamento (mm/mm)]]/$I$2</f>
        <v>4.4209999999999999E-2</v>
      </c>
      <c r="D138" s="2">
        <v>48.988</v>
      </c>
      <c r="E138" s="1">
        <f>Tabela9[[#This Row],[Força (N)]]/$I$5</f>
        <v>1156140.8477296329</v>
      </c>
      <c r="F138" s="1">
        <f>Tabela9[[#This Row],[Tensão (Pa)]]/1000000</f>
        <v>1.1561408477296329</v>
      </c>
    </row>
    <row r="139" spans="1:6" x14ac:dyDescent="0.3">
      <c r="A139" s="2">
        <v>26.683</v>
      </c>
      <c r="B139" s="2">
        <v>2.2161</v>
      </c>
      <c r="C139" s="1">
        <f>Tabela9[[#This Row],[Alongamento (mm/mm)]]/$I$2</f>
        <v>4.4322E-2</v>
      </c>
      <c r="D139" s="2">
        <v>49.668999999999997</v>
      </c>
      <c r="E139" s="1">
        <f>Tabela9[[#This Row],[Força (N)]]/$I$5</f>
        <v>1172212.782025866</v>
      </c>
      <c r="F139" s="1">
        <f>Tabela9[[#This Row],[Tensão (Pa)]]/1000000</f>
        <v>1.1722127820258659</v>
      </c>
    </row>
    <row r="140" spans="1:6" x14ac:dyDescent="0.3">
      <c r="A140" s="2">
        <v>26.766999999999999</v>
      </c>
      <c r="B140" s="2">
        <v>2.2229999999999999</v>
      </c>
      <c r="C140" s="1">
        <f>Tabela9[[#This Row],[Alongamento (mm/mm)]]/$I$2</f>
        <v>4.446E-2</v>
      </c>
      <c r="D140" s="2">
        <v>50.348999999999997</v>
      </c>
      <c r="E140" s="1">
        <f>Tabela9[[#This Row],[Força (N)]]/$I$5</f>
        <v>1188261.1158312091</v>
      </c>
      <c r="F140" s="1">
        <f>Tabela9[[#This Row],[Tensão (Pa)]]/1000000</f>
        <v>1.1882611158312091</v>
      </c>
    </row>
    <row r="141" spans="1:6" x14ac:dyDescent="0.3">
      <c r="A141" s="2">
        <v>26.832999999999998</v>
      </c>
      <c r="B141" s="2">
        <v>2.2284999999999999</v>
      </c>
      <c r="C141" s="1">
        <f>Tabela9[[#This Row],[Alongamento (mm/mm)]]/$I$2</f>
        <v>4.4569999999999999E-2</v>
      </c>
      <c r="D141" s="2">
        <v>51.03</v>
      </c>
      <c r="E141" s="1">
        <f>Tabela9[[#This Row],[Força (N)]]/$I$5</f>
        <v>1204333.0501274427</v>
      </c>
      <c r="F141" s="1">
        <f>Tabela9[[#This Row],[Tensão (Pa)]]/1000000</f>
        <v>1.2043330501274427</v>
      </c>
    </row>
    <row r="142" spans="1:6" x14ac:dyDescent="0.3">
      <c r="A142" s="2">
        <v>26.9</v>
      </c>
      <c r="B142" s="2">
        <v>2.234</v>
      </c>
      <c r="C142" s="1">
        <f>Tabela9[[#This Row],[Alongamento (mm/mm)]]/$I$2</f>
        <v>4.4679999999999997E-2</v>
      </c>
      <c r="D142" s="2">
        <v>51.71</v>
      </c>
      <c r="E142" s="1">
        <f>Tabela9[[#This Row],[Força (N)]]/$I$5</f>
        <v>1220381.3839327858</v>
      </c>
      <c r="F142" s="1">
        <f>Tabela9[[#This Row],[Tensão (Pa)]]/1000000</f>
        <v>1.2203813839327857</v>
      </c>
    </row>
    <row r="143" spans="1:6" x14ac:dyDescent="0.3">
      <c r="A143" s="2">
        <v>26.966999999999999</v>
      </c>
      <c r="B143" s="2">
        <v>2.2395</v>
      </c>
      <c r="C143" s="1">
        <f>Tabela9[[#This Row],[Alongamento (mm/mm)]]/$I$2</f>
        <v>4.4790000000000003E-2</v>
      </c>
      <c r="D143" s="2">
        <v>52.39</v>
      </c>
      <c r="E143" s="1">
        <f>Tabela9[[#This Row],[Força (N)]]/$I$5</f>
        <v>1236429.717738129</v>
      </c>
      <c r="F143" s="1">
        <f>Tabela9[[#This Row],[Tensão (Pa)]]/1000000</f>
        <v>1.2364297177381289</v>
      </c>
    </row>
    <row r="144" spans="1:6" x14ac:dyDescent="0.3">
      <c r="A144" s="2">
        <v>27.05</v>
      </c>
      <c r="B144" s="2">
        <v>2.2465999999999999</v>
      </c>
      <c r="C144" s="1">
        <f>Tabela9[[#This Row],[Alongamento (mm/mm)]]/$I$2</f>
        <v>4.4932E-2</v>
      </c>
      <c r="D144" s="2">
        <v>53.070999999999998</v>
      </c>
      <c r="E144" s="1">
        <f>Tabela9[[#This Row],[Força (N)]]/$I$5</f>
        <v>1252501.6520343623</v>
      </c>
      <c r="F144" s="1">
        <f>Tabela9[[#This Row],[Tensão (Pa)]]/1000000</f>
        <v>1.2525016520343624</v>
      </c>
    </row>
    <row r="145" spans="1:6" x14ac:dyDescent="0.3">
      <c r="A145" s="2">
        <v>27.117000000000001</v>
      </c>
      <c r="B145" s="2">
        <v>2.2521</v>
      </c>
      <c r="C145" s="1">
        <f>Tabela9[[#This Row],[Alongamento (mm/mm)]]/$I$2</f>
        <v>4.5041999999999999E-2</v>
      </c>
      <c r="D145" s="2">
        <v>53.750999999999998</v>
      </c>
      <c r="E145" s="1">
        <f>Tabela9[[#This Row],[Força (N)]]/$I$5</f>
        <v>1268549.9858397054</v>
      </c>
      <c r="F145" s="1">
        <f>Tabela9[[#This Row],[Tensão (Pa)]]/1000000</f>
        <v>1.2685499858397054</v>
      </c>
    </row>
    <row r="146" spans="1:6" x14ac:dyDescent="0.3">
      <c r="A146" s="2">
        <v>27.183</v>
      </c>
      <c r="B146" s="2">
        <v>2.2576999999999998</v>
      </c>
      <c r="C146" s="1">
        <f>Tabela9[[#This Row],[Alongamento (mm/mm)]]/$I$2</f>
        <v>4.5154E-2</v>
      </c>
      <c r="D146" s="2">
        <v>54.432000000000002</v>
      </c>
      <c r="E146" s="1">
        <f>Tabela9[[#This Row],[Força (N)]]/$I$5</f>
        <v>1284621.9201359388</v>
      </c>
      <c r="F146" s="1">
        <f>Tabela9[[#This Row],[Tensão (Pa)]]/1000000</f>
        <v>1.2846219201359388</v>
      </c>
    </row>
    <row r="147" spans="1:6" x14ac:dyDescent="0.3">
      <c r="A147" s="2">
        <v>27.25</v>
      </c>
      <c r="B147" s="2">
        <v>2.2633000000000001</v>
      </c>
      <c r="C147" s="1">
        <f>Tabela9[[#This Row],[Alongamento (mm/mm)]]/$I$2</f>
        <v>4.5266000000000001E-2</v>
      </c>
      <c r="D147" s="2">
        <v>55.112000000000002</v>
      </c>
      <c r="E147" s="1">
        <f>Tabela9[[#This Row],[Força (N)]]/$I$5</f>
        <v>1300670.2539412819</v>
      </c>
      <c r="F147" s="1">
        <f>Tabela9[[#This Row],[Tensão (Pa)]]/1000000</f>
        <v>1.300670253941282</v>
      </c>
    </row>
    <row r="148" spans="1:6" x14ac:dyDescent="0.3">
      <c r="A148" s="2">
        <v>27.317</v>
      </c>
      <c r="B148" s="2">
        <v>2.2688000000000001</v>
      </c>
      <c r="C148" s="1">
        <f>Tabela9[[#This Row],[Alongamento (mm/mm)]]/$I$2</f>
        <v>4.5376E-2</v>
      </c>
      <c r="D148" s="2">
        <v>55.792000000000002</v>
      </c>
      <c r="E148" s="1">
        <f>Tabela9[[#This Row],[Força (N)]]/$I$5</f>
        <v>1316718.5877466251</v>
      </c>
      <c r="F148" s="1">
        <f>Tabela9[[#This Row],[Tensão (Pa)]]/1000000</f>
        <v>1.316718587746625</v>
      </c>
    </row>
    <row r="149" spans="1:6" x14ac:dyDescent="0.3">
      <c r="A149" s="2">
        <v>27.382999999999999</v>
      </c>
      <c r="B149" s="2">
        <v>2.2743000000000002</v>
      </c>
      <c r="C149" s="1">
        <f>Tabela9[[#This Row],[Alongamento (mm/mm)]]/$I$2</f>
        <v>4.5486000000000006E-2</v>
      </c>
      <c r="D149" s="2">
        <v>56.472999999999999</v>
      </c>
      <c r="E149" s="1">
        <f>Tabela9[[#This Row],[Força (N)]]/$I$5</f>
        <v>1332790.5220428584</v>
      </c>
      <c r="F149" s="1">
        <f>Tabela9[[#This Row],[Tensão (Pa)]]/1000000</f>
        <v>1.3327905220428584</v>
      </c>
    </row>
    <row r="150" spans="1:6" x14ac:dyDescent="0.3">
      <c r="A150" s="2">
        <v>27.45</v>
      </c>
      <c r="B150" s="2">
        <v>2.2797999999999998</v>
      </c>
      <c r="C150" s="1">
        <f>Tabela9[[#This Row],[Alongamento (mm/mm)]]/$I$2</f>
        <v>4.5595999999999998E-2</v>
      </c>
      <c r="D150" s="2">
        <v>57.152999999999999</v>
      </c>
      <c r="E150" s="1">
        <f>Tabela9[[#This Row],[Força (N)]]/$I$5</f>
        <v>1348838.8558482016</v>
      </c>
      <c r="F150" s="1">
        <f>Tabela9[[#This Row],[Tensão (Pa)]]/1000000</f>
        <v>1.3488388558482016</v>
      </c>
    </row>
    <row r="151" spans="1:6" x14ac:dyDescent="0.3">
      <c r="A151" s="2">
        <v>27.516999999999999</v>
      </c>
      <c r="B151" s="2">
        <v>2.2854000000000001</v>
      </c>
      <c r="C151" s="1">
        <f>Tabela9[[#This Row],[Alongamento (mm/mm)]]/$I$2</f>
        <v>4.5707999999999999E-2</v>
      </c>
      <c r="D151" s="2">
        <v>57.834000000000003</v>
      </c>
      <c r="E151" s="1">
        <f>Tabela9[[#This Row],[Força (N)]]/$I$5</f>
        <v>1364910.7901444351</v>
      </c>
      <c r="F151" s="1">
        <f>Tabela9[[#This Row],[Tensão (Pa)]]/1000000</f>
        <v>1.3649107901444351</v>
      </c>
    </row>
    <row r="152" spans="1:6" x14ac:dyDescent="0.3">
      <c r="A152" s="2">
        <v>27.582999999999998</v>
      </c>
      <c r="B152" s="2">
        <v>2.2909999999999999</v>
      </c>
      <c r="C152" s="1">
        <f>Tabela9[[#This Row],[Alongamento (mm/mm)]]/$I$2</f>
        <v>4.582E-2</v>
      </c>
      <c r="D152" s="2">
        <v>58.514000000000003</v>
      </c>
      <c r="E152" s="1">
        <f>Tabela9[[#This Row],[Força (N)]]/$I$5</f>
        <v>1380959.1239497783</v>
      </c>
      <c r="F152" s="1">
        <f>Tabela9[[#This Row],[Tensão (Pa)]]/1000000</f>
        <v>1.3809591239497783</v>
      </c>
    </row>
    <row r="153" spans="1:6" x14ac:dyDescent="0.3">
      <c r="A153" s="2">
        <v>27.65</v>
      </c>
      <c r="B153" s="2">
        <v>2.2965</v>
      </c>
      <c r="C153" s="1">
        <f>Tabela9[[#This Row],[Alongamento (mm/mm)]]/$I$2</f>
        <v>4.5929999999999999E-2</v>
      </c>
      <c r="D153" s="2">
        <v>59.194000000000003</v>
      </c>
      <c r="E153" s="1">
        <f>Tabela9[[#This Row],[Força (N)]]/$I$5</f>
        <v>1397007.4577551214</v>
      </c>
      <c r="F153" s="1">
        <f>Tabela9[[#This Row],[Tensão (Pa)]]/1000000</f>
        <v>1.3970074577551215</v>
      </c>
    </row>
    <row r="154" spans="1:6" x14ac:dyDescent="0.3">
      <c r="A154" s="2">
        <v>27.716999999999999</v>
      </c>
      <c r="B154" s="2">
        <v>2.3020999999999998</v>
      </c>
      <c r="C154" s="1">
        <f>Tabela9[[#This Row],[Alongamento (mm/mm)]]/$I$2</f>
        <v>4.6042E-2</v>
      </c>
      <c r="D154" s="2">
        <v>59.875</v>
      </c>
      <c r="E154" s="1">
        <f>Tabela9[[#This Row],[Força (N)]]/$I$5</f>
        <v>1413079.3920513547</v>
      </c>
      <c r="F154" s="1">
        <f>Tabela9[[#This Row],[Tensão (Pa)]]/1000000</f>
        <v>1.4130793920513547</v>
      </c>
    </row>
    <row r="155" spans="1:6" x14ac:dyDescent="0.3">
      <c r="A155" s="2">
        <v>27.783000000000001</v>
      </c>
      <c r="B155" s="2">
        <v>2.3077000000000001</v>
      </c>
      <c r="C155" s="1">
        <f>Tabela9[[#This Row],[Alongamento (mm/mm)]]/$I$2</f>
        <v>4.6154000000000001E-2</v>
      </c>
      <c r="D155" s="2">
        <v>60.555</v>
      </c>
      <c r="E155" s="1">
        <f>Tabela9[[#This Row],[Força (N)]]/$I$5</f>
        <v>1429127.7258566979</v>
      </c>
      <c r="F155" s="1">
        <f>Tabela9[[#This Row],[Tensão (Pa)]]/1000000</f>
        <v>1.4291277258566979</v>
      </c>
    </row>
    <row r="156" spans="1:6" x14ac:dyDescent="0.3">
      <c r="A156" s="2">
        <v>27.85</v>
      </c>
      <c r="B156" s="2">
        <v>2.3132000000000001</v>
      </c>
      <c r="C156" s="1">
        <f>Tabela9[[#This Row],[Alongamento (mm/mm)]]/$I$2</f>
        <v>4.6264E-2</v>
      </c>
      <c r="D156" s="2">
        <v>61.235999999999997</v>
      </c>
      <c r="E156" s="1">
        <f>Tabela9[[#This Row],[Força (N)]]/$I$5</f>
        <v>1445199.660152931</v>
      </c>
      <c r="F156" s="1">
        <f>Tabela9[[#This Row],[Tensão (Pa)]]/1000000</f>
        <v>1.4451996601529311</v>
      </c>
    </row>
    <row r="157" spans="1:6" x14ac:dyDescent="0.3">
      <c r="A157" s="2">
        <v>27.917000000000002</v>
      </c>
      <c r="B157" s="2">
        <v>2.3188</v>
      </c>
      <c r="C157" s="1">
        <f>Tabela9[[#This Row],[Alongamento (mm/mm)]]/$I$2</f>
        <v>4.6376000000000001E-2</v>
      </c>
      <c r="D157" s="2">
        <v>61.915999999999997</v>
      </c>
      <c r="E157" s="1">
        <f>Tabela9[[#This Row],[Força (N)]]/$I$5</f>
        <v>1461247.9939582741</v>
      </c>
      <c r="F157" s="1">
        <f>Tabela9[[#This Row],[Tensão (Pa)]]/1000000</f>
        <v>1.4612479939582741</v>
      </c>
    </row>
    <row r="158" spans="1:6" x14ac:dyDescent="0.3">
      <c r="A158" s="2">
        <v>27.966999999999999</v>
      </c>
      <c r="B158" s="2">
        <v>2.3229000000000002</v>
      </c>
      <c r="C158" s="1">
        <f>Tabela9[[#This Row],[Alongamento (mm/mm)]]/$I$2</f>
        <v>4.6458000000000006E-2</v>
      </c>
      <c r="D158" s="2">
        <v>62.595999999999997</v>
      </c>
      <c r="E158" s="1">
        <f>Tabela9[[#This Row],[Força (N)]]/$I$5</f>
        <v>1477296.3277636175</v>
      </c>
      <c r="F158" s="1">
        <f>Tabela9[[#This Row],[Tensão (Pa)]]/1000000</f>
        <v>1.4772963277636175</v>
      </c>
    </row>
    <row r="159" spans="1:6" x14ac:dyDescent="0.3">
      <c r="A159" s="2">
        <v>28.033000000000001</v>
      </c>
      <c r="B159" s="2">
        <v>2.3285</v>
      </c>
      <c r="C159" s="1">
        <f>Tabela9[[#This Row],[Alongamento (mm/mm)]]/$I$2</f>
        <v>4.657E-2</v>
      </c>
      <c r="D159" s="2">
        <v>63.277000000000001</v>
      </c>
      <c r="E159" s="1">
        <f>Tabela9[[#This Row],[Força (N)]]/$I$5</f>
        <v>1493368.2620598509</v>
      </c>
      <c r="F159" s="1">
        <f>Tabela9[[#This Row],[Tensão (Pa)]]/1000000</f>
        <v>1.493368262059851</v>
      </c>
    </row>
    <row r="160" spans="1:6" x14ac:dyDescent="0.3">
      <c r="A160" s="2">
        <v>28.1</v>
      </c>
      <c r="B160" s="2">
        <v>2.3340999999999998</v>
      </c>
      <c r="C160" s="1">
        <f>Tabela9[[#This Row],[Alongamento (mm/mm)]]/$I$2</f>
        <v>4.6681999999999994E-2</v>
      </c>
      <c r="D160" s="2">
        <v>63.957000000000001</v>
      </c>
      <c r="E160" s="1">
        <f>Tabela9[[#This Row],[Força (N)]]/$I$5</f>
        <v>1509416.595865194</v>
      </c>
      <c r="F160" s="1">
        <f>Tabela9[[#This Row],[Tensão (Pa)]]/1000000</f>
        <v>1.5094165958651939</v>
      </c>
    </row>
    <row r="161" spans="1:6" x14ac:dyDescent="0.3">
      <c r="A161" s="2">
        <v>28.167000000000002</v>
      </c>
      <c r="B161" s="2">
        <v>2.3397000000000001</v>
      </c>
      <c r="C161" s="1">
        <f>Tabela9[[#This Row],[Alongamento (mm/mm)]]/$I$2</f>
        <v>4.6794000000000002E-2</v>
      </c>
      <c r="D161" s="2">
        <v>64.638000000000005</v>
      </c>
      <c r="E161" s="1">
        <f>Tabela9[[#This Row],[Força (N)]]/$I$5</f>
        <v>1525488.5301614276</v>
      </c>
      <c r="F161" s="1">
        <f>Tabela9[[#This Row],[Tensão (Pa)]]/1000000</f>
        <v>1.5254885301614276</v>
      </c>
    </row>
    <row r="162" spans="1:6" x14ac:dyDescent="0.3">
      <c r="A162" s="2">
        <v>28.233000000000001</v>
      </c>
      <c r="B162" s="2">
        <v>2.3452000000000002</v>
      </c>
      <c r="C162" s="1">
        <f>Tabela9[[#This Row],[Alongamento (mm/mm)]]/$I$2</f>
        <v>4.6904000000000001E-2</v>
      </c>
      <c r="D162" s="2">
        <v>65.317999999999998</v>
      </c>
      <c r="E162" s="1">
        <f>Tabela9[[#This Row],[Força (N)]]/$I$5</f>
        <v>1541536.8639667705</v>
      </c>
      <c r="F162" s="1">
        <f>Tabela9[[#This Row],[Tensão (Pa)]]/1000000</f>
        <v>1.5415368639667704</v>
      </c>
    </row>
    <row r="163" spans="1:6" x14ac:dyDescent="0.3">
      <c r="A163" s="2">
        <v>28.3</v>
      </c>
      <c r="B163" s="2">
        <v>2.3506999999999998</v>
      </c>
      <c r="C163" s="1">
        <f>Tabela9[[#This Row],[Alongamento (mm/mm)]]/$I$2</f>
        <v>4.7013999999999993E-2</v>
      </c>
      <c r="D163" s="2">
        <v>65.998000000000005</v>
      </c>
      <c r="E163" s="1">
        <f>Tabela9[[#This Row],[Força (N)]]/$I$5</f>
        <v>1557585.1977721138</v>
      </c>
      <c r="F163" s="1">
        <f>Tabela9[[#This Row],[Tensão (Pa)]]/1000000</f>
        <v>1.5575851977721138</v>
      </c>
    </row>
    <row r="164" spans="1:6" x14ac:dyDescent="0.3">
      <c r="A164" s="2">
        <v>28.367000000000001</v>
      </c>
      <c r="B164" s="2">
        <v>2.3563000000000001</v>
      </c>
      <c r="C164" s="1">
        <f>Tabela9[[#This Row],[Alongamento (mm/mm)]]/$I$2</f>
        <v>4.7126000000000001E-2</v>
      </c>
      <c r="D164" s="2">
        <v>66.849000000000004</v>
      </c>
      <c r="E164" s="1">
        <f>Tabela9[[#This Row],[Força (N)]]/$I$5</f>
        <v>1577669.215519683</v>
      </c>
      <c r="F164" s="1">
        <f>Tabela9[[#This Row],[Tensão (Pa)]]/1000000</f>
        <v>1.577669215519683</v>
      </c>
    </row>
    <row r="165" spans="1:6" x14ac:dyDescent="0.3">
      <c r="A165" s="2">
        <v>28.433</v>
      </c>
      <c r="B165" s="2">
        <v>2.3618000000000001</v>
      </c>
      <c r="C165" s="1">
        <f>Tabela9[[#This Row],[Alongamento (mm/mm)]]/$I$2</f>
        <v>4.7236E-2</v>
      </c>
      <c r="D165" s="2">
        <v>67.528999999999996</v>
      </c>
      <c r="E165" s="1">
        <f>Tabela9[[#This Row],[Força (N)]]/$I$5</f>
        <v>1593717.5493250259</v>
      </c>
      <c r="F165" s="1">
        <f>Tabela9[[#This Row],[Tensão (Pa)]]/1000000</f>
        <v>1.593717549325026</v>
      </c>
    </row>
    <row r="166" spans="1:6" x14ac:dyDescent="0.3">
      <c r="A166" s="2">
        <v>28.5</v>
      </c>
      <c r="B166" s="2">
        <v>2.3673999999999999</v>
      </c>
      <c r="C166" s="1">
        <f>Tabela9[[#This Row],[Alongamento (mm/mm)]]/$I$2</f>
        <v>4.7348000000000001E-2</v>
      </c>
      <c r="D166" s="2">
        <v>68.209999999999994</v>
      </c>
      <c r="E166" s="1">
        <f>Tabela9[[#This Row],[Força (N)]]/$I$5</f>
        <v>1609789.4836212592</v>
      </c>
      <c r="F166" s="1">
        <f>Tabela9[[#This Row],[Tensão (Pa)]]/1000000</f>
        <v>1.6097894836212592</v>
      </c>
    </row>
    <row r="167" spans="1:6" x14ac:dyDescent="0.3">
      <c r="A167" s="2">
        <v>28.567</v>
      </c>
      <c r="B167" s="2">
        <v>2.3729</v>
      </c>
      <c r="C167" s="1">
        <f>Tabela9[[#This Row],[Alongamento (mm/mm)]]/$I$2</f>
        <v>4.7458E-2</v>
      </c>
      <c r="D167" s="2">
        <v>68.89</v>
      </c>
      <c r="E167" s="1">
        <f>Tabela9[[#This Row],[Força (N)]]/$I$5</f>
        <v>1625837.8174266026</v>
      </c>
      <c r="F167" s="1">
        <f>Tabela9[[#This Row],[Tensão (Pa)]]/1000000</f>
        <v>1.6258378174266026</v>
      </c>
    </row>
    <row r="168" spans="1:6" x14ac:dyDescent="0.3">
      <c r="A168" s="2">
        <v>28.632999999999999</v>
      </c>
      <c r="B168" s="2">
        <v>2.3784999999999998</v>
      </c>
      <c r="C168" s="1">
        <f>Tabela9[[#This Row],[Alongamento (mm/mm)]]/$I$2</f>
        <v>4.7569999999999994E-2</v>
      </c>
      <c r="D168" s="2">
        <v>69.569999999999993</v>
      </c>
      <c r="E168" s="1">
        <f>Tabela9[[#This Row],[Força (N)]]/$I$5</f>
        <v>1641886.1512319455</v>
      </c>
      <c r="F168" s="1">
        <f>Tabela9[[#This Row],[Tensão (Pa)]]/1000000</f>
        <v>1.6418861512319456</v>
      </c>
    </row>
    <row r="169" spans="1:6" x14ac:dyDescent="0.3">
      <c r="A169" s="2">
        <v>28.7</v>
      </c>
      <c r="B169" s="2">
        <v>2.3841000000000001</v>
      </c>
      <c r="C169" s="1">
        <f>Tabela9[[#This Row],[Alongamento (mm/mm)]]/$I$2</f>
        <v>4.7682000000000002E-2</v>
      </c>
      <c r="D169" s="2">
        <v>70.421000000000006</v>
      </c>
      <c r="E169" s="1">
        <f>Tabela9[[#This Row],[Força (N)]]/$I$5</f>
        <v>1661970.1689795149</v>
      </c>
      <c r="F169" s="1">
        <f>Tabela9[[#This Row],[Tensão (Pa)]]/1000000</f>
        <v>1.6619701689795148</v>
      </c>
    </row>
    <row r="170" spans="1:6" x14ac:dyDescent="0.3">
      <c r="A170" s="2">
        <v>28.766999999999999</v>
      </c>
      <c r="B170" s="2">
        <v>2.3895</v>
      </c>
      <c r="C170" s="1">
        <f>Tabela9[[#This Row],[Alongamento (mm/mm)]]/$I$2</f>
        <v>4.7789999999999999E-2</v>
      </c>
      <c r="D170" s="2">
        <v>71.100999999999999</v>
      </c>
      <c r="E170" s="1">
        <f>Tabela9[[#This Row],[Força (N)]]/$I$5</f>
        <v>1678018.502784858</v>
      </c>
      <c r="F170" s="1">
        <f>Tabela9[[#This Row],[Tensão (Pa)]]/1000000</f>
        <v>1.678018502784858</v>
      </c>
    </row>
    <row r="171" spans="1:6" x14ac:dyDescent="0.3">
      <c r="A171" s="2">
        <v>28.832999999999998</v>
      </c>
      <c r="B171" s="2">
        <v>2.3952</v>
      </c>
      <c r="C171" s="1">
        <f>Tabela9[[#This Row],[Alongamento (mm/mm)]]/$I$2</f>
        <v>4.7904000000000002E-2</v>
      </c>
      <c r="D171" s="2">
        <v>71.781999999999996</v>
      </c>
      <c r="E171" s="1">
        <f>Tabela9[[#This Row],[Força (N)]]/$I$5</f>
        <v>1694090.4370810911</v>
      </c>
      <c r="F171" s="1">
        <f>Tabela9[[#This Row],[Tensão (Pa)]]/1000000</f>
        <v>1.6940904370810912</v>
      </c>
    </row>
    <row r="172" spans="1:6" x14ac:dyDescent="0.3">
      <c r="A172" s="2">
        <v>28.9</v>
      </c>
      <c r="B172" s="2">
        <v>2.4007999999999998</v>
      </c>
      <c r="C172" s="1">
        <f>Tabela9[[#This Row],[Alongamento (mm/mm)]]/$I$2</f>
        <v>4.8015999999999996E-2</v>
      </c>
      <c r="D172" s="2">
        <v>72.462000000000003</v>
      </c>
      <c r="E172" s="1">
        <f>Tabela9[[#This Row],[Força (N)]]/$I$5</f>
        <v>1710138.7708864345</v>
      </c>
      <c r="F172" s="1">
        <f>Tabela9[[#This Row],[Tensão (Pa)]]/1000000</f>
        <v>1.7101387708864344</v>
      </c>
    </row>
    <row r="173" spans="1:6" x14ac:dyDescent="0.3">
      <c r="A173" s="2">
        <v>28.966999999999999</v>
      </c>
      <c r="B173" s="2">
        <v>2.4062999999999999</v>
      </c>
      <c r="C173" s="1">
        <f>Tabela9[[#This Row],[Alongamento (mm/mm)]]/$I$2</f>
        <v>4.8125999999999995E-2</v>
      </c>
      <c r="D173" s="2">
        <v>73.141999999999996</v>
      </c>
      <c r="E173" s="1">
        <f>Tabela9[[#This Row],[Força (N)]]/$I$5</f>
        <v>1726187.1046917774</v>
      </c>
      <c r="F173" s="1">
        <f>Tabela9[[#This Row],[Tensão (Pa)]]/1000000</f>
        <v>1.7261871046917774</v>
      </c>
    </row>
    <row r="174" spans="1:6" x14ac:dyDescent="0.3">
      <c r="A174" s="2">
        <v>29.033000000000001</v>
      </c>
      <c r="B174" s="2">
        <v>2.4117999999999999</v>
      </c>
      <c r="C174" s="1">
        <f>Tabela9[[#This Row],[Alongamento (mm/mm)]]/$I$2</f>
        <v>4.8236000000000001E-2</v>
      </c>
      <c r="D174" s="2">
        <v>73.822999999999993</v>
      </c>
      <c r="E174" s="1">
        <f>Tabela9[[#This Row],[Força (N)]]/$I$5</f>
        <v>1742259.0389880107</v>
      </c>
      <c r="F174" s="1">
        <f>Tabela9[[#This Row],[Tensão (Pa)]]/1000000</f>
        <v>1.7422590389880108</v>
      </c>
    </row>
    <row r="175" spans="1:6" x14ac:dyDescent="0.3">
      <c r="A175" s="2">
        <v>29.1</v>
      </c>
      <c r="B175" s="2">
        <v>2.4175</v>
      </c>
      <c r="C175" s="1">
        <f>Tabela9[[#This Row],[Alongamento (mm/mm)]]/$I$2</f>
        <v>4.8349999999999997E-2</v>
      </c>
      <c r="D175" s="2">
        <v>74.503</v>
      </c>
      <c r="E175" s="1">
        <f>Tabela9[[#This Row],[Força (N)]]/$I$5</f>
        <v>1758307.3727933541</v>
      </c>
      <c r="F175" s="1">
        <f>Tabela9[[#This Row],[Tensão (Pa)]]/1000000</f>
        <v>1.758307372793354</v>
      </c>
    </row>
    <row r="176" spans="1:6" x14ac:dyDescent="0.3">
      <c r="A176" s="2">
        <v>29.167000000000002</v>
      </c>
      <c r="B176" s="2">
        <v>2.423</v>
      </c>
      <c r="C176" s="1">
        <f>Tabela9[[#This Row],[Alongamento (mm/mm)]]/$I$2</f>
        <v>4.8460000000000003E-2</v>
      </c>
      <c r="D176" s="2">
        <v>75.183999999999997</v>
      </c>
      <c r="E176" s="1">
        <f>Tabela9[[#This Row],[Força (N)]]/$I$5</f>
        <v>1774379.3070895874</v>
      </c>
      <c r="F176" s="1">
        <f>Tabela9[[#This Row],[Tensão (Pa)]]/1000000</f>
        <v>1.7743793070895875</v>
      </c>
    </row>
    <row r="177" spans="1:6" x14ac:dyDescent="0.3">
      <c r="A177" s="2">
        <v>29.233000000000001</v>
      </c>
      <c r="B177" s="2">
        <v>2.4285000000000001</v>
      </c>
      <c r="C177" s="1">
        <f>Tabela9[[#This Row],[Alongamento (mm/mm)]]/$I$2</f>
        <v>4.8570000000000002E-2</v>
      </c>
      <c r="D177" s="2">
        <v>75.864000000000004</v>
      </c>
      <c r="E177" s="1">
        <f>Tabela9[[#This Row],[Força (N)]]/$I$5</f>
        <v>1790427.6408949308</v>
      </c>
      <c r="F177" s="1">
        <f>Tabela9[[#This Row],[Tensão (Pa)]]/1000000</f>
        <v>1.7904276408949309</v>
      </c>
    </row>
    <row r="178" spans="1:6" x14ac:dyDescent="0.3">
      <c r="A178" s="2">
        <v>29.283000000000001</v>
      </c>
      <c r="B178" s="2">
        <v>2.4327000000000001</v>
      </c>
      <c r="C178" s="1">
        <f>Tabela9[[#This Row],[Alongamento (mm/mm)]]/$I$2</f>
        <v>4.8654000000000003E-2</v>
      </c>
      <c r="D178" s="2">
        <v>76.543999999999997</v>
      </c>
      <c r="E178" s="1">
        <f>Tabela9[[#This Row],[Força (N)]]/$I$5</f>
        <v>1806475.9747002737</v>
      </c>
      <c r="F178" s="1">
        <f>Tabela9[[#This Row],[Tensão (Pa)]]/1000000</f>
        <v>1.8064759747002737</v>
      </c>
    </row>
    <row r="179" spans="1:6" x14ac:dyDescent="0.3">
      <c r="A179" s="2">
        <v>29.35</v>
      </c>
      <c r="B179" s="2">
        <v>2.4382000000000001</v>
      </c>
      <c r="C179" s="1">
        <f>Tabela9[[#This Row],[Alongamento (mm/mm)]]/$I$2</f>
        <v>4.8764000000000002E-2</v>
      </c>
      <c r="D179" s="2">
        <v>77.224999999999994</v>
      </c>
      <c r="E179" s="1">
        <f>Tabela9[[#This Row],[Força (N)]]/$I$5</f>
        <v>1822547.9089965071</v>
      </c>
      <c r="F179" s="1">
        <f>Tabela9[[#This Row],[Tensão (Pa)]]/1000000</f>
        <v>1.8225479089965071</v>
      </c>
    </row>
    <row r="180" spans="1:6" x14ac:dyDescent="0.3">
      <c r="A180" s="2">
        <v>29.417000000000002</v>
      </c>
      <c r="B180" s="2">
        <v>2.4438</v>
      </c>
      <c r="C180" s="1">
        <f>Tabela9[[#This Row],[Alongamento (mm/mm)]]/$I$2</f>
        <v>4.8876000000000003E-2</v>
      </c>
      <c r="D180" s="2">
        <v>77.905000000000001</v>
      </c>
      <c r="E180" s="1">
        <f>Tabela9[[#This Row],[Força (N)]]/$I$5</f>
        <v>1838596.2428018502</v>
      </c>
      <c r="F180" s="1">
        <f>Tabela9[[#This Row],[Tensão (Pa)]]/1000000</f>
        <v>1.8385962428018503</v>
      </c>
    </row>
    <row r="181" spans="1:6" x14ac:dyDescent="0.3">
      <c r="A181" s="2">
        <v>29.483000000000001</v>
      </c>
      <c r="B181" s="2">
        <v>2.4493999999999998</v>
      </c>
      <c r="C181" s="1">
        <f>Tabela9[[#This Row],[Alongamento (mm/mm)]]/$I$2</f>
        <v>4.8987999999999997E-2</v>
      </c>
      <c r="D181" s="2">
        <v>78.585999999999999</v>
      </c>
      <c r="E181" s="1">
        <f>Tabela9[[#This Row],[Força (N)]]/$I$5</f>
        <v>1854668.1770980835</v>
      </c>
      <c r="F181" s="1">
        <f>Tabela9[[#This Row],[Tensão (Pa)]]/1000000</f>
        <v>1.8546681770980835</v>
      </c>
    </row>
    <row r="182" spans="1:6" x14ac:dyDescent="0.3">
      <c r="A182" s="2">
        <v>29.55</v>
      </c>
      <c r="B182" s="2">
        <v>2.4550000000000001</v>
      </c>
      <c r="C182" s="1">
        <f>Tabela9[[#This Row],[Alongamento (mm/mm)]]/$I$2</f>
        <v>4.9100000000000005E-2</v>
      </c>
      <c r="D182" s="2">
        <v>79.266000000000005</v>
      </c>
      <c r="E182" s="1">
        <f>Tabela9[[#This Row],[Força (N)]]/$I$5</f>
        <v>1870716.5109034269</v>
      </c>
      <c r="F182" s="1">
        <f>Tabela9[[#This Row],[Tensão (Pa)]]/1000000</f>
        <v>1.8707165109034269</v>
      </c>
    </row>
    <row r="183" spans="1:6" x14ac:dyDescent="0.3">
      <c r="A183" s="2">
        <v>29.617000000000001</v>
      </c>
      <c r="B183" s="2">
        <v>2.4605000000000001</v>
      </c>
      <c r="C183" s="1">
        <f>Tabela9[[#This Row],[Alongamento (mm/mm)]]/$I$2</f>
        <v>4.9210000000000004E-2</v>
      </c>
      <c r="D183" s="2">
        <v>79.945999999999998</v>
      </c>
      <c r="E183" s="1">
        <f>Tabela9[[#This Row],[Força (N)]]/$I$5</f>
        <v>1886764.8447087698</v>
      </c>
      <c r="F183" s="1">
        <f>Tabela9[[#This Row],[Tensão (Pa)]]/1000000</f>
        <v>1.8867648447087697</v>
      </c>
    </row>
    <row r="184" spans="1:6" x14ac:dyDescent="0.3">
      <c r="A184" s="2">
        <v>29.683</v>
      </c>
      <c r="B184" s="2">
        <v>2.4659</v>
      </c>
      <c r="C184" s="1">
        <f>Tabela9[[#This Row],[Alongamento (mm/mm)]]/$I$2</f>
        <v>4.9318000000000001E-2</v>
      </c>
      <c r="D184" s="2">
        <v>80.796999999999997</v>
      </c>
      <c r="E184" s="1">
        <f>Tabela9[[#This Row],[Força (N)]]/$I$5</f>
        <v>1906848.8624563389</v>
      </c>
      <c r="F184" s="1">
        <f>Tabela9[[#This Row],[Tensão (Pa)]]/1000000</f>
        <v>1.9068488624563389</v>
      </c>
    </row>
    <row r="185" spans="1:6" x14ac:dyDescent="0.3">
      <c r="A185" s="2">
        <v>29.75</v>
      </c>
      <c r="B185" s="2">
        <v>2.4714999999999998</v>
      </c>
      <c r="C185" s="1">
        <f>Tabela9[[#This Row],[Alongamento (mm/mm)]]/$I$2</f>
        <v>4.9429999999999995E-2</v>
      </c>
      <c r="D185" s="2">
        <v>81.477000000000004</v>
      </c>
      <c r="E185" s="1">
        <f>Tabela9[[#This Row],[Força (N)]]/$I$5</f>
        <v>1922897.1962616823</v>
      </c>
      <c r="F185" s="1">
        <f>Tabela9[[#This Row],[Tensão (Pa)]]/1000000</f>
        <v>1.9228971962616823</v>
      </c>
    </row>
    <row r="186" spans="1:6" x14ac:dyDescent="0.3">
      <c r="A186" s="2">
        <v>29.817</v>
      </c>
      <c r="B186" s="2">
        <v>2.4771000000000001</v>
      </c>
      <c r="C186" s="1">
        <f>Tabela9[[#This Row],[Alongamento (mm/mm)]]/$I$2</f>
        <v>4.9542000000000003E-2</v>
      </c>
      <c r="D186" s="2">
        <v>82.158000000000001</v>
      </c>
      <c r="E186" s="1">
        <f>Tabela9[[#This Row],[Força (N)]]/$I$5</f>
        <v>1938969.1305579157</v>
      </c>
      <c r="F186" s="1">
        <f>Tabela9[[#This Row],[Tensão (Pa)]]/1000000</f>
        <v>1.9389691305579158</v>
      </c>
    </row>
    <row r="187" spans="1:6" x14ac:dyDescent="0.3">
      <c r="A187" s="2">
        <v>29.882999999999999</v>
      </c>
      <c r="B187" s="2">
        <v>2.4826000000000001</v>
      </c>
      <c r="C187" s="1">
        <f>Tabela9[[#This Row],[Alongamento (mm/mm)]]/$I$2</f>
        <v>4.9652000000000002E-2</v>
      </c>
      <c r="D187" s="2">
        <v>83.007999999999996</v>
      </c>
      <c r="E187" s="1">
        <f>Tabela9[[#This Row],[Força (N)]]/$I$5</f>
        <v>1959029.5478145943</v>
      </c>
      <c r="F187" s="1">
        <f>Tabela9[[#This Row],[Tensão (Pa)]]/1000000</f>
        <v>1.9590295478145943</v>
      </c>
    </row>
    <row r="188" spans="1:6" x14ac:dyDescent="0.3">
      <c r="A188" s="2">
        <v>29.95</v>
      </c>
      <c r="B188" s="2">
        <v>2.4882</v>
      </c>
      <c r="C188" s="1">
        <f>Tabela9[[#This Row],[Alongamento (mm/mm)]]/$I$2</f>
        <v>4.9764000000000003E-2</v>
      </c>
      <c r="D188" s="2">
        <v>83.688999999999993</v>
      </c>
      <c r="E188" s="1">
        <f>Tabela9[[#This Row],[Força (N)]]/$I$5</f>
        <v>1975101.4821108277</v>
      </c>
      <c r="F188" s="1">
        <f>Tabela9[[#This Row],[Tensão (Pa)]]/1000000</f>
        <v>1.9751014821108277</v>
      </c>
    </row>
    <row r="189" spans="1:6" x14ac:dyDescent="0.3">
      <c r="A189" s="2">
        <v>30.016999999999999</v>
      </c>
      <c r="B189" s="2">
        <v>2.4937999999999998</v>
      </c>
      <c r="C189" s="1">
        <f>Tabela9[[#This Row],[Alongamento (mm/mm)]]/$I$2</f>
        <v>4.9875999999999997E-2</v>
      </c>
      <c r="D189" s="2">
        <v>84.369</v>
      </c>
      <c r="E189" s="1">
        <f>Tabela9[[#This Row],[Força (N)]]/$I$5</f>
        <v>1991149.8159161711</v>
      </c>
      <c r="F189" s="1">
        <f>Tabela9[[#This Row],[Tensão (Pa)]]/1000000</f>
        <v>1.9911498159161711</v>
      </c>
    </row>
    <row r="190" spans="1:6" x14ac:dyDescent="0.3">
      <c r="A190" s="2">
        <v>30.067</v>
      </c>
      <c r="B190" s="2">
        <v>2.4979</v>
      </c>
      <c r="C190" s="1">
        <f>Tabela9[[#This Row],[Alongamento (mm/mm)]]/$I$2</f>
        <v>4.9958000000000002E-2</v>
      </c>
      <c r="D190" s="2">
        <v>85.049000000000007</v>
      </c>
      <c r="E190" s="1">
        <f>Tabela9[[#This Row],[Força (N)]]/$I$5</f>
        <v>2007198.1497215144</v>
      </c>
      <c r="F190" s="1">
        <f>Tabela9[[#This Row],[Tensão (Pa)]]/1000000</f>
        <v>2.0071981497215146</v>
      </c>
    </row>
    <row r="191" spans="1:6" x14ac:dyDescent="0.3">
      <c r="A191" s="2">
        <v>30.132999999999999</v>
      </c>
      <c r="B191" s="2">
        <v>2.5034000000000001</v>
      </c>
      <c r="C191" s="1">
        <f>Tabela9[[#This Row],[Alongamento (mm/mm)]]/$I$2</f>
        <v>5.0068000000000001E-2</v>
      </c>
      <c r="D191" s="2">
        <v>85.73</v>
      </c>
      <c r="E191" s="1">
        <f>Tabela9[[#This Row],[Força (N)]]/$I$5</f>
        <v>2023270.0840177475</v>
      </c>
      <c r="F191" s="1">
        <f>Tabela9[[#This Row],[Tensão (Pa)]]/1000000</f>
        <v>2.0232700840177475</v>
      </c>
    </row>
    <row r="192" spans="1:6" x14ac:dyDescent="0.3">
      <c r="A192" s="2">
        <v>30.2</v>
      </c>
      <c r="B192" s="2">
        <v>2.5089999999999999</v>
      </c>
      <c r="C192" s="1">
        <f>Tabela9[[#This Row],[Alongamento (mm/mm)]]/$I$2</f>
        <v>5.0179999999999995E-2</v>
      </c>
      <c r="D192" s="2">
        <v>86.41</v>
      </c>
      <c r="E192" s="1">
        <f>Tabela9[[#This Row],[Força (N)]]/$I$5</f>
        <v>2039318.4178230907</v>
      </c>
      <c r="F192" s="1">
        <f>Tabela9[[#This Row],[Tensão (Pa)]]/1000000</f>
        <v>2.0393184178230905</v>
      </c>
    </row>
    <row r="193" spans="1:6" x14ac:dyDescent="0.3">
      <c r="A193" s="2">
        <v>30.25</v>
      </c>
      <c r="B193" s="2">
        <v>2.5131000000000001</v>
      </c>
      <c r="C193" s="1">
        <f>Tabela9[[#This Row],[Alongamento (mm/mm)]]/$I$2</f>
        <v>5.0262000000000001E-2</v>
      </c>
      <c r="D193" s="2">
        <v>87.090999999999994</v>
      </c>
      <c r="E193" s="1">
        <f>Tabela9[[#This Row],[Força (N)]]/$I$5</f>
        <v>2055390.352119324</v>
      </c>
      <c r="F193" s="1">
        <f>Tabela9[[#This Row],[Tensão (Pa)]]/1000000</f>
        <v>2.055390352119324</v>
      </c>
    </row>
    <row r="194" spans="1:6" x14ac:dyDescent="0.3">
      <c r="A194" s="2">
        <v>30.317</v>
      </c>
      <c r="B194" s="2">
        <v>2.5186999999999999</v>
      </c>
      <c r="C194" s="1">
        <f>Tabela9[[#This Row],[Alongamento (mm/mm)]]/$I$2</f>
        <v>5.0374000000000002E-2</v>
      </c>
      <c r="D194" s="2">
        <v>87.771000000000001</v>
      </c>
      <c r="E194" s="1">
        <f>Tabela9[[#This Row],[Força (N)]]/$I$5</f>
        <v>2071438.6859246672</v>
      </c>
      <c r="F194" s="1">
        <f>Tabela9[[#This Row],[Tensão (Pa)]]/1000000</f>
        <v>2.071438685924667</v>
      </c>
    </row>
    <row r="195" spans="1:6" x14ac:dyDescent="0.3">
      <c r="A195" s="2">
        <v>30.367000000000001</v>
      </c>
      <c r="B195" s="2">
        <v>2.5228999999999999</v>
      </c>
      <c r="C195" s="1">
        <f>Tabela9[[#This Row],[Alongamento (mm/mm)]]/$I$2</f>
        <v>5.0457999999999996E-2</v>
      </c>
      <c r="D195" s="2">
        <v>88.450999999999993</v>
      </c>
      <c r="E195" s="1">
        <f>Tabela9[[#This Row],[Força (N)]]/$I$5</f>
        <v>2087487.0197300103</v>
      </c>
      <c r="F195" s="1">
        <f>Tabela9[[#This Row],[Tensão (Pa)]]/1000000</f>
        <v>2.0874870197300104</v>
      </c>
    </row>
    <row r="196" spans="1:6" x14ac:dyDescent="0.3">
      <c r="A196" s="2">
        <v>30.433</v>
      </c>
      <c r="B196" s="2">
        <v>2.5284</v>
      </c>
      <c r="C196" s="1">
        <f>Tabela9[[#This Row],[Alongamento (mm/mm)]]/$I$2</f>
        <v>5.0568000000000002E-2</v>
      </c>
      <c r="D196" s="2">
        <v>89.132000000000005</v>
      </c>
      <c r="E196" s="1">
        <f>Tabela9[[#This Row],[Força (N)]]/$I$5</f>
        <v>2103558.9540262436</v>
      </c>
      <c r="F196" s="1">
        <f>Tabela9[[#This Row],[Tensão (Pa)]]/1000000</f>
        <v>2.1035589540262438</v>
      </c>
    </row>
    <row r="197" spans="1:6" x14ac:dyDescent="0.3">
      <c r="A197" s="2">
        <v>30.5</v>
      </c>
      <c r="B197" s="2">
        <v>2.5341</v>
      </c>
      <c r="C197" s="1">
        <f>Tabela9[[#This Row],[Alongamento (mm/mm)]]/$I$2</f>
        <v>5.0681999999999998E-2</v>
      </c>
      <c r="D197" s="2">
        <v>89.981999999999999</v>
      </c>
      <c r="E197" s="1">
        <f>Tabela9[[#This Row],[Força (N)]]/$I$5</f>
        <v>2123619.3712829226</v>
      </c>
      <c r="F197" s="1">
        <f>Tabela9[[#This Row],[Tensão (Pa)]]/1000000</f>
        <v>2.1236193712829228</v>
      </c>
    </row>
    <row r="198" spans="1:6" x14ac:dyDescent="0.3">
      <c r="A198" s="2">
        <v>30.567</v>
      </c>
      <c r="B198" s="2">
        <v>2.5396000000000001</v>
      </c>
      <c r="C198" s="1">
        <f>Tabela9[[#This Row],[Alongamento (mm/mm)]]/$I$2</f>
        <v>5.0792000000000004E-2</v>
      </c>
      <c r="D198" s="2">
        <v>90.662999999999997</v>
      </c>
      <c r="E198" s="1">
        <f>Tabela9[[#This Row],[Força (N)]]/$I$5</f>
        <v>2139691.3055791561</v>
      </c>
      <c r="F198" s="1">
        <f>Tabela9[[#This Row],[Tensão (Pa)]]/1000000</f>
        <v>2.1396913055791562</v>
      </c>
    </row>
    <row r="199" spans="1:6" x14ac:dyDescent="0.3">
      <c r="A199" s="2">
        <v>30.617000000000001</v>
      </c>
      <c r="B199" s="2">
        <v>2.5436999999999999</v>
      </c>
      <c r="C199" s="1">
        <f>Tabela9[[#This Row],[Alongamento (mm/mm)]]/$I$2</f>
        <v>5.0873999999999996E-2</v>
      </c>
      <c r="D199" s="2">
        <v>91.343000000000004</v>
      </c>
      <c r="E199" s="1">
        <f>Tabela9[[#This Row],[Força (N)]]/$I$5</f>
        <v>2155739.6393844993</v>
      </c>
      <c r="F199" s="1">
        <f>Tabela9[[#This Row],[Tensão (Pa)]]/1000000</f>
        <v>2.1557396393844992</v>
      </c>
    </row>
    <row r="200" spans="1:6" x14ac:dyDescent="0.3">
      <c r="A200" s="2">
        <v>30.683</v>
      </c>
      <c r="B200" s="2">
        <v>2.5493000000000001</v>
      </c>
      <c r="C200" s="1">
        <f>Tabela9[[#This Row],[Alongamento (mm/mm)]]/$I$2</f>
        <v>5.0986000000000004E-2</v>
      </c>
      <c r="D200" s="2">
        <v>92.022999999999996</v>
      </c>
      <c r="E200" s="1">
        <f>Tabela9[[#This Row],[Força (N)]]/$I$5</f>
        <v>2171787.9731898424</v>
      </c>
      <c r="F200" s="1">
        <f>Tabela9[[#This Row],[Tensão (Pa)]]/1000000</f>
        <v>2.1717879731898426</v>
      </c>
    </row>
    <row r="201" spans="1:6" x14ac:dyDescent="0.3">
      <c r="A201" s="2">
        <v>30.733000000000001</v>
      </c>
      <c r="B201" s="2">
        <v>2.5535000000000001</v>
      </c>
      <c r="C201" s="1">
        <f>Tabela9[[#This Row],[Alongamento (mm/mm)]]/$I$2</f>
        <v>5.1070000000000004E-2</v>
      </c>
      <c r="D201" s="2">
        <v>92.703999999999994</v>
      </c>
      <c r="E201" s="1">
        <f>Tabela9[[#This Row],[Força (N)]]/$I$5</f>
        <v>2187859.9074860755</v>
      </c>
      <c r="F201" s="1">
        <f>Tabela9[[#This Row],[Tensão (Pa)]]/1000000</f>
        <v>2.1878599074860756</v>
      </c>
    </row>
    <row r="202" spans="1:6" x14ac:dyDescent="0.3">
      <c r="A202" s="2">
        <v>30.783000000000001</v>
      </c>
      <c r="B202" s="2">
        <v>2.5577000000000001</v>
      </c>
      <c r="C202" s="1">
        <f>Tabela9[[#This Row],[Alongamento (mm/mm)]]/$I$2</f>
        <v>5.1154000000000005E-2</v>
      </c>
      <c r="D202" s="2">
        <v>93.384</v>
      </c>
      <c r="E202" s="1">
        <f>Tabela9[[#This Row],[Força (N)]]/$I$5</f>
        <v>2203908.2412914187</v>
      </c>
      <c r="F202" s="1">
        <f>Tabela9[[#This Row],[Tensão (Pa)]]/1000000</f>
        <v>2.2039082412914186</v>
      </c>
    </row>
    <row r="203" spans="1:6" x14ac:dyDescent="0.3">
      <c r="A203" s="2">
        <v>30.85</v>
      </c>
      <c r="B203" s="2">
        <v>2.5632999999999999</v>
      </c>
      <c r="C203" s="1">
        <f>Tabela9[[#This Row],[Alongamento (mm/mm)]]/$I$2</f>
        <v>5.1265999999999999E-2</v>
      </c>
      <c r="D203" s="2">
        <v>94.064999999999998</v>
      </c>
      <c r="E203" s="1">
        <f>Tabela9[[#This Row],[Força (N)]]/$I$5</f>
        <v>2219980.1755876523</v>
      </c>
      <c r="F203" s="1">
        <f>Tabela9[[#This Row],[Tensão (Pa)]]/1000000</f>
        <v>2.219980175587652</v>
      </c>
    </row>
    <row r="204" spans="1:6" x14ac:dyDescent="0.3">
      <c r="A204" s="2">
        <v>30.9</v>
      </c>
      <c r="B204" s="2">
        <v>2.5674000000000001</v>
      </c>
      <c r="C204" s="1">
        <f>Tabela9[[#This Row],[Alongamento (mm/mm)]]/$I$2</f>
        <v>5.1348000000000005E-2</v>
      </c>
      <c r="D204" s="2">
        <v>94.745000000000005</v>
      </c>
      <c r="E204" s="1">
        <f>Tabela9[[#This Row],[Força (N)]]/$I$5</f>
        <v>2236028.5093929954</v>
      </c>
      <c r="F204" s="1">
        <f>Tabela9[[#This Row],[Tensão (Pa)]]/1000000</f>
        <v>2.2360285093929955</v>
      </c>
    </row>
    <row r="205" spans="1:6" x14ac:dyDescent="0.3">
      <c r="A205" s="2">
        <v>30.966999999999999</v>
      </c>
      <c r="B205" s="2">
        <v>2.573</v>
      </c>
      <c r="C205" s="1">
        <f>Tabela9[[#This Row],[Alongamento (mm/mm)]]/$I$2</f>
        <v>5.1459999999999999E-2</v>
      </c>
      <c r="D205" s="2">
        <v>95.424999999999997</v>
      </c>
      <c r="E205" s="1">
        <f>Tabela9[[#This Row],[Força (N)]]/$I$5</f>
        <v>2252076.8431983385</v>
      </c>
      <c r="F205" s="1">
        <f>Tabela9[[#This Row],[Tensão (Pa)]]/1000000</f>
        <v>2.2520768431983385</v>
      </c>
    </row>
    <row r="206" spans="1:6" x14ac:dyDescent="0.3">
      <c r="A206" s="2">
        <v>31.016999999999999</v>
      </c>
      <c r="B206" s="2">
        <v>2.5771000000000002</v>
      </c>
      <c r="C206" s="1">
        <f>Tabela9[[#This Row],[Alongamento (mm/mm)]]/$I$2</f>
        <v>5.1542000000000004E-2</v>
      </c>
      <c r="D206" s="2">
        <v>96.105999999999995</v>
      </c>
      <c r="E206" s="1">
        <f>Tabela9[[#This Row],[Força (N)]]/$I$5</f>
        <v>2268148.7774945716</v>
      </c>
      <c r="F206" s="1">
        <f>Tabela9[[#This Row],[Tensão (Pa)]]/1000000</f>
        <v>2.2681487774945714</v>
      </c>
    </row>
    <row r="207" spans="1:6" x14ac:dyDescent="0.3">
      <c r="A207" s="2">
        <v>31.082999999999998</v>
      </c>
      <c r="B207" s="2">
        <v>2.5827</v>
      </c>
      <c r="C207" s="1">
        <f>Tabela9[[#This Row],[Alongamento (mm/mm)]]/$I$2</f>
        <v>5.1653999999999999E-2</v>
      </c>
      <c r="D207" s="2">
        <v>96.786000000000001</v>
      </c>
      <c r="E207" s="1">
        <f>Tabela9[[#This Row],[Força (N)]]/$I$5</f>
        <v>2284197.1112999152</v>
      </c>
      <c r="F207" s="1">
        <f>Tabela9[[#This Row],[Tensão (Pa)]]/1000000</f>
        <v>2.2841971112999153</v>
      </c>
    </row>
    <row r="208" spans="1:6" x14ac:dyDescent="0.3">
      <c r="A208" s="2">
        <v>31.132999999999999</v>
      </c>
      <c r="B208" s="2">
        <v>2.5869</v>
      </c>
      <c r="C208" s="1">
        <f>Tabela9[[#This Row],[Alongamento (mm/mm)]]/$I$2</f>
        <v>5.1737999999999999E-2</v>
      </c>
      <c r="D208" s="2">
        <v>97.466999999999999</v>
      </c>
      <c r="E208" s="1">
        <f>Tabela9[[#This Row],[Força (N)]]/$I$5</f>
        <v>2300269.0455961484</v>
      </c>
      <c r="F208" s="1">
        <f>Tabela9[[#This Row],[Tensão (Pa)]]/1000000</f>
        <v>2.3002690455961483</v>
      </c>
    </row>
    <row r="209" spans="1:6" x14ac:dyDescent="0.3">
      <c r="A209" s="2">
        <v>31.2</v>
      </c>
      <c r="B209" s="2">
        <v>2.5924</v>
      </c>
      <c r="C209" s="1">
        <f>Tabela9[[#This Row],[Alongamento (mm/mm)]]/$I$2</f>
        <v>5.1847999999999998E-2</v>
      </c>
      <c r="D209" s="2">
        <v>98.316999999999993</v>
      </c>
      <c r="E209" s="1">
        <f>Tabela9[[#This Row],[Força (N)]]/$I$5</f>
        <v>2320329.4628528273</v>
      </c>
      <c r="F209" s="1">
        <f>Tabela9[[#This Row],[Tensão (Pa)]]/1000000</f>
        <v>2.3203294628528273</v>
      </c>
    </row>
    <row r="210" spans="1:6" x14ac:dyDescent="0.3">
      <c r="A210" s="2">
        <v>31.266999999999999</v>
      </c>
      <c r="B210" s="2">
        <v>2.5979000000000001</v>
      </c>
      <c r="C210" s="1">
        <f>Tabela9[[#This Row],[Alongamento (mm/mm)]]/$I$2</f>
        <v>5.1958000000000004E-2</v>
      </c>
      <c r="D210" s="2">
        <v>99.168000000000006</v>
      </c>
      <c r="E210" s="1">
        <f>Tabela9[[#This Row],[Força (N)]]/$I$5</f>
        <v>2340413.4806003966</v>
      </c>
      <c r="F210" s="1">
        <f>Tabela9[[#This Row],[Tensão (Pa)]]/1000000</f>
        <v>2.3404134806003967</v>
      </c>
    </row>
    <row r="211" spans="1:6" x14ac:dyDescent="0.3">
      <c r="A211" s="2">
        <v>31.332999999999998</v>
      </c>
      <c r="B211" s="2">
        <v>2.6034999999999999</v>
      </c>
      <c r="C211" s="1">
        <f>Tabela9[[#This Row],[Alongamento (mm/mm)]]/$I$2</f>
        <v>5.2069999999999998E-2</v>
      </c>
      <c r="D211" s="2">
        <v>99.847999999999999</v>
      </c>
      <c r="E211" s="1">
        <f>Tabela9[[#This Row],[Força (N)]]/$I$5</f>
        <v>2356461.8144057398</v>
      </c>
      <c r="F211" s="1">
        <f>Tabela9[[#This Row],[Tensão (Pa)]]/1000000</f>
        <v>2.3564618144057397</v>
      </c>
    </row>
    <row r="212" spans="1:6" x14ac:dyDescent="0.3">
      <c r="A212" s="2">
        <v>31.382999999999999</v>
      </c>
      <c r="B212" s="2">
        <v>2.6076999999999999</v>
      </c>
      <c r="C212" s="1">
        <f>Tabela9[[#This Row],[Alongamento (mm/mm)]]/$I$2</f>
        <v>5.2153999999999999E-2</v>
      </c>
      <c r="D212" s="2">
        <v>100.53</v>
      </c>
      <c r="E212" s="1">
        <f>Tabela9[[#This Row],[Força (N)]]/$I$5</f>
        <v>2372557.3491928633</v>
      </c>
      <c r="F212" s="1">
        <f>Tabela9[[#This Row],[Tensão (Pa)]]/1000000</f>
        <v>2.3725573491928635</v>
      </c>
    </row>
    <row r="213" spans="1:6" x14ac:dyDescent="0.3">
      <c r="A213" s="2">
        <v>31.433</v>
      </c>
      <c r="B213" s="2">
        <v>2.6118000000000001</v>
      </c>
      <c r="C213" s="1">
        <f>Tabela9[[#This Row],[Alongamento (mm/mm)]]/$I$2</f>
        <v>5.2236000000000005E-2</v>
      </c>
      <c r="D213" s="2">
        <v>101.21</v>
      </c>
      <c r="E213" s="1">
        <f>Tabela9[[#This Row],[Força (N)]]/$I$5</f>
        <v>2388605.682998206</v>
      </c>
      <c r="F213" s="1">
        <f>Tabela9[[#This Row],[Tensão (Pa)]]/1000000</f>
        <v>2.3886056829982061</v>
      </c>
    </row>
    <row r="214" spans="1:6" x14ac:dyDescent="0.3">
      <c r="A214" s="2">
        <v>31.483000000000001</v>
      </c>
      <c r="B214" s="2">
        <v>2.6160000000000001</v>
      </c>
      <c r="C214" s="1">
        <f>Tabela9[[#This Row],[Alongamento (mm/mm)]]/$I$2</f>
        <v>5.2320000000000005E-2</v>
      </c>
      <c r="D214" s="2">
        <v>101.89</v>
      </c>
      <c r="E214" s="1">
        <f>Tabela9[[#This Row],[Força (N)]]/$I$5</f>
        <v>2404654.0168035496</v>
      </c>
      <c r="F214" s="1">
        <f>Tabela9[[#This Row],[Tensão (Pa)]]/1000000</f>
        <v>2.4046540168035495</v>
      </c>
    </row>
    <row r="215" spans="1:6" x14ac:dyDescent="0.3">
      <c r="A215" s="2">
        <v>31.55</v>
      </c>
      <c r="B215" s="2">
        <v>2.6215000000000002</v>
      </c>
      <c r="C215" s="1">
        <f>Tabela9[[#This Row],[Alongamento (mm/mm)]]/$I$2</f>
        <v>5.2430000000000004E-2</v>
      </c>
      <c r="D215" s="2">
        <v>102.74</v>
      </c>
      <c r="E215" s="1">
        <f>Tabela9[[#This Row],[Força (N)]]/$I$5</f>
        <v>2424714.4340602285</v>
      </c>
      <c r="F215" s="1">
        <f>Tabela9[[#This Row],[Tensão (Pa)]]/1000000</f>
        <v>2.4247144340602285</v>
      </c>
    </row>
    <row r="216" spans="1:6" x14ac:dyDescent="0.3">
      <c r="A216" s="2">
        <v>31.6</v>
      </c>
      <c r="B216" s="2">
        <v>2.6257000000000001</v>
      </c>
      <c r="C216" s="1">
        <f>Tabela9[[#This Row],[Alongamento (mm/mm)]]/$I$2</f>
        <v>5.2514000000000005E-2</v>
      </c>
      <c r="D216" s="2">
        <v>103.42</v>
      </c>
      <c r="E216" s="1">
        <f>Tabela9[[#This Row],[Força (N)]]/$I$5</f>
        <v>2440762.7678655717</v>
      </c>
      <c r="F216" s="1">
        <f>Tabela9[[#This Row],[Tensão (Pa)]]/1000000</f>
        <v>2.4407627678655714</v>
      </c>
    </row>
    <row r="217" spans="1:6" x14ac:dyDescent="0.3">
      <c r="A217" s="2">
        <v>31.65</v>
      </c>
      <c r="B217" s="2">
        <v>2.6299000000000001</v>
      </c>
      <c r="C217" s="1">
        <f>Tabela9[[#This Row],[Alongamento (mm/mm)]]/$I$2</f>
        <v>5.2598000000000006E-2</v>
      </c>
      <c r="D217" s="2">
        <v>104.1</v>
      </c>
      <c r="E217" s="1">
        <f>Tabela9[[#This Row],[Força (N)]]/$I$5</f>
        <v>2456811.1016709148</v>
      </c>
      <c r="F217" s="1">
        <f>Tabela9[[#This Row],[Tensão (Pa)]]/1000000</f>
        <v>2.4568111016709149</v>
      </c>
    </row>
    <row r="218" spans="1:6" x14ac:dyDescent="0.3">
      <c r="A218" s="2">
        <v>31.716999999999999</v>
      </c>
      <c r="B218" s="2">
        <v>2.6355</v>
      </c>
      <c r="C218" s="1">
        <f>Tabela9[[#This Row],[Alongamento (mm/mm)]]/$I$2</f>
        <v>5.271E-2</v>
      </c>
      <c r="D218" s="2">
        <v>104.95</v>
      </c>
      <c r="E218" s="1">
        <f>Tabela9[[#This Row],[Força (N)]]/$I$5</f>
        <v>2476871.5189275937</v>
      </c>
      <c r="F218" s="1">
        <f>Tabela9[[#This Row],[Tensão (Pa)]]/1000000</f>
        <v>2.4768715189275938</v>
      </c>
    </row>
    <row r="219" spans="1:6" x14ac:dyDescent="0.3">
      <c r="A219" s="2">
        <v>31.766999999999999</v>
      </c>
      <c r="B219" s="2">
        <v>2.6396999999999999</v>
      </c>
      <c r="C219" s="1">
        <f>Tabela9[[#This Row],[Alongamento (mm/mm)]]/$I$2</f>
        <v>5.2794000000000001E-2</v>
      </c>
      <c r="D219" s="2">
        <v>105.63</v>
      </c>
      <c r="E219" s="1">
        <f>Tabela9[[#This Row],[Força (N)]]/$I$5</f>
        <v>2492919.8527329369</v>
      </c>
      <c r="F219" s="1">
        <f>Tabela9[[#This Row],[Tensão (Pa)]]/1000000</f>
        <v>2.4929198527329368</v>
      </c>
    </row>
    <row r="220" spans="1:6" x14ac:dyDescent="0.3">
      <c r="A220" s="2">
        <v>31.832999999999998</v>
      </c>
      <c r="B220" s="2">
        <v>2.6452</v>
      </c>
      <c r="C220" s="1">
        <f>Tabela9[[#This Row],[Alongamento (mm/mm)]]/$I$2</f>
        <v>5.2904E-2</v>
      </c>
      <c r="D220" s="2">
        <v>106.48</v>
      </c>
      <c r="E220" s="1">
        <f>Tabela9[[#This Row],[Força (N)]]/$I$5</f>
        <v>2512980.2699896158</v>
      </c>
      <c r="F220" s="1">
        <f>Tabela9[[#This Row],[Tensão (Pa)]]/1000000</f>
        <v>2.5129802699896158</v>
      </c>
    </row>
    <row r="221" spans="1:6" x14ac:dyDescent="0.3">
      <c r="A221" s="2">
        <v>31.882999999999999</v>
      </c>
      <c r="B221" s="2">
        <v>2.6494</v>
      </c>
      <c r="C221" s="1">
        <f>Tabela9[[#This Row],[Alongamento (mm/mm)]]/$I$2</f>
        <v>5.2988E-2</v>
      </c>
      <c r="D221" s="2">
        <v>107.16</v>
      </c>
      <c r="E221" s="1">
        <f>Tabela9[[#This Row],[Força (N)]]/$I$5</f>
        <v>2529028.6037949589</v>
      </c>
      <c r="F221" s="1">
        <f>Tabela9[[#This Row],[Tensão (Pa)]]/1000000</f>
        <v>2.5290286037949588</v>
      </c>
    </row>
    <row r="222" spans="1:6" x14ac:dyDescent="0.3">
      <c r="A222" s="2">
        <v>31.933</v>
      </c>
      <c r="B222" s="2">
        <v>2.6535000000000002</v>
      </c>
      <c r="C222" s="1">
        <f>Tabela9[[#This Row],[Alongamento (mm/mm)]]/$I$2</f>
        <v>5.3070000000000006E-2</v>
      </c>
      <c r="D222" s="2">
        <v>107.84</v>
      </c>
      <c r="E222" s="1">
        <f>Tabela9[[#This Row],[Força (N)]]/$I$5</f>
        <v>2545076.937600302</v>
      </c>
      <c r="F222" s="1">
        <f>Tabela9[[#This Row],[Tensão (Pa)]]/1000000</f>
        <v>2.5450769376003022</v>
      </c>
    </row>
    <row r="223" spans="1:6" x14ac:dyDescent="0.3">
      <c r="A223" s="2">
        <v>31.983000000000001</v>
      </c>
      <c r="B223" s="2">
        <v>2.6576</v>
      </c>
      <c r="C223" s="1">
        <f>Tabela9[[#This Row],[Alongamento (mm/mm)]]/$I$2</f>
        <v>5.3151999999999998E-2</v>
      </c>
      <c r="D223" s="2">
        <v>108.52</v>
      </c>
      <c r="E223" s="1">
        <f>Tabela9[[#This Row],[Força (N)]]/$I$5</f>
        <v>2561125.2714056452</v>
      </c>
      <c r="F223" s="1">
        <f>Tabela9[[#This Row],[Tensão (Pa)]]/1000000</f>
        <v>2.5611252714056452</v>
      </c>
    </row>
    <row r="224" spans="1:6" x14ac:dyDescent="0.3">
      <c r="A224" s="2">
        <v>32.049999999999997</v>
      </c>
      <c r="B224" s="2">
        <v>2.6631999999999998</v>
      </c>
      <c r="C224" s="1">
        <f>Tabela9[[#This Row],[Alongamento (mm/mm)]]/$I$2</f>
        <v>5.3263999999999999E-2</v>
      </c>
      <c r="D224" s="2">
        <v>109.37</v>
      </c>
      <c r="E224" s="1">
        <f>Tabela9[[#This Row],[Força (N)]]/$I$5</f>
        <v>2581185.6886623241</v>
      </c>
      <c r="F224" s="1">
        <f>Tabela9[[#This Row],[Tensão (Pa)]]/1000000</f>
        <v>2.5811856886623241</v>
      </c>
    </row>
    <row r="225" spans="1:6" x14ac:dyDescent="0.3">
      <c r="A225" s="2">
        <v>32.1</v>
      </c>
      <c r="B225" s="2">
        <v>2.6674000000000002</v>
      </c>
      <c r="C225" s="1">
        <f>Tabela9[[#This Row],[Alongamento (mm/mm)]]/$I$2</f>
        <v>5.3348000000000007E-2</v>
      </c>
      <c r="D225" s="2">
        <v>110.05</v>
      </c>
      <c r="E225" s="1">
        <f>Tabela9[[#This Row],[Força (N)]]/$I$5</f>
        <v>2597234.0224676672</v>
      </c>
      <c r="F225" s="1">
        <f>Tabela9[[#This Row],[Tensão (Pa)]]/1000000</f>
        <v>2.5972340224676671</v>
      </c>
    </row>
    <row r="226" spans="1:6" x14ac:dyDescent="0.3">
      <c r="A226" s="2">
        <v>32.15</v>
      </c>
      <c r="B226" s="2">
        <v>2.6716000000000002</v>
      </c>
      <c r="C226" s="1">
        <f>Tabela9[[#This Row],[Alongamento (mm/mm)]]/$I$2</f>
        <v>5.3432000000000007E-2</v>
      </c>
      <c r="D226" s="2">
        <v>110.73</v>
      </c>
      <c r="E226" s="1">
        <f>Tabela9[[#This Row],[Força (N)]]/$I$5</f>
        <v>2613282.3562730104</v>
      </c>
      <c r="F226" s="1">
        <f>Tabela9[[#This Row],[Tensão (Pa)]]/1000000</f>
        <v>2.6132823562730105</v>
      </c>
    </row>
    <row r="227" spans="1:6" x14ac:dyDescent="0.3">
      <c r="A227" s="2">
        <v>32.200000000000003</v>
      </c>
      <c r="B227" s="2">
        <v>2.6757</v>
      </c>
      <c r="C227" s="1">
        <f>Tabela9[[#This Row],[Alongamento (mm/mm)]]/$I$2</f>
        <v>5.3513999999999999E-2</v>
      </c>
      <c r="D227" s="2">
        <v>111.41</v>
      </c>
      <c r="E227" s="1">
        <f>Tabela9[[#This Row],[Força (N)]]/$I$5</f>
        <v>2629330.6900783535</v>
      </c>
      <c r="F227" s="1">
        <f>Tabela9[[#This Row],[Tensão (Pa)]]/1000000</f>
        <v>2.6293306900783535</v>
      </c>
    </row>
    <row r="228" spans="1:6" x14ac:dyDescent="0.3">
      <c r="A228" s="2">
        <v>32.25</v>
      </c>
      <c r="B228" s="2">
        <v>2.6798999999999999</v>
      </c>
      <c r="C228" s="1">
        <f>Tabela9[[#This Row],[Alongamento (mm/mm)]]/$I$2</f>
        <v>5.3598E-2</v>
      </c>
      <c r="D228" s="2">
        <v>112.27</v>
      </c>
      <c r="E228" s="1">
        <f>Tabela9[[#This Row],[Força (N)]]/$I$5</f>
        <v>2649627.1122439345</v>
      </c>
      <c r="F228" s="1">
        <f>Tabela9[[#This Row],[Tensão (Pa)]]/1000000</f>
        <v>2.6496271122439343</v>
      </c>
    </row>
    <row r="229" spans="1:6" x14ac:dyDescent="0.3">
      <c r="A229" s="2">
        <v>32.299999999999997</v>
      </c>
      <c r="B229" s="2">
        <v>2.6840000000000002</v>
      </c>
      <c r="C229" s="1">
        <f>Tabela9[[#This Row],[Alongamento (mm/mm)]]/$I$2</f>
        <v>5.3680000000000005E-2</v>
      </c>
      <c r="D229" s="2">
        <v>112.95</v>
      </c>
      <c r="E229" s="1">
        <f>Tabela9[[#This Row],[Força (N)]]/$I$5</f>
        <v>2665675.4460492777</v>
      </c>
      <c r="F229" s="1">
        <f>Tabela9[[#This Row],[Tensão (Pa)]]/1000000</f>
        <v>2.6656754460492778</v>
      </c>
    </row>
    <row r="230" spans="1:6" x14ac:dyDescent="0.3">
      <c r="A230" s="2">
        <v>32.35</v>
      </c>
      <c r="B230" s="2">
        <v>2.6882999999999999</v>
      </c>
      <c r="C230" s="1">
        <f>Tabela9[[#This Row],[Alongamento (mm/mm)]]/$I$2</f>
        <v>5.3766000000000001E-2</v>
      </c>
      <c r="D230" s="2">
        <v>113.63</v>
      </c>
      <c r="E230" s="1">
        <f>Tabela9[[#This Row],[Força (N)]]/$I$5</f>
        <v>2681723.7798546208</v>
      </c>
      <c r="F230" s="1">
        <f>Tabela9[[#This Row],[Tensão (Pa)]]/1000000</f>
        <v>2.6817237798546207</v>
      </c>
    </row>
    <row r="231" spans="1:6" x14ac:dyDescent="0.3">
      <c r="A231" s="2">
        <v>32.4</v>
      </c>
      <c r="B231" s="2">
        <v>2.6924000000000001</v>
      </c>
      <c r="C231" s="1">
        <f>Tabela9[[#This Row],[Alongamento (mm/mm)]]/$I$2</f>
        <v>5.3848E-2</v>
      </c>
      <c r="D231" s="2">
        <v>114.48</v>
      </c>
      <c r="E231" s="1">
        <f>Tabela9[[#This Row],[Força (N)]]/$I$5</f>
        <v>2701784.1971113002</v>
      </c>
      <c r="F231" s="1">
        <f>Tabela9[[#This Row],[Tensão (Pa)]]/1000000</f>
        <v>2.7017841971113001</v>
      </c>
    </row>
    <row r="232" spans="1:6" x14ac:dyDescent="0.3">
      <c r="A232" s="2">
        <v>32.450000000000003</v>
      </c>
      <c r="B232" s="2">
        <v>2.6964999999999999</v>
      </c>
      <c r="C232" s="1">
        <f>Tabela9[[#This Row],[Alongamento (mm/mm)]]/$I$2</f>
        <v>5.3929999999999999E-2</v>
      </c>
      <c r="D232" s="2">
        <v>115.16</v>
      </c>
      <c r="E232" s="1">
        <f>Tabela9[[#This Row],[Força (N)]]/$I$5</f>
        <v>2717832.5309166429</v>
      </c>
      <c r="F232" s="1">
        <f>Tabela9[[#This Row],[Tensão (Pa)]]/1000000</f>
        <v>2.7178325309166427</v>
      </c>
    </row>
    <row r="233" spans="1:6" x14ac:dyDescent="0.3">
      <c r="A233" s="2">
        <v>32.5</v>
      </c>
      <c r="B233" s="2">
        <v>2.7006999999999999</v>
      </c>
      <c r="C233" s="1">
        <f>Tabela9[[#This Row],[Alongamento (mm/mm)]]/$I$2</f>
        <v>5.4014E-2</v>
      </c>
      <c r="D233" s="2">
        <v>115.84</v>
      </c>
      <c r="E233" s="1">
        <f>Tabela9[[#This Row],[Força (N)]]/$I$5</f>
        <v>2733880.8647219865</v>
      </c>
      <c r="F233" s="1">
        <f>Tabela9[[#This Row],[Tensão (Pa)]]/1000000</f>
        <v>2.7338808647219865</v>
      </c>
    </row>
    <row r="234" spans="1:6" x14ac:dyDescent="0.3">
      <c r="A234" s="2">
        <v>32.549999999999997</v>
      </c>
      <c r="B234" s="2">
        <v>2.7048000000000001</v>
      </c>
      <c r="C234" s="1">
        <f>Tabela9[[#This Row],[Alongamento (mm/mm)]]/$I$2</f>
        <v>5.4096000000000005E-2</v>
      </c>
      <c r="D234" s="2">
        <v>116.69</v>
      </c>
      <c r="E234" s="1">
        <f>Tabela9[[#This Row],[Força (N)]]/$I$5</f>
        <v>2753941.2819786649</v>
      </c>
      <c r="F234" s="1">
        <f>Tabela9[[#This Row],[Tensão (Pa)]]/1000000</f>
        <v>2.7539412819786651</v>
      </c>
    </row>
    <row r="235" spans="1:6" x14ac:dyDescent="0.3">
      <c r="A235" s="2">
        <v>32.6</v>
      </c>
      <c r="B235" s="2">
        <v>2.7090000000000001</v>
      </c>
      <c r="C235" s="1">
        <f>Tabela9[[#This Row],[Alongamento (mm/mm)]]/$I$2</f>
        <v>5.4179999999999999E-2</v>
      </c>
      <c r="D235" s="2">
        <v>117.54</v>
      </c>
      <c r="E235" s="1">
        <f>Tabela9[[#This Row],[Força (N)]]/$I$5</f>
        <v>2774001.6992353443</v>
      </c>
      <c r="F235" s="1">
        <f>Tabela9[[#This Row],[Tensão (Pa)]]/1000000</f>
        <v>2.7740016992353445</v>
      </c>
    </row>
    <row r="236" spans="1:6" x14ac:dyDescent="0.3">
      <c r="A236" s="2">
        <v>32.65</v>
      </c>
      <c r="B236" s="2">
        <v>2.7132000000000001</v>
      </c>
      <c r="C236" s="1">
        <f>Tabela9[[#This Row],[Alongamento (mm/mm)]]/$I$2</f>
        <v>5.4264E-2</v>
      </c>
      <c r="D236" s="2">
        <v>118.22</v>
      </c>
      <c r="E236" s="1">
        <f>Tabela9[[#This Row],[Força (N)]]/$I$5</f>
        <v>2790050.033040687</v>
      </c>
      <c r="F236" s="1">
        <f>Tabela9[[#This Row],[Tensão (Pa)]]/1000000</f>
        <v>2.790050033040687</v>
      </c>
    </row>
    <row r="237" spans="1:6" x14ac:dyDescent="0.3">
      <c r="A237" s="2">
        <v>32.700000000000003</v>
      </c>
      <c r="B237" s="2">
        <v>2.7174</v>
      </c>
      <c r="C237" s="1">
        <f>Tabela9[[#This Row],[Alongamento (mm/mm)]]/$I$2</f>
        <v>5.4348E-2</v>
      </c>
      <c r="D237" s="2">
        <v>118.9</v>
      </c>
      <c r="E237" s="1">
        <f>Tabela9[[#This Row],[Força (N)]]/$I$5</f>
        <v>2806098.3668460306</v>
      </c>
      <c r="F237" s="1">
        <f>Tabela9[[#This Row],[Tensão (Pa)]]/1000000</f>
        <v>2.8060983668460304</v>
      </c>
    </row>
    <row r="238" spans="1:6" x14ac:dyDescent="0.3">
      <c r="A238" s="2">
        <v>32.75</v>
      </c>
      <c r="B238" s="2">
        <v>2.7216</v>
      </c>
      <c r="C238" s="1">
        <f>Tabela9[[#This Row],[Alongamento (mm/mm)]]/$I$2</f>
        <v>5.4432000000000001E-2</v>
      </c>
      <c r="D238" s="2">
        <v>119.75</v>
      </c>
      <c r="E238" s="1">
        <f>Tabela9[[#This Row],[Força (N)]]/$I$5</f>
        <v>2826158.7841027095</v>
      </c>
      <c r="F238" s="1">
        <f>Tabela9[[#This Row],[Tensão (Pa)]]/1000000</f>
        <v>2.8261587841027094</v>
      </c>
    </row>
    <row r="239" spans="1:6" x14ac:dyDescent="0.3">
      <c r="A239" s="2">
        <v>32.799999999999997</v>
      </c>
      <c r="B239" s="2">
        <v>2.7256999999999998</v>
      </c>
      <c r="C239" s="1">
        <f>Tabela9[[#This Row],[Alongamento (mm/mm)]]/$I$2</f>
        <v>5.4513999999999993E-2</v>
      </c>
      <c r="D239" s="2">
        <v>120.6</v>
      </c>
      <c r="E239" s="1">
        <f>Tabela9[[#This Row],[Força (N)]]/$I$5</f>
        <v>2846219.201359388</v>
      </c>
      <c r="F239" s="1">
        <f>Tabela9[[#This Row],[Tensão (Pa)]]/1000000</f>
        <v>2.8462192013593879</v>
      </c>
    </row>
    <row r="240" spans="1:6" x14ac:dyDescent="0.3">
      <c r="A240" s="2">
        <v>32.85</v>
      </c>
      <c r="B240" s="2">
        <v>2.7299000000000002</v>
      </c>
      <c r="C240" s="1">
        <f>Tabela9[[#This Row],[Alongamento (mm/mm)]]/$I$2</f>
        <v>5.4598000000000008E-2</v>
      </c>
      <c r="D240" s="2">
        <v>121.28</v>
      </c>
      <c r="E240" s="1">
        <f>Tabela9[[#This Row],[Força (N)]]/$I$5</f>
        <v>2862267.5351647316</v>
      </c>
      <c r="F240" s="1">
        <f>Tabela9[[#This Row],[Tensão (Pa)]]/1000000</f>
        <v>2.8622675351647318</v>
      </c>
    </row>
    <row r="241" spans="1:6" x14ac:dyDescent="0.3">
      <c r="A241" s="2">
        <v>32.9</v>
      </c>
      <c r="B241" s="2">
        <v>2.7341000000000002</v>
      </c>
      <c r="C241" s="1">
        <f>Tabela9[[#This Row],[Alongamento (mm/mm)]]/$I$2</f>
        <v>5.4682000000000001E-2</v>
      </c>
      <c r="D241" s="2">
        <v>122.13</v>
      </c>
      <c r="E241" s="1">
        <f>Tabela9[[#This Row],[Força (N)]]/$I$5</f>
        <v>2882327.9524214105</v>
      </c>
      <c r="F241" s="1">
        <f>Tabela9[[#This Row],[Tensão (Pa)]]/1000000</f>
        <v>2.8823279524214103</v>
      </c>
    </row>
    <row r="242" spans="1:6" x14ac:dyDescent="0.3">
      <c r="A242" s="2">
        <v>32.950000000000003</v>
      </c>
      <c r="B242" s="2">
        <v>2.7382</v>
      </c>
      <c r="C242" s="1">
        <f>Tabela9[[#This Row],[Alongamento (mm/mm)]]/$I$2</f>
        <v>5.4764E-2</v>
      </c>
      <c r="D242" s="2">
        <v>122.81</v>
      </c>
      <c r="E242" s="1">
        <f>Tabela9[[#This Row],[Força (N)]]/$I$5</f>
        <v>2898376.2862267536</v>
      </c>
      <c r="F242" s="1">
        <f>Tabela9[[#This Row],[Tensão (Pa)]]/1000000</f>
        <v>2.8983762862267537</v>
      </c>
    </row>
    <row r="243" spans="1:6" x14ac:dyDescent="0.3">
      <c r="A243" s="2">
        <v>33</v>
      </c>
      <c r="B243" s="2">
        <v>2.7423999999999999</v>
      </c>
      <c r="C243" s="1">
        <f>Tabela9[[#This Row],[Alongamento (mm/mm)]]/$I$2</f>
        <v>5.4848000000000001E-2</v>
      </c>
      <c r="D243" s="2">
        <v>123.49</v>
      </c>
      <c r="E243" s="1">
        <f>Tabela9[[#This Row],[Força (N)]]/$I$5</f>
        <v>2914424.6200320967</v>
      </c>
      <c r="F243" s="1">
        <f>Tabela9[[#This Row],[Tensão (Pa)]]/1000000</f>
        <v>2.9144246200320967</v>
      </c>
    </row>
    <row r="244" spans="1:6" x14ac:dyDescent="0.3">
      <c r="A244" s="2">
        <v>33.049999999999997</v>
      </c>
      <c r="B244" s="2">
        <v>2.7465000000000002</v>
      </c>
      <c r="C244" s="1">
        <f>Tabela9[[#This Row],[Alongamento (mm/mm)]]/$I$2</f>
        <v>5.4930000000000007E-2</v>
      </c>
      <c r="D244" s="2">
        <v>124.34</v>
      </c>
      <c r="E244" s="1">
        <f>Tabela9[[#This Row],[Força (N)]]/$I$5</f>
        <v>2934485.0372887757</v>
      </c>
      <c r="F244" s="1">
        <f>Tabela9[[#This Row],[Tensão (Pa)]]/1000000</f>
        <v>2.9344850372887756</v>
      </c>
    </row>
    <row r="245" spans="1:6" x14ac:dyDescent="0.3">
      <c r="A245" s="2">
        <v>33.1</v>
      </c>
      <c r="B245" s="2">
        <v>2.7507000000000001</v>
      </c>
      <c r="C245" s="1">
        <f>Tabela9[[#This Row],[Alongamento (mm/mm)]]/$I$2</f>
        <v>5.5014E-2</v>
      </c>
      <c r="D245" s="2">
        <v>125.02</v>
      </c>
      <c r="E245" s="1">
        <f>Tabela9[[#This Row],[Força (N)]]/$I$5</f>
        <v>2950533.3710941188</v>
      </c>
      <c r="F245" s="1">
        <f>Tabela9[[#This Row],[Tensão (Pa)]]/1000000</f>
        <v>2.9505333710941186</v>
      </c>
    </row>
    <row r="246" spans="1:6" x14ac:dyDescent="0.3">
      <c r="A246" s="2">
        <v>33.15</v>
      </c>
      <c r="B246" s="2">
        <v>2.7549000000000001</v>
      </c>
      <c r="C246" s="1">
        <f>Tabela9[[#This Row],[Alongamento (mm/mm)]]/$I$2</f>
        <v>5.5098000000000001E-2</v>
      </c>
      <c r="D246" s="2">
        <v>125.7</v>
      </c>
      <c r="E246" s="1">
        <f>Tabela9[[#This Row],[Força (N)]]/$I$5</f>
        <v>2966581.7048994619</v>
      </c>
      <c r="F246" s="1">
        <f>Tabela9[[#This Row],[Tensão (Pa)]]/1000000</f>
        <v>2.966581704899462</v>
      </c>
    </row>
    <row r="247" spans="1:6" x14ac:dyDescent="0.3">
      <c r="A247" s="2">
        <v>33.200000000000003</v>
      </c>
      <c r="B247" s="2">
        <v>2.7591000000000001</v>
      </c>
      <c r="C247" s="1">
        <f>Tabela9[[#This Row],[Alongamento (mm/mm)]]/$I$2</f>
        <v>5.5182000000000002E-2</v>
      </c>
      <c r="D247" s="2">
        <v>126.55</v>
      </c>
      <c r="E247" s="1">
        <f>Tabela9[[#This Row],[Força (N)]]/$I$5</f>
        <v>2986642.1221561409</v>
      </c>
      <c r="F247" s="1">
        <f>Tabela9[[#This Row],[Tensão (Pa)]]/1000000</f>
        <v>2.986642122156141</v>
      </c>
    </row>
    <row r="248" spans="1:6" x14ac:dyDescent="0.3">
      <c r="A248" s="2">
        <v>33.25</v>
      </c>
      <c r="B248" s="2">
        <v>2.7633000000000001</v>
      </c>
      <c r="C248" s="1">
        <f>Tabela9[[#This Row],[Alongamento (mm/mm)]]/$I$2</f>
        <v>5.5266000000000003E-2</v>
      </c>
      <c r="D248" s="2">
        <v>127.23</v>
      </c>
      <c r="E248" s="1">
        <f>Tabela9[[#This Row],[Força (N)]]/$I$5</f>
        <v>3002690.455961484</v>
      </c>
      <c r="F248" s="1">
        <f>Tabela9[[#This Row],[Tensão (Pa)]]/1000000</f>
        <v>3.002690455961484</v>
      </c>
    </row>
    <row r="249" spans="1:6" x14ac:dyDescent="0.3">
      <c r="A249" s="2">
        <v>33.299999999999997</v>
      </c>
      <c r="B249" s="2">
        <v>2.7675000000000001</v>
      </c>
      <c r="C249" s="1">
        <f>Tabela9[[#This Row],[Alongamento (mm/mm)]]/$I$2</f>
        <v>5.5350000000000003E-2</v>
      </c>
      <c r="D249" s="2">
        <v>128.08000000000001</v>
      </c>
      <c r="E249" s="1">
        <f>Tabela9[[#This Row],[Força (N)]]/$I$5</f>
        <v>3022750.8732181634</v>
      </c>
      <c r="F249" s="1">
        <f>Tabela9[[#This Row],[Tensão (Pa)]]/1000000</f>
        <v>3.0227508732181634</v>
      </c>
    </row>
    <row r="250" spans="1:6" x14ac:dyDescent="0.3">
      <c r="A250" s="2">
        <v>33.35</v>
      </c>
      <c r="B250" s="2">
        <v>2.7715000000000001</v>
      </c>
      <c r="C250" s="1">
        <f>Tabela9[[#This Row],[Alongamento (mm/mm)]]/$I$2</f>
        <v>5.543E-2</v>
      </c>
      <c r="D250" s="2">
        <v>128.76</v>
      </c>
      <c r="E250" s="1">
        <f>Tabela9[[#This Row],[Força (N)]]/$I$5</f>
        <v>3038799.2070235061</v>
      </c>
      <c r="F250" s="1">
        <f>Tabela9[[#This Row],[Tensão (Pa)]]/1000000</f>
        <v>3.0387992070235059</v>
      </c>
    </row>
    <row r="251" spans="1:6" x14ac:dyDescent="0.3">
      <c r="A251" s="2">
        <v>33.4</v>
      </c>
      <c r="B251" s="2">
        <v>2.7757000000000001</v>
      </c>
      <c r="C251" s="1">
        <f>Tabela9[[#This Row],[Alongamento (mm/mm)]]/$I$2</f>
        <v>5.5514000000000001E-2</v>
      </c>
      <c r="D251" s="2">
        <v>129.62</v>
      </c>
      <c r="E251" s="1">
        <f>Tabela9[[#This Row],[Força (N)]]/$I$5</f>
        <v>3059095.6291890871</v>
      </c>
      <c r="F251" s="1">
        <f>Tabela9[[#This Row],[Tensão (Pa)]]/1000000</f>
        <v>3.0590956291890872</v>
      </c>
    </row>
    <row r="252" spans="1:6" x14ac:dyDescent="0.3">
      <c r="A252" s="2">
        <v>33.450000000000003</v>
      </c>
      <c r="B252" s="2">
        <v>2.7799</v>
      </c>
      <c r="C252" s="1">
        <f>Tabela9[[#This Row],[Alongamento (mm/mm)]]/$I$2</f>
        <v>5.5598000000000002E-2</v>
      </c>
      <c r="D252" s="2">
        <v>130.30000000000001</v>
      </c>
      <c r="E252" s="1">
        <f>Tabela9[[#This Row],[Força (N)]]/$I$5</f>
        <v>3075143.9629944307</v>
      </c>
      <c r="F252" s="1">
        <f>Tabela9[[#This Row],[Tensão (Pa)]]/1000000</f>
        <v>3.0751439629944306</v>
      </c>
    </row>
    <row r="253" spans="1:6" x14ac:dyDescent="0.3">
      <c r="A253" s="2">
        <v>33.482999999999997</v>
      </c>
      <c r="B253" s="2">
        <v>2.7826</v>
      </c>
      <c r="C253" s="1">
        <f>Tabela9[[#This Row],[Alongamento (mm/mm)]]/$I$2</f>
        <v>5.5652E-2</v>
      </c>
      <c r="D253" s="2">
        <v>130.97999999999999</v>
      </c>
      <c r="E253" s="1">
        <f>Tabela9[[#This Row],[Força (N)]]/$I$5</f>
        <v>3091192.2967997734</v>
      </c>
      <c r="F253" s="1">
        <f>Tabela9[[#This Row],[Tensão (Pa)]]/1000000</f>
        <v>3.0911922967997731</v>
      </c>
    </row>
    <row r="254" spans="1:6" x14ac:dyDescent="0.3">
      <c r="A254" s="2">
        <v>33.567</v>
      </c>
      <c r="B254" s="2">
        <v>2.7896000000000001</v>
      </c>
      <c r="C254" s="1">
        <f>Tabela9[[#This Row],[Alongamento (mm/mm)]]/$I$2</f>
        <v>5.5792000000000001E-2</v>
      </c>
      <c r="D254" s="2">
        <v>132.16999999999999</v>
      </c>
      <c r="E254" s="1">
        <f>Tabela9[[#This Row],[Força (N)]]/$I$5</f>
        <v>3119276.8809591238</v>
      </c>
      <c r="F254" s="1">
        <f>Tabela9[[#This Row],[Tensão (Pa)]]/1000000</f>
        <v>3.119276880959124</v>
      </c>
    </row>
    <row r="255" spans="1:6" x14ac:dyDescent="0.3">
      <c r="A255" s="2">
        <v>33.633000000000003</v>
      </c>
      <c r="B255" s="2">
        <v>2.7951999999999999</v>
      </c>
      <c r="C255" s="1">
        <f>Tabela9[[#This Row],[Alongamento (mm/mm)]]/$I$2</f>
        <v>5.5903999999999995E-2</v>
      </c>
      <c r="D255" s="2">
        <v>133.19</v>
      </c>
      <c r="E255" s="1">
        <f>Tabela9[[#This Row],[Força (N)]]/$I$5</f>
        <v>3143349.3816671385</v>
      </c>
      <c r="F255" s="1">
        <f>Tabela9[[#This Row],[Tensão (Pa)]]/1000000</f>
        <v>3.1433493816671385</v>
      </c>
    </row>
    <row r="256" spans="1:6" x14ac:dyDescent="0.3">
      <c r="A256" s="2">
        <v>33.700000000000003</v>
      </c>
      <c r="B256" s="2">
        <v>2.8008000000000002</v>
      </c>
      <c r="C256" s="1">
        <f>Tabela9[[#This Row],[Alongamento (mm/mm)]]/$I$2</f>
        <v>5.6016000000000003E-2</v>
      </c>
      <c r="D256" s="2">
        <v>134.21</v>
      </c>
      <c r="E256" s="1">
        <f>Tabela9[[#This Row],[Força (N)]]/$I$5</f>
        <v>3167421.8823751537</v>
      </c>
      <c r="F256" s="1">
        <f>Tabela9[[#This Row],[Tensão (Pa)]]/1000000</f>
        <v>3.1674218823751539</v>
      </c>
    </row>
    <row r="257" spans="1:6" x14ac:dyDescent="0.3">
      <c r="A257" s="2">
        <v>33.767000000000003</v>
      </c>
      <c r="B257" s="2">
        <v>2.8062999999999998</v>
      </c>
      <c r="C257" s="1">
        <f>Tabela9[[#This Row],[Alongamento (mm/mm)]]/$I$2</f>
        <v>5.6125999999999995E-2</v>
      </c>
      <c r="D257" s="2">
        <v>135.4</v>
      </c>
      <c r="E257" s="1">
        <f>Tabela9[[#This Row],[Força (N)]]/$I$5</f>
        <v>3195506.4665345042</v>
      </c>
      <c r="F257" s="1">
        <f>Tabela9[[#This Row],[Tensão (Pa)]]/1000000</f>
        <v>3.1955064665345043</v>
      </c>
    </row>
    <row r="258" spans="1:6" x14ac:dyDescent="0.3">
      <c r="A258" s="2">
        <v>33.832999999999998</v>
      </c>
      <c r="B258" s="2">
        <v>2.8117999999999999</v>
      </c>
      <c r="C258" s="1">
        <f>Tabela9[[#This Row],[Alongamento (mm/mm)]]/$I$2</f>
        <v>5.6235999999999994E-2</v>
      </c>
      <c r="D258" s="2">
        <v>136.41999999999999</v>
      </c>
      <c r="E258" s="1">
        <f>Tabela9[[#This Row],[Força (N)]]/$I$5</f>
        <v>3219578.9672425184</v>
      </c>
      <c r="F258" s="1">
        <f>Tabela9[[#This Row],[Tensão (Pa)]]/1000000</f>
        <v>3.2195789672425184</v>
      </c>
    </row>
    <row r="259" spans="1:6" x14ac:dyDescent="0.3">
      <c r="A259" s="2">
        <v>33.9</v>
      </c>
      <c r="B259" s="2">
        <v>2.8174000000000001</v>
      </c>
      <c r="C259" s="1">
        <f>Tabela9[[#This Row],[Alongamento (mm/mm)]]/$I$2</f>
        <v>5.6348000000000002E-2</v>
      </c>
      <c r="D259" s="2">
        <v>137.61000000000001</v>
      </c>
      <c r="E259" s="1">
        <f>Tabela9[[#This Row],[Força (N)]]/$I$5</f>
        <v>3247663.5514018694</v>
      </c>
      <c r="F259" s="1">
        <f>Tabela9[[#This Row],[Tensão (Pa)]]/1000000</f>
        <v>3.2476635514018692</v>
      </c>
    </row>
    <row r="260" spans="1:6" x14ac:dyDescent="0.3">
      <c r="A260" s="2">
        <v>33.966999999999999</v>
      </c>
      <c r="B260" s="2">
        <v>2.8229000000000002</v>
      </c>
      <c r="C260" s="1">
        <f>Tabela9[[#This Row],[Alongamento (mm/mm)]]/$I$2</f>
        <v>5.6458000000000001E-2</v>
      </c>
      <c r="D260" s="2">
        <v>138.63</v>
      </c>
      <c r="E260" s="1">
        <f>Tabela9[[#This Row],[Força (N)]]/$I$5</f>
        <v>3271736.0521098836</v>
      </c>
      <c r="F260" s="1">
        <f>Tabela9[[#This Row],[Tensão (Pa)]]/1000000</f>
        <v>3.2717360521098837</v>
      </c>
    </row>
    <row r="261" spans="1:6" x14ac:dyDescent="0.3">
      <c r="A261" s="2">
        <v>34.033000000000001</v>
      </c>
      <c r="B261" s="2">
        <v>2.8285</v>
      </c>
      <c r="C261" s="1">
        <f>Tabela9[[#This Row],[Alongamento (mm/mm)]]/$I$2</f>
        <v>5.6570000000000002E-2</v>
      </c>
      <c r="D261" s="2">
        <v>139.82</v>
      </c>
      <c r="E261" s="1">
        <f>Tabela9[[#This Row],[Força (N)]]/$I$5</f>
        <v>3299820.6362692341</v>
      </c>
      <c r="F261" s="1">
        <f>Tabela9[[#This Row],[Tensão (Pa)]]/1000000</f>
        <v>3.2998206362692342</v>
      </c>
    </row>
    <row r="262" spans="1:6" x14ac:dyDescent="0.3">
      <c r="A262" s="2">
        <v>34.1</v>
      </c>
      <c r="B262" s="2">
        <v>2.8340000000000001</v>
      </c>
      <c r="C262" s="1">
        <f>Tabela9[[#This Row],[Alongamento (mm/mm)]]/$I$2</f>
        <v>5.6680000000000001E-2</v>
      </c>
      <c r="D262" s="2">
        <v>140.84</v>
      </c>
      <c r="E262" s="1">
        <f>Tabela9[[#This Row],[Força (N)]]/$I$5</f>
        <v>3323893.1369772493</v>
      </c>
      <c r="F262" s="1">
        <f>Tabela9[[#This Row],[Tensão (Pa)]]/1000000</f>
        <v>3.3238931369772491</v>
      </c>
    </row>
    <row r="263" spans="1:6" x14ac:dyDescent="0.3">
      <c r="A263" s="2">
        <v>34.167000000000002</v>
      </c>
      <c r="B263" s="2">
        <v>2.8395999999999999</v>
      </c>
      <c r="C263" s="1">
        <f>Tabela9[[#This Row],[Alongamento (mm/mm)]]/$I$2</f>
        <v>5.6791999999999995E-2</v>
      </c>
      <c r="D263" s="2">
        <v>142.03</v>
      </c>
      <c r="E263" s="1">
        <f>Tabela9[[#This Row],[Força (N)]]/$I$5</f>
        <v>3351977.7211365998</v>
      </c>
      <c r="F263" s="1">
        <f>Tabela9[[#This Row],[Tensão (Pa)]]/1000000</f>
        <v>3.3519777211366</v>
      </c>
    </row>
    <row r="264" spans="1:6" x14ac:dyDescent="0.3">
      <c r="A264" s="2">
        <v>34.232999999999997</v>
      </c>
      <c r="B264" s="2">
        <v>2.8452000000000002</v>
      </c>
      <c r="C264" s="1">
        <f>Tabela9[[#This Row],[Alongamento (mm/mm)]]/$I$2</f>
        <v>5.6904000000000003E-2</v>
      </c>
      <c r="D264" s="2">
        <v>143.22</v>
      </c>
      <c r="E264" s="1">
        <f>Tabela9[[#This Row],[Força (N)]]/$I$5</f>
        <v>3380062.3052959503</v>
      </c>
      <c r="F264" s="1">
        <f>Tabela9[[#This Row],[Tensão (Pa)]]/1000000</f>
        <v>3.3800623052959504</v>
      </c>
    </row>
    <row r="265" spans="1:6" x14ac:dyDescent="0.3">
      <c r="A265" s="2">
        <v>34.299999999999997</v>
      </c>
      <c r="B265" s="2">
        <v>2.8506999999999998</v>
      </c>
      <c r="C265" s="1">
        <f>Tabela9[[#This Row],[Alongamento (mm/mm)]]/$I$2</f>
        <v>5.7013999999999995E-2</v>
      </c>
      <c r="D265" s="2">
        <v>144.41</v>
      </c>
      <c r="E265" s="1">
        <f>Tabela9[[#This Row],[Força (N)]]/$I$5</f>
        <v>3408146.8894553008</v>
      </c>
      <c r="F265" s="1">
        <f>Tabela9[[#This Row],[Tensão (Pa)]]/1000000</f>
        <v>3.4081468894553009</v>
      </c>
    </row>
    <row r="266" spans="1:6" x14ac:dyDescent="0.3">
      <c r="A266" s="2">
        <v>34.366999999999997</v>
      </c>
      <c r="B266" s="2">
        <v>2.8561999999999999</v>
      </c>
      <c r="C266" s="1">
        <f>Tabela9[[#This Row],[Alongamento (mm/mm)]]/$I$2</f>
        <v>5.7123999999999994E-2</v>
      </c>
      <c r="D266" s="2">
        <v>145.43</v>
      </c>
      <c r="E266" s="1">
        <f>Tabela9[[#This Row],[Força (N)]]/$I$5</f>
        <v>3432219.3901633155</v>
      </c>
      <c r="F266" s="1">
        <f>Tabela9[[#This Row],[Tensão (Pa)]]/1000000</f>
        <v>3.4322193901633153</v>
      </c>
    </row>
    <row r="267" spans="1:6" x14ac:dyDescent="0.3">
      <c r="A267" s="2">
        <v>34.417000000000002</v>
      </c>
      <c r="B267" s="2">
        <v>2.8603999999999998</v>
      </c>
      <c r="C267" s="1">
        <f>Tabela9[[#This Row],[Alongamento (mm/mm)]]/$I$2</f>
        <v>5.7207999999999995E-2</v>
      </c>
      <c r="D267" s="2">
        <v>146.46</v>
      </c>
      <c r="E267" s="1">
        <f>Tabela9[[#This Row],[Força (N)]]/$I$5</f>
        <v>3456527.8957802323</v>
      </c>
      <c r="F267" s="1">
        <f>Tabela9[[#This Row],[Tensão (Pa)]]/1000000</f>
        <v>3.4565278957802321</v>
      </c>
    </row>
    <row r="268" spans="1:6" x14ac:dyDescent="0.3">
      <c r="A268" s="2">
        <v>34.482999999999997</v>
      </c>
      <c r="B268" s="2">
        <v>2.8660000000000001</v>
      </c>
      <c r="C268" s="1">
        <f>Tabela9[[#This Row],[Alongamento (mm/mm)]]/$I$2</f>
        <v>5.7320000000000003E-2</v>
      </c>
      <c r="D268" s="2">
        <v>147.47999999999999</v>
      </c>
      <c r="E268" s="1">
        <f>Tabela9[[#This Row],[Força (N)]]/$I$5</f>
        <v>3480600.3964882465</v>
      </c>
      <c r="F268" s="1">
        <f>Tabela9[[#This Row],[Tensão (Pa)]]/1000000</f>
        <v>3.4806003964882466</v>
      </c>
    </row>
    <row r="269" spans="1:6" x14ac:dyDescent="0.3">
      <c r="A269" s="2">
        <v>34.533000000000001</v>
      </c>
      <c r="B269" s="2">
        <v>2.8700999999999999</v>
      </c>
      <c r="C269" s="1">
        <f>Tabela9[[#This Row],[Alongamento (mm/mm)]]/$I$2</f>
        <v>5.7401999999999995E-2</v>
      </c>
      <c r="D269" s="2">
        <v>148.5</v>
      </c>
      <c r="E269" s="1">
        <f>Tabela9[[#This Row],[Força (N)]]/$I$5</f>
        <v>3504672.8971962617</v>
      </c>
      <c r="F269" s="1">
        <f>Tabela9[[#This Row],[Tensão (Pa)]]/1000000</f>
        <v>3.5046728971962615</v>
      </c>
    </row>
    <row r="270" spans="1:6" x14ac:dyDescent="0.3">
      <c r="A270" s="2">
        <v>34.6</v>
      </c>
      <c r="B270" s="2">
        <v>2.8757000000000001</v>
      </c>
      <c r="C270" s="1">
        <f>Tabela9[[#This Row],[Alongamento (mm/mm)]]/$I$2</f>
        <v>5.7514000000000003E-2</v>
      </c>
      <c r="D270" s="2">
        <v>149.69</v>
      </c>
      <c r="E270" s="1">
        <f>Tabela9[[#This Row],[Força (N)]]/$I$5</f>
        <v>3532757.4813556122</v>
      </c>
      <c r="F270" s="1">
        <f>Tabela9[[#This Row],[Tensão (Pa)]]/1000000</f>
        <v>3.532757481355612</v>
      </c>
    </row>
    <row r="271" spans="1:6" x14ac:dyDescent="0.3">
      <c r="A271" s="2">
        <v>34.667000000000002</v>
      </c>
      <c r="B271" s="2">
        <v>2.8813</v>
      </c>
      <c r="C271" s="1">
        <f>Tabela9[[#This Row],[Alongamento (mm/mm)]]/$I$2</f>
        <v>5.7625999999999997E-2</v>
      </c>
      <c r="D271" s="2">
        <v>150.88</v>
      </c>
      <c r="E271" s="1">
        <f>Tabela9[[#This Row],[Força (N)]]/$I$5</f>
        <v>3560842.0655149627</v>
      </c>
      <c r="F271" s="1">
        <f>Tabela9[[#This Row],[Tensão (Pa)]]/1000000</f>
        <v>3.5608420655149629</v>
      </c>
    </row>
    <row r="272" spans="1:6" x14ac:dyDescent="0.3">
      <c r="A272" s="2">
        <v>34.732999999999997</v>
      </c>
      <c r="B272" s="2">
        <v>2.8868</v>
      </c>
      <c r="C272" s="1">
        <f>Tabela9[[#This Row],[Alongamento (mm/mm)]]/$I$2</f>
        <v>5.7736000000000003E-2</v>
      </c>
      <c r="D272" s="2">
        <v>152.07</v>
      </c>
      <c r="E272" s="1">
        <f>Tabela9[[#This Row],[Força (N)]]/$I$5</f>
        <v>3588926.6496743131</v>
      </c>
      <c r="F272" s="1">
        <f>Tabela9[[#This Row],[Tensão (Pa)]]/1000000</f>
        <v>3.5889266496743133</v>
      </c>
    </row>
    <row r="273" spans="1:6" x14ac:dyDescent="0.3">
      <c r="A273" s="2">
        <v>34.799999999999997</v>
      </c>
      <c r="B273" s="2">
        <v>2.8923999999999999</v>
      </c>
      <c r="C273" s="1">
        <f>Tabela9[[#This Row],[Alongamento (mm/mm)]]/$I$2</f>
        <v>5.7847999999999997E-2</v>
      </c>
      <c r="D273" s="2">
        <v>153.26</v>
      </c>
      <c r="E273" s="1">
        <f>Tabela9[[#This Row],[Força (N)]]/$I$5</f>
        <v>3617011.2338336636</v>
      </c>
      <c r="F273" s="1">
        <f>Tabela9[[#This Row],[Tensão (Pa)]]/1000000</f>
        <v>3.6170112338336637</v>
      </c>
    </row>
    <row r="274" spans="1:6" x14ac:dyDescent="0.3">
      <c r="A274" s="2">
        <v>34.85</v>
      </c>
      <c r="B274" s="2">
        <v>2.8965000000000001</v>
      </c>
      <c r="C274" s="1">
        <f>Tabela9[[#This Row],[Alongamento (mm/mm)]]/$I$2</f>
        <v>5.7930000000000002E-2</v>
      </c>
      <c r="D274" s="2">
        <v>154.28</v>
      </c>
      <c r="E274" s="1">
        <f>Tabela9[[#This Row],[Força (N)]]/$I$5</f>
        <v>3641083.7345416783</v>
      </c>
      <c r="F274" s="1">
        <f>Tabela9[[#This Row],[Tensão (Pa)]]/1000000</f>
        <v>3.6410837345416782</v>
      </c>
    </row>
    <row r="275" spans="1:6" x14ac:dyDescent="0.3">
      <c r="A275" s="2">
        <v>34.917000000000002</v>
      </c>
      <c r="B275" s="2">
        <v>2.9020999999999999</v>
      </c>
      <c r="C275" s="1">
        <f>Tabela9[[#This Row],[Alongamento (mm/mm)]]/$I$2</f>
        <v>5.8041999999999996E-2</v>
      </c>
      <c r="D275" s="2">
        <v>155.47</v>
      </c>
      <c r="E275" s="1">
        <f>Tabela9[[#This Row],[Força (N)]]/$I$5</f>
        <v>3669168.3187010288</v>
      </c>
      <c r="F275" s="1">
        <f>Tabela9[[#This Row],[Tensão (Pa)]]/1000000</f>
        <v>3.6691683187010287</v>
      </c>
    </row>
    <row r="276" spans="1:6" x14ac:dyDescent="0.3">
      <c r="A276" s="2">
        <v>34.966999999999999</v>
      </c>
      <c r="B276" s="2">
        <v>2.9062000000000001</v>
      </c>
      <c r="C276" s="1">
        <f>Tabela9[[#This Row],[Alongamento (mm/mm)]]/$I$2</f>
        <v>5.8124000000000002E-2</v>
      </c>
      <c r="D276" s="2">
        <v>156.49</v>
      </c>
      <c r="E276" s="1">
        <f>Tabela9[[#This Row],[Força (N)]]/$I$5</f>
        <v>3693240.819409044</v>
      </c>
      <c r="F276" s="1">
        <f>Tabela9[[#This Row],[Tensão (Pa)]]/1000000</f>
        <v>3.693240819409044</v>
      </c>
    </row>
    <row r="277" spans="1:6" x14ac:dyDescent="0.3">
      <c r="A277" s="2">
        <v>35.033000000000001</v>
      </c>
      <c r="B277" s="2">
        <v>2.9117999999999999</v>
      </c>
      <c r="C277" s="1">
        <f>Tabela9[[#This Row],[Alongamento (mm/mm)]]/$I$2</f>
        <v>5.8235999999999996E-2</v>
      </c>
      <c r="D277" s="2">
        <v>157.68</v>
      </c>
      <c r="E277" s="1">
        <f>Tabela9[[#This Row],[Força (N)]]/$I$5</f>
        <v>3721325.4035683945</v>
      </c>
      <c r="F277" s="1">
        <f>Tabela9[[#This Row],[Tensão (Pa)]]/1000000</f>
        <v>3.7213254035683945</v>
      </c>
    </row>
    <row r="278" spans="1:6" x14ac:dyDescent="0.3">
      <c r="A278" s="2">
        <v>35.082999999999998</v>
      </c>
      <c r="B278" s="2">
        <v>2.9159999999999999</v>
      </c>
      <c r="C278" s="1">
        <f>Tabela9[[#This Row],[Alongamento (mm/mm)]]/$I$2</f>
        <v>5.8319999999999997E-2</v>
      </c>
      <c r="D278" s="2">
        <v>158.69999999999999</v>
      </c>
      <c r="E278" s="1">
        <f>Tabela9[[#This Row],[Força (N)]]/$I$5</f>
        <v>3745397.9042764087</v>
      </c>
      <c r="F278" s="1">
        <f>Tabela9[[#This Row],[Tensão (Pa)]]/1000000</f>
        <v>3.7453979042764085</v>
      </c>
    </row>
    <row r="279" spans="1:6" x14ac:dyDescent="0.3">
      <c r="A279" s="2">
        <v>35.15</v>
      </c>
      <c r="B279" s="2">
        <v>2.9216000000000002</v>
      </c>
      <c r="C279" s="1">
        <f>Tabela9[[#This Row],[Alongamento (mm/mm)]]/$I$2</f>
        <v>5.8432000000000005E-2</v>
      </c>
      <c r="D279" s="2">
        <v>159.88999999999999</v>
      </c>
      <c r="E279" s="1">
        <f>Tabela9[[#This Row],[Força (N)]]/$I$5</f>
        <v>3773482.4884357592</v>
      </c>
      <c r="F279" s="1">
        <f>Tabela9[[#This Row],[Tensão (Pa)]]/1000000</f>
        <v>3.7734824884357594</v>
      </c>
    </row>
    <row r="280" spans="1:6" x14ac:dyDescent="0.3">
      <c r="A280" s="2">
        <v>35.200000000000003</v>
      </c>
      <c r="B280" s="2">
        <v>2.9257</v>
      </c>
      <c r="C280" s="1">
        <f>Tabela9[[#This Row],[Alongamento (mm/mm)]]/$I$2</f>
        <v>5.8513999999999997E-2</v>
      </c>
      <c r="D280" s="2">
        <v>160.91</v>
      </c>
      <c r="E280" s="1">
        <f>Tabela9[[#This Row],[Força (N)]]/$I$5</f>
        <v>3797554.9891437739</v>
      </c>
      <c r="F280" s="1">
        <f>Tabela9[[#This Row],[Tensão (Pa)]]/1000000</f>
        <v>3.7975549891437739</v>
      </c>
    </row>
    <row r="281" spans="1:6" x14ac:dyDescent="0.3">
      <c r="A281" s="2">
        <v>35.267000000000003</v>
      </c>
      <c r="B281" s="2">
        <v>2.9312</v>
      </c>
      <c r="C281" s="1">
        <f>Tabela9[[#This Row],[Alongamento (mm/mm)]]/$I$2</f>
        <v>5.8624000000000002E-2</v>
      </c>
      <c r="D281" s="2">
        <v>162.1</v>
      </c>
      <c r="E281" s="1">
        <f>Tabela9[[#This Row],[Força (N)]]/$I$5</f>
        <v>3825639.5733031244</v>
      </c>
      <c r="F281" s="1">
        <f>Tabela9[[#This Row],[Tensão (Pa)]]/1000000</f>
        <v>3.8256395733031243</v>
      </c>
    </row>
    <row r="282" spans="1:6" x14ac:dyDescent="0.3">
      <c r="A282" s="2">
        <v>35.317</v>
      </c>
      <c r="B282" s="2">
        <v>2.9355000000000002</v>
      </c>
      <c r="C282" s="1">
        <f>Tabela9[[#This Row],[Alongamento (mm/mm)]]/$I$2</f>
        <v>5.8710000000000005E-2</v>
      </c>
      <c r="D282" s="2">
        <v>163.12</v>
      </c>
      <c r="E282" s="1">
        <f>Tabela9[[#This Row],[Força (N)]]/$I$5</f>
        <v>3849712.0740111396</v>
      </c>
      <c r="F282" s="1">
        <f>Tabela9[[#This Row],[Tensão (Pa)]]/1000000</f>
        <v>3.8497120740111397</v>
      </c>
    </row>
    <row r="283" spans="1:6" x14ac:dyDescent="0.3">
      <c r="A283" s="2">
        <v>35.383000000000003</v>
      </c>
      <c r="B283" s="2">
        <v>2.9409999999999998</v>
      </c>
      <c r="C283" s="1">
        <f>Tabela9[[#This Row],[Alongamento (mm/mm)]]/$I$2</f>
        <v>5.8819999999999997E-2</v>
      </c>
      <c r="D283" s="2">
        <v>164.32</v>
      </c>
      <c r="E283" s="1">
        <f>Tabela9[[#This Row],[Força (N)]]/$I$5</f>
        <v>3878032.6630793917</v>
      </c>
      <c r="F283" s="1">
        <f>Tabela9[[#This Row],[Tensão (Pa)]]/1000000</f>
        <v>3.8780326630793915</v>
      </c>
    </row>
    <row r="284" spans="1:6" x14ac:dyDescent="0.3">
      <c r="A284" s="2">
        <v>35.433</v>
      </c>
      <c r="B284" s="2">
        <v>2.9451999999999998</v>
      </c>
      <c r="C284" s="1">
        <f>Tabela9[[#This Row],[Alongamento (mm/mm)]]/$I$2</f>
        <v>5.8903999999999998E-2</v>
      </c>
      <c r="D284" s="2">
        <v>165.34</v>
      </c>
      <c r="E284" s="1">
        <f>Tabela9[[#This Row],[Força (N)]]/$I$5</f>
        <v>3902105.1637874069</v>
      </c>
      <c r="F284" s="1">
        <f>Tabela9[[#This Row],[Tensão (Pa)]]/1000000</f>
        <v>3.9021051637874069</v>
      </c>
    </row>
    <row r="285" spans="1:6" x14ac:dyDescent="0.3">
      <c r="A285" s="2">
        <v>35.482999999999997</v>
      </c>
      <c r="B285" s="2">
        <v>2.9493</v>
      </c>
      <c r="C285" s="1">
        <f>Tabela9[[#This Row],[Alongamento (mm/mm)]]/$I$2</f>
        <v>5.8986000000000004E-2</v>
      </c>
      <c r="D285" s="2">
        <v>166.36</v>
      </c>
      <c r="E285" s="1">
        <f>Tabela9[[#This Row],[Força (N)]]/$I$5</f>
        <v>3926177.664495422</v>
      </c>
      <c r="F285" s="1">
        <f>Tabela9[[#This Row],[Tensão (Pa)]]/1000000</f>
        <v>3.9261776644954218</v>
      </c>
    </row>
    <row r="286" spans="1:6" x14ac:dyDescent="0.3">
      <c r="A286" s="2">
        <v>35.549999999999997</v>
      </c>
      <c r="B286" s="2">
        <v>2.9550000000000001</v>
      </c>
      <c r="C286" s="1">
        <f>Tabela9[[#This Row],[Alongamento (mm/mm)]]/$I$2</f>
        <v>5.91E-2</v>
      </c>
      <c r="D286" s="2">
        <v>167.55</v>
      </c>
      <c r="E286" s="1">
        <f>Tabela9[[#This Row],[Força (N)]]/$I$5</f>
        <v>3954262.2486547721</v>
      </c>
      <c r="F286" s="1">
        <f>Tabela9[[#This Row],[Tensão (Pa)]]/1000000</f>
        <v>3.9542622486547723</v>
      </c>
    </row>
    <row r="287" spans="1:6" x14ac:dyDescent="0.3">
      <c r="A287" s="2">
        <v>35.6</v>
      </c>
      <c r="B287" s="2">
        <v>2.9590999999999998</v>
      </c>
      <c r="C287" s="1">
        <f>Tabela9[[#This Row],[Alongamento (mm/mm)]]/$I$2</f>
        <v>5.9181999999999998E-2</v>
      </c>
      <c r="D287" s="2">
        <v>168.57</v>
      </c>
      <c r="E287" s="1">
        <f>Tabela9[[#This Row],[Força (N)]]/$I$5</f>
        <v>3978334.7493627868</v>
      </c>
      <c r="F287" s="1">
        <f>Tabela9[[#This Row],[Tensão (Pa)]]/1000000</f>
        <v>3.9783347493627867</v>
      </c>
    </row>
    <row r="288" spans="1:6" x14ac:dyDescent="0.3">
      <c r="A288" s="2">
        <v>35.667000000000002</v>
      </c>
      <c r="B288" s="2">
        <v>2.9645999999999999</v>
      </c>
      <c r="C288" s="1">
        <f>Tabela9[[#This Row],[Alongamento (mm/mm)]]/$I$2</f>
        <v>5.9291999999999997E-2</v>
      </c>
      <c r="D288" s="2">
        <v>169.76</v>
      </c>
      <c r="E288" s="1">
        <f>Tabela9[[#This Row],[Força (N)]]/$I$5</f>
        <v>4006419.3335221373</v>
      </c>
      <c r="F288" s="1">
        <f>Tabela9[[#This Row],[Tensão (Pa)]]/1000000</f>
        <v>4.0064193335221372</v>
      </c>
    </row>
    <row r="289" spans="1:6" x14ac:dyDescent="0.3">
      <c r="A289" s="2">
        <v>35.716999999999999</v>
      </c>
      <c r="B289" s="2">
        <v>2.9687000000000001</v>
      </c>
      <c r="C289" s="1">
        <f>Tabela9[[#This Row],[Alongamento (mm/mm)]]/$I$2</f>
        <v>5.9374000000000003E-2</v>
      </c>
      <c r="D289" s="2">
        <v>170.78</v>
      </c>
      <c r="E289" s="1">
        <f>Tabela9[[#This Row],[Força (N)]]/$I$5</f>
        <v>4030491.834230152</v>
      </c>
      <c r="F289" s="1">
        <f>Tabela9[[#This Row],[Tensão (Pa)]]/1000000</f>
        <v>4.0304918342301521</v>
      </c>
    </row>
    <row r="290" spans="1:6" x14ac:dyDescent="0.3">
      <c r="A290" s="2">
        <v>35.767000000000003</v>
      </c>
      <c r="B290" s="2">
        <v>2.9729000000000001</v>
      </c>
      <c r="C290" s="1">
        <f>Tabela9[[#This Row],[Alongamento (mm/mm)]]/$I$2</f>
        <v>5.9458000000000004E-2</v>
      </c>
      <c r="D290" s="2">
        <v>171.8</v>
      </c>
      <c r="E290" s="1">
        <f>Tabela9[[#This Row],[Força (N)]]/$I$5</f>
        <v>4054564.3349381671</v>
      </c>
      <c r="F290" s="1">
        <f>Tabela9[[#This Row],[Tensão (Pa)]]/1000000</f>
        <v>4.054564334938167</v>
      </c>
    </row>
    <row r="291" spans="1:6" x14ac:dyDescent="0.3">
      <c r="A291" s="2">
        <v>35.817</v>
      </c>
      <c r="B291" s="2">
        <v>2.9771000000000001</v>
      </c>
      <c r="C291" s="1">
        <f>Tabela9[[#This Row],[Alongamento (mm/mm)]]/$I$2</f>
        <v>5.9542000000000005E-2</v>
      </c>
      <c r="D291" s="2">
        <v>172.82</v>
      </c>
      <c r="E291" s="1">
        <f>Tabela9[[#This Row],[Força (N)]]/$I$5</f>
        <v>4078636.8356461814</v>
      </c>
      <c r="F291" s="1">
        <f>Tabela9[[#This Row],[Tensão (Pa)]]/1000000</f>
        <v>4.0786368356461811</v>
      </c>
    </row>
    <row r="292" spans="1:6" x14ac:dyDescent="0.3">
      <c r="A292" s="2">
        <v>35.883000000000003</v>
      </c>
      <c r="B292" s="2">
        <v>2.9826999999999999</v>
      </c>
      <c r="C292" s="1">
        <f>Tabela9[[#This Row],[Alongamento (mm/mm)]]/$I$2</f>
        <v>5.9653999999999999E-2</v>
      </c>
      <c r="D292" s="2">
        <v>174.01</v>
      </c>
      <c r="E292" s="1">
        <f>Tabela9[[#This Row],[Força (N)]]/$I$5</f>
        <v>4106721.4198055319</v>
      </c>
      <c r="F292" s="1">
        <f>Tabela9[[#This Row],[Tensão (Pa)]]/1000000</f>
        <v>4.106721419805532</v>
      </c>
    </row>
    <row r="293" spans="1:6" x14ac:dyDescent="0.3">
      <c r="A293" s="2">
        <v>35.933</v>
      </c>
      <c r="B293" s="2">
        <v>2.9868000000000001</v>
      </c>
      <c r="C293" s="1">
        <f>Tabela9[[#This Row],[Alongamento (mm/mm)]]/$I$2</f>
        <v>5.9736000000000004E-2</v>
      </c>
      <c r="D293" s="2">
        <v>175.2</v>
      </c>
      <c r="E293" s="1">
        <f>Tabela9[[#This Row],[Força (N)]]/$I$5</f>
        <v>4134806.0039648823</v>
      </c>
      <c r="F293" s="1">
        <f>Tabela9[[#This Row],[Tensão (Pa)]]/1000000</f>
        <v>4.134806003964882</v>
      </c>
    </row>
    <row r="294" spans="1:6" x14ac:dyDescent="0.3">
      <c r="A294" s="2">
        <v>36.017000000000003</v>
      </c>
      <c r="B294" s="2">
        <v>2.9937999999999998</v>
      </c>
      <c r="C294" s="1">
        <f>Tabela9[[#This Row],[Alongamento (mm/mm)]]/$I$2</f>
        <v>5.9875999999999999E-2</v>
      </c>
      <c r="D294" s="2">
        <v>176.73</v>
      </c>
      <c r="E294" s="1">
        <f>Tabela9[[#This Row],[Força (N)]]/$I$5</f>
        <v>4170914.7550269044</v>
      </c>
      <c r="F294" s="1">
        <f>Tabela9[[#This Row],[Tensão (Pa)]]/1000000</f>
        <v>4.1709147550269048</v>
      </c>
    </row>
    <row r="295" spans="1:6" x14ac:dyDescent="0.3">
      <c r="A295" s="2">
        <v>36.082999999999998</v>
      </c>
      <c r="B295" s="2">
        <v>2.9992999999999999</v>
      </c>
      <c r="C295" s="1">
        <f>Tabela9[[#This Row],[Alongamento (mm/mm)]]/$I$2</f>
        <v>5.9985999999999998E-2</v>
      </c>
      <c r="D295" s="2">
        <v>178.26</v>
      </c>
      <c r="E295" s="1">
        <f>Tabela9[[#This Row],[Força (N)]]/$I$5</f>
        <v>4207023.5060889265</v>
      </c>
      <c r="F295" s="1">
        <f>Tabela9[[#This Row],[Tensão (Pa)]]/1000000</f>
        <v>4.2070235060889267</v>
      </c>
    </row>
    <row r="296" spans="1:6" x14ac:dyDescent="0.3">
      <c r="A296" s="2">
        <v>36.15</v>
      </c>
      <c r="B296" s="2">
        <v>3.0047999999999999</v>
      </c>
      <c r="C296" s="1">
        <f>Tabela9[[#This Row],[Alongamento (mm/mm)]]/$I$2</f>
        <v>6.0095999999999997E-2</v>
      </c>
      <c r="D296" s="2">
        <v>179.62</v>
      </c>
      <c r="E296" s="1">
        <f>Tabela9[[#This Row],[Força (N)]]/$I$5</f>
        <v>4239120.1736996127</v>
      </c>
      <c r="F296" s="1">
        <f>Tabela9[[#This Row],[Tensão (Pa)]]/1000000</f>
        <v>4.2391201736996127</v>
      </c>
    </row>
    <row r="297" spans="1:6" x14ac:dyDescent="0.3">
      <c r="A297" s="2">
        <v>36.216999999999999</v>
      </c>
      <c r="B297" s="2">
        <v>3.0104000000000002</v>
      </c>
      <c r="C297" s="1">
        <f>Tabela9[[#This Row],[Alongamento (mm/mm)]]/$I$2</f>
        <v>6.0208000000000005E-2</v>
      </c>
      <c r="D297" s="2">
        <v>180.99</v>
      </c>
      <c r="E297" s="1">
        <f>Tabela9[[#This Row],[Força (N)]]/$I$5</f>
        <v>4271452.8462192016</v>
      </c>
      <c r="F297" s="1">
        <f>Tabela9[[#This Row],[Tensão (Pa)]]/1000000</f>
        <v>4.2714528462192014</v>
      </c>
    </row>
    <row r="298" spans="1:6" x14ac:dyDescent="0.3">
      <c r="A298" s="2">
        <v>36.283000000000001</v>
      </c>
      <c r="B298" s="2">
        <v>3.016</v>
      </c>
      <c r="C298" s="1">
        <f>Tabela9[[#This Row],[Alongamento (mm/mm)]]/$I$2</f>
        <v>6.0319999999999999E-2</v>
      </c>
      <c r="D298" s="2">
        <v>182.52</v>
      </c>
      <c r="E298" s="1">
        <f>Tabela9[[#This Row],[Força (N)]]/$I$5</f>
        <v>4307561.5972812241</v>
      </c>
      <c r="F298" s="1">
        <f>Tabela9[[#This Row],[Tensão (Pa)]]/1000000</f>
        <v>4.3075615972812242</v>
      </c>
    </row>
    <row r="299" spans="1:6" x14ac:dyDescent="0.3">
      <c r="A299" s="2">
        <v>36.35</v>
      </c>
      <c r="B299" s="2">
        <v>3.0215999999999998</v>
      </c>
      <c r="C299" s="1">
        <f>Tabela9[[#This Row],[Alongamento (mm/mm)]]/$I$2</f>
        <v>6.0432E-2</v>
      </c>
      <c r="D299" s="2">
        <v>183.88</v>
      </c>
      <c r="E299" s="1">
        <f>Tabela9[[#This Row],[Força (N)]]/$I$5</f>
        <v>4339658.2648919094</v>
      </c>
      <c r="F299" s="1">
        <f>Tabela9[[#This Row],[Tensão (Pa)]]/1000000</f>
        <v>4.3396582648919093</v>
      </c>
    </row>
    <row r="300" spans="1:6" x14ac:dyDescent="0.3">
      <c r="A300" s="2">
        <v>36.417000000000002</v>
      </c>
      <c r="B300" s="2">
        <v>3.0270999999999999</v>
      </c>
      <c r="C300" s="1">
        <f>Tabela9[[#This Row],[Alongamento (mm/mm)]]/$I$2</f>
        <v>6.0541999999999999E-2</v>
      </c>
      <c r="D300" s="2">
        <v>185.24</v>
      </c>
      <c r="E300" s="1">
        <f>Tabela9[[#This Row],[Força (N)]]/$I$5</f>
        <v>4371754.9325025966</v>
      </c>
      <c r="F300" s="1">
        <f>Tabela9[[#This Row],[Tensão (Pa)]]/1000000</f>
        <v>4.3717549325025971</v>
      </c>
    </row>
    <row r="301" spans="1:6" x14ac:dyDescent="0.3">
      <c r="A301" s="2">
        <v>36.482999999999997</v>
      </c>
      <c r="B301" s="2">
        <v>3.0327000000000002</v>
      </c>
      <c r="C301" s="1">
        <f>Tabela9[[#This Row],[Alongamento (mm/mm)]]/$I$2</f>
        <v>6.0654000000000007E-2</v>
      </c>
      <c r="D301" s="2">
        <v>186.6</v>
      </c>
      <c r="E301" s="1">
        <f>Tabela9[[#This Row],[Força (N)]]/$I$5</f>
        <v>4403851.600113282</v>
      </c>
      <c r="F301" s="1">
        <f>Tabela9[[#This Row],[Tensão (Pa)]]/1000000</f>
        <v>4.4038516001132821</v>
      </c>
    </row>
    <row r="302" spans="1:6" x14ac:dyDescent="0.3">
      <c r="A302" s="2">
        <v>36.549999999999997</v>
      </c>
      <c r="B302" s="2">
        <v>3.0383</v>
      </c>
      <c r="C302" s="1">
        <f>Tabela9[[#This Row],[Alongamento (mm/mm)]]/$I$2</f>
        <v>6.0766000000000001E-2</v>
      </c>
      <c r="D302" s="2">
        <v>187.96</v>
      </c>
      <c r="E302" s="1">
        <f>Tabela9[[#This Row],[Força (N)]]/$I$5</f>
        <v>4435948.2677239692</v>
      </c>
      <c r="F302" s="1">
        <f>Tabela9[[#This Row],[Tensão (Pa)]]/1000000</f>
        <v>4.435948267723969</v>
      </c>
    </row>
    <row r="303" spans="1:6" x14ac:dyDescent="0.3">
      <c r="A303" s="2">
        <v>36.616999999999997</v>
      </c>
      <c r="B303" s="2">
        <v>3.0438000000000001</v>
      </c>
      <c r="C303" s="1">
        <f>Tabela9[[#This Row],[Alongamento (mm/mm)]]/$I$2</f>
        <v>6.0876E-2</v>
      </c>
      <c r="D303" s="2">
        <v>189.32</v>
      </c>
      <c r="E303" s="1">
        <f>Tabela9[[#This Row],[Força (N)]]/$I$5</f>
        <v>4468044.9353346545</v>
      </c>
      <c r="F303" s="1">
        <f>Tabela9[[#This Row],[Tensão (Pa)]]/1000000</f>
        <v>4.468044935334655</v>
      </c>
    </row>
    <row r="304" spans="1:6" x14ac:dyDescent="0.3">
      <c r="A304" s="2">
        <v>36.683</v>
      </c>
      <c r="B304" s="2">
        <v>3.0493000000000001</v>
      </c>
      <c r="C304" s="1">
        <f>Tabela9[[#This Row],[Alongamento (mm/mm)]]/$I$2</f>
        <v>6.0986000000000005E-2</v>
      </c>
      <c r="D304" s="2">
        <v>190.68</v>
      </c>
      <c r="E304" s="1">
        <f>Tabela9[[#This Row],[Força (N)]]/$I$5</f>
        <v>4500141.6029453417</v>
      </c>
      <c r="F304" s="1">
        <f>Tabela9[[#This Row],[Tensão (Pa)]]/1000000</f>
        <v>4.5001416029453418</v>
      </c>
    </row>
    <row r="305" spans="1:6" x14ac:dyDescent="0.3">
      <c r="A305" s="2">
        <v>36.75</v>
      </c>
      <c r="B305" s="2">
        <v>3.0548999999999999</v>
      </c>
      <c r="C305" s="1">
        <f>Tabela9[[#This Row],[Alongamento (mm/mm)]]/$I$2</f>
        <v>6.1098E-2</v>
      </c>
      <c r="D305" s="2">
        <v>192.04</v>
      </c>
      <c r="E305" s="1">
        <f>Tabela9[[#This Row],[Força (N)]]/$I$5</f>
        <v>4532238.2705560271</v>
      </c>
      <c r="F305" s="1">
        <f>Tabela9[[#This Row],[Tensão (Pa)]]/1000000</f>
        <v>4.5322382705560269</v>
      </c>
    </row>
    <row r="306" spans="1:6" x14ac:dyDescent="0.3">
      <c r="A306" s="2">
        <v>36.817</v>
      </c>
      <c r="B306" s="2">
        <v>3.0605000000000002</v>
      </c>
      <c r="C306" s="1">
        <f>Tabela9[[#This Row],[Alongamento (mm/mm)]]/$I$2</f>
        <v>6.1210000000000007E-2</v>
      </c>
      <c r="D306" s="2">
        <v>193.4</v>
      </c>
      <c r="E306" s="1">
        <f>Tabela9[[#This Row],[Força (N)]]/$I$5</f>
        <v>4564334.9381667143</v>
      </c>
      <c r="F306" s="1">
        <f>Tabela9[[#This Row],[Tensão (Pa)]]/1000000</f>
        <v>4.5643349381667147</v>
      </c>
    </row>
    <row r="307" spans="1:6" x14ac:dyDescent="0.3">
      <c r="A307" s="2">
        <v>36.883000000000003</v>
      </c>
      <c r="B307" s="2">
        <v>3.0659999999999998</v>
      </c>
      <c r="C307" s="1">
        <f>Tabela9[[#This Row],[Alongamento (mm/mm)]]/$I$2</f>
        <v>6.132E-2</v>
      </c>
      <c r="D307" s="2">
        <v>194.76</v>
      </c>
      <c r="E307" s="1">
        <f>Tabela9[[#This Row],[Força (N)]]/$I$5</f>
        <v>4596431.6057773996</v>
      </c>
      <c r="F307" s="1">
        <f>Tabela9[[#This Row],[Tensão (Pa)]]/1000000</f>
        <v>4.5964316057773997</v>
      </c>
    </row>
    <row r="308" spans="1:6" x14ac:dyDescent="0.3">
      <c r="A308" s="2">
        <v>36.950000000000003</v>
      </c>
      <c r="B308" s="2">
        <v>3.0714999999999999</v>
      </c>
      <c r="C308" s="1">
        <f>Tabela9[[#This Row],[Alongamento (mm/mm)]]/$I$2</f>
        <v>6.1429999999999998E-2</v>
      </c>
      <c r="D308" s="2">
        <v>196.12</v>
      </c>
      <c r="E308" s="1">
        <f>Tabela9[[#This Row],[Força (N)]]/$I$5</f>
        <v>4628528.2733880868</v>
      </c>
      <c r="F308" s="1">
        <f>Tabela9[[#This Row],[Tensão (Pa)]]/1000000</f>
        <v>4.6285282733880866</v>
      </c>
    </row>
    <row r="309" spans="1:6" x14ac:dyDescent="0.3">
      <c r="A309" s="2">
        <v>37.017000000000003</v>
      </c>
      <c r="B309" s="2">
        <v>3.0771000000000002</v>
      </c>
      <c r="C309" s="1">
        <f>Tabela9[[#This Row],[Alongamento (mm/mm)]]/$I$2</f>
        <v>6.1542000000000006E-2</v>
      </c>
      <c r="D309" s="2">
        <v>197.65</v>
      </c>
      <c r="E309" s="1">
        <f>Tabela9[[#This Row],[Força (N)]]/$I$5</f>
        <v>4664637.0244501084</v>
      </c>
      <c r="F309" s="1">
        <f>Tabela9[[#This Row],[Tensão (Pa)]]/1000000</f>
        <v>4.6646370244501085</v>
      </c>
    </row>
    <row r="310" spans="1:6" x14ac:dyDescent="0.3">
      <c r="A310" s="2">
        <v>37.082999999999998</v>
      </c>
      <c r="B310" s="2">
        <v>3.0825999999999998</v>
      </c>
      <c r="C310" s="1">
        <f>Tabela9[[#This Row],[Alongamento (mm/mm)]]/$I$2</f>
        <v>6.1651999999999998E-2</v>
      </c>
      <c r="D310" s="2">
        <v>199.02</v>
      </c>
      <c r="E310" s="1">
        <f>Tabela9[[#This Row],[Força (N)]]/$I$5</f>
        <v>4696969.6969696973</v>
      </c>
      <c r="F310" s="1">
        <f>Tabela9[[#This Row],[Tensão (Pa)]]/1000000</f>
        <v>4.6969696969696972</v>
      </c>
    </row>
    <row r="311" spans="1:6" x14ac:dyDescent="0.3">
      <c r="A311" s="2">
        <v>37.15</v>
      </c>
      <c r="B311" s="2">
        <v>3.0880999999999998</v>
      </c>
      <c r="C311" s="1">
        <f>Tabela9[[#This Row],[Alongamento (mm/mm)]]/$I$2</f>
        <v>6.1761999999999997E-2</v>
      </c>
      <c r="D311" s="2">
        <v>200.38</v>
      </c>
      <c r="E311" s="1">
        <f>Tabela9[[#This Row],[Força (N)]]/$I$5</f>
        <v>4729066.3645803835</v>
      </c>
      <c r="F311" s="1">
        <f>Tabela9[[#This Row],[Tensão (Pa)]]/1000000</f>
        <v>4.7290663645803832</v>
      </c>
    </row>
    <row r="312" spans="1:6" x14ac:dyDescent="0.3">
      <c r="A312" s="2">
        <v>37.216999999999999</v>
      </c>
      <c r="B312" s="2">
        <v>3.0937999999999999</v>
      </c>
      <c r="C312" s="1">
        <f>Tabela9[[#This Row],[Alongamento (mm/mm)]]/$I$2</f>
        <v>6.1876E-2</v>
      </c>
      <c r="D312" s="2">
        <v>201.91</v>
      </c>
      <c r="E312" s="1">
        <f>Tabela9[[#This Row],[Força (N)]]/$I$5</f>
        <v>4765175.1156424051</v>
      </c>
      <c r="F312" s="1">
        <f>Tabela9[[#This Row],[Tensão (Pa)]]/1000000</f>
        <v>4.7651751156424051</v>
      </c>
    </row>
    <row r="313" spans="1:6" x14ac:dyDescent="0.3">
      <c r="A313" s="2">
        <v>37.283000000000001</v>
      </c>
      <c r="B313" s="2">
        <v>3.0994000000000002</v>
      </c>
      <c r="C313" s="1">
        <f>Tabela9[[#This Row],[Alongamento (mm/mm)]]/$I$2</f>
        <v>6.1988000000000001E-2</v>
      </c>
      <c r="D313" s="2">
        <v>203.44</v>
      </c>
      <c r="E313" s="1">
        <f>Tabela9[[#This Row],[Força (N)]]/$I$5</f>
        <v>4801283.8667044276</v>
      </c>
      <c r="F313" s="1">
        <f>Tabela9[[#This Row],[Tensão (Pa)]]/1000000</f>
        <v>4.801283866704428</v>
      </c>
    </row>
    <row r="314" spans="1:6" x14ac:dyDescent="0.3">
      <c r="A314" s="2">
        <v>37.35</v>
      </c>
      <c r="B314" s="2">
        <v>3.1049000000000002</v>
      </c>
      <c r="C314" s="1">
        <f>Tabela9[[#This Row],[Alongamento (mm/mm)]]/$I$2</f>
        <v>6.2098000000000007E-2</v>
      </c>
      <c r="D314" s="2">
        <v>204.97</v>
      </c>
      <c r="E314" s="1">
        <f>Tabela9[[#This Row],[Força (N)]]/$I$5</f>
        <v>4837392.6177664492</v>
      </c>
      <c r="F314" s="1">
        <f>Tabela9[[#This Row],[Tensão (Pa)]]/1000000</f>
        <v>4.837392617766449</v>
      </c>
    </row>
    <row r="315" spans="1:6" x14ac:dyDescent="0.3">
      <c r="A315" s="2">
        <v>37.417000000000002</v>
      </c>
      <c r="B315" s="2">
        <v>3.1105</v>
      </c>
      <c r="C315" s="1">
        <f>Tabela9[[#This Row],[Alongamento (mm/mm)]]/$I$2</f>
        <v>6.2210000000000001E-2</v>
      </c>
      <c r="D315" s="2">
        <v>206.5</v>
      </c>
      <c r="E315" s="1">
        <f>Tabela9[[#This Row],[Força (N)]]/$I$5</f>
        <v>4873501.3688284718</v>
      </c>
      <c r="F315" s="1">
        <f>Tabela9[[#This Row],[Tensão (Pa)]]/1000000</f>
        <v>4.8735013688284718</v>
      </c>
    </row>
    <row r="316" spans="1:6" x14ac:dyDescent="0.3">
      <c r="A316" s="2">
        <v>37.482999999999997</v>
      </c>
      <c r="B316" s="2">
        <v>3.1160000000000001</v>
      </c>
      <c r="C316" s="1">
        <f>Tabela9[[#This Row],[Alongamento (mm/mm)]]/$I$2</f>
        <v>6.232E-2</v>
      </c>
      <c r="D316" s="2">
        <v>208.03</v>
      </c>
      <c r="E316" s="1">
        <f>Tabela9[[#This Row],[Força (N)]]/$I$5</f>
        <v>4909610.1198904933</v>
      </c>
      <c r="F316" s="1">
        <f>Tabela9[[#This Row],[Tensão (Pa)]]/1000000</f>
        <v>4.9096101198904938</v>
      </c>
    </row>
    <row r="317" spans="1:6" x14ac:dyDescent="0.3">
      <c r="A317" s="2">
        <v>37.549999999999997</v>
      </c>
      <c r="B317" s="2">
        <v>3.1215999999999999</v>
      </c>
      <c r="C317" s="1">
        <f>Tabela9[[#This Row],[Alongamento (mm/mm)]]/$I$2</f>
        <v>6.2432000000000001E-2</v>
      </c>
      <c r="D317" s="2">
        <v>209.39</v>
      </c>
      <c r="E317" s="1">
        <f>Tabela9[[#This Row],[Força (N)]]/$I$5</f>
        <v>4941706.7875011796</v>
      </c>
      <c r="F317" s="1">
        <f>Tabela9[[#This Row],[Tensão (Pa)]]/1000000</f>
        <v>4.9417067875011798</v>
      </c>
    </row>
    <row r="318" spans="1:6" x14ac:dyDescent="0.3">
      <c r="A318" s="2">
        <v>37.616999999999997</v>
      </c>
      <c r="B318" s="2">
        <v>3.1271</v>
      </c>
      <c r="C318" s="1">
        <f>Tabela9[[#This Row],[Alongamento (mm/mm)]]/$I$2</f>
        <v>6.2542E-2</v>
      </c>
      <c r="D318" s="2">
        <v>210.92</v>
      </c>
      <c r="E318" s="1">
        <f>Tabela9[[#This Row],[Força (N)]]/$I$5</f>
        <v>4977815.5385632021</v>
      </c>
      <c r="F318" s="1">
        <f>Tabela9[[#This Row],[Tensão (Pa)]]/1000000</f>
        <v>4.9778155385632017</v>
      </c>
    </row>
    <row r="319" spans="1:6" x14ac:dyDescent="0.3">
      <c r="A319" s="2">
        <v>37.683</v>
      </c>
      <c r="B319" s="2">
        <v>3.1326000000000001</v>
      </c>
      <c r="C319" s="1">
        <f>Tabela9[[#This Row],[Alongamento (mm/mm)]]/$I$2</f>
        <v>6.2651999999999999E-2</v>
      </c>
      <c r="D319" s="2">
        <v>212.45</v>
      </c>
      <c r="E319" s="1">
        <f>Tabela9[[#This Row],[Força (N)]]/$I$5</f>
        <v>5013924.2896252237</v>
      </c>
      <c r="F319" s="1">
        <f>Tabela9[[#This Row],[Tensão (Pa)]]/1000000</f>
        <v>5.0139242896252236</v>
      </c>
    </row>
    <row r="320" spans="1:6" x14ac:dyDescent="0.3">
      <c r="A320" s="2">
        <v>37.75</v>
      </c>
      <c r="B320" s="2">
        <v>3.1383000000000001</v>
      </c>
      <c r="C320" s="1">
        <f>Tabela9[[#This Row],[Alongamento (mm/mm)]]/$I$2</f>
        <v>6.2766000000000002E-2</v>
      </c>
      <c r="D320" s="2">
        <v>213.98</v>
      </c>
      <c r="E320" s="1">
        <f>Tabela9[[#This Row],[Força (N)]]/$I$5</f>
        <v>5050033.0406872462</v>
      </c>
      <c r="F320" s="1">
        <f>Tabela9[[#This Row],[Tensão (Pa)]]/1000000</f>
        <v>5.0500330406872465</v>
      </c>
    </row>
    <row r="321" spans="1:6" x14ac:dyDescent="0.3">
      <c r="A321" s="2">
        <v>37.817</v>
      </c>
      <c r="B321" s="2">
        <v>3.1438000000000001</v>
      </c>
      <c r="C321" s="1">
        <f>Tabela9[[#This Row],[Alongamento (mm/mm)]]/$I$2</f>
        <v>6.2876000000000001E-2</v>
      </c>
      <c r="D321" s="2">
        <v>215.52</v>
      </c>
      <c r="E321" s="1">
        <f>Tabela9[[#This Row],[Força (N)]]/$I$5</f>
        <v>5086377.7966581704</v>
      </c>
      <c r="F321" s="1">
        <f>Tabela9[[#This Row],[Tensão (Pa)]]/1000000</f>
        <v>5.0863777966581702</v>
      </c>
    </row>
    <row r="322" spans="1:6" x14ac:dyDescent="0.3">
      <c r="A322" s="2">
        <v>37.883000000000003</v>
      </c>
      <c r="B322" s="2">
        <v>3.1493000000000002</v>
      </c>
      <c r="C322" s="1">
        <f>Tabela9[[#This Row],[Alongamento (mm/mm)]]/$I$2</f>
        <v>6.2986E-2</v>
      </c>
      <c r="D322" s="2">
        <v>217.05</v>
      </c>
      <c r="E322" s="1">
        <f>Tabela9[[#This Row],[Força (N)]]/$I$5</f>
        <v>5122486.5477201929</v>
      </c>
      <c r="F322" s="1">
        <f>Tabela9[[#This Row],[Tensão (Pa)]]/1000000</f>
        <v>5.1224865477201931</v>
      </c>
    </row>
    <row r="323" spans="1:6" x14ac:dyDescent="0.3">
      <c r="A323" s="2">
        <v>37.950000000000003</v>
      </c>
      <c r="B323" s="2">
        <v>3.1549</v>
      </c>
      <c r="C323" s="1">
        <f>Tabela9[[#This Row],[Alongamento (mm/mm)]]/$I$2</f>
        <v>6.3098000000000001E-2</v>
      </c>
      <c r="D323" s="2">
        <v>218.58</v>
      </c>
      <c r="E323" s="1">
        <f>Tabela9[[#This Row],[Força (N)]]/$I$5</f>
        <v>5158595.2987822145</v>
      </c>
      <c r="F323" s="1">
        <f>Tabela9[[#This Row],[Tensão (Pa)]]/1000000</f>
        <v>5.1585952987822141</v>
      </c>
    </row>
    <row r="324" spans="1:6" x14ac:dyDescent="0.3">
      <c r="A324" s="2">
        <v>38.033000000000001</v>
      </c>
      <c r="B324" s="2">
        <v>3.1617999999999999</v>
      </c>
      <c r="C324" s="1">
        <f>Tabela9[[#This Row],[Alongamento (mm/mm)]]/$I$2</f>
        <v>6.3236000000000001E-2</v>
      </c>
      <c r="D324" s="2">
        <v>220.45</v>
      </c>
      <c r="E324" s="1">
        <f>Tabela9[[#This Row],[Força (N)]]/$I$5</f>
        <v>5202728.2167469077</v>
      </c>
      <c r="F324" s="1">
        <f>Tabela9[[#This Row],[Tensão (Pa)]]/1000000</f>
        <v>5.202728216746908</v>
      </c>
    </row>
    <row r="325" spans="1:6" x14ac:dyDescent="0.3">
      <c r="A325" s="2">
        <v>38.116999999999997</v>
      </c>
      <c r="B325" s="2">
        <v>3.1688000000000001</v>
      </c>
      <c r="C325" s="1">
        <f>Tabela9[[#This Row],[Alongamento (mm/mm)]]/$I$2</f>
        <v>6.3376000000000002E-2</v>
      </c>
      <c r="D325" s="2">
        <v>222.32</v>
      </c>
      <c r="E325" s="1">
        <f>Tabela9[[#This Row],[Força (N)]]/$I$5</f>
        <v>5246861.1347116018</v>
      </c>
      <c r="F325" s="1">
        <f>Tabela9[[#This Row],[Tensão (Pa)]]/1000000</f>
        <v>5.2468611347116019</v>
      </c>
    </row>
    <row r="326" spans="1:6" x14ac:dyDescent="0.3">
      <c r="A326" s="2">
        <v>38.200000000000003</v>
      </c>
      <c r="B326" s="2">
        <v>3.1757</v>
      </c>
      <c r="C326" s="1">
        <f>Tabela9[[#This Row],[Alongamento (mm/mm)]]/$I$2</f>
        <v>6.3514000000000001E-2</v>
      </c>
      <c r="D326" s="2">
        <v>224.19</v>
      </c>
      <c r="E326" s="1">
        <f>Tabela9[[#This Row],[Força (N)]]/$I$5</f>
        <v>5290994.0526762959</v>
      </c>
      <c r="F326" s="1">
        <f>Tabela9[[#This Row],[Tensão (Pa)]]/1000000</f>
        <v>5.2909940526762957</v>
      </c>
    </row>
    <row r="327" spans="1:6" x14ac:dyDescent="0.3">
      <c r="A327" s="2">
        <v>38.283000000000001</v>
      </c>
      <c r="B327" s="2">
        <v>3.1827000000000001</v>
      </c>
      <c r="C327" s="1">
        <f>Tabela9[[#This Row],[Alongamento (mm/mm)]]/$I$2</f>
        <v>6.3654000000000002E-2</v>
      </c>
      <c r="D327" s="2">
        <v>226.06</v>
      </c>
      <c r="E327" s="1">
        <f>Tabela9[[#This Row],[Força (N)]]/$I$5</f>
        <v>5335126.970640989</v>
      </c>
      <c r="F327" s="1">
        <f>Tabela9[[#This Row],[Tensão (Pa)]]/1000000</f>
        <v>5.3351269706409887</v>
      </c>
    </row>
    <row r="328" spans="1:6" x14ac:dyDescent="0.3">
      <c r="A328" s="2">
        <v>38.35</v>
      </c>
      <c r="B328" s="2">
        <v>3.1882999999999999</v>
      </c>
      <c r="C328" s="1">
        <f>Tabela9[[#This Row],[Alongamento (mm/mm)]]/$I$2</f>
        <v>6.3766000000000003E-2</v>
      </c>
      <c r="D328" s="2">
        <v>227.76</v>
      </c>
      <c r="E328" s="1">
        <f>Tabela9[[#This Row],[Força (N)]]/$I$5</f>
        <v>5375247.8051543469</v>
      </c>
      <c r="F328" s="1">
        <f>Tabela9[[#This Row],[Tensão (Pa)]]/1000000</f>
        <v>5.3752478051543466</v>
      </c>
    </row>
    <row r="329" spans="1:6" x14ac:dyDescent="0.3">
      <c r="A329" s="2">
        <v>38.433</v>
      </c>
      <c r="B329" s="2">
        <v>3.1951000000000001</v>
      </c>
      <c r="C329" s="1">
        <f>Tabela9[[#This Row],[Alongamento (mm/mm)]]/$I$2</f>
        <v>6.3902E-2</v>
      </c>
      <c r="D329" s="2">
        <v>229.8</v>
      </c>
      <c r="E329" s="1">
        <f>Tabela9[[#This Row],[Força (N)]]/$I$5</f>
        <v>5423392.8065703772</v>
      </c>
      <c r="F329" s="1">
        <f>Tabela9[[#This Row],[Tensão (Pa)]]/1000000</f>
        <v>5.4233928065703774</v>
      </c>
    </row>
    <row r="330" spans="1:6" x14ac:dyDescent="0.3">
      <c r="A330" s="2">
        <v>38.517000000000003</v>
      </c>
      <c r="B330" s="2">
        <v>3.2021000000000002</v>
      </c>
      <c r="C330" s="1">
        <f>Tabela9[[#This Row],[Alongamento (mm/mm)]]/$I$2</f>
        <v>6.4042000000000002E-2</v>
      </c>
      <c r="D330" s="2">
        <v>231.67</v>
      </c>
      <c r="E330" s="1">
        <f>Tabela9[[#This Row],[Força (N)]]/$I$5</f>
        <v>5467525.7245350704</v>
      </c>
      <c r="F330" s="1">
        <f>Tabela9[[#This Row],[Tensão (Pa)]]/1000000</f>
        <v>5.4675257245350704</v>
      </c>
    </row>
    <row r="331" spans="1:6" x14ac:dyDescent="0.3">
      <c r="A331" s="2">
        <v>38.6</v>
      </c>
      <c r="B331" s="2">
        <v>3.2090999999999998</v>
      </c>
      <c r="C331" s="1">
        <f>Tabela9[[#This Row],[Alongamento (mm/mm)]]/$I$2</f>
        <v>6.4182000000000003E-2</v>
      </c>
      <c r="D331" s="2">
        <v>233.55</v>
      </c>
      <c r="E331" s="1">
        <f>Tabela9[[#This Row],[Força (N)]]/$I$5</f>
        <v>5511894.6474086661</v>
      </c>
      <c r="F331" s="1">
        <f>Tabela9[[#This Row],[Tensão (Pa)]]/1000000</f>
        <v>5.5118946474086661</v>
      </c>
    </row>
    <row r="332" spans="1:6" x14ac:dyDescent="0.3">
      <c r="A332" s="2">
        <v>38.667000000000002</v>
      </c>
      <c r="B332" s="2">
        <v>3.2147000000000001</v>
      </c>
      <c r="C332" s="1">
        <f>Tabela9[[#This Row],[Alongamento (mm/mm)]]/$I$2</f>
        <v>6.4294000000000004E-2</v>
      </c>
      <c r="D332" s="2">
        <v>235.25</v>
      </c>
      <c r="E332" s="1">
        <f>Tabela9[[#This Row],[Força (N)]]/$I$5</f>
        <v>5552015.4819220239</v>
      </c>
      <c r="F332" s="1">
        <f>Tabela9[[#This Row],[Tensão (Pa)]]/1000000</f>
        <v>5.552015481922024</v>
      </c>
    </row>
    <row r="333" spans="1:6" x14ac:dyDescent="0.3">
      <c r="A333" s="2">
        <v>38.75</v>
      </c>
      <c r="B333" s="2">
        <v>3.2214999999999998</v>
      </c>
      <c r="C333" s="1">
        <f>Tabela9[[#This Row],[Alongamento (mm/mm)]]/$I$2</f>
        <v>6.4430000000000001E-2</v>
      </c>
      <c r="D333" s="2">
        <v>237.12</v>
      </c>
      <c r="E333" s="1">
        <f>Tabela9[[#This Row],[Força (N)]]/$I$5</f>
        <v>5596148.399886718</v>
      </c>
      <c r="F333" s="1">
        <f>Tabela9[[#This Row],[Tensão (Pa)]]/1000000</f>
        <v>5.5961483998867179</v>
      </c>
    </row>
    <row r="334" spans="1:6" x14ac:dyDescent="0.3">
      <c r="A334" s="2">
        <v>38.832999999999998</v>
      </c>
      <c r="B334" s="2">
        <v>3.2284999999999999</v>
      </c>
      <c r="C334" s="1">
        <f>Tabela9[[#This Row],[Alongamento (mm/mm)]]/$I$2</f>
        <v>6.4570000000000002E-2</v>
      </c>
      <c r="D334" s="2">
        <v>239.16</v>
      </c>
      <c r="E334" s="1">
        <f>Tabela9[[#This Row],[Força (N)]]/$I$5</f>
        <v>5644293.4013027474</v>
      </c>
      <c r="F334" s="1">
        <f>Tabela9[[#This Row],[Tensão (Pa)]]/1000000</f>
        <v>5.6442934013027477</v>
      </c>
    </row>
    <row r="335" spans="1:6" x14ac:dyDescent="0.3">
      <c r="A335" s="2">
        <v>38.917000000000002</v>
      </c>
      <c r="B335" s="2">
        <v>3.2353999999999998</v>
      </c>
      <c r="C335" s="1">
        <f>Tabela9[[#This Row],[Alongamento (mm/mm)]]/$I$2</f>
        <v>6.4708000000000002E-2</v>
      </c>
      <c r="D335" s="2">
        <v>241.2</v>
      </c>
      <c r="E335" s="1">
        <f>Tabela9[[#This Row],[Força (N)]]/$I$5</f>
        <v>5692438.4027187759</v>
      </c>
      <c r="F335" s="1">
        <f>Tabela9[[#This Row],[Tensão (Pa)]]/1000000</f>
        <v>5.6924384027187758</v>
      </c>
    </row>
    <row r="336" spans="1:6" x14ac:dyDescent="0.3">
      <c r="A336" s="2">
        <v>39</v>
      </c>
      <c r="B336" s="2">
        <v>3.2423000000000002</v>
      </c>
      <c r="C336" s="1">
        <f>Tabela9[[#This Row],[Alongamento (mm/mm)]]/$I$2</f>
        <v>6.4846000000000001E-2</v>
      </c>
      <c r="D336" s="2">
        <v>243.07</v>
      </c>
      <c r="E336" s="1">
        <f>Tabela9[[#This Row],[Força (N)]]/$I$5</f>
        <v>5736571.32068347</v>
      </c>
      <c r="F336" s="1">
        <f>Tabela9[[#This Row],[Tensão (Pa)]]/1000000</f>
        <v>5.7365713206834696</v>
      </c>
    </row>
    <row r="337" spans="1:6" x14ac:dyDescent="0.3">
      <c r="A337" s="2">
        <v>39.067</v>
      </c>
      <c r="B337" s="2">
        <v>3.2479</v>
      </c>
      <c r="C337" s="1">
        <f>Tabela9[[#This Row],[Alongamento (mm/mm)]]/$I$2</f>
        <v>6.4958000000000002E-2</v>
      </c>
      <c r="D337" s="2">
        <v>244.77</v>
      </c>
      <c r="E337" s="1">
        <f>Tabela9[[#This Row],[Força (N)]]/$I$5</f>
        <v>5776692.1551968288</v>
      </c>
      <c r="F337" s="1">
        <f>Tabela9[[#This Row],[Tensão (Pa)]]/1000000</f>
        <v>5.7766921551968284</v>
      </c>
    </row>
    <row r="338" spans="1:6" x14ac:dyDescent="0.3">
      <c r="A338" s="2">
        <v>39.15</v>
      </c>
      <c r="B338" s="2">
        <v>3.2549000000000001</v>
      </c>
      <c r="C338" s="1">
        <f>Tabela9[[#This Row],[Alongamento (mm/mm)]]/$I$2</f>
        <v>6.5098000000000003E-2</v>
      </c>
      <c r="D338" s="2">
        <v>246.64</v>
      </c>
      <c r="E338" s="1">
        <f>Tabela9[[#This Row],[Força (N)]]/$I$5</f>
        <v>5820825.073161521</v>
      </c>
      <c r="F338" s="1">
        <f>Tabela9[[#This Row],[Tensão (Pa)]]/1000000</f>
        <v>5.8208250731615214</v>
      </c>
    </row>
    <row r="339" spans="1:6" x14ac:dyDescent="0.3">
      <c r="A339" s="2">
        <v>39.216999999999999</v>
      </c>
      <c r="B339" s="2">
        <v>3.2605</v>
      </c>
      <c r="C339" s="1">
        <f>Tabela9[[#This Row],[Alongamento (mm/mm)]]/$I$2</f>
        <v>6.5210000000000004E-2</v>
      </c>
      <c r="D339" s="2">
        <v>248.34</v>
      </c>
      <c r="E339" s="1">
        <f>Tabela9[[#This Row],[Força (N)]]/$I$5</f>
        <v>5860945.9076748798</v>
      </c>
      <c r="F339" s="1">
        <f>Tabela9[[#This Row],[Tensão (Pa)]]/1000000</f>
        <v>5.8609459076748793</v>
      </c>
    </row>
    <row r="340" spans="1:6" x14ac:dyDescent="0.3">
      <c r="A340" s="2">
        <v>39.299999999999997</v>
      </c>
      <c r="B340" s="2">
        <v>3.2673999999999999</v>
      </c>
      <c r="C340" s="1">
        <f>Tabela9[[#This Row],[Alongamento (mm/mm)]]/$I$2</f>
        <v>6.5348000000000003E-2</v>
      </c>
      <c r="D340" s="2">
        <v>250.39</v>
      </c>
      <c r="E340" s="1">
        <f>Tabela9[[#This Row],[Força (N)]]/$I$5</f>
        <v>5909326.9139998108</v>
      </c>
      <c r="F340" s="1">
        <f>Tabela9[[#This Row],[Tensão (Pa)]]/1000000</f>
        <v>5.909326913999811</v>
      </c>
    </row>
    <row r="341" spans="1:6" x14ac:dyDescent="0.3">
      <c r="A341" s="2">
        <v>39.383000000000003</v>
      </c>
      <c r="B341" s="2">
        <v>3.2742</v>
      </c>
      <c r="C341" s="1">
        <f>Tabela9[[#This Row],[Alongamento (mm/mm)]]/$I$2</f>
        <v>6.5484000000000001E-2</v>
      </c>
      <c r="D341" s="2">
        <v>252.26</v>
      </c>
      <c r="E341" s="1">
        <f>Tabela9[[#This Row],[Força (N)]]/$I$5</f>
        <v>5953459.8319645049</v>
      </c>
      <c r="F341" s="1">
        <f>Tabela9[[#This Row],[Tensão (Pa)]]/1000000</f>
        <v>5.9534598319645049</v>
      </c>
    </row>
    <row r="342" spans="1:6" x14ac:dyDescent="0.3">
      <c r="A342" s="2">
        <v>39.450000000000003</v>
      </c>
      <c r="B342" s="2">
        <v>3.2799</v>
      </c>
      <c r="C342" s="1">
        <f>Tabela9[[#This Row],[Alongamento (mm/mm)]]/$I$2</f>
        <v>6.5598000000000004E-2</v>
      </c>
      <c r="D342" s="2">
        <v>253.96</v>
      </c>
      <c r="E342" s="1">
        <f>Tabela9[[#This Row],[Força (N)]]/$I$5</f>
        <v>5993580.6664778627</v>
      </c>
      <c r="F342" s="1">
        <f>Tabela9[[#This Row],[Tensão (Pa)]]/1000000</f>
        <v>5.9935806664778628</v>
      </c>
    </row>
    <row r="343" spans="1:6" x14ac:dyDescent="0.3">
      <c r="A343" s="2">
        <v>39.517000000000003</v>
      </c>
      <c r="B343" s="2">
        <v>3.2854999999999999</v>
      </c>
      <c r="C343" s="1">
        <f>Tabela9[[#This Row],[Alongamento (mm/mm)]]/$I$2</f>
        <v>6.5709999999999991E-2</v>
      </c>
      <c r="D343" s="2">
        <v>255.66</v>
      </c>
      <c r="E343" s="1">
        <f>Tabela9[[#This Row],[Força (N)]]/$I$5</f>
        <v>6033701.5009912206</v>
      </c>
      <c r="F343" s="1">
        <f>Tabela9[[#This Row],[Tensão (Pa)]]/1000000</f>
        <v>6.0337015009912207</v>
      </c>
    </row>
    <row r="344" spans="1:6" x14ac:dyDescent="0.3">
      <c r="A344" s="2">
        <v>39.582999999999998</v>
      </c>
      <c r="B344" s="2">
        <v>3.2909999999999999</v>
      </c>
      <c r="C344" s="1">
        <f>Tabela9[[#This Row],[Alongamento (mm/mm)]]/$I$2</f>
        <v>6.5820000000000004E-2</v>
      </c>
      <c r="D344" s="2">
        <v>257.36</v>
      </c>
      <c r="E344" s="1">
        <f>Tabela9[[#This Row],[Força (N)]]/$I$5</f>
        <v>6073822.3355045784</v>
      </c>
      <c r="F344" s="1">
        <f>Tabela9[[#This Row],[Tensão (Pa)]]/1000000</f>
        <v>6.0738223355045786</v>
      </c>
    </row>
    <row r="345" spans="1:6" x14ac:dyDescent="0.3">
      <c r="A345" s="2">
        <v>39.667000000000002</v>
      </c>
      <c r="B345" s="2">
        <v>3.298</v>
      </c>
      <c r="C345" s="1">
        <f>Tabela9[[#This Row],[Alongamento (mm/mm)]]/$I$2</f>
        <v>6.5960000000000005E-2</v>
      </c>
      <c r="D345" s="2">
        <v>259.39999999999998</v>
      </c>
      <c r="E345" s="1">
        <f>Tabela9[[#This Row],[Força (N)]]/$I$5</f>
        <v>6121967.3369206078</v>
      </c>
      <c r="F345" s="1">
        <f>Tabela9[[#This Row],[Tensão (Pa)]]/1000000</f>
        <v>6.1219673369206076</v>
      </c>
    </row>
    <row r="346" spans="1:6" x14ac:dyDescent="0.3">
      <c r="A346" s="2">
        <v>39.732999999999997</v>
      </c>
      <c r="B346" s="2">
        <v>3.3035000000000001</v>
      </c>
      <c r="C346" s="1">
        <f>Tabela9[[#This Row],[Alongamento (mm/mm)]]/$I$2</f>
        <v>6.6070000000000004E-2</v>
      </c>
      <c r="D346" s="2">
        <v>261.10000000000002</v>
      </c>
      <c r="E346" s="1">
        <f>Tabela9[[#This Row],[Força (N)]]/$I$5</f>
        <v>6162088.1714339666</v>
      </c>
      <c r="F346" s="1">
        <f>Tabela9[[#This Row],[Tensão (Pa)]]/1000000</f>
        <v>6.1620881714339664</v>
      </c>
    </row>
    <row r="347" spans="1:6" x14ac:dyDescent="0.3">
      <c r="A347" s="2">
        <v>39.817</v>
      </c>
      <c r="B347" s="2">
        <v>3.3104</v>
      </c>
      <c r="C347" s="1">
        <f>Tabela9[[#This Row],[Alongamento (mm/mm)]]/$I$2</f>
        <v>6.6208000000000003E-2</v>
      </c>
      <c r="D347" s="2">
        <v>263.14</v>
      </c>
      <c r="E347" s="1">
        <f>Tabela9[[#This Row],[Força (N)]]/$I$5</f>
        <v>6210233.1728499951</v>
      </c>
      <c r="F347" s="1">
        <f>Tabela9[[#This Row],[Tensão (Pa)]]/1000000</f>
        <v>6.2102331728499953</v>
      </c>
    </row>
    <row r="348" spans="1:6" x14ac:dyDescent="0.3">
      <c r="A348" s="2">
        <v>39.9</v>
      </c>
      <c r="B348" s="2">
        <v>3.3174000000000001</v>
      </c>
      <c r="C348" s="1">
        <f>Tabela9[[#This Row],[Alongamento (mm/mm)]]/$I$2</f>
        <v>6.6348000000000004E-2</v>
      </c>
      <c r="D348" s="2">
        <v>265.18</v>
      </c>
      <c r="E348" s="1">
        <f>Tabela9[[#This Row],[Força (N)]]/$I$5</f>
        <v>6258378.1742660245</v>
      </c>
      <c r="F348" s="1">
        <f>Tabela9[[#This Row],[Tensão (Pa)]]/1000000</f>
        <v>6.2583781742660243</v>
      </c>
    </row>
    <row r="349" spans="1:6" x14ac:dyDescent="0.3">
      <c r="A349" s="2">
        <v>39.982999999999997</v>
      </c>
      <c r="B349" s="2">
        <v>3.3243999999999998</v>
      </c>
      <c r="C349" s="1">
        <f>Tabela9[[#This Row],[Alongamento (mm/mm)]]/$I$2</f>
        <v>6.6487999999999992E-2</v>
      </c>
      <c r="D349" s="2">
        <v>267.39999999999998</v>
      </c>
      <c r="E349" s="1">
        <f>Tabela9[[#This Row],[Força (N)]]/$I$5</f>
        <v>6310771.2640422918</v>
      </c>
      <c r="F349" s="1">
        <f>Tabela9[[#This Row],[Tensão (Pa)]]/1000000</f>
        <v>6.3107712640422919</v>
      </c>
    </row>
    <row r="350" spans="1:6" x14ac:dyDescent="0.3">
      <c r="A350" s="2">
        <v>40.067</v>
      </c>
      <c r="B350" s="2">
        <v>3.3313000000000001</v>
      </c>
      <c r="C350" s="1">
        <f>Tabela9[[#This Row],[Alongamento (mm/mm)]]/$I$2</f>
        <v>6.6626000000000005E-2</v>
      </c>
      <c r="D350" s="2">
        <v>269.61</v>
      </c>
      <c r="E350" s="1">
        <f>Tabela9[[#This Row],[Força (N)]]/$I$5</f>
        <v>6362928.3489096574</v>
      </c>
      <c r="F350" s="1">
        <f>Tabela9[[#This Row],[Tensão (Pa)]]/1000000</f>
        <v>6.3629283489096577</v>
      </c>
    </row>
    <row r="351" spans="1:6" x14ac:dyDescent="0.3">
      <c r="A351" s="2">
        <v>40.15</v>
      </c>
      <c r="B351" s="2">
        <v>3.3382999999999998</v>
      </c>
      <c r="C351" s="1">
        <f>Tabela9[[#This Row],[Alongamento (mm/mm)]]/$I$2</f>
        <v>6.6765999999999992E-2</v>
      </c>
      <c r="D351" s="2">
        <v>271.64999999999998</v>
      </c>
      <c r="E351" s="1">
        <f>Tabela9[[#This Row],[Força (N)]]/$I$5</f>
        <v>6411073.3503256859</v>
      </c>
      <c r="F351" s="1">
        <f>Tabela9[[#This Row],[Tensão (Pa)]]/1000000</f>
        <v>6.4110733503256858</v>
      </c>
    </row>
    <row r="352" spans="1:6" x14ac:dyDescent="0.3">
      <c r="A352" s="2">
        <v>40.232999999999997</v>
      </c>
      <c r="B352" s="2">
        <v>3.3452000000000002</v>
      </c>
      <c r="C352" s="1">
        <f>Tabela9[[#This Row],[Alongamento (mm/mm)]]/$I$2</f>
        <v>6.6904000000000005E-2</v>
      </c>
      <c r="D352" s="2">
        <v>273.86</v>
      </c>
      <c r="E352" s="1">
        <f>Tabela9[[#This Row],[Força (N)]]/$I$5</f>
        <v>6463230.4351930525</v>
      </c>
      <c r="F352" s="1">
        <f>Tabela9[[#This Row],[Tensão (Pa)]]/1000000</f>
        <v>6.4632304351930525</v>
      </c>
    </row>
    <row r="353" spans="1:6" x14ac:dyDescent="0.3">
      <c r="A353" s="2">
        <v>40.317</v>
      </c>
      <c r="B353" s="2">
        <v>3.3519999999999999</v>
      </c>
      <c r="C353" s="1">
        <f>Tabela9[[#This Row],[Alongamento (mm/mm)]]/$I$2</f>
        <v>6.7040000000000002E-2</v>
      </c>
      <c r="D353" s="2">
        <v>275.89999999999998</v>
      </c>
      <c r="E353" s="1">
        <f>Tabela9[[#This Row],[Força (N)]]/$I$5</f>
        <v>6511375.436609081</v>
      </c>
      <c r="F353" s="1">
        <f>Tabela9[[#This Row],[Tensão (Pa)]]/1000000</f>
        <v>6.5113754366090806</v>
      </c>
    </row>
    <row r="354" spans="1:6" x14ac:dyDescent="0.3">
      <c r="A354" s="2">
        <v>40.4</v>
      </c>
      <c r="B354" s="2">
        <v>3.359</v>
      </c>
      <c r="C354" s="1">
        <f>Tabela9[[#This Row],[Alongamento (mm/mm)]]/$I$2</f>
        <v>6.7180000000000004E-2</v>
      </c>
      <c r="D354" s="2">
        <v>278.11</v>
      </c>
      <c r="E354" s="1">
        <f>Tabela9[[#This Row],[Força (N)]]/$I$5</f>
        <v>6563532.5214764467</v>
      </c>
      <c r="F354" s="1">
        <f>Tabela9[[#This Row],[Tensão (Pa)]]/1000000</f>
        <v>6.5635325214764464</v>
      </c>
    </row>
    <row r="355" spans="1:6" x14ac:dyDescent="0.3">
      <c r="A355" s="2">
        <v>40.482999999999997</v>
      </c>
      <c r="B355" s="2">
        <v>3.3658999999999999</v>
      </c>
      <c r="C355" s="1">
        <f>Tabela9[[#This Row],[Alongamento (mm/mm)]]/$I$2</f>
        <v>6.7318000000000003E-2</v>
      </c>
      <c r="D355" s="2">
        <v>280.49</v>
      </c>
      <c r="E355" s="1">
        <f>Tabela9[[#This Row],[Força (N)]]/$I$5</f>
        <v>6619701.6897951476</v>
      </c>
      <c r="F355" s="1">
        <f>Tabela9[[#This Row],[Tensão (Pa)]]/1000000</f>
        <v>6.6197016897951473</v>
      </c>
    </row>
    <row r="356" spans="1:6" x14ac:dyDescent="0.3">
      <c r="A356" s="2">
        <v>40.567</v>
      </c>
      <c r="B356" s="2">
        <v>3.3729</v>
      </c>
      <c r="C356" s="1">
        <f>Tabela9[[#This Row],[Alongamento (mm/mm)]]/$I$2</f>
        <v>6.7458000000000004E-2</v>
      </c>
      <c r="D356" s="2">
        <v>282.7</v>
      </c>
      <c r="E356" s="1">
        <f>Tabela9[[#This Row],[Força (N)]]/$I$5</f>
        <v>6671858.7746625124</v>
      </c>
      <c r="F356" s="1">
        <f>Tabela9[[#This Row],[Tensão (Pa)]]/1000000</f>
        <v>6.6718587746625122</v>
      </c>
    </row>
    <row r="357" spans="1:6" x14ac:dyDescent="0.3">
      <c r="A357" s="2">
        <v>40.65</v>
      </c>
      <c r="B357" s="2">
        <v>3.38</v>
      </c>
      <c r="C357" s="1">
        <f>Tabela9[[#This Row],[Alongamento (mm/mm)]]/$I$2</f>
        <v>6.7599999999999993E-2</v>
      </c>
      <c r="D357" s="2">
        <v>284.92</v>
      </c>
      <c r="E357" s="1">
        <f>Tabela9[[#This Row],[Força (N)]]/$I$5</f>
        <v>6724251.8644387806</v>
      </c>
      <c r="F357" s="1">
        <f>Tabela9[[#This Row],[Tensão (Pa)]]/1000000</f>
        <v>6.7242518644387808</v>
      </c>
    </row>
    <row r="358" spans="1:6" x14ac:dyDescent="0.3">
      <c r="A358" s="2">
        <v>40.732999999999997</v>
      </c>
      <c r="B358" s="2">
        <v>3.3868</v>
      </c>
      <c r="C358" s="1">
        <f>Tabela9[[#This Row],[Alongamento (mm/mm)]]/$I$2</f>
        <v>6.7736000000000005E-2</v>
      </c>
      <c r="D358" s="2">
        <v>287.13</v>
      </c>
      <c r="E358" s="1">
        <f>Tabela9[[#This Row],[Força (N)]]/$I$5</f>
        <v>6776408.9493061453</v>
      </c>
      <c r="F358" s="1">
        <f>Tabela9[[#This Row],[Tensão (Pa)]]/1000000</f>
        <v>6.7764089493061457</v>
      </c>
    </row>
    <row r="359" spans="1:6" x14ac:dyDescent="0.3">
      <c r="A359" s="2">
        <v>40.817</v>
      </c>
      <c r="B359" s="2">
        <v>3.3938000000000001</v>
      </c>
      <c r="C359" s="1">
        <f>Tabela9[[#This Row],[Alongamento (mm/mm)]]/$I$2</f>
        <v>6.7876000000000006E-2</v>
      </c>
      <c r="D359" s="2">
        <v>289.33999999999997</v>
      </c>
      <c r="E359" s="1">
        <f>Tabela9[[#This Row],[Força (N)]]/$I$5</f>
        <v>6828566.03417351</v>
      </c>
      <c r="F359" s="1">
        <f>Tabela9[[#This Row],[Tensão (Pa)]]/1000000</f>
        <v>6.8285660341735097</v>
      </c>
    </row>
    <row r="360" spans="1:6" x14ac:dyDescent="0.3">
      <c r="A360" s="2">
        <v>40.9</v>
      </c>
      <c r="B360" s="2">
        <v>3.4007999999999998</v>
      </c>
      <c r="C360" s="1">
        <f>Tabela9[[#This Row],[Alongamento (mm/mm)]]/$I$2</f>
        <v>6.8015999999999993E-2</v>
      </c>
      <c r="D360" s="2">
        <v>291.72000000000003</v>
      </c>
      <c r="E360" s="1">
        <f>Tabela9[[#This Row],[Força (N)]]/$I$5</f>
        <v>6884735.2024922129</v>
      </c>
      <c r="F360" s="1">
        <f>Tabela9[[#This Row],[Tensão (Pa)]]/1000000</f>
        <v>6.8847352024922133</v>
      </c>
    </row>
    <row r="361" spans="1:6" x14ac:dyDescent="0.3">
      <c r="A361" s="2">
        <v>40.982999999999997</v>
      </c>
      <c r="B361" s="2">
        <v>3.4076</v>
      </c>
      <c r="C361" s="1">
        <f>Tabela9[[#This Row],[Alongamento (mm/mm)]]/$I$2</f>
        <v>6.8152000000000004E-2</v>
      </c>
      <c r="D361" s="2">
        <v>294.10000000000002</v>
      </c>
      <c r="E361" s="1">
        <f>Tabela9[[#This Row],[Força (N)]]/$I$5</f>
        <v>6940904.3708109129</v>
      </c>
      <c r="F361" s="1">
        <f>Tabela9[[#This Row],[Tensão (Pa)]]/1000000</f>
        <v>6.9409043708109133</v>
      </c>
    </row>
    <row r="362" spans="1:6" x14ac:dyDescent="0.3">
      <c r="A362" s="2">
        <v>41.067</v>
      </c>
      <c r="B362" s="2">
        <v>3.4146000000000001</v>
      </c>
      <c r="C362" s="1">
        <f>Tabela9[[#This Row],[Alongamento (mm/mm)]]/$I$2</f>
        <v>6.8292000000000005E-2</v>
      </c>
      <c r="D362" s="2">
        <v>296.31</v>
      </c>
      <c r="E362" s="1">
        <f>Tabela9[[#This Row],[Força (N)]]/$I$5</f>
        <v>6993061.4556782786</v>
      </c>
      <c r="F362" s="1">
        <f>Tabela9[[#This Row],[Tensão (Pa)]]/1000000</f>
        <v>6.9930614556782782</v>
      </c>
    </row>
    <row r="363" spans="1:6" x14ac:dyDescent="0.3">
      <c r="A363" s="2">
        <v>41.15</v>
      </c>
      <c r="B363" s="2">
        <v>3.4216000000000002</v>
      </c>
      <c r="C363" s="1">
        <f>Tabela9[[#This Row],[Alongamento (mm/mm)]]/$I$2</f>
        <v>6.8432000000000007E-2</v>
      </c>
      <c r="D363" s="2">
        <v>298.69</v>
      </c>
      <c r="E363" s="1">
        <f>Tabela9[[#This Row],[Força (N)]]/$I$5</f>
        <v>7049230.6239969786</v>
      </c>
      <c r="F363" s="1">
        <f>Tabela9[[#This Row],[Tensão (Pa)]]/1000000</f>
        <v>7.0492306239969782</v>
      </c>
    </row>
    <row r="364" spans="1:6" x14ac:dyDescent="0.3">
      <c r="A364" s="2">
        <v>41.232999999999997</v>
      </c>
      <c r="B364" s="2">
        <v>3.4283999999999999</v>
      </c>
      <c r="C364" s="1">
        <f>Tabela9[[#This Row],[Alongamento (mm/mm)]]/$I$2</f>
        <v>6.8568000000000004E-2</v>
      </c>
      <c r="D364" s="2">
        <v>301.07</v>
      </c>
      <c r="E364" s="1">
        <f>Tabela9[[#This Row],[Força (N)]]/$I$5</f>
        <v>7105399.7923156796</v>
      </c>
      <c r="F364" s="1">
        <f>Tabela9[[#This Row],[Tensão (Pa)]]/1000000</f>
        <v>7.10539979231568</v>
      </c>
    </row>
    <row r="365" spans="1:6" x14ac:dyDescent="0.3">
      <c r="A365" s="2">
        <v>41.317</v>
      </c>
      <c r="B365" s="2">
        <v>3.4354</v>
      </c>
      <c r="C365" s="1">
        <f>Tabela9[[#This Row],[Alongamento (mm/mm)]]/$I$2</f>
        <v>6.8708000000000005E-2</v>
      </c>
      <c r="D365" s="2">
        <v>303.45999999999998</v>
      </c>
      <c r="E365" s="1">
        <f>Tabela9[[#This Row],[Força (N)]]/$I$5</f>
        <v>7161804.9655432831</v>
      </c>
      <c r="F365" s="1">
        <f>Tabela9[[#This Row],[Tensão (Pa)]]/1000000</f>
        <v>7.1618049655432827</v>
      </c>
    </row>
    <row r="366" spans="1:6" x14ac:dyDescent="0.3">
      <c r="A366" s="2">
        <v>41.4</v>
      </c>
      <c r="B366" s="2">
        <v>3.4424000000000001</v>
      </c>
      <c r="C366" s="1">
        <f>Tabela9[[#This Row],[Alongamento (mm/mm)]]/$I$2</f>
        <v>6.8848000000000006E-2</v>
      </c>
      <c r="D366" s="2">
        <v>305.83999999999997</v>
      </c>
      <c r="E366" s="1">
        <f>Tabela9[[#This Row],[Força (N)]]/$I$5</f>
        <v>7217974.1338619841</v>
      </c>
      <c r="F366" s="1">
        <f>Tabela9[[#This Row],[Tensão (Pa)]]/1000000</f>
        <v>7.2179741338619845</v>
      </c>
    </row>
    <row r="367" spans="1:6" x14ac:dyDescent="0.3">
      <c r="A367" s="2">
        <v>41.482999999999997</v>
      </c>
      <c r="B367" s="2">
        <v>3.4493</v>
      </c>
      <c r="C367" s="1">
        <f>Tabela9[[#This Row],[Alongamento (mm/mm)]]/$I$2</f>
        <v>6.8986000000000006E-2</v>
      </c>
      <c r="D367" s="2">
        <v>308.22000000000003</v>
      </c>
      <c r="E367" s="1">
        <f>Tabela9[[#This Row],[Força (N)]]/$I$5</f>
        <v>7274143.302180686</v>
      </c>
      <c r="F367" s="1">
        <f>Tabela9[[#This Row],[Tensão (Pa)]]/1000000</f>
        <v>7.2741433021806863</v>
      </c>
    </row>
    <row r="368" spans="1:6" x14ac:dyDescent="0.3">
      <c r="A368" s="2">
        <v>41.567</v>
      </c>
      <c r="B368" s="2">
        <v>3.4563000000000001</v>
      </c>
      <c r="C368" s="1">
        <f>Tabela9[[#This Row],[Alongamento (mm/mm)]]/$I$2</f>
        <v>6.9126000000000007E-2</v>
      </c>
      <c r="D368" s="2">
        <v>310.60000000000002</v>
      </c>
      <c r="E368" s="1">
        <f>Tabela9[[#This Row],[Força (N)]]/$I$5</f>
        <v>7330312.470499387</v>
      </c>
      <c r="F368" s="1">
        <f>Tabela9[[#This Row],[Tensão (Pa)]]/1000000</f>
        <v>7.3303124704993872</v>
      </c>
    </row>
    <row r="369" spans="1:6" x14ac:dyDescent="0.3">
      <c r="A369" s="2">
        <v>41.65</v>
      </c>
      <c r="B369" s="2">
        <v>3.4632000000000001</v>
      </c>
      <c r="C369" s="1">
        <f>Tabela9[[#This Row],[Alongamento (mm/mm)]]/$I$2</f>
        <v>6.9264000000000006E-2</v>
      </c>
      <c r="D369" s="2">
        <v>312.98</v>
      </c>
      <c r="E369" s="1">
        <f>Tabela9[[#This Row],[Força (N)]]/$I$5</f>
        <v>7386481.638818088</v>
      </c>
      <c r="F369" s="1">
        <f>Tabela9[[#This Row],[Tensão (Pa)]]/1000000</f>
        <v>7.3864816388180881</v>
      </c>
    </row>
    <row r="370" spans="1:6" x14ac:dyDescent="0.3">
      <c r="A370" s="2">
        <v>41.732999999999997</v>
      </c>
      <c r="B370" s="2">
        <v>3.4701</v>
      </c>
      <c r="C370" s="1">
        <f>Tabela9[[#This Row],[Alongamento (mm/mm)]]/$I$2</f>
        <v>6.9402000000000005E-2</v>
      </c>
      <c r="D370" s="2">
        <v>315.36</v>
      </c>
      <c r="E370" s="1">
        <f>Tabela9[[#This Row],[Força (N)]]/$I$5</f>
        <v>7442650.807136789</v>
      </c>
      <c r="F370" s="1">
        <f>Tabela9[[#This Row],[Tensão (Pa)]]/1000000</f>
        <v>7.4426508071367889</v>
      </c>
    </row>
    <row r="371" spans="1:6" x14ac:dyDescent="0.3">
      <c r="A371" s="2">
        <v>41.817</v>
      </c>
      <c r="B371" s="2">
        <v>3.4771000000000001</v>
      </c>
      <c r="C371" s="1">
        <f>Tabela9[[#This Row],[Alongamento (mm/mm)]]/$I$2</f>
        <v>6.9542000000000007E-2</v>
      </c>
      <c r="D371" s="2">
        <v>317.74</v>
      </c>
      <c r="E371" s="1">
        <f>Tabela9[[#This Row],[Força (N)]]/$I$5</f>
        <v>7498819.9754554899</v>
      </c>
      <c r="F371" s="1">
        <f>Tabela9[[#This Row],[Tensão (Pa)]]/1000000</f>
        <v>7.4988199754554898</v>
      </c>
    </row>
    <row r="372" spans="1:6" x14ac:dyDescent="0.3">
      <c r="A372" s="2">
        <v>41.9</v>
      </c>
      <c r="B372" s="2">
        <v>3.484</v>
      </c>
      <c r="C372" s="1">
        <f>Tabela9[[#This Row],[Alongamento (mm/mm)]]/$I$2</f>
        <v>6.9680000000000006E-2</v>
      </c>
      <c r="D372" s="2">
        <v>320.13</v>
      </c>
      <c r="E372" s="1">
        <f>Tabela9[[#This Row],[Força (N)]]/$I$5</f>
        <v>7555225.1486830926</v>
      </c>
      <c r="F372" s="1">
        <f>Tabela9[[#This Row],[Tensão (Pa)]]/1000000</f>
        <v>7.5552251486830926</v>
      </c>
    </row>
    <row r="373" spans="1:6" x14ac:dyDescent="0.3">
      <c r="A373" s="2">
        <v>41.982999999999997</v>
      </c>
      <c r="B373" s="2">
        <v>3.4910000000000001</v>
      </c>
      <c r="C373" s="1">
        <f>Tabela9[[#This Row],[Alongamento (mm/mm)]]/$I$2</f>
        <v>6.9820000000000007E-2</v>
      </c>
      <c r="D373" s="2">
        <v>322.51</v>
      </c>
      <c r="E373" s="1">
        <f>Tabela9[[#This Row],[Força (N)]]/$I$5</f>
        <v>7611394.3170017935</v>
      </c>
      <c r="F373" s="1">
        <f>Tabela9[[#This Row],[Tensão (Pa)]]/1000000</f>
        <v>7.6113943170017935</v>
      </c>
    </row>
    <row r="374" spans="1:6" x14ac:dyDescent="0.3">
      <c r="A374" s="2">
        <v>42.067</v>
      </c>
      <c r="B374" s="2">
        <v>3.4980000000000002</v>
      </c>
      <c r="C374" s="1">
        <f>Tabela9[[#This Row],[Alongamento (mm/mm)]]/$I$2</f>
        <v>6.9960000000000008E-2</v>
      </c>
      <c r="D374" s="2">
        <v>325.06</v>
      </c>
      <c r="E374" s="1">
        <f>Tabela9[[#This Row],[Força (N)]]/$I$5</f>
        <v>7671575.5687718308</v>
      </c>
      <c r="F374" s="1">
        <f>Tabela9[[#This Row],[Tensão (Pa)]]/1000000</f>
        <v>7.6715755687718303</v>
      </c>
    </row>
    <row r="375" spans="1:6" x14ac:dyDescent="0.3">
      <c r="A375" s="2">
        <v>42.15</v>
      </c>
      <c r="B375" s="2">
        <v>3.5047999999999999</v>
      </c>
      <c r="C375" s="1">
        <f>Tabela9[[#This Row],[Alongamento (mm/mm)]]/$I$2</f>
        <v>7.0095999999999992E-2</v>
      </c>
      <c r="D375" s="2">
        <v>327.44</v>
      </c>
      <c r="E375" s="1">
        <f>Tabela9[[#This Row],[Força (N)]]/$I$5</f>
        <v>7727744.7370905317</v>
      </c>
      <c r="F375" s="1">
        <f>Tabela9[[#This Row],[Tensão (Pa)]]/1000000</f>
        <v>7.7277447370905321</v>
      </c>
    </row>
    <row r="376" spans="1:6" x14ac:dyDescent="0.3">
      <c r="A376" s="2">
        <v>42.232999999999997</v>
      </c>
      <c r="B376" s="2">
        <v>3.5118</v>
      </c>
      <c r="C376" s="1">
        <f>Tabela9[[#This Row],[Alongamento (mm/mm)]]/$I$2</f>
        <v>7.0236000000000007E-2</v>
      </c>
      <c r="D376" s="2">
        <v>329.99</v>
      </c>
      <c r="E376" s="1">
        <f>Tabela9[[#This Row],[Força (N)]]/$I$5</f>
        <v>7787925.988860568</v>
      </c>
      <c r="F376" s="1">
        <f>Tabela9[[#This Row],[Tensão (Pa)]]/1000000</f>
        <v>7.7879259888605681</v>
      </c>
    </row>
    <row r="377" spans="1:6" x14ac:dyDescent="0.3">
      <c r="A377" s="2">
        <v>42.317</v>
      </c>
      <c r="B377" s="2">
        <v>3.5188000000000001</v>
      </c>
      <c r="C377" s="1">
        <f>Tabela9[[#This Row],[Alongamento (mm/mm)]]/$I$2</f>
        <v>7.0376000000000008E-2</v>
      </c>
      <c r="D377" s="2">
        <v>332.54</v>
      </c>
      <c r="E377" s="1">
        <f>Tabela9[[#This Row],[Força (N)]]/$I$5</f>
        <v>7848107.2406306053</v>
      </c>
      <c r="F377" s="1">
        <f>Tabela9[[#This Row],[Tensão (Pa)]]/1000000</f>
        <v>7.8481072406306049</v>
      </c>
    </row>
    <row r="378" spans="1:6" x14ac:dyDescent="0.3">
      <c r="A378" s="2">
        <v>42.4</v>
      </c>
      <c r="B378" s="2">
        <v>3.5257000000000001</v>
      </c>
      <c r="C378" s="1">
        <f>Tabela9[[#This Row],[Alongamento (mm/mm)]]/$I$2</f>
        <v>7.0514000000000007E-2</v>
      </c>
      <c r="D378" s="2">
        <v>334.92</v>
      </c>
      <c r="E378" s="1">
        <f>Tabela9[[#This Row],[Força (N)]]/$I$5</f>
        <v>7904276.4089493062</v>
      </c>
      <c r="F378" s="1">
        <f>Tabela9[[#This Row],[Tensão (Pa)]]/1000000</f>
        <v>7.9042764089493058</v>
      </c>
    </row>
    <row r="379" spans="1:6" x14ac:dyDescent="0.3">
      <c r="A379" s="2">
        <v>42.482999999999997</v>
      </c>
      <c r="B379" s="2">
        <v>3.5327000000000002</v>
      </c>
      <c r="C379" s="1">
        <f>Tabela9[[#This Row],[Alongamento (mm/mm)]]/$I$2</f>
        <v>7.0654000000000008E-2</v>
      </c>
      <c r="D379" s="2">
        <v>337.48</v>
      </c>
      <c r="E379" s="1">
        <f>Tabela9[[#This Row],[Força (N)]]/$I$5</f>
        <v>7964693.6656282451</v>
      </c>
      <c r="F379" s="1">
        <f>Tabela9[[#This Row],[Tensão (Pa)]]/1000000</f>
        <v>7.9646936656282454</v>
      </c>
    </row>
    <row r="380" spans="1:6" x14ac:dyDescent="0.3">
      <c r="A380" s="2">
        <v>42.567</v>
      </c>
      <c r="B380" s="2">
        <v>3.5396000000000001</v>
      </c>
      <c r="C380" s="1">
        <f>Tabela9[[#This Row],[Alongamento (mm/mm)]]/$I$2</f>
        <v>7.0792000000000008E-2</v>
      </c>
      <c r="D380" s="2">
        <v>340.03</v>
      </c>
      <c r="E380" s="1">
        <f>Tabela9[[#This Row],[Força (N)]]/$I$5</f>
        <v>8024874.9173982814</v>
      </c>
      <c r="F380" s="1">
        <f>Tabela9[[#This Row],[Tensão (Pa)]]/1000000</f>
        <v>8.0248749173982805</v>
      </c>
    </row>
    <row r="381" spans="1:6" x14ac:dyDescent="0.3">
      <c r="A381" s="2">
        <v>42.65</v>
      </c>
      <c r="B381" s="2">
        <v>3.5465</v>
      </c>
      <c r="C381" s="1">
        <f>Tabela9[[#This Row],[Alongamento (mm/mm)]]/$I$2</f>
        <v>7.0929999999999993E-2</v>
      </c>
      <c r="D381" s="2">
        <v>342.58</v>
      </c>
      <c r="E381" s="1">
        <f>Tabela9[[#This Row],[Força (N)]]/$I$5</f>
        <v>8085056.1691683186</v>
      </c>
      <c r="F381" s="1">
        <f>Tabela9[[#This Row],[Tensão (Pa)]]/1000000</f>
        <v>8.0850561691683183</v>
      </c>
    </row>
    <row r="382" spans="1:6" x14ac:dyDescent="0.3">
      <c r="A382" s="2">
        <v>42.732999999999997</v>
      </c>
      <c r="B382" s="2">
        <v>3.5533999999999999</v>
      </c>
      <c r="C382" s="1">
        <f>Tabela9[[#This Row],[Alongamento (mm/mm)]]/$I$2</f>
        <v>7.1067999999999992E-2</v>
      </c>
      <c r="D382" s="2">
        <v>345.13</v>
      </c>
      <c r="E382" s="1">
        <f>Tabela9[[#This Row],[Força (N)]]/$I$5</f>
        <v>8145237.4209383549</v>
      </c>
      <c r="F382" s="1">
        <f>Tabela9[[#This Row],[Tensão (Pa)]]/1000000</f>
        <v>8.1452374209383542</v>
      </c>
    </row>
    <row r="383" spans="1:6" x14ac:dyDescent="0.3">
      <c r="A383" s="2">
        <v>42.817</v>
      </c>
      <c r="B383" s="2">
        <v>3.5604</v>
      </c>
      <c r="C383" s="1">
        <f>Tabela9[[#This Row],[Alongamento (mm/mm)]]/$I$2</f>
        <v>7.1207999999999994E-2</v>
      </c>
      <c r="D383" s="2">
        <v>347.85</v>
      </c>
      <c r="E383" s="1">
        <f>Tabela9[[#This Row],[Força (N)]]/$I$5</f>
        <v>8209430.7561597284</v>
      </c>
      <c r="F383" s="1">
        <f>Tabela9[[#This Row],[Tensão (Pa)]]/1000000</f>
        <v>8.2094307561597279</v>
      </c>
    </row>
    <row r="384" spans="1:6" x14ac:dyDescent="0.3">
      <c r="A384" s="2">
        <v>42.9</v>
      </c>
      <c r="B384" s="2">
        <v>3.5674000000000001</v>
      </c>
      <c r="C384" s="1">
        <f>Tabela9[[#This Row],[Alongamento (mm/mm)]]/$I$2</f>
        <v>7.1348000000000009E-2</v>
      </c>
      <c r="D384" s="2">
        <v>350.4</v>
      </c>
      <c r="E384" s="1">
        <f>Tabela9[[#This Row],[Força (N)]]/$I$5</f>
        <v>8269612.0079297647</v>
      </c>
      <c r="F384" s="1">
        <f>Tabela9[[#This Row],[Tensão (Pa)]]/1000000</f>
        <v>8.2696120079297639</v>
      </c>
    </row>
    <row r="385" spans="1:6" x14ac:dyDescent="0.3">
      <c r="A385" s="2">
        <v>43</v>
      </c>
      <c r="B385" s="2">
        <v>3.5756999999999999</v>
      </c>
      <c r="C385" s="1">
        <f>Tabela9[[#This Row],[Alongamento (mm/mm)]]/$I$2</f>
        <v>7.1513999999999994E-2</v>
      </c>
      <c r="D385" s="2">
        <v>353.64</v>
      </c>
      <c r="E385" s="1">
        <f>Tabela9[[#This Row],[Força (N)]]/$I$5</f>
        <v>8346077.5984140467</v>
      </c>
      <c r="F385" s="1">
        <f>Tabela9[[#This Row],[Tensão (Pa)]]/1000000</f>
        <v>8.3460775984140465</v>
      </c>
    </row>
    <row r="386" spans="1:6" x14ac:dyDescent="0.3">
      <c r="A386" s="2">
        <v>43.1</v>
      </c>
      <c r="B386" s="2">
        <v>3.5838999999999999</v>
      </c>
      <c r="C386" s="1">
        <f>Tabela9[[#This Row],[Alongamento (mm/mm)]]/$I$2</f>
        <v>7.1677999999999992E-2</v>
      </c>
      <c r="D386" s="2">
        <v>356.7</v>
      </c>
      <c r="E386" s="1">
        <f>Tabela9[[#This Row],[Força (N)]]/$I$5</f>
        <v>8418295.1005380917</v>
      </c>
      <c r="F386" s="1">
        <f>Tabela9[[#This Row],[Tensão (Pa)]]/1000000</f>
        <v>8.4182951005380922</v>
      </c>
    </row>
    <row r="387" spans="1:6" x14ac:dyDescent="0.3">
      <c r="A387" s="2">
        <v>43.183</v>
      </c>
      <c r="B387" s="2">
        <v>3.5910000000000002</v>
      </c>
      <c r="C387" s="1">
        <f>Tabela9[[#This Row],[Alongamento (mm/mm)]]/$I$2</f>
        <v>7.1820000000000009E-2</v>
      </c>
      <c r="D387" s="2">
        <v>359.42</v>
      </c>
      <c r="E387" s="1">
        <f>Tabela9[[#This Row],[Força (N)]]/$I$5</f>
        <v>8482488.4357594643</v>
      </c>
      <c r="F387" s="1">
        <f>Tabela9[[#This Row],[Tensão (Pa)]]/1000000</f>
        <v>8.4824884357594641</v>
      </c>
    </row>
    <row r="388" spans="1:6" x14ac:dyDescent="0.3">
      <c r="A388" s="2">
        <v>43.283000000000001</v>
      </c>
      <c r="B388" s="2">
        <v>3.5992000000000002</v>
      </c>
      <c r="C388" s="1">
        <f>Tabela9[[#This Row],[Alongamento (mm/mm)]]/$I$2</f>
        <v>7.1984000000000006E-2</v>
      </c>
      <c r="D388" s="2">
        <v>362.48</v>
      </c>
      <c r="E388" s="1">
        <f>Tabela9[[#This Row],[Força (N)]]/$I$5</f>
        <v>8554705.9378835075</v>
      </c>
      <c r="F388" s="1">
        <f>Tabela9[[#This Row],[Tensão (Pa)]]/1000000</f>
        <v>8.554705937883508</v>
      </c>
    </row>
    <row r="389" spans="1:6" x14ac:dyDescent="0.3">
      <c r="A389" s="2">
        <v>43.366999999999997</v>
      </c>
      <c r="B389" s="2">
        <v>3.6063000000000001</v>
      </c>
      <c r="C389" s="1">
        <f>Tabela9[[#This Row],[Alongamento (mm/mm)]]/$I$2</f>
        <v>7.2125999999999996E-2</v>
      </c>
      <c r="D389" s="2">
        <v>365.2</v>
      </c>
      <c r="E389" s="1">
        <f>Tabela9[[#This Row],[Força (N)]]/$I$5</f>
        <v>8618899.27310488</v>
      </c>
      <c r="F389" s="1">
        <f>Tabela9[[#This Row],[Tensão (Pa)]]/1000000</f>
        <v>8.6188992731048799</v>
      </c>
    </row>
    <row r="390" spans="1:6" x14ac:dyDescent="0.3">
      <c r="A390" s="2">
        <v>43.45</v>
      </c>
      <c r="B390" s="2">
        <v>3.6133000000000002</v>
      </c>
      <c r="C390" s="1">
        <f>Tabela9[[#This Row],[Alongamento (mm/mm)]]/$I$2</f>
        <v>7.2265999999999997E-2</v>
      </c>
      <c r="D390" s="2">
        <v>367.92</v>
      </c>
      <c r="E390" s="1">
        <f>Tabela9[[#This Row],[Força (N)]]/$I$5</f>
        <v>8683092.6083262544</v>
      </c>
      <c r="F390" s="1">
        <f>Tabela9[[#This Row],[Tensão (Pa)]]/1000000</f>
        <v>8.6830926083262536</v>
      </c>
    </row>
    <row r="391" spans="1:6" x14ac:dyDescent="0.3">
      <c r="A391" s="2">
        <v>43.533000000000001</v>
      </c>
      <c r="B391" s="2">
        <v>3.6200999999999999</v>
      </c>
      <c r="C391" s="1">
        <f>Tabela9[[#This Row],[Alongamento (mm/mm)]]/$I$2</f>
        <v>7.2401999999999994E-2</v>
      </c>
      <c r="D391" s="2">
        <v>370.65</v>
      </c>
      <c r="E391" s="1">
        <f>Tabela9[[#This Row],[Força (N)]]/$I$5</f>
        <v>8747521.9484565277</v>
      </c>
      <c r="F391" s="1">
        <f>Tabela9[[#This Row],[Tensão (Pa)]]/1000000</f>
        <v>8.7475219484565283</v>
      </c>
    </row>
    <row r="392" spans="1:6" x14ac:dyDescent="0.3">
      <c r="A392" s="2">
        <v>43.633000000000003</v>
      </c>
      <c r="B392" s="2">
        <v>3.6284999999999998</v>
      </c>
      <c r="C392" s="1">
        <f>Tabela9[[#This Row],[Alongamento (mm/mm)]]/$I$2</f>
        <v>7.2569999999999996E-2</v>
      </c>
      <c r="D392" s="2">
        <v>373.71</v>
      </c>
      <c r="E392" s="1">
        <f>Tabela9[[#This Row],[Força (N)]]/$I$5</f>
        <v>8819739.4505805708</v>
      </c>
      <c r="F392" s="1">
        <f>Tabela9[[#This Row],[Tensão (Pa)]]/1000000</f>
        <v>8.8197394505805704</v>
      </c>
    </row>
    <row r="393" spans="1:6" x14ac:dyDescent="0.3">
      <c r="A393" s="2">
        <v>43.716999999999999</v>
      </c>
      <c r="B393" s="2">
        <v>3.6354000000000002</v>
      </c>
      <c r="C393" s="1">
        <f>Tabela9[[#This Row],[Alongamento (mm/mm)]]/$I$2</f>
        <v>7.2708000000000009E-2</v>
      </c>
      <c r="D393" s="2">
        <v>376.6</v>
      </c>
      <c r="E393" s="1">
        <f>Tabela9[[#This Row],[Força (N)]]/$I$5</f>
        <v>8887944.8692532815</v>
      </c>
      <c r="F393" s="1">
        <f>Tabela9[[#This Row],[Tensão (Pa)]]/1000000</f>
        <v>8.8879448692532819</v>
      </c>
    </row>
    <row r="394" spans="1:6" x14ac:dyDescent="0.3">
      <c r="A394" s="2">
        <v>43.8</v>
      </c>
      <c r="B394" s="2">
        <v>3.6423999999999999</v>
      </c>
      <c r="C394" s="1">
        <f>Tabela9[[#This Row],[Alongamento (mm/mm)]]/$I$2</f>
        <v>7.2847999999999996E-2</v>
      </c>
      <c r="D394" s="2">
        <v>379.32</v>
      </c>
      <c r="E394" s="1">
        <f>Tabela9[[#This Row],[Força (N)]]/$I$5</f>
        <v>8952138.2044746522</v>
      </c>
      <c r="F394" s="1">
        <f>Tabela9[[#This Row],[Tensão (Pa)]]/1000000</f>
        <v>8.952138204474652</v>
      </c>
    </row>
    <row r="395" spans="1:6" x14ac:dyDescent="0.3">
      <c r="A395" s="2">
        <v>43.883000000000003</v>
      </c>
      <c r="B395" s="2">
        <v>3.6494</v>
      </c>
      <c r="C395" s="1">
        <f>Tabela9[[#This Row],[Alongamento (mm/mm)]]/$I$2</f>
        <v>7.2987999999999997E-2</v>
      </c>
      <c r="D395" s="2">
        <v>382.04</v>
      </c>
      <c r="E395" s="1">
        <f>Tabela9[[#This Row],[Força (N)]]/$I$5</f>
        <v>9016331.5396960266</v>
      </c>
      <c r="F395" s="1">
        <f>Tabela9[[#This Row],[Tensão (Pa)]]/1000000</f>
        <v>9.0163315396960257</v>
      </c>
    </row>
    <row r="396" spans="1:6" x14ac:dyDescent="0.3">
      <c r="A396" s="2">
        <v>43.966999999999999</v>
      </c>
      <c r="B396" s="2">
        <v>3.6562000000000001</v>
      </c>
      <c r="C396" s="1">
        <f>Tabela9[[#This Row],[Alongamento (mm/mm)]]/$I$2</f>
        <v>7.3124000000000008E-2</v>
      </c>
      <c r="D396" s="2">
        <v>384.76</v>
      </c>
      <c r="E396" s="1">
        <f>Tabela9[[#This Row],[Força (N)]]/$I$5</f>
        <v>9080524.8749173973</v>
      </c>
      <c r="F396" s="1">
        <f>Tabela9[[#This Row],[Tensão (Pa)]]/1000000</f>
        <v>9.0805248749173977</v>
      </c>
    </row>
    <row r="397" spans="1:6" x14ac:dyDescent="0.3">
      <c r="A397" s="2">
        <v>44.05</v>
      </c>
      <c r="B397" s="2">
        <v>3.6631999999999998</v>
      </c>
      <c r="C397" s="1">
        <f>Tabela9[[#This Row],[Alongamento (mm/mm)]]/$I$2</f>
        <v>7.3263999999999996E-2</v>
      </c>
      <c r="D397" s="2">
        <v>387.49</v>
      </c>
      <c r="E397" s="1">
        <f>Tabela9[[#This Row],[Força (N)]]/$I$5</f>
        <v>9144954.2150476724</v>
      </c>
      <c r="F397" s="1">
        <f>Tabela9[[#This Row],[Tensão (Pa)]]/1000000</f>
        <v>9.1449542150476724</v>
      </c>
    </row>
    <row r="398" spans="1:6" x14ac:dyDescent="0.3">
      <c r="A398" s="2">
        <v>44.133000000000003</v>
      </c>
      <c r="B398" s="2">
        <v>3.6701000000000001</v>
      </c>
      <c r="C398" s="1">
        <f>Tabela9[[#This Row],[Alongamento (mm/mm)]]/$I$2</f>
        <v>7.3402000000000009E-2</v>
      </c>
      <c r="D398" s="2">
        <v>390.38</v>
      </c>
      <c r="E398" s="1">
        <f>Tabela9[[#This Row],[Força (N)]]/$I$5</f>
        <v>9213159.6337203812</v>
      </c>
      <c r="F398" s="1">
        <f>Tabela9[[#This Row],[Tensão (Pa)]]/1000000</f>
        <v>9.213159633720382</v>
      </c>
    </row>
    <row r="399" spans="1:6" x14ac:dyDescent="0.3">
      <c r="A399" s="2">
        <v>44.216999999999999</v>
      </c>
      <c r="B399" s="2">
        <v>3.6770999999999998</v>
      </c>
      <c r="C399" s="1">
        <f>Tabela9[[#This Row],[Alongamento (mm/mm)]]/$I$2</f>
        <v>7.3541999999999996E-2</v>
      </c>
      <c r="D399" s="2">
        <v>393.1</v>
      </c>
      <c r="E399" s="1">
        <f>Tabela9[[#This Row],[Força (N)]]/$I$5</f>
        <v>9277352.9689417537</v>
      </c>
      <c r="F399" s="1">
        <f>Tabela9[[#This Row],[Tensão (Pa)]]/1000000</f>
        <v>9.277352968941754</v>
      </c>
    </row>
    <row r="400" spans="1:6" x14ac:dyDescent="0.3">
      <c r="A400" s="2">
        <v>44.317</v>
      </c>
      <c r="B400" s="2">
        <v>3.6855000000000002</v>
      </c>
      <c r="C400" s="1">
        <f>Tabela9[[#This Row],[Alongamento (mm/mm)]]/$I$2</f>
        <v>7.3709999999999998E-2</v>
      </c>
      <c r="D400" s="2">
        <v>396.5</v>
      </c>
      <c r="E400" s="1">
        <f>Tabela9[[#This Row],[Força (N)]]/$I$5</f>
        <v>9357594.6379684694</v>
      </c>
      <c r="F400" s="1">
        <f>Tabela9[[#This Row],[Tensão (Pa)]]/1000000</f>
        <v>9.3575946379684698</v>
      </c>
    </row>
    <row r="401" spans="1:6" x14ac:dyDescent="0.3">
      <c r="A401" s="2">
        <v>44.417000000000002</v>
      </c>
      <c r="B401" s="2">
        <v>3.6938</v>
      </c>
      <c r="C401" s="1">
        <f>Tabela9[[#This Row],[Alongamento (mm/mm)]]/$I$2</f>
        <v>7.3875999999999997E-2</v>
      </c>
      <c r="D401" s="2">
        <v>399.73</v>
      </c>
      <c r="E401" s="1">
        <f>Tabela9[[#This Row],[Força (N)]]/$I$5</f>
        <v>9433824.2235438507</v>
      </c>
      <c r="F401" s="1">
        <f>Tabela9[[#This Row],[Tensão (Pa)]]/1000000</f>
        <v>9.4338242235438514</v>
      </c>
    </row>
    <row r="402" spans="1:6" x14ac:dyDescent="0.3">
      <c r="A402" s="2">
        <v>44.517000000000003</v>
      </c>
      <c r="B402" s="2">
        <v>3.7021000000000002</v>
      </c>
      <c r="C402" s="1">
        <f>Tabela9[[#This Row],[Alongamento (mm/mm)]]/$I$2</f>
        <v>7.4041999999999997E-2</v>
      </c>
      <c r="D402" s="2">
        <v>403.13</v>
      </c>
      <c r="E402" s="1">
        <f>Tabela9[[#This Row],[Força (N)]]/$I$5</f>
        <v>9514065.8925705645</v>
      </c>
      <c r="F402" s="1">
        <f>Tabela9[[#This Row],[Tensão (Pa)]]/1000000</f>
        <v>9.5140658925705637</v>
      </c>
    </row>
    <row r="403" spans="1:6" x14ac:dyDescent="0.3">
      <c r="A403" s="2">
        <v>44.616999999999997</v>
      </c>
      <c r="B403" s="2">
        <v>3.7105000000000001</v>
      </c>
      <c r="C403" s="1">
        <f>Tabela9[[#This Row],[Alongamento (mm/mm)]]/$I$2</f>
        <v>7.4209999999999998E-2</v>
      </c>
      <c r="D403" s="2">
        <v>406.54</v>
      </c>
      <c r="E403" s="1">
        <f>Tabela9[[#This Row],[Força (N)]]/$I$5</f>
        <v>9594543.5665061846</v>
      </c>
      <c r="F403" s="1">
        <f>Tabela9[[#This Row],[Tensão (Pa)]]/1000000</f>
        <v>9.594543566506184</v>
      </c>
    </row>
    <row r="404" spans="1:6" x14ac:dyDescent="0.3">
      <c r="A404" s="2">
        <v>44.716999999999999</v>
      </c>
      <c r="B404" s="2">
        <v>3.7187999999999999</v>
      </c>
      <c r="C404" s="1">
        <f>Tabela9[[#This Row],[Alongamento (mm/mm)]]/$I$2</f>
        <v>7.4375999999999998E-2</v>
      </c>
      <c r="D404" s="2">
        <v>409.94</v>
      </c>
      <c r="E404" s="1">
        <f>Tabela9[[#This Row],[Força (N)]]/$I$5</f>
        <v>9674785.2355328985</v>
      </c>
      <c r="F404" s="1">
        <f>Tabela9[[#This Row],[Tensão (Pa)]]/1000000</f>
        <v>9.674785235532898</v>
      </c>
    </row>
    <row r="405" spans="1:6" x14ac:dyDescent="0.3">
      <c r="A405" s="2">
        <v>44.817</v>
      </c>
      <c r="B405" s="2">
        <v>3.7271999999999998</v>
      </c>
      <c r="C405" s="1">
        <f>Tabela9[[#This Row],[Alongamento (mm/mm)]]/$I$2</f>
        <v>7.4543999999999999E-2</v>
      </c>
      <c r="D405" s="2">
        <v>413.17</v>
      </c>
      <c r="E405" s="1">
        <f>Tabela9[[#This Row],[Força (N)]]/$I$5</f>
        <v>9751014.8211082797</v>
      </c>
      <c r="F405" s="1">
        <f>Tabela9[[#This Row],[Tensão (Pa)]]/1000000</f>
        <v>9.7510148211082797</v>
      </c>
    </row>
    <row r="406" spans="1:6" x14ac:dyDescent="0.3">
      <c r="A406" s="2">
        <v>44.917000000000002</v>
      </c>
      <c r="B406" s="2">
        <v>3.7353999999999998</v>
      </c>
      <c r="C406" s="1">
        <f>Tabela9[[#This Row],[Alongamento (mm/mm)]]/$I$2</f>
        <v>7.4707999999999997E-2</v>
      </c>
      <c r="D406" s="2">
        <v>416.57</v>
      </c>
      <c r="E406" s="1">
        <f>Tabela9[[#This Row],[Força (N)]]/$I$5</f>
        <v>9831256.4901349954</v>
      </c>
      <c r="F406" s="1">
        <f>Tabela9[[#This Row],[Tensão (Pa)]]/1000000</f>
        <v>9.8312564901349955</v>
      </c>
    </row>
    <row r="407" spans="1:6" x14ac:dyDescent="0.3">
      <c r="A407" s="2">
        <v>45.017000000000003</v>
      </c>
      <c r="B407" s="2">
        <v>3.7437</v>
      </c>
      <c r="C407" s="1">
        <f>Tabela9[[#This Row],[Alongamento (mm/mm)]]/$I$2</f>
        <v>7.4873999999999996E-2</v>
      </c>
      <c r="D407" s="2">
        <v>419.8</v>
      </c>
      <c r="E407" s="1">
        <f>Tabela9[[#This Row],[Força (N)]]/$I$5</f>
        <v>9907486.0757103749</v>
      </c>
      <c r="F407" s="1">
        <f>Tabela9[[#This Row],[Tensão (Pa)]]/1000000</f>
        <v>9.9074860757103753</v>
      </c>
    </row>
    <row r="408" spans="1:6" x14ac:dyDescent="0.3">
      <c r="A408" s="2">
        <v>45.116999999999997</v>
      </c>
      <c r="B408" s="2">
        <v>3.7522000000000002</v>
      </c>
      <c r="C408" s="1">
        <f>Tabela9[[#This Row],[Alongamento (mm/mm)]]/$I$2</f>
        <v>7.5044E-2</v>
      </c>
      <c r="D408" s="2">
        <v>423.21</v>
      </c>
      <c r="E408" s="1">
        <f>Tabela9[[#This Row],[Força (N)]]/$I$5</f>
        <v>9987963.7496459913</v>
      </c>
      <c r="F408" s="1">
        <f>Tabela9[[#This Row],[Tensão (Pa)]]/1000000</f>
        <v>9.9879637496459921</v>
      </c>
    </row>
    <row r="409" spans="1:6" x14ac:dyDescent="0.3">
      <c r="A409" s="2">
        <v>45.216999999999999</v>
      </c>
      <c r="B409" s="2">
        <v>3.7604000000000002</v>
      </c>
      <c r="C409" s="1">
        <f>Tabela9[[#This Row],[Alongamento (mm/mm)]]/$I$2</f>
        <v>7.5207999999999997E-2</v>
      </c>
      <c r="D409" s="2">
        <v>426.61</v>
      </c>
      <c r="E409" s="1">
        <f>Tabela9[[#This Row],[Força (N)]]/$I$5</f>
        <v>10068205.418672709</v>
      </c>
      <c r="F409" s="1">
        <f>Tabela9[[#This Row],[Tensão (Pa)]]/1000000</f>
        <v>10.068205418672708</v>
      </c>
    </row>
    <row r="410" spans="1:6" x14ac:dyDescent="0.3">
      <c r="A410" s="2">
        <v>45.317</v>
      </c>
      <c r="B410" s="2">
        <v>3.7688000000000001</v>
      </c>
      <c r="C410" s="1">
        <f>Tabela9[[#This Row],[Alongamento (mm/mm)]]/$I$2</f>
        <v>7.5375999999999999E-2</v>
      </c>
      <c r="D410" s="2">
        <v>429.84</v>
      </c>
      <c r="E410" s="1">
        <f>Tabela9[[#This Row],[Força (N)]]/$I$5</f>
        <v>10144435.004248088</v>
      </c>
      <c r="F410" s="1">
        <f>Tabela9[[#This Row],[Tensão (Pa)]]/1000000</f>
        <v>10.144435004248088</v>
      </c>
    </row>
    <row r="411" spans="1:6" x14ac:dyDescent="0.3">
      <c r="A411" s="2">
        <v>45.417000000000002</v>
      </c>
      <c r="B411" s="2">
        <v>3.7770999999999999</v>
      </c>
      <c r="C411" s="1">
        <f>Tabela9[[#This Row],[Alongamento (mm/mm)]]/$I$2</f>
        <v>7.5541999999999998E-2</v>
      </c>
      <c r="D411" s="2">
        <v>433.24</v>
      </c>
      <c r="E411" s="1">
        <f>Tabela9[[#This Row],[Força (N)]]/$I$5</f>
        <v>10224676.673274804</v>
      </c>
      <c r="F411" s="1">
        <f>Tabela9[[#This Row],[Tensão (Pa)]]/1000000</f>
        <v>10.224676673274804</v>
      </c>
    </row>
    <row r="412" spans="1:6" x14ac:dyDescent="0.3">
      <c r="A412" s="2">
        <v>45.517000000000003</v>
      </c>
      <c r="B412" s="2">
        <v>3.7852999999999999</v>
      </c>
      <c r="C412" s="1">
        <f>Tabela9[[#This Row],[Alongamento (mm/mm)]]/$I$2</f>
        <v>7.5705999999999996E-2</v>
      </c>
      <c r="D412" s="2">
        <v>436.47</v>
      </c>
      <c r="E412" s="1">
        <f>Tabela9[[#This Row],[Força (N)]]/$I$5</f>
        <v>10300906.258850185</v>
      </c>
      <c r="F412" s="1">
        <f>Tabela9[[#This Row],[Tensão (Pa)]]/1000000</f>
        <v>10.300906258850185</v>
      </c>
    </row>
    <row r="413" spans="1:6" x14ac:dyDescent="0.3">
      <c r="A413" s="2">
        <v>45.616999999999997</v>
      </c>
      <c r="B413" s="2">
        <v>3.7938000000000001</v>
      </c>
      <c r="C413" s="1">
        <f>Tabela9[[#This Row],[Alongamento (mm/mm)]]/$I$2</f>
        <v>7.5875999999999999E-2</v>
      </c>
      <c r="D413" s="2">
        <v>439.88</v>
      </c>
      <c r="E413" s="1">
        <f>Tabela9[[#This Row],[Força (N)]]/$I$5</f>
        <v>10381383.932785802</v>
      </c>
      <c r="F413" s="1">
        <f>Tabela9[[#This Row],[Tensão (Pa)]]/1000000</f>
        <v>10.381383932785802</v>
      </c>
    </row>
    <row r="414" spans="1:6" x14ac:dyDescent="0.3">
      <c r="A414" s="2">
        <v>45.716999999999999</v>
      </c>
      <c r="B414" s="2">
        <v>3.8022</v>
      </c>
      <c r="C414" s="1">
        <f>Tabela9[[#This Row],[Alongamento (mm/mm)]]/$I$2</f>
        <v>7.6044E-2</v>
      </c>
      <c r="D414" s="2">
        <v>443.28</v>
      </c>
      <c r="E414" s="1">
        <f>Tabela9[[#This Row],[Força (N)]]/$I$5</f>
        <v>10461625.601812517</v>
      </c>
      <c r="F414" s="1">
        <f>Tabela9[[#This Row],[Tensão (Pa)]]/1000000</f>
        <v>10.461625601812518</v>
      </c>
    </row>
    <row r="415" spans="1:6" x14ac:dyDescent="0.3">
      <c r="A415" s="2">
        <v>45.817</v>
      </c>
      <c r="B415" s="2">
        <v>3.8104</v>
      </c>
      <c r="C415" s="1">
        <f>Tabela9[[#This Row],[Alongamento (mm/mm)]]/$I$2</f>
        <v>7.6207999999999998E-2</v>
      </c>
      <c r="D415" s="2">
        <v>446.68</v>
      </c>
      <c r="E415" s="1">
        <f>Tabela9[[#This Row],[Força (N)]]/$I$5</f>
        <v>10541867.270839233</v>
      </c>
      <c r="F415" s="1">
        <f>Tabela9[[#This Row],[Tensão (Pa)]]/1000000</f>
        <v>10.541867270839234</v>
      </c>
    </row>
    <row r="416" spans="1:6" x14ac:dyDescent="0.3">
      <c r="A416" s="2">
        <v>45.933</v>
      </c>
      <c r="B416" s="2">
        <v>3.8201999999999998</v>
      </c>
      <c r="C416" s="1">
        <f>Tabela9[[#This Row],[Alongamento (mm/mm)]]/$I$2</f>
        <v>7.6404E-2</v>
      </c>
      <c r="D416" s="2">
        <v>450.59</v>
      </c>
      <c r="E416" s="1">
        <f>Tabela9[[#This Row],[Força (N)]]/$I$5</f>
        <v>10634145.190219956</v>
      </c>
      <c r="F416" s="1">
        <f>Tabela9[[#This Row],[Tensão (Pa)]]/1000000</f>
        <v>10.634145190219956</v>
      </c>
    </row>
    <row r="417" spans="1:6" x14ac:dyDescent="0.3">
      <c r="A417" s="2">
        <v>46.05</v>
      </c>
      <c r="B417" s="2">
        <v>3.8298999999999999</v>
      </c>
      <c r="C417" s="1">
        <f>Tabela9[[#This Row],[Alongamento (mm/mm)]]/$I$2</f>
        <v>7.6597999999999999E-2</v>
      </c>
      <c r="D417" s="2">
        <v>454.33</v>
      </c>
      <c r="E417" s="1">
        <f>Tabela9[[#This Row],[Força (N)]]/$I$5</f>
        <v>10722411.026149344</v>
      </c>
      <c r="F417" s="1">
        <f>Tabela9[[#This Row],[Tensão (Pa)]]/1000000</f>
        <v>10.722411026149343</v>
      </c>
    </row>
    <row r="418" spans="1:6" x14ac:dyDescent="0.3">
      <c r="A418" s="2">
        <v>46.15</v>
      </c>
      <c r="B418" s="2">
        <v>3.8382000000000001</v>
      </c>
      <c r="C418" s="1">
        <f>Tabela9[[#This Row],[Alongamento (mm/mm)]]/$I$2</f>
        <v>7.6763999999999999E-2</v>
      </c>
      <c r="D418" s="2">
        <v>457.74</v>
      </c>
      <c r="E418" s="1">
        <f>Tabela9[[#This Row],[Força (N)]]/$I$5</f>
        <v>10802888.700084962</v>
      </c>
      <c r="F418" s="1">
        <f>Tabela9[[#This Row],[Tensão (Pa)]]/1000000</f>
        <v>10.802888700084962</v>
      </c>
    </row>
    <row r="419" spans="1:6" x14ac:dyDescent="0.3">
      <c r="A419" s="2">
        <v>46.25</v>
      </c>
      <c r="B419" s="2">
        <v>3.8466</v>
      </c>
      <c r="C419" s="1">
        <f>Tabela9[[#This Row],[Alongamento (mm/mm)]]/$I$2</f>
        <v>7.6932E-2</v>
      </c>
      <c r="D419" s="2">
        <v>461.14</v>
      </c>
      <c r="E419" s="1">
        <f>Tabela9[[#This Row],[Força (N)]]/$I$5</f>
        <v>10883130.369111678</v>
      </c>
      <c r="F419" s="1">
        <f>Tabela9[[#This Row],[Tensão (Pa)]]/1000000</f>
        <v>10.883130369111678</v>
      </c>
    </row>
    <row r="420" spans="1:6" x14ac:dyDescent="0.3">
      <c r="A420" s="2">
        <v>46.35</v>
      </c>
      <c r="B420" s="2">
        <v>3.8549000000000002</v>
      </c>
      <c r="C420" s="1">
        <f>Tabela9[[#This Row],[Alongamento (mm/mm)]]/$I$2</f>
        <v>7.7098E-2</v>
      </c>
      <c r="D420" s="2">
        <v>464.71</v>
      </c>
      <c r="E420" s="1">
        <f>Tabela9[[#This Row],[Força (N)]]/$I$5</f>
        <v>10967384.121589728</v>
      </c>
      <c r="F420" s="1">
        <f>Tabela9[[#This Row],[Tensão (Pa)]]/1000000</f>
        <v>10.967384121589728</v>
      </c>
    </row>
    <row r="421" spans="1:6" x14ac:dyDescent="0.3">
      <c r="A421" s="2">
        <v>46.45</v>
      </c>
      <c r="B421" s="2">
        <v>3.8631000000000002</v>
      </c>
      <c r="C421" s="1">
        <f>Tabela9[[#This Row],[Alongamento (mm/mm)]]/$I$2</f>
        <v>7.7261999999999997E-2</v>
      </c>
      <c r="D421" s="2">
        <v>468.11</v>
      </c>
      <c r="E421" s="1">
        <f>Tabela9[[#This Row],[Força (N)]]/$I$5</f>
        <v>11047625.790616445</v>
      </c>
      <c r="F421" s="1">
        <f>Tabela9[[#This Row],[Tensão (Pa)]]/1000000</f>
        <v>11.047625790616445</v>
      </c>
    </row>
    <row r="422" spans="1:6" x14ac:dyDescent="0.3">
      <c r="A422" s="2">
        <v>46.55</v>
      </c>
      <c r="B422" s="2">
        <v>3.8715999999999999</v>
      </c>
      <c r="C422" s="1">
        <f>Tabela9[[#This Row],[Alongamento (mm/mm)]]/$I$2</f>
        <v>7.7432000000000001E-2</v>
      </c>
      <c r="D422" s="2">
        <v>471.51</v>
      </c>
      <c r="E422" s="1">
        <f>Tabela9[[#This Row],[Força (N)]]/$I$5</f>
        <v>11127867.459643161</v>
      </c>
      <c r="F422" s="1">
        <f>Tabela9[[#This Row],[Tensão (Pa)]]/1000000</f>
        <v>11.127867459643161</v>
      </c>
    </row>
    <row r="423" spans="1:6" x14ac:dyDescent="0.3">
      <c r="A423" s="2">
        <v>46.65</v>
      </c>
      <c r="B423" s="2">
        <v>3.8799000000000001</v>
      </c>
      <c r="C423" s="1">
        <f>Tabela9[[#This Row],[Alongamento (mm/mm)]]/$I$2</f>
        <v>7.7598E-2</v>
      </c>
      <c r="D423" s="2">
        <v>474.92</v>
      </c>
      <c r="E423" s="1">
        <f>Tabela9[[#This Row],[Força (N)]]/$I$5</f>
        <v>11208345.133578779</v>
      </c>
      <c r="F423" s="1">
        <f>Tabela9[[#This Row],[Tensão (Pa)]]/1000000</f>
        <v>11.20834513357878</v>
      </c>
    </row>
    <row r="424" spans="1:6" x14ac:dyDescent="0.3">
      <c r="A424" s="2">
        <v>46.75</v>
      </c>
      <c r="B424" s="2">
        <v>3.8881999999999999</v>
      </c>
      <c r="C424" s="1">
        <f>Tabela9[[#This Row],[Alongamento (mm/mm)]]/$I$2</f>
        <v>7.7764E-2</v>
      </c>
      <c r="D424" s="2">
        <v>478.49</v>
      </c>
      <c r="E424" s="1">
        <f>Tabela9[[#This Row],[Força (N)]]/$I$5</f>
        <v>11292598.886056829</v>
      </c>
      <c r="F424" s="1">
        <f>Tabela9[[#This Row],[Tensão (Pa)]]/1000000</f>
        <v>11.29259888605683</v>
      </c>
    </row>
    <row r="425" spans="1:6" x14ac:dyDescent="0.3">
      <c r="A425" s="2">
        <v>46.85</v>
      </c>
      <c r="B425" s="2">
        <v>3.8965999999999998</v>
      </c>
      <c r="C425" s="1">
        <f>Tabela9[[#This Row],[Alongamento (mm/mm)]]/$I$2</f>
        <v>7.7932000000000001E-2</v>
      </c>
      <c r="D425" s="2">
        <v>481.89</v>
      </c>
      <c r="E425" s="1">
        <f>Tabela9[[#This Row],[Força (N)]]/$I$5</f>
        <v>11372840.555083545</v>
      </c>
      <c r="F425" s="1">
        <f>Tabela9[[#This Row],[Tensão (Pa)]]/1000000</f>
        <v>11.372840555083545</v>
      </c>
    </row>
    <row r="426" spans="1:6" x14ac:dyDescent="0.3">
      <c r="A426" s="2">
        <v>46.966999999999999</v>
      </c>
      <c r="B426" s="2">
        <v>3.9062999999999999</v>
      </c>
      <c r="C426" s="1">
        <f>Tabela9[[#This Row],[Alongamento (mm/mm)]]/$I$2</f>
        <v>7.8126000000000001E-2</v>
      </c>
      <c r="D426" s="2">
        <v>485.8</v>
      </c>
      <c r="E426" s="1">
        <f>Tabela9[[#This Row],[Força (N)]]/$I$5</f>
        <v>11465118.474464269</v>
      </c>
      <c r="F426" s="1">
        <f>Tabela9[[#This Row],[Tensão (Pa)]]/1000000</f>
        <v>11.465118474464269</v>
      </c>
    </row>
    <row r="427" spans="1:6" x14ac:dyDescent="0.3">
      <c r="A427" s="2">
        <v>47.082999999999998</v>
      </c>
      <c r="B427" s="2">
        <v>3.9159999999999999</v>
      </c>
      <c r="C427" s="1">
        <f>Tabela9[[#This Row],[Alongamento (mm/mm)]]/$I$2</f>
        <v>7.8320000000000001E-2</v>
      </c>
      <c r="D427" s="2">
        <v>489.88</v>
      </c>
      <c r="E427" s="1">
        <f>Tabela9[[#This Row],[Força (N)]]/$I$5</f>
        <v>11561408.477296328</v>
      </c>
      <c r="F427" s="1">
        <f>Tabela9[[#This Row],[Tensão (Pa)]]/1000000</f>
        <v>11.561408477296329</v>
      </c>
    </row>
    <row r="428" spans="1:6" x14ac:dyDescent="0.3">
      <c r="A428" s="2">
        <v>47.2</v>
      </c>
      <c r="B428" s="2">
        <v>3.9257</v>
      </c>
      <c r="C428" s="1">
        <f>Tabela9[[#This Row],[Alongamento (mm/mm)]]/$I$2</f>
        <v>7.8514E-2</v>
      </c>
      <c r="D428" s="2">
        <v>493.97</v>
      </c>
      <c r="E428" s="1">
        <f>Tabela9[[#This Row],[Força (N)]]/$I$5</f>
        <v>11657934.48503729</v>
      </c>
      <c r="F428" s="1">
        <f>Tabela9[[#This Row],[Tensão (Pa)]]/1000000</f>
        <v>11.657934485037289</v>
      </c>
    </row>
    <row r="429" spans="1:6" x14ac:dyDescent="0.3">
      <c r="A429" s="2">
        <v>47.317</v>
      </c>
      <c r="B429" s="2">
        <v>3.9354</v>
      </c>
      <c r="C429" s="1">
        <f>Tabela9[[#This Row],[Alongamento (mm/mm)]]/$I$2</f>
        <v>7.8708E-2</v>
      </c>
      <c r="D429" s="2">
        <v>497.88</v>
      </c>
      <c r="E429" s="1">
        <f>Tabela9[[#This Row],[Força (N)]]/$I$5</f>
        <v>11750212.404418012</v>
      </c>
      <c r="F429" s="1">
        <f>Tabela9[[#This Row],[Tensão (Pa)]]/1000000</f>
        <v>11.750212404418011</v>
      </c>
    </row>
    <row r="430" spans="1:6" x14ac:dyDescent="0.3">
      <c r="A430" s="2">
        <v>47.433</v>
      </c>
      <c r="B430" s="2">
        <v>3.9451000000000001</v>
      </c>
      <c r="C430" s="1">
        <f>Tabela9[[#This Row],[Alongamento (mm/mm)]]/$I$2</f>
        <v>7.8902E-2</v>
      </c>
      <c r="D430" s="2">
        <v>501.96</v>
      </c>
      <c r="E430" s="1">
        <f>Tabela9[[#This Row],[Força (N)]]/$I$5</f>
        <v>11846502.407250071</v>
      </c>
      <c r="F430" s="1">
        <f>Tabela9[[#This Row],[Tensão (Pa)]]/1000000</f>
        <v>11.846502407250071</v>
      </c>
    </row>
    <row r="431" spans="1:6" x14ac:dyDescent="0.3">
      <c r="A431" s="2">
        <v>47.55</v>
      </c>
      <c r="B431" s="2">
        <v>3.9548999999999999</v>
      </c>
      <c r="C431" s="1">
        <f>Tabela9[[#This Row],[Alongamento (mm/mm)]]/$I$2</f>
        <v>7.9098000000000002E-2</v>
      </c>
      <c r="D431" s="2">
        <v>506.04</v>
      </c>
      <c r="E431" s="1">
        <f>Tabela9[[#This Row],[Força (N)]]/$I$5</f>
        <v>11942792.41008213</v>
      </c>
      <c r="F431" s="1">
        <f>Tabela9[[#This Row],[Tensão (Pa)]]/1000000</f>
        <v>11.942792410082129</v>
      </c>
    </row>
    <row r="432" spans="1:6" x14ac:dyDescent="0.3">
      <c r="A432" s="2">
        <v>47.667000000000002</v>
      </c>
      <c r="B432" s="2">
        <v>3.9645999999999999</v>
      </c>
      <c r="C432" s="1">
        <f>Tabela9[[#This Row],[Alongamento (mm/mm)]]/$I$2</f>
        <v>7.9292000000000001E-2</v>
      </c>
      <c r="D432" s="2">
        <v>510.13</v>
      </c>
      <c r="E432" s="1">
        <f>Tabela9[[#This Row],[Força (N)]]/$I$5</f>
        <v>12039318.417823091</v>
      </c>
      <c r="F432" s="1">
        <f>Tabela9[[#This Row],[Tensão (Pa)]]/1000000</f>
        <v>12.039318417823091</v>
      </c>
    </row>
    <row r="433" spans="1:6" x14ac:dyDescent="0.3">
      <c r="A433" s="2">
        <v>47.783000000000001</v>
      </c>
      <c r="B433" s="2">
        <v>3.9742999999999999</v>
      </c>
      <c r="C433" s="1">
        <f>Tabela9[[#This Row],[Alongamento (mm/mm)]]/$I$2</f>
        <v>7.9486000000000001E-2</v>
      </c>
      <c r="D433" s="2">
        <v>514.21</v>
      </c>
      <c r="E433" s="1">
        <f>Tabela9[[#This Row],[Força (N)]]/$I$5</f>
        <v>12135608.42065515</v>
      </c>
      <c r="F433" s="1">
        <f>Tabela9[[#This Row],[Tensão (Pa)]]/1000000</f>
        <v>12.135608420655149</v>
      </c>
    </row>
    <row r="434" spans="1:6" x14ac:dyDescent="0.3">
      <c r="A434" s="2">
        <v>47.883000000000003</v>
      </c>
      <c r="B434" s="2">
        <v>3.9826999999999999</v>
      </c>
      <c r="C434" s="1">
        <f>Tabela9[[#This Row],[Alongamento (mm/mm)]]/$I$2</f>
        <v>7.9654000000000003E-2</v>
      </c>
      <c r="D434" s="2">
        <v>517.95000000000005</v>
      </c>
      <c r="E434" s="1">
        <f>Tabela9[[#This Row],[Força (N)]]/$I$5</f>
        <v>12223874.256584538</v>
      </c>
      <c r="F434" s="1">
        <f>Tabela9[[#This Row],[Tensão (Pa)]]/1000000</f>
        <v>12.223874256584539</v>
      </c>
    </row>
    <row r="435" spans="1:6" x14ac:dyDescent="0.3">
      <c r="A435" s="2">
        <v>48</v>
      </c>
      <c r="B435" s="2">
        <v>3.9923999999999999</v>
      </c>
      <c r="C435" s="1">
        <f>Tabela9[[#This Row],[Alongamento (mm/mm)]]/$I$2</f>
        <v>7.9848000000000002E-2</v>
      </c>
      <c r="D435" s="2">
        <v>522.03</v>
      </c>
      <c r="E435" s="1">
        <f>Tabela9[[#This Row],[Força (N)]]/$I$5</f>
        <v>12320164.259416595</v>
      </c>
      <c r="F435" s="1">
        <f>Tabela9[[#This Row],[Tensão (Pa)]]/1000000</f>
        <v>12.320164259416595</v>
      </c>
    </row>
    <row r="436" spans="1:6" x14ac:dyDescent="0.3">
      <c r="A436" s="2">
        <v>48.116999999999997</v>
      </c>
      <c r="B436" s="2">
        <v>4.0021000000000004</v>
      </c>
      <c r="C436" s="1">
        <f>Tabela9[[#This Row],[Alongamento (mm/mm)]]/$I$2</f>
        <v>8.0042000000000002E-2</v>
      </c>
      <c r="D436" s="2">
        <v>526.12</v>
      </c>
      <c r="E436" s="1">
        <f>Tabela9[[#This Row],[Força (N)]]/$I$5</f>
        <v>12416690.267157556</v>
      </c>
      <c r="F436" s="1">
        <f>Tabela9[[#This Row],[Tensão (Pa)]]/1000000</f>
        <v>12.416690267157556</v>
      </c>
    </row>
    <row r="437" spans="1:6" x14ac:dyDescent="0.3">
      <c r="A437" s="2">
        <v>48.232999999999997</v>
      </c>
      <c r="B437" s="2">
        <v>4.0118</v>
      </c>
      <c r="C437" s="1">
        <f>Tabela9[[#This Row],[Alongamento (mm/mm)]]/$I$2</f>
        <v>8.0236000000000002E-2</v>
      </c>
      <c r="D437" s="2">
        <v>530.37</v>
      </c>
      <c r="E437" s="1">
        <f>Tabela9[[#This Row],[Força (N)]]/$I$5</f>
        <v>12516992.353440952</v>
      </c>
      <c r="F437" s="1">
        <f>Tabela9[[#This Row],[Tensão (Pa)]]/1000000</f>
        <v>12.516992353440951</v>
      </c>
    </row>
    <row r="438" spans="1:6" x14ac:dyDescent="0.3">
      <c r="A438" s="2">
        <v>48.35</v>
      </c>
      <c r="B438" s="2">
        <v>4.0216000000000003</v>
      </c>
      <c r="C438" s="1">
        <f>Tabela9[[#This Row],[Alongamento (mm/mm)]]/$I$2</f>
        <v>8.0432000000000003E-2</v>
      </c>
      <c r="D438" s="2">
        <v>534.45000000000005</v>
      </c>
      <c r="E438" s="1">
        <f>Tabela9[[#This Row],[Força (N)]]/$I$5</f>
        <v>12613282.356273012</v>
      </c>
      <c r="F438" s="1">
        <f>Tabela9[[#This Row],[Tensão (Pa)]]/1000000</f>
        <v>12.613282356273013</v>
      </c>
    </row>
    <row r="439" spans="1:6" x14ac:dyDescent="0.3">
      <c r="A439" s="2">
        <v>48.466999999999999</v>
      </c>
      <c r="B439" s="2">
        <v>4.0312999999999999</v>
      </c>
      <c r="C439" s="1">
        <f>Tabela9[[#This Row],[Alongamento (mm/mm)]]/$I$2</f>
        <v>8.0626000000000003E-2</v>
      </c>
      <c r="D439" s="2">
        <v>538.70000000000005</v>
      </c>
      <c r="E439" s="1">
        <f>Tabela9[[#This Row],[Força (N)]]/$I$5</f>
        <v>12713584.442556405</v>
      </c>
      <c r="F439" s="1">
        <f>Tabela9[[#This Row],[Tensão (Pa)]]/1000000</f>
        <v>12.713584442556405</v>
      </c>
    </row>
    <row r="440" spans="1:6" x14ac:dyDescent="0.3">
      <c r="A440" s="2">
        <v>48.582999999999998</v>
      </c>
      <c r="B440" s="2">
        <v>4.0410000000000004</v>
      </c>
      <c r="C440" s="1">
        <f>Tabela9[[#This Row],[Alongamento (mm/mm)]]/$I$2</f>
        <v>8.0820000000000003E-2</v>
      </c>
      <c r="D440" s="2">
        <v>542.79</v>
      </c>
      <c r="E440" s="1">
        <f>Tabela9[[#This Row],[Força (N)]]/$I$5</f>
        <v>12810110.450297365</v>
      </c>
      <c r="F440" s="1">
        <f>Tabela9[[#This Row],[Tensão (Pa)]]/1000000</f>
        <v>12.810110450297366</v>
      </c>
    </row>
    <row r="441" spans="1:6" x14ac:dyDescent="0.3">
      <c r="A441" s="2">
        <v>48.7</v>
      </c>
      <c r="B441" s="2">
        <v>4.0507</v>
      </c>
      <c r="C441" s="1">
        <f>Tabela9[[#This Row],[Alongamento (mm/mm)]]/$I$2</f>
        <v>8.1014000000000003E-2</v>
      </c>
      <c r="D441" s="2">
        <v>547.04</v>
      </c>
      <c r="E441" s="1">
        <f>Tabela9[[#This Row],[Força (N)]]/$I$5</f>
        <v>12910412.53658076</v>
      </c>
      <c r="F441" s="1">
        <f>Tabela9[[#This Row],[Tensão (Pa)]]/1000000</f>
        <v>12.910412536580759</v>
      </c>
    </row>
    <row r="442" spans="1:6" x14ac:dyDescent="0.3">
      <c r="A442" s="2">
        <v>48.817</v>
      </c>
      <c r="B442" s="2">
        <v>4.0605000000000002</v>
      </c>
      <c r="C442" s="1">
        <f>Tabela9[[#This Row],[Alongamento (mm/mm)]]/$I$2</f>
        <v>8.1210000000000004E-2</v>
      </c>
      <c r="D442" s="2">
        <v>551.29</v>
      </c>
      <c r="E442" s="1">
        <f>Tabela9[[#This Row],[Força (N)]]/$I$5</f>
        <v>13010714.622864155</v>
      </c>
      <c r="F442" s="1">
        <f>Tabela9[[#This Row],[Tensão (Pa)]]/1000000</f>
        <v>13.010714622864155</v>
      </c>
    </row>
    <row r="443" spans="1:6" x14ac:dyDescent="0.3">
      <c r="A443" s="2">
        <v>48.933</v>
      </c>
      <c r="B443" s="2">
        <v>4.0701999999999998</v>
      </c>
      <c r="C443" s="1">
        <f>Tabela9[[#This Row],[Alongamento (mm/mm)]]/$I$2</f>
        <v>8.140399999999999E-2</v>
      </c>
      <c r="D443" s="2">
        <v>555.71</v>
      </c>
      <c r="E443" s="1">
        <f>Tabela9[[#This Row],[Força (N)]]/$I$5</f>
        <v>13115028.792598886</v>
      </c>
      <c r="F443" s="1">
        <f>Tabela9[[#This Row],[Tensão (Pa)]]/1000000</f>
        <v>13.115028792598887</v>
      </c>
    </row>
    <row r="444" spans="1:6" x14ac:dyDescent="0.3">
      <c r="A444" s="2">
        <v>49.05</v>
      </c>
      <c r="B444" s="2">
        <v>4.0797999999999996</v>
      </c>
      <c r="C444" s="1">
        <f>Tabela9[[#This Row],[Alongamento (mm/mm)]]/$I$2</f>
        <v>8.1595999999999988E-2</v>
      </c>
      <c r="D444" s="2">
        <v>559.97</v>
      </c>
      <c r="E444" s="1">
        <f>Tabela9[[#This Row],[Força (N)]]/$I$5</f>
        <v>13215566.883791184</v>
      </c>
      <c r="F444" s="1">
        <f>Tabela9[[#This Row],[Tensão (Pa)]]/1000000</f>
        <v>13.215566883791183</v>
      </c>
    </row>
    <row r="445" spans="1:6" x14ac:dyDescent="0.3">
      <c r="A445" s="2">
        <v>49.167000000000002</v>
      </c>
      <c r="B445" s="2">
        <v>4.0895999999999999</v>
      </c>
      <c r="C445" s="1">
        <f>Tabela9[[#This Row],[Alongamento (mm/mm)]]/$I$2</f>
        <v>8.1792000000000004E-2</v>
      </c>
      <c r="D445" s="2">
        <v>564.22</v>
      </c>
      <c r="E445" s="1">
        <f>Tabela9[[#This Row],[Força (N)]]/$I$5</f>
        <v>13315868.970074577</v>
      </c>
      <c r="F445" s="1">
        <f>Tabela9[[#This Row],[Tensão (Pa)]]/1000000</f>
        <v>13.315868970074577</v>
      </c>
    </row>
    <row r="446" spans="1:6" x14ac:dyDescent="0.3">
      <c r="A446" s="2">
        <v>49.283000000000001</v>
      </c>
      <c r="B446" s="2">
        <v>4.0994000000000002</v>
      </c>
      <c r="C446" s="1">
        <f>Tabela9[[#This Row],[Alongamento (mm/mm)]]/$I$2</f>
        <v>8.1988000000000005E-2</v>
      </c>
      <c r="D446" s="2">
        <v>568.64</v>
      </c>
      <c r="E446" s="1">
        <f>Tabela9[[#This Row],[Força (N)]]/$I$5</f>
        <v>13420183.139809309</v>
      </c>
      <c r="F446" s="1">
        <f>Tabela9[[#This Row],[Tensão (Pa)]]/1000000</f>
        <v>13.420183139809309</v>
      </c>
    </row>
    <row r="447" spans="1:6" x14ac:dyDescent="0.3">
      <c r="A447" s="2">
        <v>49.417000000000002</v>
      </c>
      <c r="B447" s="2">
        <v>4.1104000000000003</v>
      </c>
      <c r="C447" s="1">
        <f>Tabela9[[#This Row],[Alongamento (mm/mm)]]/$I$2</f>
        <v>8.2208000000000003E-2</v>
      </c>
      <c r="D447" s="2">
        <v>573.57000000000005</v>
      </c>
      <c r="E447" s="1">
        <f>Tabela9[[#This Row],[Força (N)]]/$I$5</f>
        <v>13536533.559898047</v>
      </c>
      <c r="F447" s="1">
        <f>Tabela9[[#This Row],[Tensão (Pa)]]/1000000</f>
        <v>13.536533559898047</v>
      </c>
    </row>
    <row r="448" spans="1:6" x14ac:dyDescent="0.3">
      <c r="A448" s="2">
        <v>49.533000000000001</v>
      </c>
      <c r="B448" s="2">
        <v>4.1201999999999996</v>
      </c>
      <c r="C448" s="1">
        <f>Tabela9[[#This Row],[Alongamento (mm/mm)]]/$I$2</f>
        <v>8.2403999999999991E-2</v>
      </c>
      <c r="D448" s="2">
        <v>578</v>
      </c>
      <c r="E448" s="1">
        <f>Tabela9[[#This Row],[Força (N)]]/$I$5</f>
        <v>13641083.734541679</v>
      </c>
      <c r="F448" s="1">
        <f>Tabela9[[#This Row],[Tensão (Pa)]]/1000000</f>
        <v>13.641083734541679</v>
      </c>
    </row>
    <row r="449" spans="1:6" x14ac:dyDescent="0.3">
      <c r="A449" s="2">
        <v>49.65</v>
      </c>
      <c r="B449" s="2">
        <v>4.1299000000000001</v>
      </c>
      <c r="C449" s="1">
        <f>Tabela9[[#This Row],[Alongamento (mm/mm)]]/$I$2</f>
        <v>8.2598000000000005E-2</v>
      </c>
      <c r="D449" s="2">
        <v>582.41999999999996</v>
      </c>
      <c r="E449" s="1">
        <f>Tabela9[[#This Row],[Força (N)]]/$I$5</f>
        <v>13745397.904276408</v>
      </c>
      <c r="F449" s="1">
        <f>Tabela9[[#This Row],[Tensão (Pa)]]/1000000</f>
        <v>13.745397904276409</v>
      </c>
    </row>
    <row r="450" spans="1:6" x14ac:dyDescent="0.3">
      <c r="A450" s="2">
        <v>49.767000000000003</v>
      </c>
      <c r="B450" s="2">
        <v>4.1395999999999997</v>
      </c>
      <c r="C450" s="1">
        <f>Tabela9[[#This Row],[Alongamento (mm/mm)]]/$I$2</f>
        <v>8.2791999999999991E-2</v>
      </c>
      <c r="D450" s="2">
        <v>586.84</v>
      </c>
      <c r="E450" s="1">
        <f>Tabela9[[#This Row],[Força (N)]]/$I$5</f>
        <v>13849712.07401114</v>
      </c>
      <c r="F450" s="1">
        <f>Tabela9[[#This Row],[Tensão (Pa)]]/1000000</f>
        <v>13.849712074011139</v>
      </c>
    </row>
    <row r="451" spans="1:6" x14ac:dyDescent="0.3">
      <c r="A451" s="2">
        <v>49.9</v>
      </c>
      <c r="B451" s="2">
        <v>4.1508000000000003</v>
      </c>
      <c r="C451" s="1">
        <f>Tabela9[[#This Row],[Alongamento (mm/mm)]]/$I$2</f>
        <v>8.3016000000000006E-2</v>
      </c>
      <c r="D451" s="2">
        <v>591.77</v>
      </c>
      <c r="E451" s="1">
        <f>Tabela9[[#This Row],[Força (N)]]/$I$5</f>
        <v>13966062.494099876</v>
      </c>
      <c r="F451" s="1">
        <f>Tabela9[[#This Row],[Tensão (Pa)]]/1000000</f>
        <v>13.966062494099877</v>
      </c>
    </row>
    <row r="452" spans="1:6" x14ac:dyDescent="0.3">
      <c r="A452" s="2">
        <v>50.017000000000003</v>
      </c>
      <c r="B452" s="2">
        <v>4.1604000000000001</v>
      </c>
      <c r="C452" s="1">
        <f>Tabela9[[#This Row],[Alongamento (mm/mm)]]/$I$2</f>
        <v>8.3208000000000004E-2</v>
      </c>
      <c r="D452" s="2">
        <v>596.20000000000005</v>
      </c>
      <c r="E452" s="1">
        <f>Tabela9[[#This Row],[Força (N)]]/$I$5</f>
        <v>14070612.668743512</v>
      </c>
      <c r="F452" s="1">
        <f>Tabela9[[#This Row],[Tensão (Pa)]]/1000000</f>
        <v>14.070612668743511</v>
      </c>
    </row>
    <row r="453" spans="1:6" x14ac:dyDescent="0.3">
      <c r="A453" s="2">
        <v>50.133000000000003</v>
      </c>
      <c r="B453" s="2">
        <v>4.1702000000000004</v>
      </c>
      <c r="C453" s="1">
        <f>Tabela9[[#This Row],[Alongamento (mm/mm)]]/$I$2</f>
        <v>8.3404000000000006E-2</v>
      </c>
      <c r="D453" s="2">
        <v>600.62</v>
      </c>
      <c r="E453" s="1">
        <f>Tabela9[[#This Row],[Força (N)]]/$I$5</f>
        <v>14174926.838478241</v>
      </c>
      <c r="F453" s="1">
        <f>Tabela9[[#This Row],[Tensão (Pa)]]/1000000</f>
        <v>14.174926838478241</v>
      </c>
    </row>
    <row r="454" spans="1:6" x14ac:dyDescent="0.3">
      <c r="A454" s="2">
        <v>50.267000000000003</v>
      </c>
      <c r="B454" s="2">
        <v>4.1813000000000002</v>
      </c>
      <c r="C454" s="1">
        <f>Tabela9[[#This Row],[Alongamento (mm/mm)]]/$I$2</f>
        <v>8.3626000000000006E-2</v>
      </c>
      <c r="D454" s="2">
        <v>605.54999999999995</v>
      </c>
      <c r="E454" s="1">
        <f>Tabela9[[#This Row],[Força (N)]]/$I$5</f>
        <v>14291277.258566977</v>
      </c>
      <c r="F454" s="1">
        <f>Tabela9[[#This Row],[Tensão (Pa)]]/1000000</f>
        <v>14.291277258566977</v>
      </c>
    </row>
    <row r="455" spans="1:6" x14ac:dyDescent="0.3">
      <c r="A455" s="2">
        <v>50.383000000000003</v>
      </c>
      <c r="B455" s="2">
        <v>4.1910999999999996</v>
      </c>
      <c r="C455" s="1">
        <f>Tabela9[[#This Row],[Alongamento (mm/mm)]]/$I$2</f>
        <v>8.3821999999999994E-2</v>
      </c>
      <c r="D455" s="2">
        <v>609.97</v>
      </c>
      <c r="E455" s="1">
        <f>Tabela9[[#This Row],[Força (N)]]/$I$5</f>
        <v>14395591.428301709</v>
      </c>
      <c r="F455" s="1">
        <f>Tabela9[[#This Row],[Tensão (Pa)]]/1000000</f>
        <v>14.395591428301708</v>
      </c>
    </row>
    <row r="456" spans="1:6" x14ac:dyDescent="0.3">
      <c r="A456" s="2">
        <v>50.517000000000003</v>
      </c>
      <c r="B456" s="2">
        <v>4.2020999999999997</v>
      </c>
      <c r="C456" s="1">
        <f>Tabela9[[#This Row],[Alongamento (mm/mm)]]/$I$2</f>
        <v>8.4041999999999992E-2</v>
      </c>
      <c r="D456" s="2">
        <v>614.91</v>
      </c>
      <c r="E456" s="1">
        <f>Tabela9[[#This Row],[Força (N)]]/$I$5</f>
        <v>14512177.853299348</v>
      </c>
      <c r="F456" s="1">
        <f>Tabela9[[#This Row],[Tensão (Pa)]]/1000000</f>
        <v>14.512177853299347</v>
      </c>
    </row>
    <row r="457" spans="1:6" x14ac:dyDescent="0.3">
      <c r="A457" s="2">
        <v>50.65</v>
      </c>
      <c r="B457" s="2">
        <v>4.2131999999999996</v>
      </c>
      <c r="C457" s="1">
        <f>Tabela9[[#This Row],[Alongamento (mm/mm)]]/$I$2</f>
        <v>8.4263999999999992E-2</v>
      </c>
      <c r="D457" s="2">
        <v>620.01</v>
      </c>
      <c r="E457" s="1">
        <f>Tabela9[[#This Row],[Força (N)]]/$I$5</f>
        <v>14632540.356839422</v>
      </c>
      <c r="F457" s="1">
        <f>Tabela9[[#This Row],[Tensão (Pa)]]/1000000</f>
        <v>14.632540356839423</v>
      </c>
    </row>
    <row r="458" spans="1:6" x14ac:dyDescent="0.3">
      <c r="A458" s="2">
        <v>50.783000000000001</v>
      </c>
      <c r="B458" s="2">
        <v>4.2243000000000004</v>
      </c>
      <c r="C458" s="1">
        <f>Tabela9[[#This Row],[Alongamento (mm/mm)]]/$I$2</f>
        <v>8.4486000000000006E-2</v>
      </c>
      <c r="D458" s="2">
        <v>625.11</v>
      </c>
      <c r="E458" s="1">
        <f>Tabela9[[#This Row],[Força (N)]]/$I$5</f>
        <v>14752902.860379497</v>
      </c>
      <c r="F458" s="1">
        <f>Tabela9[[#This Row],[Tensão (Pa)]]/1000000</f>
        <v>14.752902860379496</v>
      </c>
    </row>
    <row r="459" spans="1:6" x14ac:dyDescent="0.3">
      <c r="A459" s="2">
        <v>50.917000000000002</v>
      </c>
      <c r="B459" s="2">
        <v>4.2352999999999996</v>
      </c>
      <c r="C459" s="1">
        <f>Tabela9[[#This Row],[Alongamento (mm/mm)]]/$I$2</f>
        <v>8.470599999999999E-2</v>
      </c>
      <c r="D459" s="2">
        <v>630.04999999999995</v>
      </c>
      <c r="E459" s="1">
        <f>Tabela9[[#This Row],[Força (N)]]/$I$5</f>
        <v>14869489.285377136</v>
      </c>
      <c r="F459" s="1">
        <f>Tabela9[[#This Row],[Tensão (Pa)]]/1000000</f>
        <v>14.869489285377135</v>
      </c>
    </row>
    <row r="460" spans="1:6" x14ac:dyDescent="0.3">
      <c r="A460" s="2">
        <v>51.05</v>
      </c>
      <c r="B460" s="2">
        <v>4.2465000000000002</v>
      </c>
      <c r="C460" s="1">
        <f>Tabela9[[#This Row],[Alongamento (mm/mm)]]/$I$2</f>
        <v>8.4930000000000005E-2</v>
      </c>
      <c r="D460" s="2">
        <v>635.15</v>
      </c>
      <c r="E460" s="1">
        <f>Tabela9[[#This Row],[Força (N)]]/$I$5</f>
        <v>14989851.788917208</v>
      </c>
      <c r="F460" s="1">
        <f>Tabela9[[#This Row],[Tensão (Pa)]]/1000000</f>
        <v>14.989851788917209</v>
      </c>
    </row>
    <row r="461" spans="1:6" x14ac:dyDescent="0.3">
      <c r="A461" s="2">
        <v>51.183</v>
      </c>
      <c r="B461" s="2">
        <v>4.2576999999999998</v>
      </c>
      <c r="C461" s="1">
        <f>Tabela9[[#This Row],[Alongamento (mm/mm)]]/$I$2</f>
        <v>8.5153999999999994E-2</v>
      </c>
      <c r="D461" s="2">
        <v>640.08000000000004</v>
      </c>
      <c r="E461" s="1">
        <f>Tabela9[[#This Row],[Força (N)]]/$I$5</f>
        <v>15106202.209005948</v>
      </c>
      <c r="F461" s="1">
        <f>Tabela9[[#This Row],[Tensão (Pa)]]/1000000</f>
        <v>15.106202209005948</v>
      </c>
    </row>
    <row r="462" spans="1:6" x14ac:dyDescent="0.3">
      <c r="A462" s="2">
        <v>51.317</v>
      </c>
      <c r="B462" s="2">
        <v>4.2687999999999997</v>
      </c>
      <c r="C462" s="1">
        <f>Tabela9[[#This Row],[Alongamento (mm/mm)]]/$I$2</f>
        <v>8.5375999999999994E-2</v>
      </c>
      <c r="D462" s="2">
        <v>645.01</v>
      </c>
      <c r="E462" s="1">
        <f>Tabela9[[#This Row],[Força (N)]]/$I$5</f>
        <v>15222552.629094684</v>
      </c>
      <c r="F462" s="1">
        <f>Tabela9[[#This Row],[Tensão (Pa)]]/1000000</f>
        <v>15.222552629094684</v>
      </c>
    </row>
    <row r="463" spans="1:6" x14ac:dyDescent="0.3">
      <c r="A463" s="2">
        <v>51.45</v>
      </c>
      <c r="B463" s="2">
        <v>4.2798999999999996</v>
      </c>
      <c r="C463" s="1">
        <f>Tabela9[[#This Row],[Alongamento (mm/mm)]]/$I$2</f>
        <v>8.5597999999999994E-2</v>
      </c>
      <c r="D463" s="2">
        <v>650.12</v>
      </c>
      <c r="E463" s="1">
        <f>Tabela9[[#This Row],[Força (N)]]/$I$5</f>
        <v>15343151.137543662</v>
      </c>
      <c r="F463" s="1">
        <f>Tabela9[[#This Row],[Tensão (Pa)]]/1000000</f>
        <v>15.343151137543661</v>
      </c>
    </row>
    <row r="464" spans="1:6" x14ac:dyDescent="0.3">
      <c r="A464" s="2">
        <v>51.582999999999998</v>
      </c>
      <c r="B464" s="2">
        <v>4.2910000000000004</v>
      </c>
      <c r="C464" s="1">
        <f>Tabela9[[#This Row],[Alongamento (mm/mm)]]/$I$2</f>
        <v>8.5820000000000007E-2</v>
      </c>
      <c r="D464" s="2">
        <v>655.04999999999995</v>
      </c>
      <c r="E464" s="1">
        <f>Tabela9[[#This Row],[Força (N)]]/$I$5</f>
        <v>15459501.557632398</v>
      </c>
      <c r="F464" s="1">
        <f>Tabela9[[#This Row],[Tensão (Pa)]]/1000000</f>
        <v>15.459501557632398</v>
      </c>
    </row>
    <row r="465" spans="1:6" x14ac:dyDescent="0.3">
      <c r="A465" s="2">
        <v>51.716999999999999</v>
      </c>
      <c r="B465" s="2">
        <v>4.3021000000000003</v>
      </c>
      <c r="C465" s="1">
        <f>Tabela9[[#This Row],[Alongamento (mm/mm)]]/$I$2</f>
        <v>8.6042000000000007E-2</v>
      </c>
      <c r="D465" s="2">
        <v>660.15</v>
      </c>
      <c r="E465" s="1">
        <f>Tabela9[[#This Row],[Força (N)]]/$I$5</f>
        <v>15579864.061172472</v>
      </c>
      <c r="F465" s="1">
        <f>Tabela9[[#This Row],[Tensão (Pa)]]/1000000</f>
        <v>15.579864061172472</v>
      </c>
    </row>
    <row r="466" spans="1:6" x14ac:dyDescent="0.3">
      <c r="A466" s="2">
        <v>51.85</v>
      </c>
      <c r="B466" s="2">
        <v>4.3131000000000004</v>
      </c>
      <c r="C466" s="1">
        <f>Tabela9[[#This Row],[Alongamento (mm/mm)]]/$I$2</f>
        <v>8.6262000000000005E-2</v>
      </c>
      <c r="D466" s="2">
        <v>665.26</v>
      </c>
      <c r="E466" s="1">
        <f>Tabela9[[#This Row],[Força (N)]]/$I$5</f>
        <v>15700462.569621447</v>
      </c>
      <c r="F466" s="1">
        <f>Tabela9[[#This Row],[Tensão (Pa)]]/1000000</f>
        <v>15.700462569621447</v>
      </c>
    </row>
    <row r="467" spans="1:6" x14ac:dyDescent="0.3">
      <c r="A467" s="2">
        <v>51.982999999999997</v>
      </c>
      <c r="B467" s="2">
        <v>4.3243</v>
      </c>
      <c r="C467" s="1">
        <f>Tabela9[[#This Row],[Alongamento (mm/mm)]]/$I$2</f>
        <v>8.6486000000000007E-2</v>
      </c>
      <c r="D467" s="2">
        <v>670.36</v>
      </c>
      <c r="E467" s="1">
        <f>Tabela9[[#This Row],[Força (N)]]/$I$5</f>
        <v>15820825.073161522</v>
      </c>
      <c r="F467" s="1">
        <f>Tabela9[[#This Row],[Tensão (Pa)]]/1000000</f>
        <v>15.820825073161522</v>
      </c>
    </row>
    <row r="468" spans="1:6" x14ac:dyDescent="0.3">
      <c r="A468" s="2">
        <v>52.116999999999997</v>
      </c>
      <c r="B468" s="2">
        <v>4.3354999999999997</v>
      </c>
      <c r="C468" s="1">
        <f>Tabela9[[#This Row],[Alongamento (mm/mm)]]/$I$2</f>
        <v>8.6709999999999995E-2</v>
      </c>
      <c r="D468" s="2">
        <v>675.46</v>
      </c>
      <c r="E468" s="1">
        <f>Tabela9[[#This Row],[Força (N)]]/$I$5</f>
        <v>15941187.576701596</v>
      </c>
      <c r="F468" s="1">
        <f>Tabela9[[#This Row],[Tensão (Pa)]]/1000000</f>
        <v>15.941187576701596</v>
      </c>
    </row>
    <row r="469" spans="1:6" x14ac:dyDescent="0.3">
      <c r="A469" s="2">
        <v>52.25</v>
      </c>
      <c r="B469" s="2">
        <v>4.3465999999999996</v>
      </c>
      <c r="C469" s="1">
        <f>Tabela9[[#This Row],[Alongamento (mm/mm)]]/$I$2</f>
        <v>8.6931999999999995E-2</v>
      </c>
      <c r="D469" s="2">
        <v>680.57</v>
      </c>
      <c r="E469" s="1">
        <f>Tabela9[[#This Row],[Força (N)]]/$I$5</f>
        <v>16061786.085150572</v>
      </c>
      <c r="F469" s="1">
        <f>Tabela9[[#This Row],[Tensão (Pa)]]/1000000</f>
        <v>16.061786085150572</v>
      </c>
    </row>
    <row r="470" spans="1:6" x14ac:dyDescent="0.3">
      <c r="A470" s="2">
        <v>52.383000000000003</v>
      </c>
      <c r="B470" s="2">
        <v>4.3577000000000004</v>
      </c>
      <c r="C470" s="1">
        <f>Tabela9[[#This Row],[Alongamento (mm/mm)]]/$I$2</f>
        <v>8.7154000000000009E-2</v>
      </c>
      <c r="D470" s="2">
        <v>685.67</v>
      </c>
      <c r="E470" s="1">
        <f>Tabela9[[#This Row],[Força (N)]]/$I$5</f>
        <v>16182148.588690644</v>
      </c>
      <c r="F470" s="1">
        <f>Tabela9[[#This Row],[Tensão (Pa)]]/1000000</f>
        <v>16.182148588690644</v>
      </c>
    </row>
    <row r="471" spans="1:6" x14ac:dyDescent="0.3">
      <c r="A471" s="2">
        <v>52.517000000000003</v>
      </c>
      <c r="B471" s="2">
        <v>4.3688000000000002</v>
      </c>
      <c r="C471" s="1">
        <f>Tabela9[[#This Row],[Alongamento (mm/mm)]]/$I$2</f>
        <v>8.7376000000000009E-2</v>
      </c>
      <c r="D471" s="2">
        <v>690.77</v>
      </c>
      <c r="E471" s="1">
        <f>Tabela9[[#This Row],[Força (N)]]/$I$5</f>
        <v>16302511.092230719</v>
      </c>
      <c r="F471" s="1">
        <f>Tabela9[[#This Row],[Tensão (Pa)]]/1000000</f>
        <v>16.30251109223072</v>
      </c>
    </row>
    <row r="472" spans="1:6" x14ac:dyDescent="0.3">
      <c r="A472" s="2">
        <v>52.65</v>
      </c>
      <c r="B472" s="2">
        <v>4.3799000000000001</v>
      </c>
      <c r="C472" s="1">
        <f>Tabela9[[#This Row],[Alongamento (mm/mm)]]/$I$2</f>
        <v>8.7598000000000009E-2</v>
      </c>
      <c r="D472" s="2">
        <v>695.87</v>
      </c>
      <c r="E472" s="1">
        <f>Tabela9[[#This Row],[Força (N)]]/$I$5</f>
        <v>16422873.595770791</v>
      </c>
      <c r="F472" s="1">
        <f>Tabela9[[#This Row],[Tensão (Pa)]]/1000000</f>
        <v>16.422873595770792</v>
      </c>
    </row>
    <row r="473" spans="1:6" x14ac:dyDescent="0.3">
      <c r="A473" s="2">
        <v>52.783000000000001</v>
      </c>
      <c r="B473" s="2">
        <v>4.3909000000000002</v>
      </c>
      <c r="C473" s="1">
        <f>Tabela9[[#This Row],[Alongamento (mm/mm)]]/$I$2</f>
        <v>8.7818000000000007E-2</v>
      </c>
      <c r="D473" s="2">
        <v>701.15</v>
      </c>
      <c r="E473" s="1">
        <f>Tabela9[[#This Row],[Força (N)]]/$I$5</f>
        <v>16547484.187671103</v>
      </c>
      <c r="F473" s="1">
        <f>Tabela9[[#This Row],[Tensão (Pa)]]/1000000</f>
        <v>16.547484187671103</v>
      </c>
    </row>
    <row r="474" spans="1:6" x14ac:dyDescent="0.3">
      <c r="A474" s="2">
        <v>52.933</v>
      </c>
      <c r="B474" s="2">
        <v>4.4035000000000002</v>
      </c>
      <c r="C474" s="1">
        <f>Tabela9[[#This Row],[Alongamento (mm/mm)]]/$I$2</f>
        <v>8.8070000000000009E-2</v>
      </c>
      <c r="D474" s="2">
        <v>706.93</v>
      </c>
      <c r="E474" s="1">
        <f>Tabela9[[#This Row],[Força (N)]]/$I$5</f>
        <v>16683895.025016518</v>
      </c>
      <c r="F474" s="1">
        <f>Tabela9[[#This Row],[Tensão (Pa)]]/1000000</f>
        <v>16.683895025016518</v>
      </c>
    </row>
    <row r="475" spans="1:6" x14ac:dyDescent="0.3">
      <c r="A475" s="2">
        <v>53.082999999999998</v>
      </c>
      <c r="B475" s="2">
        <v>4.4160000000000004</v>
      </c>
      <c r="C475" s="1">
        <f>Tabela9[[#This Row],[Alongamento (mm/mm)]]/$I$2</f>
        <v>8.832000000000001E-2</v>
      </c>
      <c r="D475" s="2">
        <v>712.71</v>
      </c>
      <c r="E475" s="1">
        <f>Tabela9[[#This Row],[Força (N)]]/$I$5</f>
        <v>16820305.862361938</v>
      </c>
      <c r="F475" s="1">
        <f>Tabela9[[#This Row],[Tensão (Pa)]]/1000000</f>
        <v>16.820305862361938</v>
      </c>
    </row>
    <row r="476" spans="1:6" x14ac:dyDescent="0.3">
      <c r="A476" s="2">
        <v>53.232999999999997</v>
      </c>
      <c r="B476" s="2">
        <v>4.4284999999999997</v>
      </c>
      <c r="C476" s="1">
        <f>Tabela9[[#This Row],[Alongamento (mm/mm)]]/$I$2</f>
        <v>8.8569999999999996E-2</v>
      </c>
      <c r="D476" s="2">
        <v>718.5</v>
      </c>
      <c r="E476" s="1">
        <f>Tabela9[[#This Row],[Força (N)]]/$I$5</f>
        <v>16956952.704616256</v>
      </c>
      <c r="F476" s="1">
        <f>Tabela9[[#This Row],[Tensão (Pa)]]/1000000</f>
        <v>16.956952704616256</v>
      </c>
    </row>
    <row r="477" spans="1:6" x14ac:dyDescent="0.3">
      <c r="A477" s="2">
        <v>53.383000000000003</v>
      </c>
      <c r="B477" s="2">
        <v>4.4409999999999998</v>
      </c>
      <c r="C477" s="1">
        <f>Tabela9[[#This Row],[Alongamento (mm/mm)]]/$I$2</f>
        <v>8.8819999999999996E-2</v>
      </c>
      <c r="D477" s="2">
        <v>724.28</v>
      </c>
      <c r="E477" s="1">
        <f>Tabela9[[#This Row],[Força (N)]]/$I$5</f>
        <v>17093363.541961674</v>
      </c>
      <c r="F477" s="1">
        <f>Tabela9[[#This Row],[Tensão (Pa)]]/1000000</f>
        <v>17.093363541961672</v>
      </c>
    </row>
    <row r="478" spans="1:6" x14ac:dyDescent="0.3">
      <c r="A478" s="2">
        <v>53.533000000000001</v>
      </c>
      <c r="B478" s="2">
        <v>4.4535999999999998</v>
      </c>
      <c r="C478" s="1">
        <f>Tabela9[[#This Row],[Alongamento (mm/mm)]]/$I$2</f>
        <v>8.9071999999999998E-2</v>
      </c>
      <c r="D478" s="2">
        <v>730.23</v>
      </c>
      <c r="E478" s="1">
        <f>Tabela9[[#This Row],[Força (N)]]/$I$5</f>
        <v>17233786.462758426</v>
      </c>
      <c r="F478" s="1">
        <f>Tabela9[[#This Row],[Tensão (Pa)]]/1000000</f>
        <v>17.233786462758424</v>
      </c>
    </row>
    <row r="479" spans="1:6" x14ac:dyDescent="0.3">
      <c r="A479" s="2">
        <v>53.683</v>
      </c>
      <c r="B479" s="2">
        <v>4.4660000000000002</v>
      </c>
      <c r="C479" s="1">
        <f>Tabela9[[#This Row],[Alongamento (mm/mm)]]/$I$2</f>
        <v>8.932000000000001E-2</v>
      </c>
      <c r="D479" s="2">
        <v>736.02</v>
      </c>
      <c r="E479" s="1">
        <f>Tabela9[[#This Row],[Força (N)]]/$I$5</f>
        <v>17370433.305012744</v>
      </c>
      <c r="F479" s="1">
        <f>Tabela9[[#This Row],[Tensão (Pa)]]/1000000</f>
        <v>17.370433305012742</v>
      </c>
    </row>
    <row r="480" spans="1:6" x14ac:dyDescent="0.3">
      <c r="A480" s="2">
        <v>53.832999999999998</v>
      </c>
      <c r="B480" s="2">
        <v>4.4785000000000004</v>
      </c>
      <c r="C480" s="1">
        <f>Tabela9[[#This Row],[Alongamento (mm/mm)]]/$I$2</f>
        <v>8.9570000000000011E-2</v>
      </c>
      <c r="D480" s="2">
        <v>741.8</v>
      </c>
      <c r="E480" s="1">
        <f>Tabela9[[#This Row],[Força (N)]]/$I$5</f>
        <v>17506844.142358162</v>
      </c>
      <c r="F480" s="1">
        <f>Tabela9[[#This Row],[Tensão (Pa)]]/1000000</f>
        <v>17.506844142358162</v>
      </c>
    </row>
    <row r="481" spans="1:6" x14ac:dyDescent="0.3">
      <c r="A481" s="2">
        <v>53.982999999999997</v>
      </c>
      <c r="B481" s="2">
        <v>4.4909999999999997</v>
      </c>
      <c r="C481" s="1">
        <f>Tabela9[[#This Row],[Alongamento (mm/mm)]]/$I$2</f>
        <v>8.9819999999999997E-2</v>
      </c>
      <c r="D481" s="2">
        <v>747.75</v>
      </c>
      <c r="E481" s="1">
        <f>Tabela9[[#This Row],[Força (N)]]/$I$5</f>
        <v>17647267.063154913</v>
      </c>
      <c r="F481" s="1">
        <f>Tabela9[[#This Row],[Tensão (Pa)]]/1000000</f>
        <v>17.647267063154914</v>
      </c>
    </row>
    <row r="482" spans="1:6" x14ac:dyDescent="0.3">
      <c r="A482" s="2">
        <v>54.133000000000003</v>
      </c>
      <c r="B482" s="2">
        <v>4.5034000000000001</v>
      </c>
      <c r="C482" s="1">
        <f>Tabela9[[#This Row],[Alongamento (mm/mm)]]/$I$2</f>
        <v>9.0067999999999995E-2</v>
      </c>
      <c r="D482" s="2">
        <v>753.71</v>
      </c>
      <c r="E482" s="1">
        <f>Tabela9[[#This Row],[Força (N)]]/$I$5</f>
        <v>17787925.98886057</v>
      </c>
      <c r="F482" s="1">
        <f>Tabela9[[#This Row],[Tensão (Pa)]]/1000000</f>
        <v>17.787925988860572</v>
      </c>
    </row>
    <row r="483" spans="1:6" x14ac:dyDescent="0.3">
      <c r="A483" s="2">
        <v>54.283000000000001</v>
      </c>
      <c r="B483" s="2">
        <v>4.516</v>
      </c>
      <c r="C483" s="1">
        <f>Tabela9[[#This Row],[Alongamento (mm/mm)]]/$I$2</f>
        <v>9.0319999999999998E-2</v>
      </c>
      <c r="D483" s="2">
        <v>759.66</v>
      </c>
      <c r="E483" s="1">
        <f>Tabela9[[#This Row],[Força (N)]]/$I$5</f>
        <v>17928348.909657322</v>
      </c>
      <c r="F483" s="1">
        <f>Tabela9[[#This Row],[Tensão (Pa)]]/1000000</f>
        <v>17.928348909657323</v>
      </c>
    </row>
    <row r="484" spans="1:6" x14ac:dyDescent="0.3">
      <c r="A484" s="2">
        <v>54.433</v>
      </c>
      <c r="B484" s="2">
        <v>4.5285000000000002</v>
      </c>
      <c r="C484" s="1">
        <f>Tabela9[[#This Row],[Alongamento (mm/mm)]]/$I$2</f>
        <v>9.0569999999999998E-2</v>
      </c>
      <c r="D484" s="2">
        <v>765.61</v>
      </c>
      <c r="E484" s="1">
        <f>Tabela9[[#This Row],[Força (N)]]/$I$5</f>
        <v>18068771.830454074</v>
      </c>
      <c r="F484" s="1">
        <f>Tabela9[[#This Row],[Tensão (Pa)]]/1000000</f>
        <v>18.068771830454075</v>
      </c>
    </row>
    <row r="485" spans="1:6" x14ac:dyDescent="0.3">
      <c r="A485" s="2">
        <v>54.582999999999998</v>
      </c>
      <c r="B485" s="2">
        <v>4.5410000000000004</v>
      </c>
      <c r="C485" s="1">
        <f>Tabela9[[#This Row],[Alongamento (mm/mm)]]/$I$2</f>
        <v>9.0820000000000012E-2</v>
      </c>
      <c r="D485" s="2">
        <v>771.74</v>
      </c>
      <c r="E485" s="1">
        <f>Tabela9[[#This Row],[Força (N)]]/$I$5</f>
        <v>18213442.839611065</v>
      </c>
      <c r="F485" s="1">
        <f>Tabela9[[#This Row],[Tensão (Pa)]]/1000000</f>
        <v>18.213442839611066</v>
      </c>
    </row>
    <row r="486" spans="1:6" x14ac:dyDescent="0.3">
      <c r="A486" s="2">
        <v>54.732999999999997</v>
      </c>
      <c r="B486" s="2">
        <v>4.5534999999999997</v>
      </c>
      <c r="C486" s="1">
        <f>Tabela9[[#This Row],[Alongamento (mm/mm)]]/$I$2</f>
        <v>9.1069999999999998E-2</v>
      </c>
      <c r="D486" s="2">
        <v>777.86</v>
      </c>
      <c r="E486" s="1">
        <f>Tabela9[[#This Row],[Força (N)]]/$I$5</f>
        <v>18357877.843859151</v>
      </c>
      <c r="F486" s="1">
        <f>Tabela9[[#This Row],[Tensão (Pa)]]/1000000</f>
        <v>18.35787784385915</v>
      </c>
    </row>
    <row r="487" spans="1:6" x14ac:dyDescent="0.3">
      <c r="A487" s="2">
        <v>54.883000000000003</v>
      </c>
      <c r="B487" s="2">
        <v>4.5659999999999998</v>
      </c>
      <c r="C487" s="1">
        <f>Tabela9[[#This Row],[Alongamento (mm/mm)]]/$I$2</f>
        <v>9.1319999999999998E-2</v>
      </c>
      <c r="D487" s="2">
        <v>783.82</v>
      </c>
      <c r="E487" s="1">
        <f>Tabela9[[#This Row],[Força (N)]]/$I$5</f>
        <v>18498536.769564807</v>
      </c>
      <c r="F487" s="1">
        <f>Tabela9[[#This Row],[Tensão (Pa)]]/1000000</f>
        <v>18.498536769564808</v>
      </c>
    </row>
    <row r="488" spans="1:6" x14ac:dyDescent="0.3">
      <c r="A488" s="2">
        <v>55.033000000000001</v>
      </c>
      <c r="B488" s="2">
        <v>4.5785</v>
      </c>
      <c r="C488" s="1">
        <f>Tabela9[[#This Row],[Alongamento (mm/mm)]]/$I$2</f>
        <v>9.1569999999999999E-2</v>
      </c>
      <c r="D488" s="2">
        <v>789.94</v>
      </c>
      <c r="E488" s="1">
        <f>Tabela9[[#This Row],[Força (N)]]/$I$5</f>
        <v>18642971.773812898</v>
      </c>
      <c r="F488" s="1">
        <f>Tabela9[[#This Row],[Tensão (Pa)]]/1000000</f>
        <v>18.642971773812899</v>
      </c>
    </row>
    <row r="489" spans="1:6" x14ac:dyDescent="0.3">
      <c r="A489" s="2">
        <v>55.183</v>
      </c>
      <c r="B489" s="2">
        <v>4.5910000000000002</v>
      </c>
      <c r="C489" s="1">
        <f>Tabela9[[#This Row],[Alongamento (mm/mm)]]/$I$2</f>
        <v>9.1819999999999999E-2</v>
      </c>
      <c r="D489" s="2">
        <v>796.23</v>
      </c>
      <c r="E489" s="1">
        <f>Tabela9[[#This Row],[Força (N)]]/$I$5</f>
        <v>18791418.861512318</v>
      </c>
      <c r="F489" s="1">
        <f>Tabela9[[#This Row],[Tensão (Pa)]]/1000000</f>
        <v>18.791418861512319</v>
      </c>
    </row>
    <row r="490" spans="1:6" x14ac:dyDescent="0.3">
      <c r="A490" s="2">
        <v>55.332999999999998</v>
      </c>
      <c r="B490" s="2">
        <v>4.6035000000000004</v>
      </c>
      <c r="C490" s="1">
        <f>Tabela9[[#This Row],[Alongamento (mm/mm)]]/$I$2</f>
        <v>9.2070000000000013E-2</v>
      </c>
      <c r="D490" s="2">
        <v>802.36</v>
      </c>
      <c r="E490" s="1">
        <f>Tabela9[[#This Row],[Força (N)]]/$I$5</f>
        <v>18936089.870669309</v>
      </c>
      <c r="F490" s="1">
        <f>Tabela9[[#This Row],[Tensão (Pa)]]/1000000</f>
        <v>18.93608987066931</v>
      </c>
    </row>
    <row r="491" spans="1:6" x14ac:dyDescent="0.3">
      <c r="A491" s="2">
        <v>55.482999999999997</v>
      </c>
      <c r="B491" s="2">
        <v>4.6159999999999997</v>
      </c>
      <c r="C491" s="1">
        <f>Tabela9[[#This Row],[Alongamento (mm/mm)]]/$I$2</f>
        <v>9.2319999999999999E-2</v>
      </c>
      <c r="D491" s="2">
        <v>808.65</v>
      </c>
      <c r="E491" s="1">
        <f>Tabela9[[#This Row],[Força (N)]]/$I$5</f>
        <v>19084536.958368734</v>
      </c>
      <c r="F491" s="1">
        <f>Tabela9[[#This Row],[Tensão (Pa)]]/1000000</f>
        <v>19.084536958368734</v>
      </c>
    </row>
    <row r="492" spans="1:6" x14ac:dyDescent="0.3">
      <c r="A492" s="2">
        <v>55.633000000000003</v>
      </c>
      <c r="B492" s="2">
        <v>4.6284999999999998</v>
      </c>
      <c r="C492" s="1">
        <f>Tabela9[[#This Row],[Alongamento (mm/mm)]]/$I$2</f>
        <v>9.257E-2</v>
      </c>
      <c r="D492" s="2">
        <v>814.94</v>
      </c>
      <c r="E492" s="1">
        <f>Tabela9[[#This Row],[Força (N)]]/$I$5</f>
        <v>19232984.046068158</v>
      </c>
      <c r="F492" s="1">
        <f>Tabela9[[#This Row],[Tensão (Pa)]]/1000000</f>
        <v>19.232984046068157</v>
      </c>
    </row>
    <row r="493" spans="1:6" x14ac:dyDescent="0.3">
      <c r="A493" s="2">
        <v>55.783000000000001</v>
      </c>
      <c r="B493" s="2">
        <v>4.6410999999999998</v>
      </c>
      <c r="C493" s="1">
        <f>Tabela9[[#This Row],[Alongamento (mm/mm)]]/$I$2</f>
        <v>9.2822000000000002E-2</v>
      </c>
      <c r="D493" s="2">
        <v>821.07</v>
      </c>
      <c r="E493" s="1">
        <f>Tabela9[[#This Row],[Força (N)]]/$I$5</f>
        <v>19377655.055225149</v>
      </c>
      <c r="F493" s="1">
        <f>Tabela9[[#This Row],[Tensão (Pa)]]/1000000</f>
        <v>19.377655055225148</v>
      </c>
    </row>
    <row r="494" spans="1:6" x14ac:dyDescent="0.3">
      <c r="A494" s="2">
        <v>55.933</v>
      </c>
      <c r="B494" s="2">
        <v>4.6535000000000002</v>
      </c>
      <c r="C494" s="1">
        <f>Tabela9[[#This Row],[Alongamento (mm/mm)]]/$I$2</f>
        <v>9.307E-2</v>
      </c>
      <c r="D494" s="2">
        <v>827.36</v>
      </c>
      <c r="E494" s="1">
        <f>Tabela9[[#This Row],[Força (N)]]/$I$5</f>
        <v>19526102.142924573</v>
      </c>
      <c r="F494" s="1">
        <f>Tabela9[[#This Row],[Tensão (Pa)]]/1000000</f>
        <v>19.526102142924572</v>
      </c>
    </row>
    <row r="495" spans="1:6" x14ac:dyDescent="0.3">
      <c r="A495" s="2">
        <v>56.082999999999998</v>
      </c>
      <c r="B495" s="2">
        <v>4.6660000000000004</v>
      </c>
      <c r="C495" s="1">
        <f>Tabela9[[#This Row],[Alongamento (mm/mm)]]/$I$2</f>
        <v>9.3320000000000014E-2</v>
      </c>
      <c r="D495" s="2">
        <v>833.82</v>
      </c>
      <c r="E495" s="1">
        <f>Tabela9[[#This Row],[Força (N)]]/$I$5</f>
        <v>19678561.314075332</v>
      </c>
      <c r="F495" s="1">
        <f>Tabela9[[#This Row],[Tensão (Pa)]]/1000000</f>
        <v>19.678561314075331</v>
      </c>
    </row>
    <row r="496" spans="1:6" x14ac:dyDescent="0.3">
      <c r="A496" s="2">
        <v>56.25</v>
      </c>
      <c r="B496" s="2">
        <v>4.6798999999999999</v>
      </c>
      <c r="C496" s="1">
        <f>Tabela9[[#This Row],[Alongamento (mm/mm)]]/$I$2</f>
        <v>9.3598000000000001E-2</v>
      </c>
      <c r="D496" s="2">
        <v>840.8</v>
      </c>
      <c r="E496" s="1">
        <f>Tabela9[[#This Row],[Força (N)]]/$I$5</f>
        <v>19843292.740489002</v>
      </c>
      <c r="F496" s="1">
        <f>Tabela9[[#This Row],[Tensão (Pa)]]/1000000</f>
        <v>19.843292740489002</v>
      </c>
    </row>
    <row r="497" spans="1:6" x14ac:dyDescent="0.3">
      <c r="A497" s="2">
        <v>56.417000000000002</v>
      </c>
      <c r="B497" s="2">
        <v>4.6938000000000004</v>
      </c>
      <c r="C497" s="1">
        <f>Tabela9[[#This Row],[Alongamento (mm/mm)]]/$I$2</f>
        <v>9.3876000000000015E-2</v>
      </c>
      <c r="D497" s="2">
        <v>847.77</v>
      </c>
      <c r="E497" s="1">
        <f>Tabela9[[#This Row],[Força (N)]]/$I$5</f>
        <v>20007788.161993768</v>
      </c>
      <c r="F497" s="1">
        <f>Tabela9[[#This Row],[Tensão (Pa)]]/1000000</f>
        <v>20.007788161993769</v>
      </c>
    </row>
    <row r="498" spans="1:6" x14ac:dyDescent="0.3">
      <c r="A498" s="2">
        <v>56.582999999999998</v>
      </c>
      <c r="B498" s="2">
        <v>4.7076000000000002</v>
      </c>
      <c r="C498" s="1">
        <f>Tabela9[[#This Row],[Alongamento (mm/mm)]]/$I$2</f>
        <v>9.4152E-2</v>
      </c>
      <c r="D498" s="2">
        <v>854.92</v>
      </c>
      <c r="E498" s="1">
        <f>Tabela9[[#This Row],[Força (N)]]/$I$5</f>
        <v>20176531.671858773</v>
      </c>
      <c r="F498" s="1">
        <f>Tabela9[[#This Row],[Tensão (Pa)]]/1000000</f>
        <v>20.176531671858772</v>
      </c>
    </row>
    <row r="499" spans="1:6" x14ac:dyDescent="0.3">
      <c r="A499" s="2">
        <v>56.75</v>
      </c>
      <c r="B499" s="2">
        <v>4.7214999999999998</v>
      </c>
      <c r="C499" s="1">
        <f>Tabela9[[#This Row],[Alongamento (mm/mm)]]/$I$2</f>
        <v>9.443E-2</v>
      </c>
      <c r="D499" s="2">
        <v>861.89</v>
      </c>
      <c r="E499" s="1">
        <f>Tabela9[[#This Row],[Força (N)]]/$I$5</f>
        <v>20341027.093363542</v>
      </c>
      <c r="F499" s="1">
        <f>Tabela9[[#This Row],[Tensão (Pa)]]/1000000</f>
        <v>20.341027093363543</v>
      </c>
    </row>
    <row r="500" spans="1:6" x14ac:dyDescent="0.3">
      <c r="A500" s="2">
        <v>56.917000000000002</v>
      </c>
      <c r="B500" s="2">
        <v>4.7354000000000003</v>
      </c>
      <c r="C500" s="1">
        <f>Tabela9[[#This Row],[Alongamento (mm/mm)]]/$I$2</f>
        <v>9.4708000000000001E-2</v>
      </c>
      <c r="D500" s="2">
        <v>868.86</v>
      </c>
      <c r="E500" s="1">
        <f>Tabela9[[#This Row],[Força (N)]]/$I$5</f>
        <v>20505522.514868308</v>
      </c>
      <c r="F500" s="1">
        <f>Tabela9[[#This Row],[Tensão (Pa)]]/1000000</f>
        <v>20.505522514868307</v>
      </c>
    </row>
    <row r="501" spans="1:6" x14ac:dyDescent="0.3">
      <c r="A501" s="2">
        <v>57.082999999999998</v>
      </c>
      <c r="B501" s="2">
        <v>4.7493999999999996</v>
      </c>
      <c r="C501" s="1">
        <f>Tabela9[[#This Row],[Alongamento (mm/mm)]]/$I$2</f>
        <v>9.4987999999999989E-2</v>
      </c>
      <c r="D501" s="2">
        <v>875.84</v>
      </c>
      <c r="E501" s="1">
        <f>Tabela9[[#This Row],[Força (N)]]/$I$5</f>
        <v>20670253.941281978</v>
      </c>
      <c r="F501" s="1">
        <f>Tabela9[[#This Row],[Tensão (Pa)]]/1000000</f>
        <v>20.670253941281977</v>
      </c>
    </row>
    <row r="502" spans="1:6" x14ac:dyDescent="0.3">
      <c r="A502" s="2">
        <v>57.25</v>
      </c>
      <c r="B502" s="2">
        <v>4.7632000000000003</v>
      </c>
      <c r="C502" s="1">
        <f>Tabela9[[#This Row],[Alongamento (mm/mm)]]/$I$2</f>
        <v>9.5264000000000001E-2</v>
      </c>
      <c r="D502" s="2">
        <v>882.81</v>
      </c>
      <c r="E502" s="1">
        <f>Tabela9[[#This Row],[Força (N)]]/$I$5</f>
        <v>20834749.362786744</v>
      </c>
      <c r="F502" s="1">
        <f>Tabela9[[#This Row],[Tensão (Pa)]]/1000000</f>
        <v>20.834749362786745</v>
      </c>
    </row>
    <row r="503" spans="1:6" x14ac:dyDescent="0.3">
      <c r="A503" s="2">
        <v>57.417000000000002</v>
      </c>
      <c r="B503" s="2">
        <v>4.7770999999999999</v>
      </c>
      <c r="C503" s="1">
        <f>Tabela9[[#This Row],[Alongamento (mm/mm)]]/$I$2</f>
        <v>9.5542000000000002E-2</v>
      </c>
      <c r="D503" s="2">
        <v>889.96</v>
      </c>
      <c r="E503" s="1">
        <f>Tabela9[[#This Row],[Força (N)]]/$I$5</f>
        <v>21003492.872651752</v>
      </c>
      <c r="F503" s="1">
        <f>Tabela9[[#This Row],[Tensão (Pa)]]/1000000</f>
        <v>21.003492872651751</v>
      </c>
    </row>
    <row r="504" spans="1:6" x14ac:dyDescent="0.3">
      <c r="A504" s="2">
        <v>57.582999999999998</v>
      </c>
      <c r="B504" s="2">
        <v>4.7910000000000004</v>
      </c>
      <c r="C504" s="1">
        <f>Tabela9[[#This Row],[Alongamento (mm/mm)]]/$I$2</f>
        <v>9.5820000000000002E-2</v>
      </c>
      <c r="D504" s="2">
        <v>896.93</v>
      </c>
      <c r="E504" s="1">
        <f>Tabela9[[#This Row],[Força (N)]]/$I$5</f>
        <v>21167988.294156518</v>
      </c>
      <c r="F504" s="1">
        <f>Tabela9[[#This Row],[Tensão (Pa)]]/1000000</f>
        <v>21.167988294156519</v>
      </c>
    </row>
    <row r="505" spans="1:6" x14ac:dyDescent="0.3">
      <c r="A505" s="2">
        <v>57.75</v>
      </c>
      <c r="B505" s="2">
        <v>4.8048999999999999</v>
      </c>
      <c r="C505" s="1">
        <f>Tabela9[[#This Row],[Alongamento (mm/mm)]]/$I$2</f>
        <v>9.6098000000000003E-2</v>
      </c>
      <c r="D505" s="2">
        <v>903.73</v>
      </c>
      <c r="E505" s="1">
        <f>Tabela9[[#This Row],[Força (N)]]/$I$5</f>
        <v>21328471.632209949</v>
      </c>
      <c r="F505" s="1">
        <f>Tabela9[[#This Row],[Tensão (Pa)]]/1000000</f>
        <v>21.328471632209951</v>
      </c>
    </row>
    <row r="506" spans="1:6" x14ac:dyDescent="0.3">
      <c r="A506" s="2">
        <v>57.933</v>
      </c>
      <c r="B506" s="2">
        <v>4.8201999999999998</v>
      </c>
      <c r="C506" s="1">
        <f>Tabela9[[#This Row],[Alongamento (mm/mm)]]/$I$2</f>
        <v>9.640399999999999E-2</v>
      </c>
      <c r="D506" s="2">
        <v>910.88</v>
      </c>
      <c r="E506" s="1">
        <f>Tabela9[[#This Row],[Força (N)]]/$I$5</f>
        <v>21497215.142074954</v>
      </c>
      <c r="F506" s="1">
        <f>Tabela9[[#This Row],[Tensão (Pa)]]/1000000</f>
        <v>21.497215142074953</v>
      </c>
    </row>
    <row r="507" spans="1:6" x14ac:dyDescent="0.3">
      <c r="A507" s="2">
        <v>58.116999999999997</v>
      </c>
      <c r="B507" s="2">
        <v>4.8353999999999999</v>
      </c>
      <c r="C507" s="1">
        <f>Tabela9[[#This Row],[Alongamento (mm/mm)]]/$I$2</f>
        <v>9.6708000000000002E-2</v>
      </c>
      <c r="D507" s="2">
        <v>917.85</v>
      </c>
      <c r="E507" s="1">
        <f>Tabela9[[#This Row],[Força (N)]]/$I$5</f>
        <v>21661710.563579723</v>
      </c>
      <c r="F507" s="1">
        <f>Tabela9[[#This Row],[Tensão (Pa)]]/1000000</f>
        <v>21.661710563579724</v>
      </c>
    </row>
    <row r="508" spans="1:6" x14ac:dyDescent="0.3">
      <c r="A508" s="2">
        <v>58.3</v>
      </c>
      <c r="B508" s="2">
        <v>4.8506</v>
      </c>
      <c r="C508" s="1">
        <f>Tabela9[[#This Row],[Alongamento (mm/mm)]]/$I$2</f>
        <v>9.7012000000000001E-2</v>
      </c>
      <c r="D508" s="2">
        <v>925.34</v>
      </c>
      <c r="E508" s="1">
        <f>Tabela9[[#This Row],[Força (N)]]/$I$5</f>
        <v>21838478.2403474</v>
      </c>
      <c r="F508" s="1">
        <f>Tabela9[[#This Row],[Tensão (Pa)]]/1000000</f>
        <v>21.838478240347399</v>
      </c>
    </row>
    <row r="509" spans="1:6" x14ac:dyDescent="0.3">
      <c r="A509" s="2">
        <v>58.482999999999997</v>
      </c>
      <c r="B509" s="2">
        <v>4.8659999999999997</v>
      </c>
      <c r="C509" s="1">
        <f>Tabela9[[#This Row],[Alongamento (mm/mm)]]/$I$2</f>
        <v>9.731999999999999E-2</v>
      </c>
      <c r="D509" s="2">
        <v>932.82</v>
      </c>
      <c r="E509" s="1">
        <f>Tabela9[[#This Row],[Força (N)]]/$I$5</f>
        <v>22015009.912206177</v>
      </c>
      <c r="F509" s="1">
        <f>Tabela9[[#This Row],[Tensão (Pa)]]/1000000</f>
        <v>22.015009912206178</v>
      </c>
    </row>
    <row r="510" spans="1:6" x14ac:dyDescent="0.3">
      <c r="A510" s="2">
        <v>58.667000000000002</v>
      </c>
      <c r="B510" s="2">
        <v>4.8813000000000004</v>
      </c>
      <c r="C510" s="1">
        <f>Tabela9[[#This Row],[Alongamento (mm/mm)]]/$I$2</f>
        <v>9.7626000000000004E-2</v>
      </c>
      <c r="D510" s="2">
        <v>940.48</v>
      </c>
      <c r="E510" s="1">
        <f>Tabela9[[#This Row],[Força (N)]]/$I$5</f>
        <v>22195789.672425188</v>
      </c>
      <c r="F510" s="1">
        <f>Tabela9[[#This Row],[Tensão (Pa)]]/1000000</f>
        <v>22.195789672425189</v>
      </c>
    </row>
    <row r="511" spans="1:6" x14ac:dyDescent="0.3">
      <c r="A511" s="2">
        <v>58.85</v>
      </c>
      <c r="B511" s="2">
        <v>4.8964999999999996</v>
      </c>
      <c r="C511" s="1">
        <f>Tabela9[[#This Row],[Alongamento (mm/mm)]]/$I$2</f>
        <v>9.7929999999999989E-2</v>
      </c>
      <c r="D511" s="2">
        <v>948.13</v>
      </c>
      <c r="E511" s="1">
        <f>Tabela9[[#This Row],[Força (N)]]/$I$5</f>
        <v>22376333.427735295</v>
      </c>
      <c r="F511" s="1">
        <f>Tabela9[[#This Row],[Tensão (Pa)]]/1000000</f>
        <v>22.376333427735297</v>
      </c>
    </row>
    <row r="512" spans="1:6" x14ac:dyDescent="0.3">
      <c r="A512" s="2">
        <v>59.033000000000001</v>
      </c>
      <c r="B512" s="2">
        <v>4.9118000000000004</v>
      </c>
      <c r="C512" s="1">
        <f>Tabela9[[#This Row],[Alongamento (mm/mm)]]/$I$2</f>
        <v>9.8236000000000004E-2</v>
      </c>
      <c r="D512" s="2">
        <v>955.62</v>
      </c>
      <c r="E512" s="1">
        <f>Tabela9[[#This Row],[Força (N)]]/$I$5</f>
        <v>22553101.104502972</v>
      </c>
      <c r="F512" s="1">
        <f>Tabela9[[#This Row],[Tensão (Pa)]]/1000000</f>
        <v>22.553101104502971</v>
      </c>
    </row>
    <row r="513" spans="1:6" x14ac:dyDescent="0.3">
      <c r="A513" s="2">
        <v>59.216999999999999</v>
      </c>
      <c r="B513" s="2">
        <v>4.9269999999999996</v>
      </c>
      <c r="C513" s="1">
        <f>Tabela9[[#This Row],[Alongamento (mm/mm)]]/$I$2</f>
        <v>9.8539999999999989E-2</v>
      </c>
      <c r="D513" s="2">
        <v>963.27</v>
      </c>
      <c r="E513" s="1">
        <f>Tabela9[[#This Row],[Força (N)]]/$I$5</f>
        <v>22733644.859813083</v>
      </c>
      <c r="F513" s="1">
        <f>Tabela9[[#This Row],[Tensão (Pa)]]/1000000</f>
        <v>22.733644859813083</v>
      </c>
    </row>
    <row r="514" spans="1:6" x14ac:dyDescent="0.3">
      <c r="A514" s="2">
        <v>59.4</v>
      </c>
      <c r="B514" s="2">
        <v>4.9424000000000001</v>
      </c>
      <c r="C514" s="1">
        <f>Tabela9[[#This Row],[Alongamento (mm/mm)]]/$I$2</f>
        <v>9.8848000000000005E-2</v>
      </c>
      <c r="D514" s="2">
        <v>971.09</v>
      </c>
      <c r="E514" s="1">
        <f>Tabela9[[#This Row],[Força (N)]]/$I$5</f>
        <v>22918200.698574532</v>
      </c>
      <c r="F514" s="1">
        <f>Tabela9[[#This Row],[Tensão (Pa)]]/1000000</f>
        <v>22.91820069857453</v>
      </c>
    </row>
    <row r="515" spans="1:6" x14ac:dyDescent="0.3">
      <c r="A515" s="2">
        <v>59.582999999999998</v>
      </c>
      <c r="B515" s="2">
        <v>4.9577</v>
      </c>
      <c r="C515" s="1">
        <f>Tabela9[[#This Row],[Alongamento (mm/mm)]]/$I$2</f>
        <v>9.9154000000000006E-2</v>
      </c>
      <c r="D515" s="2">
        <v>978.58</v>
      </c>
      <c r="E515" s="1">
        <f>Tabela9[[#This Row],[Força (N)]]/$I$5</f>
        <v>23094968.375342209</v>
      </c>
      <c r="F515" s="1">
        <f>Tabela9[[#This Row],[Tensão (Pa)]]/1000000</f>
        <v>23.094968375342209</v>
      </c>
    </row>
    <row r="516" spans="1:6" x14ac:dyDescent="0.3">
      <c r="A516" s="2">
        <v>59.767000000000003</v>
      </c>
      <c r="B516" s="2">
        <v>4.9729000000000001</v>
      </c>
      <c r="C516" s="1">
        <f>Tabela9[[#This Row],[Alongamento (mm/mm)]]/$I$2</f>
        <v>9.9458000000000005E-2</v>
      </c>
      <c r="D516" s="2">
        <v>986.4</v>
      </c>
      <c r="E516" s="1">
        <f>Tabela9[[#This Row],[Força (N)]]/$I$5</f>
        <v>23279524.214103654</v>
      </c>
      <c r="F516" s="1">
        <f>Tabela9[[#This Row],[Tensão (Pa)]]/1000000</f>
        <v>23.279524214103652</v>
      </c>
    </row>
    <row r="517" spans="1:6" x14ac:dyDescent="0.3">
      <c r="A517" s="2">
        <v>59.95</v>
      </c>
      <c r="B517" s="2">
        <v>4.9882999999999997</v>
      </c>
      <c r="C517" s="1">
        <f>Tabela9[[#This Row],[Alongamento (mm/mm)]]/$I$2</f>
        <v>9.9765999999999994E-2</v>
      </c>
      <c r="D517" s="2">
        <v>994.06</v>
      </c>
      <c r="E517" s="1">
        <f>Tabela9[[#This Row],[Força (N)]]/$I$5</f>
        <v>23460303.974322665</v>
      </c>
      <c r="F517" s="1">
        <f>Tabela9[[#This Row],[Tensão (Pa)]]/1000000</f>
        <v>23.460303974322667</v>
      </c>
    </row>
    <row r="518" spans="1:6" x14ac:dyDescent="0.3">
      <c r="A518" s="2">
        <v>60.133000000000003</v>
      </c>
      <c r="B518" s="2">
        <v>5.0034999999999998</v>
      </c>
      <c r="C518" s="1">
        <f>Tabela9[[#This Row],[Alongamento (mm/mm)]]/$I$2</f>
        <v>0.10006999999999999</v>
      </c>
      <c r="D518" s="2">
        <v>1001.7</v>
      </c>
      <c r="E518" s="1">
        <f>Tabela9[[#This Row],[Força (N)]]/$I$5</f>
        <v>23640611.724723876</v>
      </c>
      <c r="F518" s="1">
        <f>Tabela9[[#This Row],[Tensão (Pa)]]/1000000</f>
        <v>23.640611724723875</v>
      </c>
    </row>
    <row r="519" spans="1:6" x14ac:dyDescent="0.3">
      <c r="A519" s="2">
        <v>60.317</v>
      </c>
      <c r="B519" s="2">
        <v>5.0187999999999997</v>
      </c>
      <c r="C519" s="1">
        <f>Tabela9[[#This Row],[Alongamento (mm/mm)]]/$I$2</f>
        <v>0.10037599999999999</v>
      </c>
      <c r="D519" s="2">
        <v>1009.5</v>
      </c>
      <c r="E519" s="1">
        <f>Tabela9[[#This Row],[Força (N)]]/$I$5</f>
        <v>23824695.553667516</v>
      </c>
      <c r="F519" s="1">
        <f>Tabela9[[#This Row],[Tensão (Pa)]]/1000000</f>
        <v>23.824695553667514</v>
      </c>
    </row>
    <row r="520" spans="1:6" x14ac:dyDescent="0.3">
      <c r="A520" s="2">
        <v>60.5</v>
      </c>
      <c r="B520" s="2">
        <v>5.0340999999999996</v>
      </c>
      <c r="C520" s="1">
        <f>Tabela9[[#This Row],[Alongamento (mm/mm)]]/$I$2</f>
        <v>0.10068199999999999</v>
      </c>
      <c r="D520" s="2">
        <v>1017.4</v>
      </c>
      <c r="E520" s="1">
        <f>Tabela9[[#This Row],[Força (N)]]/$I$5</f>
        <v>24011139.431700177</v>
      </c>
      <c r="F520" s="1">
        <f>Tabela9[[#This Row],[Tensão (Pa)]]/1000000</f>
        <v>24.011139431700176</v>
      </c>
    </row>
    <row r="521" spans="1:6" x14ac:dyDescent="0.3">
      <c r="A521" s="2">
        <v>60.7</v>
      </c>
      <c r="B521" s="2">
        <v>5.0507</v>
      </c>
      <c r="C521" s="1">
        <f>Tabela9[[#This Row],[Alongamento (mm/mm)]]/$I$2</f>
        <v>0.10101399999999999</v>
      </c>
      <c r="D521" s="2">
        <v>1025.7</v>
      </c>
      <c r="E521" s="1">
        <f>Tabela9[[#This Row],[Força (N)]]/$I$5</f>
        <v>24207023.506088927</v>
      </c>
      <c r="F521" s="1">
        <f>Tabela9[[#This Row],[Tensão (Pa)]]/1000000</f>
        <v>24.207023506088927</v>
      </c>
    </row>
    <row r="522" spans="1:6" x14ac:dyDescent="0.3">
      <c r="A522" s="2">
        <v>60.883000000000003</v>
      </c>
      <c r="B522" s="2">
        <v>5.0659999999999998</v>
      </c>
      <c r="C522" s="1">
        <f>Tabela9[[#This Row],[Alongamento (mm/mm)]]/$I$2</f>
        <v>0.10131999999999999</v>
      </c>
      <c r="D522" s="2">
        <v>1033.5</v>
      </c>
      <c r="E522" s="1">
        <f>Tabela9[[#This Row],[Força (N)]]/$I$5</f>
        <v>24391107.335032567</v>
      </c>
      <c r="F522" s="1">
        <f>Tabela9[[#This Row],[Tensão (Pa)]]/1000000</f>
        <v>24.391107335032569</v>
      </c>
    </row>
    <row r="523" spans="1:6" x14ac:dyDescent="0.3">
      <c r="A523" s="2">
        <v>61.067</v>
      </c>
      <c r="B523" s="2">
        <v>5.0812999999999997</v>
      </c>
      <c r="C523" s="1">
        <f>Tabela9[[#This Row],[Alongamento (mm/mm)]]/$I$2</f>
        <v>0.10162599999999999</v>
      </c>
      <c r="D523" s="2">
        <v>1041.3</v>
      </c>
      <c r="E523" s="1">
        <f>Tabela9[[#This Row],[Força (N)]]/$I$5</f>
        <v>24575191.163976211</v>
      </c>
      <c r="F523" s="1">
        <f>Tabela9[[#This Row],[Tensão (Pa)]]/1000000</f>
        <v>24.575191163976211</v>
      </c>
    </row>
    <row r="524" spans="1:6" x14ac:dyDescent="0.3">
      <c r="A524" s="2">
        <v>61.25</v>
      </c>
      <c r="B524" s="2">
        <v>5.0965999999999996</v>
      </c>
      <c r="C524" s="1">
        <f>Tabela9[[#This Row],[Alongamento (mm/mm)]]/$I$2</f>
        <v>0.10193199999999999</v>
      </c>
      <c r="D524" s="2">
        <v>1049.3</v>
      </c>
      <c r="E524" s="1">
        <f>Tabela9[[#This Row],[Força (N)]]/$I$5</f>
        <v>24763995.091097895</v>
      </c>
      <c r="F524" s="1">
        <f>Tabela9[[#This Row],[Tensão (Pa)]]/1000000</f>
        <v>24.763995091097897</v>
      </c>
    </row>
    <row r="525" spans="1:6" x14ac:dyDescent="0.3">
      <c r="A525" s="2">
        <v>61.45</v>
      </c>
      <c r="B525" s="2">
        <v>5.1132999999999997</v>
      </c>
      <c r="C525" s="1">
        <f>Tabela9[[#This Row],[Alongamento (mm/mm)]]/$I$2</f>
        <v>0.102266</v>
      </c>
      <c r="D525" s="2">
        <v>1058</v>
      </c>
      <c r="E525" s="1">
        <f>Tabela9[[#This Row],[Força (N)]]/$I$5</f>
        <v>24969319.361842725</v>
      </c>
      <c r="F525" s="1">
        <f>Tabela9[[#This Row],[Tensão (Pa)]]/1000000</f>
        <v>24.969319361842725</v>
      </c>
    </row>
    <row r="526" spans="1:6" x14ac:dyDescent="0.3">
      <c r="A526" s="2">
        <v>61.65</v>
      </c>
      <c r="B526" s="2">
        <v>5.1299000000000001</v>
      </c>
      <c r="C526" s="1">
        <f>Tabela9[[#This Row],[Alongamento (mm/mm)]]/$I$2</f>
        <v>0.10259800000000001</v>
      </c>
      <c r="D526" s="2">
        <v>1066.7</v>
      </c>
      <c r="E526" s="1">
        <f>Tabela9[[#This Row],[Força (N)]]/$I$5</f>
        <v>25174643.63258756</v>
      </c>
      <c r="F526" s="1">
        <f>Tabela9[[#This Row],[Tensão (Pa)]]/1000000</f>
        <v>25.174643632587561</v>
      </c>
    </row>
    <row r="527" spans="1:6" x14ac:dyDescent="0.3">
      <c r="A527" s="2">
        <v>61.85</v>
      </c>
      <c r="B527" s="2">
        <v>5.1466000000000003</v>
      </c>
      <c r="C527" s="1">
        <f>Tabela9[[#This Row],[Alongamento (mm/mm)]]/$I$2</f>
        <v>0.10293200000000001</v>
      </c>
      <c r="D527" s="2">
        <v>1075.5</v>
      </c>
      <c r="E527" s="1">
        <f>Tabela9[[#This Row],[Força (N)]]/$I$5</f>
        <v>25382327.952421412</v>
      </c>
      <c r="F527" s="1">
        <f>Tabela9[[#This Row],[Tensão (Pa)]]/1000000</f>
        <v>25.382327952421413</v>
      </c>
    </row>
    <row r="528" spans="1:6" x14ac:dyDescent="0.3">
      <c r="A528" s="2">
        <v>62.05</v>
      </c>
      <c r="B528" s="2">
        <v>5.1631999999999998</v>
      </c>
      <c r="C528" s="1">
        <f>Tabela9[[#This Row],[Alongamento (mm/mm)]]/$I$2</f>
        <v>0.10326399999999999</v>
      </c>
      <c r="D528" s="2">
        <v>1084.2</v>
      </c>
      <c r="E528" s="1">
        <f>Tabela9[[#This Row],[Força (N)]]/$I$5</f>
        <v>25587652.223166242</v>
      </c>
      <c r="F528" s="1">
        <f>Tabela9[[#This Row],[Tensão (Pa)]]/1000000</f>
        <v>25.587652223166241</v>
      </c>
    </row>
    <row r="529" spans="1:6" x14ac:dyDescent="0.3">
      <c r="A529" s="2">
        <v>62.232999999999997</v>
      </c>
      <c r="B529" s="2">
        <v>5.1784999999999997</v>
      </c>
      <c r="C529" s="1">
        <f>Tabela9[[#This Row],[Alongamento (mm/mm)]]/$I$2</f>
        <v>0.10357</v>
      </c>
      <c r="D529" s="2">
        <v>1092.4000000000001</v>
      </c>
      <c r="E529" s="1">
        <f>Tabela9[[#This Row],[Força (N)]]/$I$5</f>
        <v>25781176.24846597</v>
      </c>
      <c r="F529" s="1">
        <f>Tabela9[[#This Row],[Tensão (Pa)]]/1000000</f>
        <v>25.781176248465972</v>
      </c>
    </row>
    <row r="530" spans="1:6" x14ac:dyDescent="0.3">
      <c r="A530" s="2">
        <v>62.433</v>
      </c>
      <c r="B530" s="2">
        <v>5.1951999999999998</v>
      </c>
      <c r="C530" s="1">
        <f>Tabela9[[#This Row],[Alongamento (mm/mm)]]/$I$2</f>
        <v>0.103904</v>
      </c>
      <c r="D530" s="2">
        <v>1101</v>
      </c>
      <c r="E530" s="1">
        <f>Tabela9[[#This Row],[Força (N)]]/$I$5</f>
        <v>25984140.470121779</v>
      </c>
      <c r="F530" s="1">
        <f>Tabela9[[#This Row],[Tensão (Pa)]]/1000000</f>
        <v>25.98414047012178</v>
      </c>
    </row>
    <row r="531" spans="1:6" x14ac:dyDescent="0.3">
      <c r="A531" s="2">
        <v>62.633000000000003</v>
      </c>
      <c r="B531" s="2">
        <v>5.2118000000000002</v>
      </c>
      <c r="C531" s="1">
        <f>Tabela9[[#This Row],[Alongamento (mm/mm)]]/$I$2</f>
        <v>0.10423600000000001</v>
      </c>
      <c r="D531" s="2">
        <v>1109.9000000000001</v>
      </c>
      <c r="E531" s="1">
        <f>Tabela9[[#This Row],[Força (N)]]/$I$5</f>
        <v>26194184.839044653</v>
      </c>
      <c r="F531" s="1">
        <f>Tabela9[[#This Row],[Tensão (Pa)]]/1000000</f>
        <v>26.194184839044652</v>
      </c>
    </row>
    <row r="532" spans="1:6" x14ac:dyDescent="0.3">
      <c r="A532" s="2">
        <v>62.832999999999998</v>
      </c>
      <c r="B532" s="2">
        <v>5.2285000000000004</v>
      </c>
      <c r="C532" s="1">
        <f>Tabela9[[#This Row],[Alongamento (mm/mm)]]/$I$2</f>
        <v>0.10457000000000001</v>
      </c>
      <c r="D532" s="2">
        <v>1118.5999999999999</v>
      </c>
      <c r="E532" s="1">
        <f>Tabela9[[#This Row],[Força (N)]]/$I$5</f>
        <v>26399509.10978948</v>
      </c>
      <c r="F532" s="1">
        <f>Tabela9[[#This Row],[Tensão (Pa)]]/1000000</f>
        <v>26.399509109789481</v>
      </c>
    </row>
    <row r="533" spans="1:6" x14ac:dyDescent="0.3">
      <c r="A533" s="2">
        <v>63.033000000000001</v>
      </c>
      <c r="B533" s="2">
        <v>5.2451999999999996</v>
      </c>
      <c r="C533" s="1">
        <f>Tabela9[[#This Row],[Alongamento (mm/mm)]]/$I$2</f>
        <v>0.104904</v>
      </c>
      <c r="D533" s="2">
        <v>1127.2</v>
      </c>
      <c r="E533" s="1">
        <f>Tabela9[[#This Row],[Força (N)]]/$I$5</f>
        <v>26602473.331445295</v>
      </c>
      <c r="F533" s="1">
        <f>Tabela9[[#This Row],[Tensão (Pa)]]/1000000</f>
        <v>26.602473331445296</v>
      </c>
    </row>
    <row r="534" spans="1:6" x14ac:dyDescent="0.3">
      <c r="A534" s="2">
        <v>63.232999999999997</v>
      </c>
      <c r="B534" s="2">
        <v>5.2618999999999998</v>
      </c>
      <c r="C534" s="1">
        <f>Tabela9[[#This Row],[Alongamento (mm/mm)]]/$I$2</f>
        <v>0.105238</v>
      </c>
      <c r="D534" s="2">
        <v>1135.9000000000001</v>
      </c>
      <c r="E534" s="1">
        <f>Tabela9[[#This Row],[Força (N)]]/$I$5</f>
        <v>26807797.602190126</v>
      </c>
      <c r="F534" s="1">
        <f>Tabela9[[#This Row],[Tensão (Pa)]]/1000000</f>
        <v>26.807797602190124</v>
      </c>
    </row>
    <row r="535" spans="1:6" x14ac:dyDescent="0.3">
      <c r="A535" s="2">
        <v>63.45</v>
      </c>
      <c r="B535" s="2">
        <v>5.2797999999999998</v>
      </c>
      <c r="C535" s="1">
        <f>Tabela9[[#This Row],[Alongamento (mm/mm)]]/$I$2</f>
        <v>0.105596</v>
      </c>
      <c r="D535" s="2">
        <v>1145.4000000000001</v>
      </c>
      <c r="E535" s="1">
        <f>Tabela9[[#This Row],[Força (N)]]/$I$5</f>
        <v>27032002.265647128</v>
      </c>
      <c r="F535" s="1">
        <f>Tabela9[[#This Row],[Tensão (Pa)]]/1000000</f>
        <v>27.032002265647129</v>
      </c>
    </row>
    <row r="536" spans="1:6" x14ac:dyDescent="0.3">
      <c r="A536" s="2">
        <v>63.667000000000002</v>
      </c>
      <c r="B536" s="2">
        <v>5.298</v>
      </c>
      <c r="C536" s="1">
        <f>Tabela9[[#This Row],[Alongamento (mm/mm)]]/$I$2</f>
        <v>0.10596</v>
      </c>
      <c r="D536" s="2">
        <v>1154.8</v>
      </c>
      <c r="E536" s="1">
        <f>Tabela9[[#This Row],[Força (N)]]/$I$5</f>
        <v>27253846.880015101</v>
      </c>
      <c r="F536" s="1">
        <f>Tabela9[[#This Row],[Tensão (Pa)]]/1000000</f>
        <v>27.2538468800151</v>
      </c>
    </row>
    <row r="537" spans="1:6" x14ac:dyDescent="0.3">
      <c r="A537" s="2">
        <v>63.883000000000003</v>
      </c>
      <c r="B537" s="2">
        <v>5.3159000000000001</v>
      </c>
      <c r="C537" s="1">
        <f>Tabela9[[#This Row],[Alongamento (mm/mm)]]/$I$2</f>
        <v>0.106318</v>
      </c>
      <c r="D537" s="2">
        <v>1164.2</v>
      </c>
      <c r="E537" s="1">
        <f>Tabela9[[#This Row],[Força (N)]]/$I$5</f>
        <v>27475691.494383086</v>
      </c>
      <c r="F537" s="1">
        <f>Tabela9[[#This Row],[Tensão (Pa)]]/1000000</f>
        <v>27.475691494383085</v>
      </c>
    </row>
    <row r="538" spans="1:6" x14ac:dyDescent="0.3">
      <c r="A538" s="2">
        <v>64.099999999999994</v>
      </c>
      <c r="B538" s="2">
        <v>5.3341000000000003</v>
      </c>
      <c r="C538" s="1">
        <f>Tabela9[[#This Row],[Alongamento (mm/mm)]]/$I$2</f>
        <v>0.106682</v>
      </c>
      <c r="D538" s="2">
        <v>1173.5</v>
      </c>
      <c r="E538" s="1">
        <f>Tabela9[[#This Row],[Força (N)]]/$I$5</f>
        <v>27695176.05966204</v>
      </c>
      <c r="F538" s="1">
        <f>Tabela9[[#This Row],[Tensão (Pa)]]/1000000</f>
        <v>27.695176059662039</v>
      </c>
    </row>
    <row r="539" spans="1:6" x14ac:dyDescent="0.3">
      <c r="A539" s="2">
        <v>64.316999999999993</v>
      </c>
      <c r="B539" s="2">
        <v>5.3520000000000003</v>
      </c>
      <c r="C539" s="1">
        <f>Tabela9[[#This Row],[Alongamento (mm/mm)]]/$I$2</f>
        <v>0.10704000000000001</v>
      </c>
      <c r="D539" s="2">
        <v>1182.9000000000001</v>
      </c>
      <c r="E539" s="1">
        <f>Tabela9[[#This Row],[Força (N)]]/$I$5</f>
        <v>27917020.674030021</v>
      </c>
      <c r="F539" s="1">
        <f>Tabela9[[#This Row],[Tensão (Pa)]]/1000000</f>
        <v>27.91702067403002</v>
      </c>
    </row>
    <row r="540" spans="1:6" x14ac:dyDescent="0.3">
      <c r="A540" s="2">
        <v>64.533000000000001</v>
      </c>
      <c r="B540" s="2">
        <v>5.3701999999999996</v>
      </c>
      <c r="C540" s="1">
        <f>Tabela9[[#This Row],[Alongamento (mm/mm)]]/$I$2</f>
        <v>0.107404</v>
      </c>
      <c r="D540" s="2">
        <v>1192.2</v>
      </c>
      <c r="E540" s="1">
        <f>Tabela9[[#This Row],[Força (N)]]/$I$5</f>
        <v>28136505.239308979</v>
      </c>
      <c r="F540" s="1">
        <f>Tabela9[[#This Row],[Tensão (Pa)]]/1000000</f>
        <v>28.136505239308978</v>
      </c>
    </row>
    <row r="541" spans="1:6" x14ac:dyDescent="0.3">
      <c r="A541" s="2">
        <v>64.75</v>
      </c>
      <c r="B541" s="2">
        <v>5.3882000000000003</v>
      </c>
      <c r="C541" s="1">
        <f>Tabela9[[#This Row],[Alongamento (mm/mm)]]/$I$2</f>
        <v>0.10776400000000001</v>
      </c>
      <c r="D541" s="2">
        <v>1201.5999999999999</v>
      </c>
      <c r="E541" s="1">
        <f>Tabela9[[#This Row],[Força (N)]]/$I$5</f>
        <v>28358349.853676952</v>
      </c>
      <c r="F541" s="1">
        <f>Tabela9[[#This Row],[Tensão (Pa)]]/1000000</f>
        <v>28.358349853676952</v>
      </c>
    </row>
    <row r="542" spans="1:6" x14ac:dyDescent="0.3">
      <c r="A542" s="2">
        <v>64.966999999999999</v>
      </c>
      <c r="B542" s="2">
        <v>5.4062999999999999</v>
      </c>
      <c r="C542" s="1">
        <f>Tabela9[[#This Row],[Alongamento (mm/mm)]]/$I$2</f>
        <v>0.108126</v>
      </c>
      <c r="D542" s="2">
        <v>1210.9000000000001</v>
      </c>
      <c r="E542" s="1">
        <f>Tabela9[[#This Row],[Força (N)]]/$I$5</f>
        <v>28577834.418955915</v>
      </c>
      <c r="F542" s="1">
        <f>Tabela9[[#This Row],[Tensão (Pa)]]/1000000</f>
        <v>28.577834418955916</v>
      </c>
    </row>
    <row r="543" spans="1:6" x14ac:dyDescent="0.3">
      <c r="A543" s="2">
        <v>65.183000000000007</v>
      </c>
      <c r="B543" s="2">
        <v>5.4244000000000003</v>
      </c>
      <c r="C543" s="1">
        <f>Tabela9[[#This Row],[Alongamento (mm/mm)]]/$I$2</f>
        <v>0.108488</v>
      </c>
      <c r="D543" s="2">
        <v>1220.3</v>
      </c>
      <c r="E543" s="1">
        <f>Tabela9[[#This Row],[Força (N)]]/$I$5</f>
        <v>28799679.033323891</v>
      </c>
      <c r="F543" s="1">
        <f>Tabela9[[#This Row],[Tensão (Pa)]]/1000000</f>
        <v>28.799679033323891</v>
      </c>
    </row>
    <row r="544" spans="1:6" x14ac:dyDescent="0.3">
      <c r="A544" s="2">
        <v>65.417000000000002</v>
      </c>
      <c r="B544" s="2">
        <v>5.4438000000000004</v>
      </c>
      <c r="C544" s="1">
        <f>Tabela9[[#This Row],[Alongamento (mm/mm)]]/$I$2</f>
        <v>0.10887600000000001</v>
      </c>
      <c r="D544" s="2">
        <v>1230.5</v>
      </c>
      <c r="E544" s="1">
        <f>Tabela9[[#This Row],[Força (N)]]/$I$5</f>
        <v>29040404.04040404</v>
      </c>
      <c r="F544" s="1">
        <f>Tabela9[[#This Row],[Tensão (Pa)]]/1000000</f>
        <v>29.040404040404042</v>
      </c>
    </row>
    <row r="545" spans="1:6" x14ac:dyDescent="0.3">
      <c r="A545" s="2">
        <v>65.650000000000006</v>
      </c>
      <c r="B545" s="2">
        <v>5.4631999999999996</v>
      </c>
      <c r="C545" s="1">
        <f>Tabela9[[#This Row],[Alongamento (mm/mm)]]/$I$2</f>
        <v>0.10926399999999999</v>
      </c>
      <c r="D545" s="2">
        <v>1240.5</v>
      </c>
      <c r="E545" s="1">
        <f>Tabela9[[#This Row],[Força (N)]]/$I$5</f>
        <v>29276408.949306145</v>
      </c>
      <c r="F545" s="1">
        <f>Tabela9[[#This Row],[Tensão (Pa)]]/1000000</f>
        <v>29.276408949306145</v>
      </c>
    </row>
    <row r="546" spans="1:6" x14ac:dyDescent="0.3">
      <c r="A546" s="2">
        <v>65.882999999999996</v>
      </c>
      <c r="B546" s="2">
        <v>5.4827000000000004</v>
      </c>
      <c r="C546" s="1">
        <f>Tabela9[[#This Row],[Alongamento (mm/mm)]]/$I$2</f>
        <v>0.109654</v>
      </c>
      <c r="D546" s="2">
        <v>1250.4000000000001</v>
      </c>
      <c r="E546" s="1">
        <f>Tabela9[[#This Row],[Força (N)]]/$I$5</f>
        <v>29510053.809119232</v>
      </c>
      <c r="F546" s="1">
        <f>Tabela9[[#This Row],[Tensão (Pa)]]/1000000</f>
        <v>29.510053809119231</v>
      </c>
    </row>
    <row r="547" spans="1:6" x14ac:dyDescent="0.3">
      <c r="A547" s="2">
        <v>66.117000000000004</v>
      </c>
      <c r="B547" s="2">
        <v>5.5021000000000004</v>
      </c>
      <c r="C547" s="1">
        <f>Tabela9[[#This Row],[Alongamento (mm/mm)]]/$I$2</f>
        <v>0.11004200000000001</v>
      </c>
      <c r="D547" s="2">
        <v>1260.4000000000001</v>
      </c>
      <c r="E547" s="1">
        <f>Tabela9[[#This Row],[Força (N)]]/$I$5</f>
        <v>29746058.718021337</v>
      </c>
      <c r="F547" s="1">
        <f>Tabela9[[#This Row],[Tensão (Pa)]]/1000000</f>
        <v>29.746058718021338</v>
      </c>
    </row>
    <row r="548" spans="1:6" x14ac:dyDescent="0.3">
      <c r="A548" s="2">
        <v>66.332999999999998</v>
      </c>
      <c r="B548" s="2">
        <v>5.5202</v>
      </c>
      <c r="C548" s="1">
        <f>Tabela9[[#This Row],[Alongamento (mm/mm)]]/$I$2</f>
        <v>0.110404</v>
      </c>
      <c r="D548" s="2">
        <v>1270</v>
      </c>
      <c r="E548" s="1">
        <f>Tabela9[[#This Row],[Força (N)]]/$I$5</f>
        <v>29972623.430567354</v>
      </c>
      <c r="F548" s="1">
        <f>Tabela9[[#This Row],[Tensão (Pa)]]/1000000</f>
        <v>29.972623430567353</v>
      </c>
    </row>
    <row r="549" spans="1:6" x14ac:dyDescent="0.3">
      <c r="A549" s="2">
        <v>66.566999999999993</v>
      </c>
      <c r="B549" s="2">
        <v>5.5396000000000001</v>
      </c>
      <c r="C549" s="1">
        <f>Tabela9[[#This Row],[Alongamento (mm/mm)]]/$I$2</f>
        <v>0.110792</v>
      </c>
      <c r="D549" s="2">
        <v>1280.2</v>
      </c>
      <c r="E549" s="1">
        <f>Tabela9[[#This Row],[Força (N)]]/$I$5</f>
        <v>30213348.437647503</v>
      </c>
      <c r="F549" s="1">
        <f>Tabela9[[#This Row],[Tensão (Pa)]]/1000000</f>
        <v>30.213348437647504</v>
      </c>
    </row>
    <row r="550" spans="1:6" x14ac:dyDescent="0.3">
      <c r="A550" s="2">
        <v>66.8</v>
      </c>
      <c r="B550" s="2">
        <v>5.5590999999999999</v>
      </c>
      <c r="C550" s="1">
        <f>Tabela9[[#This Row],[Alongamento (mm/mm)]]/$I$2</f>
        <v>0.111182</v>
      </c>
      <c r="D550" s="2">
        <v>1290.4000000000001</v>
      </c>
      <c r="E550" s="1">
        <f>Tabela9[[#This Row],[Força (N)]]/$I$5</f>
        <v>30454073.444727652</v>
      </c>
      <c r="F550" s="1">
        <f>Tabela9[[#This Row],[Tensão (Pa)]]/1000000</f>
        <v>30.454073444727651</v>
      </c>
    </row>
    <row r="551" spans="1:6" x14ac:dyDescent="0.3">
      <c r="A551" s="2">
        <v>67.033000000000001</v>
      </c>
      <c r="B551" s="2">
        <v>5.5785</v>
      </c>
      <c r="C551" s="1">
        <f>Tabela9[[#This Row],[Alongamento (mm/mm)]]/$I$2</f>
        <v>0.11157</v>
      </c>
      <c r="D551" s="2">
        <v>1300.7</v>
      </c>
      <c r="E551" s="1">
        <f>Tabela9[[#This Row],[Força (N)]]/$I$5</f>
        <v>30697158.500896819</v>
      </c>
      <c r="F551" s="1">
        <f>Tabela9[[#This Row],[Tensão (Pa)]]/1000000</f>
        <v>30.697158500896819</v>
      </c>
    </row>
    <row r="552" spans="1:6" x14ac:dyDescent="0.3">
      <c r="A552" s="2">
        <v>67.266999999999996</v>
      </c>
      <c r="B552" s="2">
        <v>5.5979999999999999</v>
      </c>
      <c r="C552" s="1">
        <f>Tabela9[[#This Row],[Alongamento (mm/mm)]]/$I$2</f>
        <v>0.11196</v>
      </c>
      <c r="D552" s="2">
        <v>1311</v>
      </c>
      <c r="E552" s="1">
        <f>Tabela9[[#This Row],[Força (N)]]/$I$5</f>
        <v>30940243.557065986</v>
      </c>
      <c r="F552" s="1">
        <f>Tabela9[[#This Row],[Tensão (Pa)]]/1000000</f>
        <v>30.940243557065987</v>
      </c>
    </row>
    <row r="553" spans="1:6" x14ac:dyDescent="0.3">
      <c r="A553" s="2">
        <v>67.5</v>
      </c>
      <c r="B553" s="2">
        <v>5.6173999999999999</v>
      </c>
      <c r="C553" s="1">
        <f>Tabela9[[#This Row],[Alongamento (mm/mm)]]/$I$2</f>
        <v>0.112348</v>
      </c>
      <c r="D553" s="2">
        <v>1321.5</v>
      </c>
      <c r="E553" s="1">
        <f>Tabela9[[#This Row],[Força (N)]]/$I$5</f>
        <v>31188048.711413197</v>
      </c>
      <c r="F553" s="1">
        <f>Tabela9[[#This Row],[Tensão (Pa)]]/1000000</f>
        <v>31.188048711413199</v>
      </c>
    </row>
    <row r="554" spans="1:6" x14ac:dyDescent="0.3">
      <c r="A554" s="2">
        <v>67.733000000000004</v>
      </c>
      <c r="B554" s="2">
        <v>5.6368</v>
      </c>
      <c r="C554" s="1">
        <f>Tabela9[[#This Row],[Alongamento (mm/mm)]]/$I$2</f>
        <v>0.112736</v>
      </c>
      <c r="D554" s="2">
        <v>1332</v>
      </c>
      <c r="E554" s="1">
        <f>Tabela9[[#This Row],[Força (N)]]/$I$5</f>
        <v>31435853.865760408</v>
      </c>
      <c r="F554" s="1">
        <f>Tabela9[[#This Row],[Tensão (Pa)]]/1000000</f>
        <v>31.435853865760407</v>
      </c>
    </row>
    <row r="555" spans="1:6" x14ac:dyDescent="0.3">
      <c r="A555" s="2">
        <v>67.966999999999999</v>
      </c>
      <c r="B555" s="2">
        <v>5.6562999999999999</v>
      </c>
      <c r="C555" s="1">
        <f>Tabela9[[#This Row],[Alongamento (mm/mm)]]/$I$2</f>
        <v>0.113126</v>
      </c>
      <c r="D555" s="2">
        <v>1342.4</v>
      </c>
      <c r="E555" s="1">
        <f>Tabela9[[#This Row],[Força (N)]]/$I$5</f>
        <v>31681298.971018597</v>
      </c>
      <c r="F555" s="1">
        <f>Tabela9[[#This Row],[Tensão (Pa)]]/1000000</f>
        <v>31.681298971018599</v>
      </c>
    </row>
    <row r="556" spans="1:6" x14ac:dyDescent="0.3">
      <c r="A556" s="2">
        <v>68.2</v>
      </c>
      <c r="B556" s="2">
        <v>5.6757</v>
      </c>
      <c r="C556" s="1">
        <f>Tabela9[[#This Row],[Alongamento (mm/mm)]]/$I$2</f>
        <v>0.113514</v>
      </c>
      <c r="D556" s="2">
        <v>1352.8</v>
      </c>
      <c r="E556" s="1">
        <f>Tabela9[[#This Row],[Força (N)]]/$I$5</f>
        <v>31926744.076276787</v>
      </c>
      <c r="F556" s="1">
        <f>Tabela9[[#This Row],[Tensão (Pa)]]/1000000</f>
        <v>31.926744076276787</v>
      </c>
    </row>
    <row r="557" spans="1:6" x14ac:dyDescent="0.3">
      <c r="A557" s="2">
        <v>68.45</v>
      </c>
      <c r="B557" s="2">
        <v>5.6965000000000003</v>
      </c>
      <c r="C557" s="1">
        <f>Tabela9[[#This Row],[Alongamento (mm/mm)]]/$I$2</f>
        <v>0.11393</v>
      </c>
      <c r="D557" s="2">
        <v>1364</v>
      </c>
      <c r="E557" s="1">
        <f>Tabela9[[#This Row],[Força (N)]]/$I$5</f>
        <v>32191069.574247144</v>
      </c>
      <c r="F557" s="1">
        <f>Tabela9[[#This Row],[Tensão (Pa)]]/1000000</f>
        <v>32.191069574247145</v>
      </c>
    </row>
    <row r="558" spans="1:6" x14ac:dyDescent="0.3">
      <c r="A558" s="2">
        <v>68.683000000000007</v>
      </c>
      <c r="B558" s="2">
        <v>5.7160000000000002</v>
      </c>
      <c r="C558" s="1">
        <f>Tabela9[[#This Row],[Alongamento (mm/mm)]]/$I$2</f>
        <v>0.11432</v>
      </c>
      <c r="D558" s="2">
        <v>1374.6</v>
      </c>
      <c r="E558" s="1">
        <f>Tabela9[[#This Row],[Força (N)]]/$I$5</f>
        <v>32441234.777683374</v>
      </c>
      <c r="F558" s="1">
        <f>Tabela9[[#This Row],[Tensão (Pa)]]/1000000</f>
        <v>32.441234777683377</v>
      </c>
    </row>
    <row r="559" spans="1:6" x14ac:dyDescent="0.3">
      <c r="A559" s="2">
        <v>68.917000000000002</v>
      </c>
      <c r="B559" s="2">
        <v>5.7354000000000003</v>
      </c>
      <c r="C559" s="1">
        <f>Tabela9[[#This Row],[Alongamento (mm/mm)]]/$I$2</f>
        <v>0.114708</v>
      </c>
      <c r="D559" s="2">
        <v>1385.1</v>
      </c>
      <c r="E559" s="1">
        <f>Tabela9[[#This Row],[Força (N)]]/$I$5</f>
        <v>32689039.932030585</v>
      </c>
      <c r="F559" s="1">
        <f>Tabela9[[#This Row],[Tensão (Pa)]]/1000000</f>
        <v>32.689039932030582</v>
      </c>
    </row>
    <row r="560" spans="1:6" x14ac:dyDescent="0.3">
      <c r="A560" s="2">
        <v>69.167000000000002</v>
      </c>
      <c r="B560" s="2">
        <v>5.7563000000000004</v>
      </c>
      <c r="C560" s="1">
        <f>Tabela9[[#This Row],[Alongamento (mm/mm)]]/$I$2</f>
        <v>0.11512600000000001</v>
      </c>
      <c r="D560" s="2">
        <v>1396.2</v>
      </c>
      <c r="E560" s="1">
        <f>Tabela9[[#This Row],[Força (N)]]/$I$5</f>
        <v>32951005.380911924</v>
      </c>
      <c r="F560" s="1">
        <f>Tabela9[[#This Row],[Tensão (Pa)]]/1000000</f>
        <v>32.951005380911923</v>
      </c>
    </row>
    <row r="561" spans="1:6" x14ac:dyDescent="0.3">
      <c r="A561" s="2">
        <v>69.417000000000002</v>
      </c>
      <c r="B561" s="2">
        <v>5.7770999999999999</v>
      </c>
      <c r="C561" s="1">
        <f>Tabela9[[#This Row],[Alongamento (mm/mm)]]/$I$2</f>
        <v>0.11554199999999999</v>
      </c>
      <c r="D561" s="2">
        <v>1407.2</v>
      </c>
      <c r="E561" s="1">
        <f>Tabela9[[#This Row],[Força (N)]]/$I$5</f>
        <v>33210610.780704241</v>
      </c>
      <c r="F561" s="1">
        <f>Tabela9[[#This Row],[Tensão (Pa)]]/1000000</f>
        <v>33.210610780704243</v>
      </c>
    </row>
    <row r="562" spans="1:6" x14ac:dyDescent="0.3">
      <c r="A562" s="2">
        <v>69.667000000000002</v>
      </c>
      <c r="B562" s="2">
        <v>5.798</v>
      </c>
      <c r="C562" s="1">
        <f>Tabela9[[#This Row],[Alongamento (mm/mm)]]/$I$2</f>
        <v>0.11596000000000001</v>
      </c>
      <c r="D562" s="2">
        <v>1418.3</v>
      </c>
      <c r="E562" s="1">
        <f>Tabela9[[#This Row],[Força (N)]]/$I$5</f>
        <v>33472576.229585573</v>
      </c>
      <c r="F562" s="1">
        <f>Tabela9[[#This Row],[Tensão (Pa)]]/1000000</f>
        <v>33.47257622958557</v>
      </c>
    </row>
    <row r="563" spans="1:6" x14ac:dyDescent="0.3">
      <c r="A563" s="2">
        <v>69.917000000000002</v>
      </c>
      <c r="B563" s="2">
        <v>5.8188000000000004</v>
      </c>
      <c r="C563" s="1">
        <f>Tabela9[[#This Row],[Alongamento (mm/mm)]]/$I$2</f>
        <v>0.11637600000000001</v>
      </c>
      <c r="D563" s="2">
        <v>1429.2</v>
      </c>
      <c r="E563" s="1">
        <f>Tabela9[[#This Row],[Força (N)]]/$I$5</f>
        <v>33729821.580288872</v>
      </c>
      <c r="F563" s="1">
        <f>Tabela9[[#This Row],[Tensão (Pa)]]/1000000</f>
        <v>33.729821580288871</v>
      </c>
    </row>
    <row r="564" spans="1:6" x14ac:dyDescent="0.3">
      <c r="A564" s="2">
        <v>70.167000000000002</v>
      </c>
      <c r="B564" s="2">
        <v>5.8395999999999999</v>
      </c>
      <c r="C564" s="1">
        <f>Tabela9[[#This Row],[Alongamento (mm/mm)]]/$I$2</f>
        <v>0.11679199999999999</v>
      </c>
      <c r="D564" s="2">
        <v>1440.2</v>
      </c>
      <c r="E564" s="1">
        <f>Tabela9[[#This Row],[Força (N)]]/$I$5</f>
        <v>33989426.980081186</v>
      </c>
      <c r="F564" s="1">
        <f>Tabela9[[#This Row],[Tensão (Pa)]]/1000000</f>
        <v>33.989426980081184</v>
      </c>
    </row>
    <row r="565" spans="1:6" x14ac:dyDescent="0.3">
      <c r="A565" s="2">
        <v>70.433000000000007</v>
      </c>
      <c r="B565" s="2">
        <v>5.8617999999999997</v>
      </c>
      <c r="C565" s="1">
        <f>Tabela9[[#This Row],[Alongamento (mm/mm)]]/$I$2</f>
        <v>0.11723599999999999</v>
      </c>
      <c r="D565" s="2">
        <v>1452</v>
      </c>
      <c r="E565" s="1">
        <f>Tabela9[[#This Row],[Força (N)]]/$I$5</f>
        <v>34267912.772585668</v>
      </c>
      <c r="F565" s="1">
        <f>Tabela9[[#This Row],[Tensão (Pa)]]/1000000</f>
        <v>34.267912772585667</v>
      </c>
    </row>
    <row r="566" spans="1:6" x14ac:dyDescent="0.3">
      <c r="A566" s="2">
        <v>70.7</v>
      </c>
      <c r="B566" s="2">
        <v>5.8841000000000001</v>
      </c>
      <c r="C566" s="1">
        <f>Tabela9[[#This Row],[Alongamento (mm/mm)]]/$I$2</f>
        <v>0.11768200000000001</v>
      </c>
      <c r="D566" s="2">
        <v>1463.7</v>
      </c>
      <c r="E566" s="1">
        <f>Tabela9[[#This Row],[Força (N)]]/$I$5</f>
        <v>34544038.516001135</v>
      </c>
      <c r="F566" s="1">
        <f>Tabela9[[#This Row],[Tensão (Pa)]]/1000000</f>
        <v>34.544038516001137</v>
      </c>
    </row>
    <row r="567" spans="1:6" x14ac:dyDescent="0.3">
      <c r="A567" s="2">
        <v>70.966999999999999</v>
      </c>
      <c r="B567" s="2">
        <v>5.9062999999999999</v>
      </c>
      <c r="C567" s="1">
        <f>Tabela9[[#This Row],[Alongamento (mm/mm)]]/$I$2</f>
        <v>0.11812599999999999</v>
      </c>
      <c r="D567" s="2">
        <v>1475.4</v>
      </c>
      <c r="E567" s="1">
        <f>Tabela9[[#This Row],[Força (N)]]/$I$5</f>
        <v>34820164.259416595</v>
      </c>
      <c r="F567" s="1">
        <f>Tabela9[[#This Row],[Tensão (Pa)]]/1000000</f>
        <v>34.820164259416593</v>
      </c>
    </row>
    <row r="568" spans="1:6" x14ac:dyDescent="0.3">
      <c r="A568" s="2">
        <v>71.233000000000004</v>
      </c>
      <c r="B568" s="2">
        <v>5.9284999999999997</v>
      </c>
      <c r="C568" s="1">
        <f>Tabela9[[#This Row],[Alongamento (mm/mm)]]/$I$2</f>
        <v>0.11856999999999999</v>
      </c>
      <c r="D568" s="2">
        <v>1487.2</v>
      </c>
      <c r="E568" s="1">
        <f>Tabela9[[#This Row],[Força (N)]]/$I$5</f>
        <v>35098650.051921085</v>
      </c>
      <c r="F568" s="1">
        <f>Tabela9[[#This Row],[Tensão (Pa)]]/1000000</f>
        <v>35.098650051921084</v>
      </c>
    </row>
    <row r="569" spans="1:6" x14ac:dyDescent="0.3">
      <c r="A569" s="2">
        <v>71.5</v>
      </c>
      <c r="B569" s="2">
        <v>5.9507000000000003</v>
      </c>
      <c r="C569" s="1">
        <f>Tabela9[[#This Row],[Alongamento (mm/mm)]]/$I$2</f>
        <v>0.11901400000000001</v>
      </c>
      <c r="D569" s="2">
        <v>1498.9</v>
      </c>
      <c r="E569" s="1">
        <f>Tabela9[[#This Row],[Força (N)]]/$I$5</f>
        <v>35374775.795336545</v>
      </c>
      <c r="F569" s="1">
        <f>Tabela9[[#This Row],[Tensão (Pa)]]/1000000</f>
        <v>35.374775795336546</v>
      </c>
    </row>
    <row r="570" spans="1:6" x14ac:dyDescent="0.3">
      <c r="A570" s="2">
        <v>71.766999999999996</v>
      </c>
      <c r="B570" s="2">
        <v>5.9728000000000003</v>
      </c>
      <c r="C570" s="1">
        <f>Tabela9[[#This Row],[Alongamento (mm/mm)]]/$I$2</f>
        <v>0.11945600000000001</v>
      </c>
      <c r="D570" s="2">
        <v>1510.5</v>
      </c>
      <c r="E570" s="1">
        <f>Tabela9[[#This Row],[Força (N)]]/$I$5</f>
        <v>35648541.489662983</v>
      </c>
      <c r="F570" s="1">
        <f>Tabela9[[#This Row],[Tensão (Pa)]]/1000000</f>
        <v>35.648541489662982</v>
      </c>
    </row>
    <row r="571" spans="1:6" x14ac:dyDescent="0.3">
      <c r="A571" s="2">
        <v>72.033000000000001</v>
      </c>
      <c r="B571" s="2">
        <v>5.9951999999999996</v>
      </c>
      <c r="C571" s="1">
        <f>Tabela9[[#This Row],[Alongamento (mm/mm)]]/$I$2</f>
        <v>0.119904</v>
      </c>
      <c r="D571" s="2">
        <v>1522</v>
      </c>
      <c r="E571" s="1">
        <f>Tabela9[[#This Row],[Força (N)]]/$I$5</f>
        <v>35919947.134900406</v>
      </c>
      <c r="F571" s="1">
        <f>Tabela9[[#This Row],[Tensão (Pa)]]/1000000</f>
        <v>35.919947134900404</v>
      </c>
    </row>
    <row r="572" spans="1:6" x14ac:dyDescent="0.3">
      <c r="A572" s="2">
        <v>72.3</v>
      </c>
      <c r="B572" s="2">
        <v>6.0174000000000003</v>
      </c>
      <c r="C572" s="1">
        <f>Tabela9[[#This Row],[Alongamento (mm/mm)]]/$I$2</f>
        <v>0.12034800000000001</v>
      </c>
      <c r="D572" s="2">
        <v>1533.6</v>
      </c>
      <c r="E572" s="1">
        <f>Tabela9[[#This Row],[Força (N)]]/$I$5</f>
        <v>36193712.829226844</v>
      </c>
      <c r="F572" s="1">
        <f>Tabela9[[#This Row],[Tensão (Pa)]]/1000000</f>
        <v>36.193712829226847</v>
      </c>
    </row>
    <row r="573" spans="1:6" x14ac:dyDescent="0.3">
      <c r="A573" s="2">
        <v>72.582999999999998</v>
      </c>
      <c r="B573" s="2">
        <v>6.0410000000000004</v>
      </c>
      <c r="C573" s="1">
        <f>Tabela9[[#This Row],[Alongamento (mm/mm)]]/$I$2</f>
        <v>0.12082000000000001</v>
      </c>
      <c r="D573" s="2">
        <v>1546.2</v>
      </c>
      <c r="E573" s="1">
        <f>Tabela9[[#This Row],[Força (N)]]/$I$5</f>
        <v>36491079.014443502</v>
      </c>
      <c r="F573" s="1">
        <f>Tabela9[[#This Row],[Tensão (Pa)]]/1000000</f>
        <v>36.4910790144435</v>
      </c>
    </row>
    <row r="574" spans="1:6" x14ac:dyDescent="0.3">
      <c r="A574" s="2">
        <v>72.849999999999994</v>
      </c>
      <c r="B574" s="2">
        <v>6.0632999999999999</v>
      </c>
      <c r="C574" s="1">
        <f>Tabela9[[#This Row],[Alongamento (mm/mm)]]/$I$2</f>
        <v>0.121266</v>
      </c>
      <c r="D574" s="2">
        <v>1558.3</v>
      </c>
      <c r="E574" s="1">
        <f>Tabela9[[#This Row],[Força (N)]]/$I$5</f>
        <v>36776644.95421505</v>
      </c>
      <c r="F574" s="1">
        <f>Tabela9[[#This Row],[Tensão (Pa)]]/1000000</f>
        <v>36.776644954215051</v>
      </c>
    </row>
    <row r="575" spans="1:6" x14ac:dyDescent="0.3">
      <c r="A575" s="2">
        <v>73.132999999999996</v>
      </c>
      <c r="B575" s="2">
        <v>6.0868000000000002</v>
      </c>
      <c r="C575" s="1">
        <f>Tabela9[[#This Row],[Alongamento (mm/mm)]]/$I$2</f>
        <v>0.12173600000000001</v>
      </c>
      <c r="D575" s="2">
        <v>1570.9</v>
      </c>
      <c r="E575" s="1">
        <f>Tabela9[[#This Row],[Força (N)]]/$I$5</f>
        <v>37074011.1394317</v>
      </c>
      <c r="F575" s="1">
        <f>Tabela9[[#This Row],[Tensão (Pa)]]/1000000</f>
        <v>37.074011139431697</v>
      </c>
    </row>
    <row r="576" spans="1:6" x14ac:dyDescent="0.3">
      <c r="A576" s="2">
        <v>73.417000000000002</v>
      </c>
      <c r="B576" s="2">
        <v>6.1105</v>
      </c>
      <c r="C576" s="1">
        <f>Tabela9[[#This Row],[Alongamento (mm/mm)]]/$I$2</f>
        <v>0.12221</v>
      </c>
      <c r="D576" s="2">
        <v>1583.4</v>
      </c>
      <c r="E576" s="1">
        <f>Tabela9[[#This Row],[Força (N)]]/$I$5</f>
        <v>37369017.275559336</v>
      </c>
      <c r="F576" s="1">
        <f>Tabela9[[#This Row],[Tensão (Pa)]]/1000000</f>
        <v>37.369017275559337</v>
      </c>
    </row>
    <row r="577" spans="1:6" x14ac:dyDescent="0.3">
      <c r="A577" s="2">
        <v>73.7</v>
      </c>
      <c r="B577" s="2">
        <v>6.1340000000000003</v>
      </c>
      <c r="C577" s="1">
        <f>Tabela9[[#This Row],[Alongamento (mm/mm)]]/$I$2</f>
        <v>0.12268000000000001</v>
      </c>
      <c r="D577" s="2">
        <v>1596</v>
      </c>
      <c r="E577" s="1">
        <f>Tabela9[[#This Row],[Força (N)]]/$I$5</f>
        <v>37666383.460775986</v>
      </c>
      <c r="F577" s="1">
        <f>Tabela9[[#This Row],[Tensão (Pa)]]/1000000</f>
        <v>37.66638346077599</v>
      </c>
    </row>
    <row r="578" spans="1:6" x14ac:dyDescent="0.3">
      <c r="A578" s="2">
        <v>73.983000000000004</v>
      </c>
      <c r="B578" s="2">
        <v>6.1576000000000004</v>
      </c>
      <c r="C578" s="1">
        <f>Tabela9[[#This Row],[Alongamento (mm/mm)]]/$I$2</f>
        <v>0.12315200000000001</v>
      </c>
      <c r="D578" s="2">
        <v>1608.6</v>
      </c>
      <c r="E578" s="1">
        <f>Tabela9[[#This Row],[Força (N)]]/$I$5</f>
        <v>37963749.645992637</v>
      </c>
      <c r="F578" s="1">
        <f>Tabela9[[#This Row],[Tensão (Pa)]]/1000000</f>
        <v>37.963749645992635</v>
      </c>
    </row>
    <row r="579" spans="1:6" x14ac:dyDescent="0.3">
      <c r="A579" s="2">
        <v>74.266999999999996</v>
      </c>
      <c r="B579" s="2">
        <v>6.1813000000000002</v>
      </c>
      <c r="C579" s="1">
        <f>Tabela9[[#This Row],[Alongamento (mm/mm)]]/$I$2</f>
        <v>0.123626</v>
      </c>
      <c r="D579" s="2">
        <v>1621.2</v>
      </c>
      <c r="E579" s="1">
        <f>Tabela9[[#This Row],[Força (N)]]/$I$5</f>
        <v>38261115.831209287</v>
      </c>
      <c r="F579" s="1">
        <f>Tabela9[[#This Row],[Tensão (Pa)]]/1000000</f>
        <v>38.261115831209288</v>
      </c>
    </row>
    <row r="580" spans="1:6" x14ac:dyDescent="0.3">
      <c r="A580" s="2">
        <v>74.566999999999993</v>
      </c>
      <c r="B580" s="2">
        <v>6.2061999999999999</v>
      </c>
      <c r="C580" s="1">
        <f>Tabela9[[#This Row],[Alongamento (mm/mm)]]/$I$2</f>
        <v>0.124124</v>
      </c>
      <c r="D580" s="2">
        <v>1634.3</v>
      </c>
      <c r="E580" s="1">
        <f>Tabela9[[#This Row],[Força (N)]]/$I$5</f>
        <v>38570282.261871047</v>
      </c>
      <c r="F580" s="1">
        <f>Tabela9[[#This Row],[Tensão (Pa)]]/1000000</f>
        <v>38.57028226187105</v>
      </c>
    </row>
    <row r="581" spans="1:6" x14ac:dyDescent="0.3">
      <c r="A581" s="2">
        <v>74.867000000000004</v>
      </c>
      <c r="B581" s="2">
        <v>6.2313000000000001</v>
      </c>
      <c r="C581" s="1">
        <f>Tabela9[[#This Row],[Alongamento (mm/mm)]]/$I$2</f>
        <v>0.124626</v>
      </c>
      <c r="D581" s="2">
        <v>1647.4</v>
      </c>
      <c r="E581" s="1">
        <f>Tabela9[[#This Row],[Força (N)]]/$I$5</f>
        <v>38879448.692532808</v>
      </c>
      <c r="F581" s="1">
        <f>Tabela9[[#This Row],[Tensão (Pa)]]/1000000</f>
        <v>38.879448692532804</v>
      </c>
    </row>
    <row r="582" spans="1:6" x14ac:dyDescent="0.3">
      <c r="A582" s="2">
        <v>75.167000000000002</v>
      </c>
      <c r="B582" s="2">
        <v>6.2563000000000004</v>
      </c>
      <c r="C582" s="1">
        <f>Tabela9[[#This Row],[Alongamento (mm/mm)]]/$I$2</f>
        <v>0.12512600000000001</v>
      </c>
      <c r="D582" s="2">
        <v>1660.5</v>
      </c>
      <c r="E582" s="1">
        <f>Tabela9[[#This Row],[Força (N)]]/$I$5</f>
        <v>39188615.12319456</v>
      </c>
      <c r="F582" s="1">
        <f>Tabela9[[#This Row],[Tensão (Pa)]]/1000000</f>
        <v>39.188615123194559</v>
      </c>
    </row>
    <row r="583" spans="1:6" x14ac:dyDescent="0.3">
      <c r="A583" s="2">
        <v>75.466999999999999</v>
      </c>
      <c r="B583" s="2">
        <v>6.2812000000000001</v>
      </c>
      <c r="C583" s="1">
        <f>Tabela9[[#This Row],[Alongamento (mm/mm)]]/$I$2</f>
        <v>0.12562400000000001</v>
      </c>
      <c r="D583" s="2">
        <v>1673.4</v>
      </c>
      <c r="E583" s="1">
        <f>Tabela9[[#This Row],[Força (N)]]/$I$5</f>
        <v>39493061.455678277</v>
      </c>
      <c r="F583" s="1">
        <f>Tabela9[[#This Row],[Tensão (Pa)]]/1000000</f>
        <v>39.49306145567828</v>
      </c>
    </row>
    <row r="584" spans="1:6" x14ac:dyDescent="0.3">
      <c r="A584" s="2">
        <v>75.766999999999996</v>
      </c>
      <c r="B584" s="2">
        <v>6.3064</v>
      </c>
      <c r="C584" s="1">
        <f>Tabela9[[#This Row],[Alongamento (mm/mm)]]/$I$2</f>
        <v>0.12612799999999999</v>
      </c>
      <c r="D584" s="2">
        <v>1686.4</v>
      </c>
      <c r="E584" s="1">
        <f>Tabela9[[#This Row],[Força (N)]]/$I$5</f>
        <v>39799867.837251015</v>
      </c>
      <c r="F584" s="1">
        <f>Tabela9[[#This Row],[Tensão (Pa)]]/1000000</f>
        <v>39.799867837251014</v>
      </c>
    </row>
    <row r="585" spans="1:6" x14ac:dyDescent="0.3">
      <c r="A585" s="2">
        <v>76.082999999999998</v>
      </c>
      <c r="B585" s="2">
        <v>6.3327</v>
      </c>
      <c r="C585" s="1">
        <f>Tabela9[[#This Row],[Alongamento (mm/mm)]]/$I$2</f>
        <v>0.12665399999999999</v>
      </c>
      <c r="D585" s="2">
        <v>1699.6</v>
      </c>
      <c r="E585" s="1">
        <f>Tabela9[[#This Row],[Força (N)]]/$I$5</f>
        <v>40111394.31700179</v>
      </c>
      <c r="F585" s="1">
        <f>Tabela9[[#This Row],[Tensão (Pa)]]/1000000</f>
        <v>40.111394317001789</v>
      </c>
    </row>
    <row r="586" spans="1:6" x14ac:dyDescent="0.3">
      <c r="A586" s="2">
        <v>76.400000000000006</v>
      </c>
      <c r="B586" s="2">
        <v>6.359</v>
      </c>
      <c r="C586" s="1">
        <f>Tabela9[[#This Row],[Alongamento (mm/mm)]]/$I$2</f>
        <v>0.12717999999999999</v>
      </c>
      <c r="D586" s="2">
        <v>1712.9</v>
      </c>
      <c r="E586" s="1">
        <f>Tabela9[[#This Row],[Força (N)]]/$I$5</f>
        <v>40425280.845841594</v>
      </c>
      <c r="F586" s="1">
        <f>Tabela9[[#This Row],[Tensão (Pa)]]/1000000</f>
        <v>40.425280845841591</v>
      </c>
    </row>
    <row r="587" spans="1:6" x14ac:dyDescent="0.3">
      <c r="A587" s="2">
        <v>76.716999999999999</v>
      </c>
      <c r="B587" s="2">
        <v>6.3855000000000004</v>
      </c>
      <c r="C587" s="1">
        <f>Tabela9[[#This Row],[Alongamento (mm/mm)]]/$I$2</f>
        <v>0.12771000000000002</v>
      </c>
      <c r="D587" s="2">
        <v>1726.2</v>
      </c>
      <c r="E587" s="1">
        <f>Tabela9[[#This Row],[Força (N)]]/$I$5</f>
        <v>40739167.374681391</v>
      </c>
      <c r="F587" s="1">
        <f>Tabela9[[#This Row],[Tensão (Pa)]]/1000000</f>
        <v>40.739167374681394</v>
      </c>
    </row>
    <row r="588" spans="1:6" x14ac:dyDescent="0.3">
      <c r="A588" s="2">
        <v>77.05</v>
      </c>
      <c r="B588" s="2">
        <v>6.4131999999999998</v>
      </c>
      <c r="C588" s="1">
        <f>Tabela9[[#This Row],[Alongamento (mm/mm)]]/$I$2</f>
        <v>0.12826399999999999</v>
      </c>
      <c r="D588" s="2">
        <v>1739.9</v>
      </c>
      <c r="E588" s="1">
        <f>Tabela9[[#This Row],[Força (N)]]/$I$5</f>
        <v>41062494.099877283</v>
      </c>
      <c r="F588" s="1">
        <f>Tabela9[[#This Row],[Tensão (Pa)]]/1000000</f>
        <v>41.062494099877284</v>
      </c>
    </row>
    <row r="589" spans="1:6" x14ac:dyDescent="0.3">
      <c r="A589" s="2">
        <v>77.382999999999996</v>
      </c>
      <c r="B589" s="2">
        <v>6.4409999999999998</v>
      </c>
      <c r="C589" s="1">
        <f>Tabela9[[#This Row],[Alongamento (mm/mm)]]/$I$2</f>
        <v>0.12881999999999999</v>
      </c>
      <c r="D589" s="2">
        <v>1753.4</v>
      </c>
      <c r="E589" s="1">
        <f>Tabela9[[#This Row],[Força (N)]]/$I$5</f>
        <v>41381100.726895124</v>
      </c>
      <c r="F589" s="1">
        <f>Tabela9[[#This Row],[Tensão (Pa)]]/1000000</f>
        <v>41.381100726895127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B3A0-D787-493D-9655-A163871F899A}">
  <dimension ref="A1:K573"/>
  <sheetViews>
    <sheetView topLeftCell="A563" workbookViewId="0">
      <selection activeCell="G573" sqref="G573"/>
    </sheetView>
  </sheetViews>
  <sheetFormatPr defaultRowHeight="14.4" x14ac:dyDescent="0.3"/>
  <cols>
    <col min="1" max="1" width="11.88671875" bestFit="1" customWidth="1"/>
    <col min="2" max="2" width="25.5546875" bestFit="1" customWidth="1"/>
    <col min="3" max="3" width="24.44140625" bestFit="1" customWidth="1"/>
    <col min="4" max="4" width="11.44140625" bestFit="1" customWidth="1"/>
    <col min="5" max="5" width="13.5546875" bestFit="1" customWidth="1"/>
    <col min="6" max="6" width="15.5546875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2">
        <v>0.16667000000000001</v>
      </c>
      <c r="B2" s="2">
        <v>7.3515999999999998E-3</v>
      </c>
      <c r="C2" s="1">
        <f>Tabela1[[#This Row],[Alongamento (mm/mm)]]/$I$2</f>
        <v>1.4703199999999998E-4</v>
      </c>
      <c r="D2" s="2">
        <v>0</v>
      </c>
      <c r="E2" s="1">
        <f>Tabela1[[#This Row],[Força (N)]]/$I$5</f>
        <v>0</v>
      </c>
      <c r="F2" s="1">
        <f>Tabela1[[#This Row],[Tensão (Pa)]]/1000000</f>
        <v>0</v>
      </c>
      <c r="H2" t="s">
        <v>10</v>
      </c>
      <c r="I2">
        <v>50</v>
      </c>
      <c r="J2">
        <v>12.84</v>
      </c>
      <c r="K2">
        <v>3.3</v>
      </c>
    </row>
    <row r="3" spans="1:11" x14ac:dyDescent="0.3">
      <c r="A3" s="2">
        <v>13.817</v>
      </c>
      <c r="B3" s="2">
        <v>1.1439999999999999</v>
      </c>
      <c r="C3" s="1">
        <f>Tabela1[[#This Row],[Alongamento (mm/mm)]]/$I$2</f>
        <v>2.2879999999999998E-2</v>
      </c>
      <c r="D3" s="2">
        <v>8.8451000000000004</v>
      </c>
      <c r="E3" s="1">
        <f>Tabela1[[#This Row],[Força (N)]]/$I$5</f>
        <v>208748.70197300104</v>
      </c>
      <c r="F3" s="1">
        <f>Tabela1[[#This Row],[Tensão (Pa)]]/1000000</f>
        <v>0.20874870197300105</v>
      </c>
      <c r="H3" t="s">
        <v>12</v>
      </c>
      <c r="I3">
        <f>I2/1000</f>
        <v>0.05</v>
      </c>
      <c r="J3">
        <f t="shared" ref="J3:K3" si="0">J2/1000</f>
        <v>1.2840000000000001E-2</v>
      </c>
      <c r="K3">
        <f t="shared" si="0"/>
        <v>3.3E-3</v>
      </c>
    </row>
    <row r="4" spans="1:11" x14ac:dyDescent="0.3">
      <c r="A4" s="2">
        <v>13.933</v>
      </c>
      <c r="B4" s="2">
        <v>1.1536999999999999</v>
      </c>
      <c r="C4" s="1">
        <f>Tabela1[[#This Row],[Alongamento (mm/mm)]]/$I$2</f>
        <v>2.3073999999999997E-2</v>
      </c>
      <c r="D4" s="2">
        <v>8.8451000000000004</v>
      </c>
      <c r="E4" s="1">
        <f>Tabela1[[#This Row],[Força (N)]]/$I$5</f>
        <v>208748.70197300104</v>
      </c>
      <c r="F4" s="1">
        <f>Tabela1[[#This Row],[Tensão (Pa)]]/1000000</f>
        <v>0.20874870197300105</v>
      </c>
    </row>
    <row r="5" spans="1:11" x14ac:dyDescent="0.3">
      <c r="A5" s="2">
        <v>14.05</v>
      </c>
      <c r="B5" s="2">
        <v>1.1635</v>
      </c>
      <c r="C5" s="1">
        <f>Tabela1[[#This Row],[Alongamento (mm/mm)]]/$I$2</f>
        <v>2.3269999999999999E-2</v>
      </c>
      <c r="D5" s="2">
        <v>8.8451000000000004</v>
      </c>
      <c r="E5" s="1">
        <f>Tabela1[[#This Row],[Força (N)]]/$I$5</f>
        <v>208748.70197300104</v>
      </c>
      <c r="F5" s="1">
        <f>Tabela1[[#This Row],[Tensão (Pa)]]/1000000</f>
        <v>0.20874870197300105</v>
      </c>
      <c r="H5" t="s">
        <v>13</v>
      </c>
      <c r="I5">
        <f>J3*K3</f>
        <v>4.2372E-5</v>
      </c>
    </row>
    <row r="6" spans="1:11" x14ac:dyDescent="0.3">
      <c r="A6" s="2">
        <v>14.167</v>
      </c>
      <c r="B6" s="2">
        <v>1.1733</v>
      </c>
      <c r="C6" s="1">
        <f>Tabela1[[#This Row],[Alongamento (mm/mm)]]/$I$2</f>
        <v>2.3466000000000001E-2</v>
      </c>
      <c r="D6" s="2">
        <v>8.8451000000000004</v>
      </c>
      <c r="E6" s="1">
        <f>Tabela1[[#This Row],[Força (N)]]/$I$5</f>
        <v>208748.70197300104</v>
      </c>
      <c r="F6" s="1">
        <f>Tabela1[[#This Row],[Tensão (Pa)]]/1000000</f>
        <v>0.20874870197300105</v>
      </c>
    </row>
    <row r="7" spans="1:11" x14ac:dyDescent="0.3">
      <c r="A7" s="2">
        <v>14.282999999999999</v>
      </c>
      <c r="B7" s="2">
        <v>1.1830000000000001</v>
      </c>
      <c r="C7" s="1">
        <f>Tabela1[[#This Row],[Alongamento (mm/mm)]]/$I$2</f>
        <v>2.366E-2</v>
      </c>
      <c r="D7" s="2">
        <v>8.8451000000000004</v>
      </c>
      <c r="E7" s="1">
        <f>Tabela1[[#This Row],[Força (N)]]/$I$5</f>
        <v>208748.70197300104</v>
      </c>
      <c r="F7" s="1">
        <f>Tabela1[[#This Row],[Tensão (Pa)]]/1000000</f>
        <v>0.20874870197300105</v>
      </c>
    </row>
    <row r="8" spans="1:11" x14ac:dyDescent="0.3">
      <c r="A8" s="2">
        <v>14.4</v>
      </c>
      <c r="B8" s="2">
        <v>1.1926000000000001</v>
      </c>
      <c r="C8" s="1">
        <f>Tabela1[[#This Row],[Alongamento (mm/mm)]]/$I$2</f>
        <v>2.3852000000000002E-2</v>
      </c>
      <c r="D8" s="2">
        <v>9.0152000000000001</v>
      </c>
      <c r="E8" s="1">
        <f>Tabela1[[#This Row],[Força (N)]]/$I$5</f>
        <v>212763.14547342586</v>
      </c>
      <c r="F8" s="1">
        <f>Tabela1[[#This Row],[Tensão (Pa)]]/1000000</f>
        <v>0.21276314547342587</v>
      </c>
    </row>
    <row r="9" spans="1:11" x14ac:dyDescent="0.3">
      <c r="A9" s="2">
        <v>14.516999999999999</v>
      </c>
      <c r="B9" s="2">
        <v>1.2022999999999999</v>
      </c>
      <c r="C9" s="1">
        <f>Tabela1[[#This Row],[Alongamento (mm/mm)]]/$I$2</f>
        <v>2.4045999999999998E-2</v>
      </c>
      <c r="D9" s="2">
        <v>9.0152000000000001</v>
      </c>
      <c r="E9" s="1">
        <f>Tabela1[[#This Row],[Força (N)]]/$I$5</f>
        <v>212763.14547342586</v>
      </c>
      <c r="F9" s="1">
        <f>Tabela1[[#This Row],[Tensão (Pa)]]/1000000</f>
        <v>0.21276314547342587</v>
      </c>
    </row>
    <row r="10" spans="1:11" x14ac:dyDescent="0.3">
      <c r="A10" s="2">
        <v>14.632999999999999</v>
      </c>
      <c r="B10" s="2">
        <v>1.2121</v>
      </c>
      <c r="C10" s="1">
        <f>Tabela1[[#This Row],[Alongamento (mm/mm)]]/$I$2</f>
        <v>2.4242E-2</v>
      </c>
      <c r="D10" s="2">
        <v>8.8451000000000004</v>
      </c>
      <c r="E10" s="1">
        <f>Tabela1[[#This Row],[Força (N)]]/$I$5</f>
        <v>208748.70197300104</v>
      </c>
      <c r="F10" s="1">
        <f>Tabela1[[#This Row],[Tensão (Pa)]]/1000000</f>
        <v>0.20874870197300105</v>
      </c>
    </row>
    <row r="11" spans="1:11" x14ac:dyDescent="0.3">
      <c r="A11" s="2">
        <v>14.75</v>
      </c>
      <c r="B11" s="2">
        <v>1.2218</v>
      </c>
      <c r="C11" s="1">
        <f>Tabela1[[#This Row],[Alongamento (mm/mm)]]/$I$2</f>
        <v>2.4435999999999999E-2</v>
      </c>
      <c r="D11" s="2">
        <v>9.0152000000000001</v>
      </c>
      <c r="E11" s="1">
        <f>Tabela1[[#This Row],[Força (N)]]/$I$5</f>
        <v>212763.14547342586</v>
      </c>
      <c r="F11" s="1">
        <f>Tabela1[[#This Row],[Tensão (Pa)]]/1000000</f>
        <v>0.21276314547342587</v>
      </c>
    </row>
    <row r="12" spans="1:11" x14ac:dyDescent="0.3">
      <c r="A12" s="2">
        <v>14.867000000000001</v>
      </c>
      <c r="B12" s="2">
        <v>1.2315</v>
      </c>
      <c r="C12" s="1">
        <f>Tabela1[[#This Row],[Alongamento (mm/mm)]]/$I$2</f>
        <v>2.4629999999999999E-2</v>
      </c>
      <c r="D12" s="2">
        <v>9.0152000000000001</v>
      </c>
      <c r="E12" s="1">
        <f>Tabela1[[#This Row],[Força (N)]]/$I$5</f>
        <v>212763.14547342586</v>
      </c>
      <c r="F12" s="1">
        <f>Tabela1[[#This Row],[Tensão (Pa)]]/1000000</f>
        <v>0.21276314547342587</v>
      </c>
    </row>
    <row r="13" spans="1:11" x14ac:dyDescent="0.3">
      <c r="A13" s="2">
        <v>14.983000000000001</v>
      </c>
      <c r="B13" s="2">
        <v>1.2413000000000001</v>
      </c>
      <c r="C13" s="1">
        <f>Tabela1[[#This Row],[Alongamento (mm/mm)]]/$I$2</f>
        <v>2.4826000000000001E-2</v>
      </c>
      <c r="D13" s="2">
        <v>9.0152000000000001</v>
      </c>
      <c r="E13" s="1">
        <f>Tabela1[[#This Row],[Força (N)]]/$I$5</f>
        <v>212763.14547342586</v>
      </c>
      <c r="F13" s="1">
        <f>Tabela1[[#This Row],[Tensão (Pa)]]/1000000</f>
        <v>0.21276314547342587</v>
      </c>
    </row>
    <row r="14" spans="1:11" x14ac:dyDescent="0.3">
      <c r="A14" s="2">
        <v>15.1</v>
      </c>
      <c r="B14" s="2">
        <v>1.2509999999999999</v>
      </c>
      <c r="C14" s="1">
        <f>Tabela1[[#This Row],[Alongamento (mm/mm)]]/$I$2</f>
        <v>2.5019999999999997E-2</v>
      </c>
      <c r="D14" s="2">
        <v>9.0152000000000001</v>
      </c>
      <c r="E14" s="1">
        <f>Tabela1[[#This Row],[Força (N)]]/$I$5</f>
        <v>212763.14547342586</v>
      </c>
      <c r="F14" s="1">
        <f>Tabela1[[#This Row],[Tensão (Pa)]]/1000000</f>
        <v>0.21276314547342587</v>
      </c>
    </row>
    <row r="15" spans="1:11" x14ac:dyDescent="0.3">
      <c r="A15" s="2">
        <v>15.233000000000001</v>
      </c>
      <c r="B15" s="2">
        <v>1.2621</v>
      </c>
      <c r="C15" s="1">
        <f>Tabela1[[#This Row],[Alongamento (mm/mm)]]/$I$2</f>
        <v>2.5242000000000001E-2</v>
      </c>
      <c r="D15" s="2">
        <v>9.0152000000000001</v>
      </c>
      <c r="E15" s="1">
        <f>Tabela1[[#This Row],[Força (N)]]/$I$5</f>
        <v>212763.14547342586</v>
      </c>
      <c r="F15" s="1">
        <f>Tabela1[[#This Row],[Tensão (Pa)]]/1000000</f>
        <v>0.21276314547342587</v>
      </c>
    </row>
    <row r="16" spans="1:11" x14ac:dyDescent="0.3">
      <c r="A16" s="2">
        <v>15.367000000000001</v>
      </c>
      <c r="B16" s="2">
        <v>1.2732000000000001</v>
      </c>
      <c r="C16" s="1">
        <f>Tabela1[[#This Row],[Alongamento (mm/mm)]]/$I$2</f>
        <v>2.5464000000000001E-2</v>
      </c>
      <c r="D16" s="2">
        <v>9.0152000000000001</v>
      </c>
      <c r="E16" s="1">
        <f>Tabela1[[#This Row],[Força (N)]]/$I$5</f>
        <v>212763.14547342586</v>
      </c>
      <c r="F16" s="1">
        <f>Tabela1[[#This Row],[Tensão (Pa)]]/1000000</f>
        <v>0.21276314547342587</v>
      </c>
    </row>
    <row r="17" spans="1:6" x14ac:dyDescent="0.3">
      <c r="A17" s="2">
        <v>15.5</v>
      </c>
      <c r="B17" s="2">
        <v>1.2842</v>
      </c>
      <c r="C17" s="1">
        <f>Tabela1[[#This Row],[Alongamento (mm/mm)]]/$I$2</f>
        <v>2.5683999999999998E-2</v>
      </c>
      <c r="D17" s="2">
        <v>9.0152000000000001</v>
      </c>
      <c r="E17" s="1">
        <f>Tabela1[[#This Row],[Força (N)]]/$I$5</f>
        <v>212763.14547342586</v>
      </c>
      <c r="F17" s="1">
        <f>Tabela1[[#This Row],[Tensão (Pa)]]/1000000</f>
        <v>0.21276314547342587</v>
      </c>
    </row>
    <row r="18" spans="1:6" x14ac:dyDescent="0.3">
      <c r="A18" s="2">
        <v>15.632999999999999</v>
      </c>
      <c r="B18" s="2">
        <v>1.2954000000000001</v>
      </c>
      <c r="C18" s="1">
        <f>Tabela1[[#This Row],[Alongamento (mm/mm)]]/$I$2</f>
        <v>2.5908E-2</v>
      </c>
      <c r="D18" s="2">
        <v>9.0152000000000001</v>
      </c>
      <c r="E18" s="1">
        <f>Tabela1[[#This Row],[Força (N)]]/$I$5</f>
        <v>212763.14547342586</v>
      </c>
      <c r="F18" s="1">
        <f>Tabela1[[#This Row],[Tensão (Pa)]]/1000000</f>
        <v>0.21276314547342587</v>
      </c>
    </row>
    <row r="19" spans="1:6" x14ac:dyDescent="0.3">
      <c r="A19" s="2">
        <v>15.766999999999999</v>
      </c>
      <c r="B19" s="2">
        <v>1.3065</v>
      </c>
      <c r="C19" s="1">
        <f>Tabela1[[#This Row],[Alongamento (mm/mm)]]/$I$2</f>
        <v>2.613E-2</v>
      </c>
      <c r="D19" s="2">
        <v>9.0152000000000001</v>
      </c>
      <c r="E19" s="1">
        <f>Tabela1[[#This Row],[Força (N)]]/$I$5</f>
        <v>212763.14547342586</v>
      </c>
      <c r="F19" s="1">
        <f>Tabela1[[#This Row],[Tensão (Pa)]]/1000000</f>
        <v>0.21276314547342587</v>
      </c>
    </row>
    <row r="20" spans="1:6" x14ac:dyDescent="0.3">
      <c r="A20" s="2">
        <v>15.9</v>
      </c>
      <c r="B20" s="2">
        <v>1.3177000000000001</v>
      </c>
      <c r="C20" s="1">
        <f>Tabela1[[#This Row],[Alongamento (mm/mm)]]/$I$2</f>
        <v>2.6354000000000002E-2</v>
      </c>
      <c r="D20" s="2">
        <v>9.0152000000000001</v>
      </c>
      <c r="E20" s="1">
        <f>Tabela1[[#This Row],[Força (N)]]/$I$5</f>
        <v>212763.14547342586</v>
      </c>
      <c r="F20" s="1">
        <f>Tabela1[[#This Row],[Tensão (Pa)]]/1000000</f>
        <v>0.21276314547342587</v>
      </c>
    </row>
    <row r="21" spans="1:6" x14ac:dyDescent="0.3">
      <c r="A21" s="2">
        <v>16.033000000000001</v>
      </c>
      <c r="B21" s="2">
        <v>1.3288</v>
      </c>
      <c r="C21" s="1">
        <f>Tabela1[[#This Row],[Alongamento (mm/mm)]]/$I$2</f>
        <v>2.6575999999999999E-2</v>
      </c>
      <c r="D21" s="2">
        <v>9.0152000000000001</v>
      </c>
      <c r="E21" s="1">
        <f>Tabela1[[#This Row],[Força (N)]]/$I$5</f>
        <v>212763.14547342586</v>
      </c>
      <c r="F21" s="1">
        <f>Tabela1[[#This Row],[Tensão (Pa)]]/1000000</f>
        <v>0.21276314547342587</v>
      </c>
    </row>
    <row r="22" spans="1:6" x14ac:dyDescent="0.3">
      <c r="A22" s="2">
        <v>16.167000000000002</v>
      </c>
      <c r="B22" s="2">
        <v>1.3398000000000001</v>
      </c>
      <c r="C22" s="1">
        <f>Tabela1[[#This Row],[Alongamento (mm/mm)]]/$I$2</f>
        <v>2.6796E-2</v>
      </c>
      <c r="D22" s="2">
        <v>9.0152000000000001</v>
      </c>
      <c r="E22" s="1">
        <f>Tabela1[[#This Row],[Força (N)]]/$I$5</f>
        <v>212763.14547342586</v>
      </c>
      <c r="F22" s="1">
        <f>Tabela1[[#This Row],[Tensão (Pa)]]/1000000</f>
        <v>0.21276314547342587</v>
      </c>
    </row>
    <row r="23" spans="1:6" x14ac:dyDescent="0.3">
      <c r="A23" s="2">
        <v>16.3</v>
      </c>
      <c r="B23" s="2">
        <v>1.351</v>
      </c>
      <c r="C23" s="1">
        <f>Tabela1[[#This Row],[Alongamento (mm/mm)]]/$I$2</f>
        <v>2.7019999999999999E-2</v>
      </c>
      <c r="D23" s="2">
        <v>9.0152000000000001</v>
      </c>
      <c r="E23" s="1">
        <f>Tabela1[[#This Row],[Força (N)]]/$I$5</f>
        <v>212763.14547342586</v>
      </c>
      <c r="F23" s="1">
        <f>Tabela1[[#This Row],[Tensão (Pa)]]/1000000</f>
        <v>0.21276314547342587</v>
      </c>
    </row>
    <row r="24" spans="1:6" x14ac:dyDescent="0.3">
      <c r="A24" s="2">
        <v>16.433</v>
      </c>
      <c r="B24" s="2">
        <v>1.3620000000000001</v>
      </c>
      <c r="C24" s="1">
        <f>Tabela1[[#This Row],[Alongamento (mm/mm)]]/$I$2</f>
        <v>2.724E-2</v>
      </c>
      <c r="D24" s="2">
        <v>9.0152000000000001</v>
      </c>
      <c r="E24" s="1">
        <f>Tabela1[[#This Row],[Força (N)]]/$I$5</f>
        <v>212763.14547342586</v>
      </c>
      <c r="F24" s="1">
        <f>Tabela1[[#This Row],[Tensão (Pa)]]/1000000</f>
        <v>0.21276314547342587</v>
      </c>
    </row>
    <row r="25" spans="1:6" x14ac:dyDescent="0.3">
      <c r="A25" s="2">
        <v>16.567</v>
      </c>
      <c r="B25" s="2">
        <v>1.3732</v>
      </c>
      <c r="C25" s="1">
        <f>Tabela1[[#This Row],[Alongamento (mm/mm)]]/$I$2</f>
        <v>2.7463999999999999E-2</v>
      </c>
      <c r="D25" s="2">
        <v>9.0152000000000001</v>
      </c>
      <c r="E25" s="1">
        <f>Tabela1[[#This Row],[Força (N)]]/$I$5</f>
        <v>212763.14547342586</v>
      </c>
      <c r="F25" s="1">
        <f>Tabela1[[#This Row],[Tensão (Pa)]]/1000000</f>
        <v>0.21276314547342587</v>
      </c>
    </row>
    <row r="26" spans="1:6" x14ac:dyDescent="0.3">
      <c r="A26" s="2">
        <v>16.7</v>
      </c>
      <c r="B26" s="2">
        <v>1.3843000000000001</v>
      </c>
      <c r="C26" s="1">
        <f>Tabela1[[#This Row],[Alongamento (mm/mm)]]/$I$2</f>
        <v>2.7686000000000002E-2</v>
      </c>
      <c r="D26" s="2">
        <v>9.0152000000000001</v>
      </c>
      <c r="E26" s="1">
        <f>Tabela1[[#This Row],[Força (N)]]/$I$5</f>
        <v>212763.14547342586</v>
      </c>
      <c r="F26" s="1">
        <f>Tabela1[[#This Row],[Tensão (Pa)]]/1000000</f>
        <v>0.21276314547342587</v>
      </c>
    </row>
    <row r="27" spans="1:6" x14ac:dyDescent="0.3">
      <c r="A27" s="2">
        <v>16.832999999999998</v>
      </c>
      <c r="B27" s="2">
        <v>1.3954</v>
      </c>
      <c r="C27" s="1">
        <f>Tabela1[[#This Row],[Alongamento (mm/mm)]]/$I$2</f>
        <v>2.7907999999999999E-2</v>
      </c>
      <c r="D27" s="2">
        <v>9.0152000000000001</v>
      </c>
      <c r="E27" s="1">
        <f>Tabela1[[#This Row],[Força (N)]]/$I$5</f>
        <v>212763.14547342586</v>
      </c>
      <c r="F27" s="1">
        <f>Tabela1[[#This Row],[Tensão (Pa)]]/1000000</f>
        <v>0.21276314547342587</v>
      </c>
    </row>
    <row r="28" spans="1:6" x14ac:dyDescent="0.3">
      <c r="A28" s="2">
        <v>16.966999999999999</v>
      </c>
      <c r="B28" s="2">
        <v>1.4066000000000001</v>
      </c>
      <c r="C28" s="1">
        <f>Tabela1[[#This Row],[Alongamento (mm/mm)]]/$I$2</f>
        <v>2.8132000000000001E-2</v>
      </c>
      <c r="D28" s="2">
        <v>9.0152000000000001</v>
      </c>
      <c r="E28" s="1">
        <f>Tabela1[[#This Row],[Força (N)]]/$I$5</f>
        <v>212763.14547342586</v>
      </c>
      <c r="F28" s="1">
        <f>Tabela1[[#This Row],[Tensão (Pa)]]/1000000</f>
        <v>0.21276314547342587</v>
      </c>
    </row>
    <row r="29" spans="1:6" x14ac:dyDescent="0.3">
      <c r="A29" s="2">
        <v>17.100000000000001</v>
      </c>
      <c r="B29" s="2">
        <v>1.4176</v>
      </c>
      <c r="C29" s="1">
        <f>Tabela1[[#This Row],[Alongamento (mm/mm)]]/$I$2</f>
        <v>2.8351999999999999E-2</v>
      </c>
      <c r="D29" s="2">
        <v>9.0152000000000001</v>
      </c>
      <c r="E29" s="1">
        <f>Tabela1[[#This Row],[Força (N)]]/$I$5</f>
        <v>212763.14547342586</v>
      </c>
      <c r="F29" s="1">
        <f>Tabela1[[#This Row],[Tensão (Pa)]]/1000000</f>
        <v>0.21276314547342587</v>
      </c>
    </row>
    <row r="30" spans="1:6" x14ac:dyDescent="0.3">
      <c r="A30" s="2">
        <v>17.233000000000001</v>
      </c>
      <c r="B30" s="2">
        <v>1.4287000000000001</v>
      </c>
      <c r="C30" s="1">
        <f>Tabela1[[#This Row],[Alongamento (mm/mm)]]/$I$2</f>
        <v>2.8574000000000002E-2</v>
      </c>
      <c r="D30" s="2">
        <v>9.0152000000000001</v>
      </c>
      <c r="E30" s="1">
        <f>Tabela1[[#This Row],[Força (N)]]/$I$5</f>
        <v>212763.14547342586</v>
      </c>
      <c r="F30" s="1">
        <f>Tabela1[[#This Row],[Tensão (Pa)]]/1000000</f>
        <v>0.21276314547342587</v>
      </c>
    </row>
    <row r="31" spans="1:6" x14ac:dyDescent="0.3">
      <c r="A31" s="2">
        <v>17.367000000000001</v>
      </c>
      <c r="B31" s="2">
        <v>1.4398</v>
      </c>
      <c r="C31" s="1">
        <f>Tabela1[[#This Row],[Alongamento (mm/mm)]]/$I$2</f>
        <v>2.8795999999999999E-2</v>
      </c>
      <c r="D31" s="2">
        <v>9.1852999999999998</v>
      </c>
      <c r="E31" s="1">
        <f>Tabela1[[#This Row],[Força (N)]]/$I$5</f>
        <v>216777.58897385065</v>
      </c>
      <c r="F31" s="1">
        <f>Tabela1[[#This Row],[Tensão (Pa)]]/1000000</f>
        <v>0.21677758897385066</v>
      </c>
    </row>
    <row r="32" spans="1:6" x14ac:dyDescent="0.3">
      <c r="A32" s="2">
        <v>17.5</v>
      </c>
      <c r="B32" s="2">
        <v>1.4510000000000001</v>
      </c>
      <c r="C32" s="1">
        <f>Tabela1[[#This Row],[Alongamento (mm/mm)]]/$I$2</f>
        <v>2.9020000000000001E-2</v>
      </c>
      <c r="D32" s="2">
        <v>9.1852999999999998</v>
      </c>
      <c r="E32" s="1">
        <f>Tabela1[[#This Row],[Força (N)]]/$I$5</f>
        <v>216777.58897385065</v>
      </c>
      <c r="F32" s="1">
        <f>Tabela1[[#This Row],[Tensão (Pa)]]/1000000</f>
        <v>0.21677758897385066</v>
      </c>
    </row>
    <row r="33" spans="1:6" x14ac:dyDescent="0.3">
      <c r="A33" s="2">
        <v>17.649999999999999</v>
      </c>
      <c r="B33" s="2">
        <v>1.4634</v>
      </c>
      <c r="C33" s="1">
        <f>Tabela1[[#This Row],[Alongamento (mm/mm)]]/$I$2</f>
        <v>2.9268000000000002E-2</v>
      </c>
      <c r="D33" s="2">
        <v>9.3553999999999995</v>
      </c>
      <c r="E33" s="1">
        <f>Tabela1[[#This Row],[Força (N)]]/$I$5</f>
        <v>220792.03247427545</v>
      </c>
      <c r="F33" s="1">
        <f>Tabela1[[#This Row],[Tensão (Pa)]]/1000000</f>
        <v>0.22079203247427545</v>
      </c>
    </row>
    <row r="34" spans="1:6" x14ac:dyDescent="0.3">
      <c r="A34" s="2">
        <v>17.8</v>
      </c>
      <c r="B34" s="2">
        <v>1.476</v>
      </c>
      <c r="C34" s="1">
        <f>Tabela1[[#This Row],[Alongamento (mm/mm)]]/$I$2</f>
        <v>2.9520000000000001E-2</v>
      </c>
      <c r="D34" s="2">
        <v>9.3553999999999995</v>
      </c>
      <c r="E34" s="1">
        <f>Tabela1[[#This Row],[Força (N)]]/$I$5</f>
        <v>220792.03247427545</v>
      </c>
      <c r="F34" s="1">
        <f>Tabela1[[#This Row],[Tensão (Pa)]]/1000000</f>
        <v>0.22079203247427545</v>
      </c>
    </row>
    <row r="35" spans="1:6" x14ac:dyDescent="0.3">
      <c r="A35" s="2">
        <v>17.95</v>
      </c>
      <c r="B35" s="2">
        <v>1.4884999999999999</v>
      </c>
      <c r="C35" s="1">
        <f>Tabela1[[#This Row],[Alongamento (mm/mm)]]/$I$2</f>
        <v>2.9769999999999998E-2</v>
      </c>
      <c r="D35" s="2">
        <v>9.5254999999999992</v>
      </c>
      <c r="E35" s="1">
        <f>Tabela1[[#This Row],[Força (N)]]/$I$5</f>
        <v>224806.47597470024</v>
      </c>
      <c r="F35" s="1">
        <f>Tabela1[[#This Row],[Tensão (Pa)]]/1000000</f>
        <v>0.22480647597470024</v>
      </c>
    </row>
    <row r="36" spans="1:6" x14ac:dyDescent="0.3">
      <c r="A36" s="2">
        <v>18.100000000000001</v>
      </c>
      <c r="B36" s="2">
        <v>1.5008999999999999</v>
      </c>
      <c r="C36" s="1">
        <f>Tabela1[[#This Row],[Alongamento (mm/mm)]]/$I$2</f>
        <v>3.0018E-2</v>
      </c>
      <c r="D36" s="2">
        <v>9.5254999999999992</v>
      </c>
      <c r="E36" s="1">
        <f>Tabela1[[#This Row],[Força (N)]]/$I$5</f>
        <v>224806.47597470024</v>
      </c>
      <c r="F36" s="1">
        <f>Tabela1[[#This Row],[Tensão (Pa)]]/1000000</f>
        <v>0.22480647597470024</v>
      </c>
    </row>
    <row r="37" spans="1:6" x14ac:dyDescent="0.3">
      <c r="A37" s="2">
        <v>18.25</v>
      </c>
      <c r="B37" s="2">
        <v>1.5135000000000001</v>
      </c>
      <c r="C37" s="1">
        <f>Tabela1[[#This Row],[Alongamento (mm/mm)]]/$I$2</f>
        <v>3.0270000000000002E-2</v>
      </c>
      <c r="D37" s="2">
        <v>9.6956000000000007</v>
      </c>
      <c r="E37" s="1">
        <f>Tabela1[[#This Row],[Força (N)]]/$I$5</f>
        <v>228820.91947512509</v>
      </c>
      <c r="F37" s="1">
        <f>Tabela1[[#This Row],[Tensão (Pa)]]/1000000</f>
        <v>0.22882091947512509</v>
      </c>
    </row>
    <row r="38" spans="1:6" x14ac:dyDescent="0.3">
      <c r="A38" s="2">
        <v>18.399999999999999</v>
      </c>
      <c r="B38" s="2">
        <v>1.526</v>
      </c>
      <c r="C38" s="1">
        <f>Tabela1[[#This Row],[Alongamento (mm/mm)]]/$I$2</f>
        <v>3.0520000000000002E-2</v>
      </c>
      <c r="D38" s="2">
        <v>9.8657000000000004</v>
      </c>
      <c r="E38" s="1">
        <f>Tabela1[[#This Row],[Força (N)]]/$I$5</f>
        <v>232835.36297554991</v>
      </c>
      <c r="F38" s="1">
        <f>Tabela1[[#This Row],[Tensão (Pa)]]/1000000</f>
        <v>0.23283536297554991</v>
      </c>
    </row>
    <row r="39" spans="1:6" x14ac:dyDescent="0.3">
      <c r="A39" s="2">
        <v>18.55</v>
      </c>
      <c r="B39" s="2">
        <v>1.5385</v>
      </c>
      <c r="C39" s="1">
        <f>Tabela1[[#This Row],[Alongamento (mm/mm)]]/$I$2</f>
        <v>3.0769999999999999E-2</v>
      </c>
      <c r="D39" s="2">
        <v>10.036</v>
      </c>
      <c r="E39" s="1">
        <f>Tabela1[[#This Row],[Força (N)]]/$I$5</f>
        <v>236854.52657415273</v>
      </c>
      <c r="F39" s="1">
        <f>Tabela1[[#This Row],[Tensão (Pa)]]/1000000</f>
        <v>0.23685452657415274</v>
      </c>
    </row>
    <row r="40" spans="1:6" x14ac:dyDescent="0.3">
      <c r="A40" s="2">
        <v>18.7</v>
      </c>
      <c r="B40" s="2">
        <v>1.5509999999999999</v>
      </c>
      <c r="C40" s="1">
        <f>Tabela1[[#This Row],[Alongamento (mm/mm)]]/$I$2</f>
        <v>3.1019999999999999E-2</v>
      </c>
      <c r="D40" s="2">
        <v>10.715999999999999</v>
      </c>
      <c r="E40" s="1">
        <f>Tabela1[[#This Row],[Força (N)]]/$I$5</f>
        <v>252902.86037949586</v>
      </c>
      <c r="F40" s="1">
        <f>Tabela1[[#This Row],[Tensão (Pa)]]/1000000</f>
        <v>0.25290286037949589</v>
      </c>
    </row>
    <row r="41" spans="1:6" x14ac:dyDescent="0.3">
      <c r="A41" s="2">
        <v>18.817</v>
      </c>
      <c r="B41" s="2">
        <v>1.5607</v>
      </c>
      <c r="C41" s="1">
        <f>Tabela1[[#This Row],[Alongamento (mm/mm)]]/$I$2</f>
        <v>3.1213999999999999E-2</v>
      </c>
      <c r="D41" s="2">
        <v>11.397</v>
      </c>
      <c r="E41" s="1">
        <f>Tabela1[[#This Row],[Força (N)]]/$I$5</f>
        <v>268974.79467572924</v>
      </c>
      <c r="F41" s="1">
        <f>Tabela1[[#This Row],[Tensão (Pa)]]/1000000</f>
        <v>0.26897479467572921</v>
      </c>
    </row>
    <row r="42" spans="1:6" x14ac:dyDescent="0.3">
      <c r="A42" s="2">
        <v>18.917000000000002</v>
      </c>
      <c r="B42" s="2">
        <v>1.569</v>
      </c>
      <c r="C42" s="1">
        <f>Tabela1[[#This Row],[Alongamento (mm/mm)]]/$I$2</f>
        <v>3.1379999999999998E-2</v>
      </c>
      <c r="D42" s="2">
        <v>12.077</v>
      </c>
      <c r="E42" s="1">
        <f>Tabela1[[#This Row],[Força (N)]]/$I$5</f>
        <v>285023.12848107243</v>
      </c>
      <c r="F42" s="1">
        <f>Tabela1[[#This Row],[Tensão (Pa)]]/1000000</f>
        <v>0.28502312848107242</v>
      </c>
    </row>
    <row r="43" spans="1:6" x14ac:dyDescent="0.3">
      <c r="A43" s="2">
        <v>19.033000000000001</v>
      </c>
      <c r="B43" s="2">
        <v>1.5787</v>
      </c>
      <c r="C43" s="1">
        <f>Tabela1[[#This Row],[Alongamento (mm/mm)]]/$I$2</f>
        <v>3.1573999999999998E-2</v>
      </c>
      <c r="D43" s="2">
        <v>12.757</v>
      </c>
      <c r="E43" s="1">
        <f>Tabela1[[#This Row],[Força (N)]]/$I$5</f>
        <v>301071.46228641557</v>
      </c>
      <c r="F43" s="1">
        <f>Tabela1[[#This Row],[Tensão (Pa)]]/1000000</f>
        <v>0.30107146228641557</v>
      </c>
    </row>
    <row r="44" spans="1:6" x14ac:dyDescent="0.3">
      <c r="A44" s="2">
        <v>19.132999999999999</v>
      </c>
      <c r="B44" s="2">
        <v>1.5871</v>
      </c>
      <c r="C44" s="1">
        <f>Tabela1[[#This Row],[Alongamento (mm/mm)]]/$I$2</f>
        <v>3.1741999999999999E-2</v>
      </c>
      <c r="D44" s="2">
        <v>13.438000000000001</v>
      </c>
      <c r="E44" s="1">
        <f>Tabela1[[#This Row],[Força (N)]]/$I$5</f>
        <v>317143.39658264891</v>
      </c>
      <c r="F44" s="1">
        <f>Tabela1[[#This Row],[Tensão (Pa)]]/1000000</f>
        <v>0.3171433965826489</v>
      </c>
    </row>
    <row r="45" spans="1:6" x14ac:dyDescent="0.3">
      <c r="A45" s="2">
        <v>19.25</v>
      </c>
      <c r="B45" s="2">
        <v>1.5969</v>
      </c>
      <c r="C45" s="1">
        <f>Tabela1[[#This Row],[Alongamento (mm/mm)]]/$I$2</f>
        <v>3.1938000000000001E-2</v>
      </c>
      <c r="D45" s="2">
        <v>14.118</v>
      </c>
      <c r="E45" s="1">
        <f>Tabela1[[#This Row],[Força (N)]]/$I$5</f>
        <v>333191.73038799205</v>
      </c>
      <c r="F45" s="1">
        <f>Tabela1[[#This Row],[Tensão (Pa)]]/1000000</f>
        <v>0.33319173038799205</v>
      </c>
    </row>
    <row r="46" spans="1:6" x14ac:dyDescent="0.3">
      <c r="A46" s="2">
        <v>19.399999999999999</v>
      </c>
      <c r="B46" s="2">
        <v>1.6093</v>
      </c>
      <c r="C46" s="1">
        <f>Tabela1[[#This Row],[Alongamento (mm/mm)]]/$I$2</f>
        <v>3.2185999999999999E-2</v>
      </c>
      <c r="D46" s="2">
        <v>14.798999999999999</v>
      </c>
      <c r="E46" s="1">
        <f>Tabela1[[#This Row],[Força (N)]]/$I$5</f>
        <v>349263.6646842254</v>
      </c>
      <c r="F46" s="1">
        <f>Tabela1[[#This Row],[Tensão (Pa)]]/1000000</f>
        <v>0.34926366468422537</v>
      </c>
    </row>
    <row r="47" spans="1:6" x14ac:dyDescent="0.3">
      <c r="A47" s="2">
        <v>19.55</v>
      </c>
      <c r="B47" s="2">
        <v>1.6217999999999999</v>
      </c>
      <c r="C47" s="1">
        <f>Tabela1[[#This Row],[Alongamento (mm/mm)]]/$I$2</f>
        <v>3.2436E-2</v>
      </c>
      <c r="D47" s="2">
        <v>15.478999999999999</v>
      </c>
      <c r="E47" s="1">
        <f>Tabela1[[#This Row],[Força (N)]]/$I$5</f>
        <v>365311.99848956853</v>
      </c>
      <c r="F47" s="1">
        <f>Tabela1[[#This Row],[Tensão (Pa)]]/1000000</f>
        <v>0.36531199848956852</v>
      </c>
    </row>
    <row r="48" spans="1:6" x14ac:dyDescent="0.3">
      <c r="A48" s="2">
        <v>19.7</v>
      </c>
      <c r="B48" s="2">
        <v>1.6344000000000001</v>
      </c>
      <c r="C48" s="1">
        <f>Tabela1[[#This Row],[Alongamento (mm/mm)]]/$I$2</f>
        <v>3.2688000000000002E-2</v>
      </c>
      <c r="D48" s="2">
        <v>16.158999999999999</v>
      </c>
      <c r="E48" s="1">
        <f>Tabela1[[#This Row],[Força (N)]]/$I$5</f>
        <v>381360.33229491173</v>
      </c>
      <c r="F48" s="1">
        <f>Tabela1[[#This Row],[Tensão (Pa)]]/1000000</f>
        <v>0.38136033229491173</v>
      </c>
    </row>
    <row r="49" spans="1:6" x14ac:dyDescent="0.3">
      <c r="A49" s="2">
        <v>19.867000000000001</v>
      </c>
      <c r="B49" s="2">
        <v>1.6482000000000001</v>
      </c>
      <c r="C49" s="1">
        <f>Tabela1[[#This Row],[Alongamento (mm/mm)]]/$I$2</f>
        <v>3.2964E-2</v>
      </c>
      <c r="D49" s="2">
        <v>16.670000000000002</v>
      </c>
      <c r="E49" s="1">
        <f>Tabela1[[#This Row],[Força (N)]]/$I$5</f>
        <v>393420.18313980935</v>
      </c>
      <c r="F49" s="1">
        <f>Tabela1[[#This Row],[Tensão (Pa)]]/1000000</f>
        <v>0.39342018313980937</v>
      </c>
    </row>
    <row r="50" spans="1:6" x14ac:dyDescent="0.3">
      <c r="A50" s="2">
        <v>19.983000000000001</v>
      </c>
      <c r="B50" s="2">
        <v>1.6578999999999999</v>
      </c>
      <c r="C50" s="1">
        <f>Tabela1[[#This Row],[Alongamento (mm/mm)]]/$I$2</f>
        <v>3.3158E-2</v>
      </c>
      <c r="D50" s="2">
        <v>17.350000000000001</v>
      </c>
      <c r="E50" s="1">
        <f>Tabela1[[#This Row],[Força (N)]]/$I$5</f>
        <v>409468.51694515249</v>
      </c>
      <c r="F50" s="1">
        <f>Tabela1[[#This Row],[Tensão (Pa)]]/1000000</f>
        <v>0.40946851694515246</v>
      </c>
    </row>
    <row r="51" spans="1:6" x14ac:dyDescent="0.3">
      <c r="A51" s="2">
        <v>20.117000000000001</v>
      </c>
      <c r="B51" s="2">
        <v>1.6691</v>
      </c>
      <c r="C51" s="1">
        <f>Tabela1[[#This Row],[Alongamento (mm/mm)]]/$I$2</f>
        <v>3.3382000000000002E-2</v>
      </c>
      <c r="D51" s="2">
        <v>18.03</v>
      </c>
      <c r="E51" s="1">
        <f>Tabela1[[#This Row],[Força (N)]]/$I$5</f>
        <v>425516.85075049562</v>
      </c>
      <c r="F51" s="1">
        <f>Tabela1[[#This Row],[Tensão (Pa)]]/1000000</f>
        <v>0.42551685075049561</v>
      </c>
    </row>
    <row r="52" spans="1:6" x14ac:dyDescent="0.3">
      <c r="A52" s="2">
        <v>20.233000000000001</v>
      </c>
      <c r="B52" s="2">
        <v>1.6788000000000001</v>
      </c>
      <c r="C52" s="1">
        <f>Tabela1[[#This Row],[Alongamento (mm/mm)]]/$I$2</f>
        <v>3.3576000000000002E-2</v>
      </c>
      <c r="D52" s="2">
        <v>18.710999999999999</v>
      </c>
      <c r="E52" s="1">
        <f>Tabela1[[#This Row],[Força (N)]]/$I$5</f>
        <v>441588.78504672891</v>
      </c>
      <c r="F52" s="1">
        <f>Tabela1[[#This Row],[Tensão (Pa)]]/1000000</f>
        <v>0.44158878504672888</v>
      </c>
    </row>
    <row r="53" spans="1:6" x14ac:dyDescent="0.3">
      <c r="A53" s="2">
        <v>20.332999999999998</v>
      </c>
      <c r="B53" s="2">
        <v>1.6870000000000001</v>
      </c>
      <c r="C53" s="1">
        <f>Tabela1[[#This Row],[Alongamento (mm/mm)]]/$I$2</f>
        <v>3.3739999999999999E-2</v>
      </c>
      <c r="D53" s="2">
        <v>19.390999999999998</v>
      </c>
      <c r="E53" s="1">
        <f>Tabela1[[#This Row],[Força (N)]]/$I$5</f>
        <v>457637.1188520721</v>
      </c>
      <c r="F53" s="1">
        <f>Tabela1[[#This Row],[Tensão (Pa)]]/1000000</f>
        <v>0.45763711885207209</v>
      </c>
    </row>
    <row r="54" spans="1:6" x14ac:dyDescent="0.3">
      <c r="A54" s="2">
        <v>20.483000000000001</v>
      </c>
      <c r="B54" s="2">
        <v>1.6996</v>
      </c>
      <c r="C54" s="1">
        <f>Tabela1[[#This Row],[Alongamento (mm/mm)]]/$I$2</f>
        <v>3.3992000000000001E-2</v>
      </c>
      <c r="D54" s="2">
        <v>20.242000000000001</v>
      </c>
      <c r="E54" s="1">
        <f>Tabela1[[#This Row],[Força (N)]]/$I$5</f>
        <v>477721.13659964129</v>
      </c>
      <c r="F54" s="1">
        <f>Tabela1[[#This Row],[Tensão (Pa)]]/1000000</f>
        <v>0.47772113659964127</v>
      </c>
    </row>
    <row r="55" spans="1:6" x14ac:dyDescent="0.3">
      <c r="A55" s="2">
        <v>20.632999999999999</v>
      </c>
      <c r="B55" s="2">
        <v>1.7121</v>
      </c>
      <c r="C55" s="1">
        <f>Tabela1[[#This Row],[Alongamento (mm/mm)]]/$I$2</f>
        <v>3.4242000000000002E-2</v>
      </c>
      <c r="D55" s="2">
        <v>20.922000000000001</v>
      </c>
      <c r="E55" s="1">
        <f>Tabela1[[#This Row],[Força (N)]]/$I$5</f>
        <v>493769.47040498443</v>
      </c>
      <c r="F55" s="1">
        <f>Tabela1[[#This Row],[Tensão (Pa)]]/1000000</f>
        <v>0.49376947040498442</v>
      </c>
    </row>
    <row r="56" spans="1:6" x14ac:dyDescent="0.3">
      <c r="A56" s="2">
        <v>20.75</v>
      </c>
      <c r="B56" s="2">
        <v>1.7219</v>
      </c>
      <c r="C56" s="1">
        <f>Tabela1[[#This Row],[Alongamento (mm/mm)]]/$I$2</f>
        <v>3.4437999999999996E-2</v>
      </c>
      <c r="D56" s="2">
        <v>21.603000000000002</v>
      </c>
      <c r="E56" s="1">
        <f>Tabela1[[#This Row],[Força (N)]]/$I$5</f>
        <v>509841.40470121783</v>
      </c>
      <c r="F56" s="1">
        <f>Tabela1[[#This Row],[Tensão (Pa)]]/1000000</f>
        <v>0.50984140470121786</v>
      </c>
    </row>
    <row r="57" spans="1:6" x14ac:dyDescent="0.3">
      <c r="A57" s="2">
        <v>20.867000000000001</v>
      </c>
      <c r="B57" s="2">
        <v>1.7316</v>
      </c>
      <c r="C57" s="1">
        <f>Tabela1[[#This Row],[Alongamento (mm/mm)]]/$I$2</f>
        <v>3.4632000000000003E-2</v>
      </c>
      <c r="D57" s="2">
        <v>22.283000000000001</v>
      </c>
      <c r="E57" s="1">
        <f>Tabela1[[#This Row],[Força (N)]]/$I$5</f>
        <v>525889.73850656091</v>
      </c>
      <c r="F57" s="1">
        <f>Tabela1[[#This Row],[Tensão (Pa)]]/1000000</f>
        <v>0.52588973850656096</v>
      </c>
    </row>
    <row r="58" spans="1:6" x14ac:dyDescent="0.3">
      <c r="A58" s="2">
        <v>20.983000000000001</v>
      </c>
      <c r="B58" s="2">
        <v>1.7412000000000001</v>
      </c>
      <c r="C58" s="1">
        <f>Tabela1[[#This Row],[Alongamento (mm/mm)]]/$I$2</f>
        <v>3.4824000000000001E-2</v>
      </c>
      <c r="D58" s="2">
        <v>22.963000000000001</v>
      </c>
      <c r="E58" s="1">
        <f>Tabela1[[#This Row],[Força (N)]]/$I$5</f>
        <v>541938.07231190416</v>
      </c>
      <c r="F58" s="1">
        <f>Tabela1[[#This Row],[Tensão (Pa)]]/1000000</f>
        <v>0.54193807231190416</v>
      </c>
    </row>
    <row r="59" spans="1:6" x14ac:dyDescent="0.3">
      <c r="A59" s="2">
        <v>21.1</v>
      </c>
      <c r="B59" s="2">
        <v>1.7509999999999999</v>
      </c>
      <c r="C59" s="1">
        <f>Tabela1[[#This Row],[Alongamento (mm/mm)]]/$I$2</f>
        <v>3.5019999999999996E-2</v>
      </c>
      <c r="D59" s="2">
        <v>23.643999999999998</v>
      </c>
      <c r="E59" s="1">
        <f>Tabela1[[#This Row],[Força (N)]]/$I$5</f>
        <v>558010.0066081374</v>
      </c>
      <c r="F59" s="1">
        <f>Tabela1[[#This Row],[Tensão (Pa)]]/1000000</f>
        <v>0.55801000660813738</v>
      </c>
    </row>
    <row r="60" spans="1:6" x14ac:dyDescent="0.3">
      <c r="A60" s="2">
        <v>21.2</v>
      </c>
      <c r="B60" s="2">
        <v>1.7593000000000001</v>
      </c>
      <c r="C60" s="1">
        <f>Tabela1[[#This Row],[Alongamento (mm/mm)]]/$I$2</f>
        <v>3.5186000000000002E-2</v>
      </c>
      <c r="D60" s="2">
        <v>24.324000000000002</v>
      </c>
      <c r="E60" s="1">
        <f>Tabela1[[#This Row],[Força (N)]]/$I$5</f>
        <v>574058.34041348065</v>
      </c>
      <c r="F60" s="1">
        <f>Tabela1[[#This Row],[Tensão (Pa)]]/1000000</f>
        <v>0.57405834041348069</v>
      </c>
    </row>
    <row r="61" spans="1:6" x14ac:dyDescent="0.3">
      <c r="A61" s="2">
        <v>21.317</v>
      </c>
      <c r="B61" s="2">
        <v>1.7689999999999999</v>
      </c>
      <c r="C61" s="1">
        <f>Tabela1[[#This Row],[Alongamento (mm/mm)]]/$I$2</f>
        <v>3.5379999999999995E-2</v>
      </c>
      <c r="D61" s="2">
        <v>25.004999999999999</v>
      </c>
      <c r="E61" s="1">
        <f>Tabela1[[#This Row],[Força (N)]]/$I$5</f>
        <v>590130.27470971388</v>
      </c>
      <c r="F61" s="1">
        <f>Tabela1[[#This Row],[Tensão (Pa)]]/1000000</f>
        <v>0.59013027470971391</v>
      </c>
    </row>
    <row r="62" spans="1:6" x14ac:dyDescent="0.3">
      <c r="A62" s="2">
        <v>21.417000000000002</v>
      </c>
      <c r="B62" s="2">
        <v>1.7774000000000001</v>
      </c>
      <c r="C62" s="1">
        <f>Tabela1[[#This Row],[Alongamento (mm/mm)]]/$I$2</f>
        <v>3.5548000000000003E-2</v>
      </c>
      <c r="D62" s="2">
        <v>25.684999999999999</v>
      </c>
      <c r="E62" s="1">
        <f>Tabela1[[#This Row],[Força (N)]]/$I$5</f>
        <v>606178.60851505713</v>
      </c>
      <c r="F62" s="1">
        <f>Tabela1[[#This Row],[Tensão (Pa)]]/1000000</f>
        <v>0.60617860851505712</v>
      </c>
    </row>
    <row r="63" spans="1:6" x14ac:dyDescent="0.3">
      <c r="A63" s="2">
        <v>21.516999999999999</v>
      </c>
      <c r="B63" s="2">
        <v>1.7857000000000001</v>
      </c>
      <c r="C63" s="1">
        <f>Tabela1[[#This Row],[Alongamento (mm/mm)]]/$I$2</f>
        <v>3.5714000000000003E-2</v>
      </c>
      <c r="D63" s="2">
        <v>26.364999999999998</v>
      </c>
      <c r="E63" s="1">
        <f>Tabela1[[#This Row],[Força (N)]]/$I$5</f>
        <v>622226.94232040027</v>
      </c>
      <c r="F63" s="1">
        <f>Tabela1[[#This Row],[Tensão (Pa)]]/1000000</f>
        <v>0.62222694232040021</v>
      </c>
    </row>
    <row r="64" spans="1:6" x14ac:dyDescent="0.3">
      <c r="A64" s="2">
        <v>21.632999999999999</v>
      </c>
      <c r="B64" s="2">
        <v>1.7954000000000001</v>
      </c>
      <c r="C64" s="1">
        <f>Tabela1[[#This Row],[Alongamento (mm/mm)]]/$I$2</f>
        <v>3.5908000000000002E-2</v>
      </c>
      <c r="D64" s="2">
        <v>27.045999999999999</v>
      </c>
      <c r="E64" s="1">
        <f>Tabela1[[#This Row],[Força (N)]]/$I$5</f>
        <v>638298.87661663361</v>
      </c>
      <c r="F64" s="1">
        <f>Tabela1[[#This Row],[Tensão (Pa)]]/1000000</f>
        <v>0.63829887661663365</v>
      </c>
    </row>
    <row r="65" spans="1:6" x14ac:dyDescent="0.3">
      <c r="A65" s="2">
        <v>21.733000000000001</v>
      </c>
      <c r="B65" s="2">
        <v>1.8037000000000001</v>
      </c>
      <c r="C65" s="1">
        <f>Tabela1[[#This Row],[Alongamento (mm/mm)]]/$I$2</f>
        <v>3.6074000000000002E-2</v>
      </c>
      <c r="D65" s="2">
        <v>27.725999999999999</v>
      </c>
      <c r="E65" s="1">
        <f>Tabela1[[#This Row],[Força (N)]]/$I$5</f>
        <v>654347.21042197675</v>
      </c>
      <c r="F65" s="1">
        <f>Tabela1[[#This Row],[Tensão (Pa)]]/1000000</f>
        <v>0.65434721042197674</v>
      </c>
    </row>
    <row r="66" spans="1:6" x14ac:dyDescent="0.3">
      <c r="A66" s="2">
        <v>21.832999999999998</v>
      </c>
      <c r="B66" s="2">
        <v>1.8120000000000001</v>
      </c>
      <c r="C66" s="1">
        <f>Tabela1[[#This Row],[Alongamento (mm/mm)]]/$I$2</f>
        <v>3.6240000000000001E-2</v>
      </c>
      <c r="D66" s="2">
        <v>28.407</v>
      </c>
      <c r="E66" s="1">
        <f>Tabela1[[#This Row],[Força (N)]]/$I$5</f>
        <v>670419.1447182101</v>
      </c>
      <c r="F66" s="1">
        <f>Tabela1[[#This Row],[Tensão (Pa)]]/1000000</f>
        <v>0.67041914471821007</v>
      </c>
    </row>
    <row r="67" spans="1:6" x14ac:dyDescent="0.3">
      <c r="A67" s="2">
        <v>21.933</v>
      </c>
      <c r="B67" s="2">
        <v>1.8204</v>
      </c>
      <c r="C67" s="1">
        <f>Tabela1[[#This Row],[Alongamento (mm/mm)]]/$I$2</f>
        <v>3.6408000000000003E-2</v>
      </c>
      <c r="D67" s="2">
        <v>29.087</v>
      </c>
      <c r="E67" s="1">
        <f>Tabela1[[#This Row],[Força (N)]]/$I$5</f>
        <v>686467.47852355323</v>
      </c>
      <c r="F67" s="1">
        <f>Tabela1[[#This Row],[Tensão (Pa)]]/1000000</f>
        <v>0.68646747852355328</v>
      </c>
    </row>
    <row r="68" spans="1:6" x14ac:dyDescent="0.3">
      <c r="A68" s="2">
        <v>22.033000000000001</v>
      </c>
      <c r="B68" s="2">
        <v>1.8288</v>
      </c>
      <c r="C68" s="1">
        <f>Tabela1[[#This Row],[Alongamento (mm/mm)]]/$I$2</f>
        <v>3.6575999999999997E-2</v>
      </c>
      <c r="D68" s="2">
        <v>29.766999999999999</v>
      </c>
      <c r="E68" s="1">
        <f>Tabela1[[#This Row],[Força (N)]]/$I$5</f>
        <v>702515.81232889637</v>
      </c>
      <c r="F68" s="1">
        <f>Tabela1[[#This Row],[Tensão (Pa)]]/1000000</f>
        <v>0.70251581232889637</v>
      </c>
    </row>
    <row r="69" spans="1:6" x14ac:dyDescent="0.3">
      <c r="A69" s="2">
        <v>22.132999999999999</v>
      </c>
      <c r="B69" s="2">
        <v>1.8371</v>
      </c>
      <c r="C69" s="1">
        <f>Tabela1[[#This Row],[Alongamento (mm/mm)]]/$I$2</f>
        <v>3.6741999999999997E-2</v>
      </c>
      <c r="D69" s="2">
        <v>30.448</v>
      </c>
      <c r="E69" s="1">
        <f>Tabela1[[#This Row],[Força (N)]]/$I$5</f>
        <v>718587.74662512983</v>
      </c>
      <c r="F69" s="1">
        <f>Tabela1[[#This Row],[Tensão (Pa)]]/1000000</f>
        <v>0.71858774662512981</v>
      </c>
    </row>
    <row r="70" spans="1:6" x14ac:dyDescent="0.3">
      <c r="A70" s="2">
        <v>22.233000000000001</v>
      </c>
      <c r="B70" s="2">
        <v>1.8453999999999999</v>
      </c>
      <c r="C70" s="1">
        <f>Tabela1[[#This Row],[Alongamento (mm/mm)]]/$I$2</f>
        <v>3.6907999999999996E-2</v>
      </c>
      <c r="D70" s="2">
        <v>31.128</v>
      </c>
      <c r="E70" s="1">
        <f>Tabela1[[#This Row],[Força (N)]]/$I$5</f>
        <v>734636.08043047297</v>
      </c>
      <c r="F70" s="1">
        <f>Tabela1[[#This Row],[Tensão (Pa)]]/1000000</f>
        <v>0.73463608043047302</v>
      </c>
    </row>
    <row r="71" spans="1:6" x14ac:dyDescent="0.3">
      <c r="A71" s="2">
        <v>22.332999999999998</v>
      </c>
      <c r="B71" s="2">
        <v>1.8536999999999999</v>
      </c>
      <c r="C71" s="1">
        <f>Tabela1[[#This Row],[Alongamento (mm/mm)]]/$I$2</f>
        <v>3.7073999999999996E-2</v>
      </c>
      <c r="D71" s="2">
        <v>31.808</v>
      </c>
      <c r="E71" s="1">
        <f>Tabela1[[#This Row],[Força (N)]]/$I$5</f>
        <v>750684.4142358161</v>
      </c>
      <c r="F71" s="1">
        <f>Tabela1[[#This Row],[Tensão (Pa)]]/1000000</f>
        <v>0.75068441423581611</v>
      </c>
    </row>
    <row r="72" spans="1:6" x14ac:dyDescent="0.3">
      <c r="A72" s="2">
        <v>22.417000000000002</v>
      </c>
      <c r="B72" s="2">
        <v>1.8607</v>
      </c>
      <c r="C72" s="1">
        <f>Tabela1[[#This Row],[Alongamento (mm/mm)]]/$I$2</f>
        <v>3.7213999999999997E-2</v>
      </c>
      <c r="D72" s="2">
        <v>32.488999999999997</v>
      </c>
      <c r="E72" s="1">
        <f>Tabela1[[#This Row],[Força (N)]]/$I$5</f>
        <v>766756.34853204945</v>
      </c>
      <c r="F72" s="1">
        <f>Tabela1[[#This Row],[Tensão (Pa)]]/1000000</f>
        <v>0.76675634853204944</v>
      </c>
    </row>
    <row r="73" spans="1:6" x14ac:dyDescent="0.3">
      <c r="A73" s="2">
        <v>22.516999999999999</v>
      </c>
      <c r="B73" s="2">
        <v>1.869</v>
      </c>
      <c r="C73" s="1">
        <f>Tabela1[[#This Row],[Alongamento (mm/mm)]]/$I$2</f>
        <v>3.7379999999999997E-2</v>
      </c>
      <c r="D73" s="2">
        <v>33.168999999999997</v>
      </c>
      <c r="E73" s="1">
        <f>Tabela1[[#This Row],[Força (N)]]/$I$5</f>
        <v>782804.68233739259</v>
      </c>
      <c r="F73" s="1">
        <f>Tabela1[[#This Row],[Tensão (Pa)]]/1000000</f>
        <v>0.78280468233739253</v>
      </c>
    </row>
    <row r="74" spans="1:6" x14ac:dyDescent="0.3">
      <c r="A74" s="2">
        <v>22.6</v>
      </c>
      <c r="B74" s="2">
        <v>1.8759999999999999</v>
      </c>
      <c r="C74" s="1">
        <f>Tabela1[[#This Row],[Alongamento (mm/mm)]]/$I$2</f>
        <v>3.7519999999999998E-2</v>
      </c>
      <c r="D74" s="2">
        <v>33.85</v>
      </c>
      <c r="E74" s="1">
        <f>Tabela1[[#This Row],[Força (N)]]/$I$5</f>
        <v>798876.61663362605</v>
      </c>
      <c r="F74" s="1">
        <f>Tabela1[[#This Row],[Tensão (Pa)]]/1000000</f>
        <v>0.79887661663362608</v>
      </c>
    </row>
    <row r="75" spans="1:6" x14ac:dyDescent="0.3">
      <c r="A75" s="2">
        <v>22.683</v>
      </c>
      <c r="B75" s="2">
        <v>1.8829</v>
      </c>
      <c r="C75" s="1">
        <f>Tabela1[[#This Row],[Alongamento (mm/mm)]]/$I$2</f>
        <v>3.7657999999999997E-2</v>
      </c>
      <c r="D75" s="2">
        <v>34.53</v>
      </c>
      <c r="E75" s="1">
        <f>Tabela1[[#This Row],[Força (N)]]/$I$5</f>
        <v>814924.95043896919</v>
      </c>
      <c r="F75" s="1">
        <f>Tabela1[[#This Row],[Tensão (Pa)]]/1000000</f>
        <v>0.81492495043896918</v>
      </c>
    </row>
    <row r="76" spans="1:6" x14ac:dyDescent="0.3">
      <c r="A76" s="2">
        <v>22.783000000000001</v>
      </c>
      <c r="B76" s="2">
        <v>1.8913</v>
      </c>
      <c r="C76" s="1">
        <f>Tabela1[[#This Row],[Alongamento (mm/mm)]]/$I$2</f>
        <v>3.7825999999999999E-2</v>
      </c>
      <c r="D76" s="2">
        <v>35.21</v>
      </c>
      <c r="E76" s="1">
        <f>Tabela1[[#This Row],[Força (N)]]/$I$5</f>
        <v>830973.28424431232</v>
      </c>
      <c r="F76" s="1">
        <f>Tabela1[[#This Row],[Tensão (Pa)]]/1000000</f>
        <v>0.83097328424431227</v>
      </c>
    </row>
    <row r="77" spans="1:6" x14ac:dyDescent="0.3">
      <c r="A77" s="2">
        <v>22.867000000000001</v>
      </c>
      <c r="B77" s="2">
        <v>1.8982000000000001</v>
      </c>
      <c r="C77" s="1">
        <f>Tabela1[[#This Row],[Alongamento (mm/mm)]]/$I$2</f>
        <v>3.7964000000000005E-2</v>
      </c>
      <c r="D77" s="2">
        <v>35.890999999999998</v>
      </c>
      <c r="E77" s="1">
        <f>Tabela1[[#This Row],[Força (N)]]/$I$5</f>
        <v>847045.21854054555</v>
      </c>
      <c r="F77" s="1">
        <f>Tabela1[[#This Row],[Tensão (Pa)]]/1000000</f>
        <v>0.8470452185405456</v>
      </c>
    </row>
    <row r="78" spans="1:6" x14ac:dyDescent="0.3">
      <c r="A78" s="2">
        <v>22.966999999999999</v>
      </c>
      <c r="B78" s="2">
        <v>1.9066000000000001</v>
      </c>
      <c r="C78" s="1">
        <f>Tabela1[[#This Row],[Alongamento (mm/mm)]]/$I$2</f>
        <v>3.8131999999999999E-2</v>
      </c>
      <c r="D78" s="2">
        <v>36.570999999999998</v>
      </c>
      <c r="E78" s="1">
        <f>Tabela1[[#This Row],[Força (N)]]/$I$5</f>
        <v>863093.55234588869</v>
      </c>
      <c r="F78" s="1">
        <f>Tabela1[[#This Row],[Tensão (Pa)]]/1000000</f>
        <v>0.86309355234588869</v>
      </c>
    </row>
    <row r="79" spans="1:6" x14ac:dyDescent="0.3">
      <c r="A79" s="2">
        <v>23.05</v>
      </c>
      <c r="B79" s="2">
        <v>1.9136</v>
      </c>
      <c r="C79" s="1">
        <f>Tabela1[[#This Row],[Alongamento (mm/mm)]]/$I$2</f>
        <v>3.8272E-2</v>
      </c>
      <c r="D79" s="2">
        <v>37.252000000000002</v>
      </c>
      <c r="E79" s="1">
        <f>Tabela1[[#This Row],[Força (N)]]/$I$5</f>
        <v>879165.48664212215</v>
      </c>
      <c r="F79" s="1">
        <f>Tabela1[[#This Row],[Tensão (Pa)]]/1000000</f>
        <v>0.87916548664212213</v>
      </c>
    </row>
    <row r="80" spans="1:6" x14ac:dyDescent="0.3">
      <c r="A80" s="2">
        <v>23.15</v>
      </c>
      <c r="B80" s="2">
        <v>1.9218</v>
      </c>
      <c r="C80" s="1">
        <f>Tabela1[[#This Row],[Alongamento (mm/mm)]]/$I$2</f>
        <v>3.8435999999999998E-2</v>
      </c>
      <c r="D80" s="2">
        <v>37.932000000000002</v>
      </c>
      <c r="E80" s="1">
        <f>Tabela1[[#This Row],[Força (N)]]/$I$5</f>
        <v>895213.8204474654</v>
      </c>
      <c r="F80" s="1">
        <f>Tabela1[[#This Row],[Tensão (Pa)]]/1000000</f>
        <v>0.89521382044746545</v>
      </c>
    </row>
    <row r="81" spans="1:6" x14ac:dyDescent="0.3">
      <c r="A81" s="2">
        <v>23.25</v>
      </c>
      <c r="B81" s="2">
        <v>1.9300999999999999</v>
      </c>
      <c r="C81" s="1">
        <f>Tabela1[[#This Row],[Alongamento (mm/mm)]]/$I$2</f>
        <v>3.8601999999999997E-2</v>
      </c>
      <c r="D81" s="2">
        <v>38.612000000000002</v>
      </c>
      <c r="E81" s="1">
        <f>Tabela1[[#This Row],[Força (N)]]/$I$5</f>
        <v>911262.15425280854</v>
      </c>
      <c r="F81" s="1">
        <f>Tabela1[[#This Row],[Tensão (Pa)]]/1000000</f>
        <v>0.91126215425280854</v>
      </c>
    </row>
    <row r="82" spans="1:6" x14ac:dyDescent="0.3">
      <c r="A82" s="2">
        <v>23.317</v>
      </c>
      <c r="B82" s="2">
        <v>1.9356</v>
      </c>
      <c r="C82" s="1">
        <f>Tabela1[[#This Row],[Alongamento (mm/mm)]]/$I$2</f>
        <v>3.8711999999999996E-2</v>
      </c>
      <c r="D82" s="2">
        <v>39.292999999999999</v>
      </c>
      <c r="E82" s="1">
        <f>Tabela1[[#This Row],[Força (N)]]/$I$5</f>
        <v>927334.08854904177</v>
      </c>
      <c r="F82" s="1">
        <f>Tabela1[[#This Row],[Tensão (Pa)]]/1000000</f>
        <v>0.92733408854904176</v>
      </c>
    </row>
    <row r="83" spans="1:6" x14ac:dyDescent="0.3">
      <c r="A83" s="2">
        <v>23.4</v>
      </c>
      <c r="B83" s="2">
        <v>1.9426000000000001</v>
      </c>
      <c r="C83" s="1">
        <f>Tabela1[[#This Row],[Alongamento (mm/mm)]]/$I$2</f>
        <v>3.8852000000000005E-2</v>
      </c>
      <c r="D83" s="2">
        <v>39.972999999999999</v>
      </c>
      <c r="E83" s="1">
        <f>Tabela1[[#This Row],[Força (N)]]/$I$5</f>
        <v>943382.42235438491</v>
      </c>
      <c r="F83" s="1">
        <f>Tabela1[[#This Row],[Tensão (Pa)]]/1000000</f>
        <v>0.94338242235438485</v>
      </c>
    </row>
    <row r="84" spans="1:6" x14ac:dyDescent="0.3">
      <c r="A84" s="2">
        <v>23.483000000000001</v>
      </c>
      <c r="B84" s="2">
        <v>1.9496</v>
      </c>
      <c r="C84" s="1">
        <f>Tabela1[[#This Row],[Alongamento (mm/mm)]]/$I$2</f>
        <v>3.8991999999999999E-2</v>
      </c>
      <c r="D84" s="2">
        <v>40.654000000000003</v>
      </c>
      <c r="E84" s="1">
        <f>Tabela1[[#This Row],[Força (N)]]/$I$5</f>
        <v>959454.35665061837</v>
      </c>
      <c r="F84" s="1">
        <f>Tabela1[[#This Row],[Tensão (Pa)]]/1000000</f>
        <v>0.9594543566506184</v>
      </c>
    </row>
    <row r="85" spans="1:6" x14ac:dyDescent="0.3">
      <c r="A85" s="2">
        <v>23.567</v>
      </c>
      <c r="B85" s="2">
        <v>1.9564999999999999</v>
      </c>
      <c r="C85" s="1">
        <f>Tabela1[[#This Row],[Alongamento (mm/mm)]]/$I$2</f>
        <v>3.9129999999999998E-2</v>
      </c>
      <c r="D85" s="2">
        <v>41.334000000000003</v>
      </c>
      <c r="E85" s="1">
        <f>Tabela1[[#This Row],[Força (N)]]/$I$5</f>
        <v>975502.69045596151</v>
      </c>
      <c r="F85" s="1">
        <f>Tabela1[[#This Row],[Tensão (Pa)]]/1000000</f>
        <v>0.9755026904559615</v>
      </c>
    </row>
    <row r="86" spans="1:6" x14ac:dyDescent="0.3">
      <c r="A86" s="2">
        <v>23.65</v>
      </c>
      <c r="B86" s="2">
        <v>1.9635</v>
      </c>
      <c r="C86" s="1">
        <f>Tabela1[[#This Row],[Alongamento (mm/mm)]]/$I$2</f>
        <v>3.9269999999999999E-2</v>
      </c>
      <c r="D86" s="2">
        <v>42.014000000000003</v>
      </c>
      <c r="E86" s="1">
        <f>Tabela1[[#This Row],[Força (N)]]/$I$5</f>
        <v>991551.02426130464</v>
      </c>
      <c r="F86" s="1">
        <f>Tabela1[[#This Row],[Tensão (Pa)]]/1000000</f>
        <v>0.99155102426130459</v>
      </c>
    </row>
    <row r="87" spans="1:6" x14ac:dyDescent="0.3">
      <c r="A87" s="2">
        <v>23.733000000000001</v>
      </c>
      <c r="B87" s="2">
        <v>1.9704999999999999</v>
      </c>
      <c r="C87" s="1">
        <f>Tabela1[[#This Row],[Alongamento (mm/mm)]]/$I$2</f>
        <v>3.9410000000000001E-2</v>
      </c>
      <c r="D87" s="2">
        <v>42.695</v>
      </c>
      <c r="E87" s="1">
        <f>Tabela1[[#This Row],[Força (N)]]/$I$5</f>
        <v>1007622.958557538</v>
      </c>
      <c r="F87" s="1">
        <f>Tabela1[[#This Row],[Tensão (Pa)]]/1000000</f>
        <v>1.007622958557538</v>
      </c>
    </row>
    <row r="88" spans="1:6" x14ac:dyDescent="0.3">
      <c r="A88" s="2">
        <v>23.817</v>
      </c>
      <c r="B88" s="2">
        <v>1.9773000000000001</v>
      </c>
      <c r="C88" s="1">
        <f>Tabela1[[#This Row],[Alongamento (mm/mm)]]/$I$2</f>
        <v>3.9545999999999998E-2</v>
      </c>
      <c r="D88" s="2">
        <v>43.375</v>
      </c>
      <c r="E88" s="1">
        <f>Tabela1[[#This Row],[Força (N)]]/$I$5</f>
        <v>1023671.2923628811</v>
      </c>
      <c r="F88" s="1">
        <f>Tabela1[[#This Row],[Tensão (Pa)]]/1000000</f>
        <v>1.0236712923628812</v>
      </c>
    </row>
    <row r="89" spans="1:6" x14ac:dyDescent="0.3">
      <c r="A89" s="2">
        <v>23.9</v>
      </c>
      <c r="B89" s="2">
        <v>1.9843999999999999</v>
      </c>
      <c r="C89" s="1">
        <f>Tabela1[[#This Row],[Alongamento (mm/mm)]]/$I$2</f>
        <v>3.9688000000000001E-2</v>
      </c>
      <c r="D89" s="2">
        <v>44.055999999999997</v>
      </c>
      <c r="E89" s="1">
        <f>Tabela1[[#This Row],[Força (N)]]/$I$5</f>
        <v>1039743.2266591145</v>
      </c>
      <c r="F89" s="1">
        <f>Tabela1[[#This Row],[Tensão (Pa)]]/1000000</f>
        <v>1.0397432266591145</v>
      </c>
    </row>
    <row r="90" spans="1:6" x14ac:dyDescent="0.3">
      <c r="A90" s="2">
        <v>23.966999999999999</v>
      </c>
      <c r="B90" s="2">
        <v>1.9899</v>
      </c>
      <c r="C90" s="1">
        <f>Tabela1[[#This Row],[Alongamento (mm/mm)]]/$I$2</f>
        <v>3.9798E-2</v>
      </c>
      <c r="D90" s="2">
        <v>44.735999999999997</v>
      </c>
      <c r="E90" s="1">
        <f>Tabela1[[#This Row],[Força (N)]]/$I$5</f>
        <v>1055791.5604644576</v>
      </c>
      <c r="F90" s="1">
        <f>Tabela1[[#This Row],[Tensão (Pa)]]/1000000</f>
        <v>1.0557915604644577</v>
      </c>
    </row>
    <row r="91" spans="1:6" x14ac:dyDescent="0.3">
      <c r="A91" s="2">
        <v>24.05</v>
      </c>
      <c r="B91" s="2">
        <v>1.9967999999999999</v>
      </c>
      <c r="C91" s="1">
        <f>Tabela1[[#This Row],[Alongamento (mm/mm)]]/$I$2</f>
        <v>3.9935999999999999E-2</v>
      </c>
      <c r="D91" s="2">
        <v>45.415999999999997</v>
      </c>
      <c r="E91" s="1">
        <f>Tabela1[[#This Row],[Força (N)]]/$I$5</f>
        <v>1071839.8942698007</v>
      </c>
      <c r="F91" s="1">
        <f>Tabela1[[#This Row],[Tensão (Pa)]]/1000000</f>
        <v>1.0718398942698006</v>
      </c>
    </row>
    <row r="92" spans="1:6" x14ac:dyDescent="0.3">
      <c r="A92" s="2">
        <v>24.132999999999999</v>
      </c>
      <c r="B92" s="2">
        <v>2.0036999999999998</v>
      </c>
      <c r="C92" s="1">
        <f>Tabela1[[#This Row],[Alongamento (mm/mm)]]/$I$2</f>
        <v>4.0073999999999999E-2</v>
      </c>
      <c r="D92" s="2">
        <v>46.097000000000001</v>
      </c>
      <c r="E92" s="1">
        <f>Tabela1[[#This Row],[Força (N)]]/$I$5</f>
        <v>1087911.8285660341</v>
      </c>
      <c r="F92" s="1">
        <f>Tabela1[[#This Row],[Tensão (Pa)]]/1000000</f>
        <v>1.0879118285660341</v>
      </c>
    </row>
    <row r="93" spans="1:6" x14ac:dyDescent="0.3">
      <c r="A93" s="2">
        <v>24.216999999999999</v>
      </c>
      <c r="B93" s="2">
        <v>2.0106999999999999</v>
      </c>
      <c r="C93" s="1">
        <f>Tabela1[[#This Row],[Alongamento (mm/mm)]]/$I$2</f>
        <v>4.0214E-2</v>
      </c>
      <c r="D93" s="2">
        <v>46.777000000000001</v>
      </c>
      <c r="E93" s="1">
        <f>Tabela1[[#This Row],[Força (N)]]/$I$5</f>
        <v>1103960.1623713772</v>
      </c>
      <c r="F93" s="1">
        <f>Tabela1[[#This Row],[Tensão (Pa)]]/1000000</f>
        <v>1.1039601623713773</v>
      </c>
    </row>
    <row r="94" spans="1:6" x14ac:dyDescent="0.3">
      <c r="A94" s="2">
        <v>24.283000000000001</v>
      </c>
      <c r="B94" s="2">
        <v>2.0163000000000002</v>
      </c>
      <c r="C94" s="1">
        <f>Tabela1[[#This Row],[Alongamento (mm/mm)]]/$I$2</f>
        <v>4.0326000000000001E-2</v>
      </c>
      <c r="D94" s="2">
        <v>47.457999999999998</v>
      </c>
      <c r="E94" s="1">
        <f>Tabela1[[#This Row],[Força (N)]]/$I$5</f>
        <v>1120032.0966676106</v>
      </c>
      <c r="F94" s="1">
        <f>Tabela1[[#This Row],[Tensão (Pa)]]/1000000</f>
        <v>1.1200320966676105</v>
      </c>
    </row>
    <row r="95" spans="1:6" x14ac:dyDescent="0.3">
      <c r="A95" s="2">
        <v>24.35</v>
      </c>
      <c r="B95" s="2">
        <v>2.0217999999999998</v>
      </c>
      <c r="C95" s="1">
        <f>Tabela1[[#This Row],[Alongamento (mm/mm)]]/$I$2</f>
        <v>4.0436E-2</v>
      </c>
      <c r="D95" s="2">
        <v>48.137999999999998</v>
      </c>
      <c r="E95" s="1">
        <f>Tabela1[[#This Row],[Força (N)]]/$I$5</f>
        <v>1136080.4304729537</v>
      </c>
      <c r="F95" s="1">
        <f>Tabela1[[#This Row],[Tensão (Pa)]]/1000000</f>
        <v>1.1360804304729537</v>
      </c>
    </row>
    <row r="96" spans="1:6" x14ac:dyDescent="0.3">
      <c r="A96" s="2">
        <v>24.433</v>
      </c>
      <c r="B96" s="2">
        <v>2.0287000000000002</v>
      </c>
      <c r="C96" s="1">
        <f>Tabela1[[#This Row],[Alongamento (mm/mm)]]/$I$2</f>
        <v>4.0574000000000006E-2</v>
      </c>
      <c r="D96" s="2">
        <v>48.817999999999998</v>
      </c>
      <c r="E96" s="1">
        <f>Tabela1[[#This Row],[Força (N)]]/$I$5</f>
        <v>1152128.7642782968</v>
      </c>
      <c r="F96" s="1">
        <f>Tabela1[[#This Row],[Tensão (Pa)]]/1000000</f>
        <v>1.1521287642782969</v>
      </c>
    </row>
    <row r="97" spans="1:6" x14ac:dyDescent="0.3">
      <c r="A97" s="2">
        <v>24.5</v>
      </c>
      <c r="B97" s="2">
        <v>2.0341999999999998</v>
      </c>
      <c r="C97" s="1">
        <f>Tabela1[[#This Row],[Alongamento (mm/mm)]]/$I$2</f>
        <v>4.0683999999999998E-2</v>
      </c>
      <c r="D97" s="2">
        <v>49.499000000000002</v>
      </c>
      <c r="E97" s="1">
        <f>Tabela1[[#This Row],[Força (N)]]/$I$5</f>
        <v>1168200.6985745304</v>
      </c>
      <c r="F97" s="1">
        <f>Tabela1[[#This Row],[Tensão (Pa)]]/1000000</f>
        <v>1.1682006985745303</v>
      </c>
    </row>
    <row r="98" spans="1:6" x14ac:dyDescent="0.3">
      <c r="A98" s="2">
        <v>24.567</v>
      </c>
      <c r="B98" s="2">
        <v>2.0398000000000001</v>
      </c>
      <c r="C98" s="1">
        <f>Tabela1[[#This Row],[Alongamento (mm/mm)]]/$I$2</f>
        <v>4.0795999999999999E-2</v>
      </c>
      <c r="D98" s="2">
        <v>50.179000000000002</v>
      </c>
      <c r="E98" s="1">
        <f>Tabela1[[#This Row],[Força (N)]]/$I$5</f>
        <v>1184249.0323798736</v>
      </c>
      <c r="F98" s="1">
        <f>Tabela1[[#This Row],[Tensão (Pa)]]/1000000</f>
        <v>1.1842490323798736</v>
      </c>
    </row>
    <row r="99" spans="1:6" x14ac:dyDescent="0.3">
      <c r="A99" s="2">
        <v>24.65</v>
      </c>
      <c r="B99" s="2">
        <v>2.0468000000000002</v>
      </c>
      <c r="C99" s="1">
        <f>Tabela1[[#This Row],[Alongamento (mm/mm)]]/$I$2</f>
        <v>4.0936E-2</v>
      </c>
      <c r="D99" s="2">
        <v>50.86</v>
      </c>
      <c r="E99" s="1">
        <f>Tabela1[[#This Row],[Força (N)]]/$I$5</f>
        <v>1200320.9666761069</v>
      </c>
      <c r="F99" s="1">
        <f>Tabela1[[#This Row],[Tensão (Pa)]]/1000000</f>
        <v>1.200320966676107</v>
      </c>
    </row>
    <row r="100" spans="1:6" x14ac:dyDescent="0.3">
      <c r="A100" s="2">
        <v>24.716999999999999</v>
      </c>
      <c r="B100" s="2">
        <v>2.0524</v>
      </c>
      <c r="C100" s="1">
        <f>Tabela1[[#This Row],[Alongamento (mm/mm)]]/$I$2</f>
        <v>4.1048000000000001E-2</v>
      </c>
      <c r="D100" s="2">
        <v>51.54</v>
      </c>
      <c r="E100" s="1">
        <f>Tabela1[[#This Row],[Força (N)]]/$I$5</f>
        <v>1216369.30048145</v>
      </c>
      <c r="F100" s="1">
        <f>Tabela1[[#This Row],[Tensão (Pa)]]/1000000</f>
        <v>1.21636930048145</v>
      </c>
    </row>
    <row r="101" spans="1:6" x14ac:dyDescent="0.3">
      <c r="A101" s="2">
        <v>24.783000000000001</v>
      </c>
      <c r="B101" s="2">
        <v>2.0579999999999998</v>
      </c>
      <c r="C101" s="1">
        <f>Tabela1[[#This Row],[Alongamento (mm/mm)]]/$I$2</f>
        <v>4.1159999999999995E-2</v>
      </c>
      <c r="D101" s="2">
        <v>52.22</v>
      </c>
      <c r="E101" s="1">
        <f>Tabela1[[#This Row],[Força (N)]]/$I$5</f>
        <v>1232417.6342867932</v>
      </c>
      <c r="F101" s="1">
        <f>Tabela1[[#This Row],[Tensão (Pa)]]/1000000</f>
        <v>1.2324176342867932</v>
      </c>
    </row>
    <row r="102" spans="1:6" x14ac:dyDescent="0.3">
      <c r="A102" s="2">
        <v>24.867000000000001</v>
      </c>
      <c r="B102" s="2">
        <v>2.0649000000000002</v>
      </c>
      <c r="C102" s="1">
        <f>Tabela1[[#This Row],[Alongamento (mm/mm)]]/$I$2</f>
        <v>4.1298000000000001E-2</v>
      </c>
      <c r="D102" s="2">
        <v>52.901000000000003</v>
      </c>
      <c r="E102" s="1">
        <f>Tabela1[[#This Row],[Força (N)]]/$I$5</f>
        <v>1248489.5685830265</v>
      </c>
      <c r="F102" s="1">
        <f>Tabela1[[#This Row],[Tensão (Pa)]]/1000000</f>
        <v>1.2484895685830266</v>
      </c>
    </row>
    <row r="103" spans="1:6" x14ac:dyDescent="0.3">
      <c r="A103" s="2">
        <v>24.933</v>
      </c>
      <c r="B103" s="2">
        <v>2.0703999999999998</v>
      </c>
      <c r="C103" s="1">
        <f>Tabela1[[#This Row],[Alongamento (mm/mm)]]/$I$2</f>
        <v>4.1407999999999993E-2</v>
      </c>
      <c r="D103" s="2">
        <v>53.581000000000003</v>
      </c>
      <c r="E103" s="1">
        <f>Tabela1[[#This Row],[Força (N)]]/$I$5</f>
        <v>1264537.9023883697</v>
      </c>
      <c r="F103" s="1">
        <f>Tabela1[[#This Row],[Tensão (Pa)]]/1000000</f>
        <v>1.2645379023883696</v>
      </c>
    </row>
    <row r="104" spans="1:6" x14ac:dyDescent="0.3">
      <c r="A104" s="2">
        <v>25</v>
      </c>
      <c r="B104" s="2">
        <v>2.0758999999999999</v>
      </c>
      <c r="C104" s="1">
        <f>Tabela1[[#This Row],[Alongamento (mm/mm)]]/$I$2</f>
        <v>4.1517999999999999E-2</v>
      </c>
      <c r="D104" s="2">
        <v>54.262</v>
      </c>
      <c r="E104" s="1">
        <f>Tabela1[[#This Row],[Força (N)]]/$I$5</f>
        <v>1280609.836684603</v>
      </c>
      <c r="F104" s="1">
        <f>Tabela1[[#This Row],[Tensão (Pa)]]/1000000</f>
        <v>1.280609836684603</v>
      </c>
    </row>
    <row r="105" spans="1:6" x14ac:dyDescent="0.3">
      <c r="A105" s="2">
        <v>25.067</v>
      </c>
      <c r="B105" s="2">
        <v>2.0815000000000001</v>
      </c>
      <c r="C105" s="1">
        <f>Tabela1[[#This Row],[Alongamento (mm/mm)]]/$I$2</f>
        <v>4.163E-2</v>
      </c>
      <c r="D105" s="2">
        <v>54.942</v>
      </c>
      <c r="E105" s="1">
        <f>Tabela1[[#This Row],[Força (N)]]/$I$5</f>
        <v>1296658.1704899461</v>
      </c>
      <c r="F105" s="1">
        <f>Tabela1[[#This Row],[Tensão (Pa)]]/1000000</f>
        <v>1.2966581704899462</v>
      </c>
    </row>
    <row r="106" spans="1:6" x14ac:dyDescent="0.3">
      <c r="A106" s="2">
        <v>25.132999999999999</v>
      </c>
      <c r="B106" s="2">
        <v>2.0871</v>
      </c>
      <c r="C106" s="1">
        <f>Tabela1[[#This Row],[Alongamento (mm/mm)]]/$I$2</f>
        <v>4.1742000000000001E-2</v>
      </c>
      <c r="D106" s="2">
        <v>55.622</v>
      </c>
      <c r="E106" s="1">
        <f>Tabela1[[#This Row],[Força (N)]]/$I$5</f>
        <v>1312706.5042952893</v>
      </c>
      <c r="F106" s="1">
        <f>Tabela1[[#This Row],[Tensão (Pa)]]/1000000</f>
        <v>1.3127065042952892</v>
      </c>
    </row>
    <row r="107" spans="1:6" x14ac:dyDescent="0.3">
      <c r="A107" s="2">
        <v>25.2</v>
      </c>
      <c r="B107" s="2">
        <v>2.0926999999999998</v>
      </c>
      <c r="C107" s="1">
        <f>Tabela1[[#This Row],[Alongamento (mm/mm)]]/$I$2</f>
        <v>4.1853999999999995E-2</v>
      </c>
      <c r="D107" s="2">
        <v>56.302999999999997</v>
      </c>
      <c r="E107" s="1">
        <f>Tabela1[[#This Row],[Força (N)]]/$I$5</f>
        <v>1328778.4385915226</v>
      </c>
      <c r="F107" s="1">
        <f>Tabela1[[#This Row],[Tensão (Pa)]]/1000000</f>
        <v>1.3287784385915227</v>
      </c>
    </row>
    <row r="108" spans="1:6" x14ac:dyDescent="0.3">
      <c r="A108" s="2">
        <v>25.266999999999999</v>
      </c>
      <c r="B108" s="2">
        <v>2.0983000000000001</v>
      </c>
      <c r="C108" s="1">
        <f>Tabela1[[#This Row],[Alongamento (mm/mm)]]/$I$2</f>
        <v>4.1966000000000003E-2</v>
      </c>
      <c r="D108" s="2">
        <v>56.982999999999997</v>
      </c>
      <c r="E108" s="1">
        <f>Tabela1[[#This Row],[Força (N)]]/$I$5</f>
        <v>1344826.7723968658</v>
      </c>
      <c r="F108" s="1">
        <f>Tabela1[[#This Row],[Tensão (Pa)]]/1000000</f>
        <v>1.3448267723968659</v>
      </c>
    </row>
    <row r="109" spans="1:6" x14ac:dyDescent="0.3">
      <c r="A109" s="2">
        <v>25.332999999999998</v>
      </c>
      <c r="B109" s="2">
        <v>2.1038999999999999</v>
      </c>
      <c r="C109" s="1">
        <f>Tabela1[[#This Row],[Alongamento (mm/mm)]]/$I$2</f>
        <v>4.2077999999999997E-2</v>
      </c>
      <c r="D109" s="2">
        <v>57.662999999999997</v>
      </c>
      <c r="E109" s="1">
        <f>Tabela1[[#This Row],[Força (N)]]/$I$5</f>
        <v>1360875.1062022089</v>
      </c>
      <c r="F109" s="1">
        <f>Tabela1[[#This Row],[Tensão (Pa)]]/1000000</f>
        <v>1.3608751062022089</v>
      </c>
    </row>
    <row r="110" spans="1:6" x14ac:dyDescent="0.3">
      <c r="A110" s="2">
        <v>25.4</v>
      </c>
      <c r="B110" s="2">
        <v>2.1093000000000002</v>
      </c>
      <c r="C110" s="1">
        <f>Tabela1[[#This Row],[Alongamento (mm/mm)]]/$I$2</f>
        <v>4.2186000000000001E-2</v>
      </c>
      <c r="D110" s="2">
        <v>58.344000000000001</v>
      </c>
      <c r="E110" s="1">
        <f>Tabela1[[#This Row],[Força (N)]]/$I$5</f>
        <v>1376947.0404984425</v>
      </c>
      <c r="F110" s="1">
        <f>Tabela1[[#This Row],[Tensão (Pa)]]/1000000</f>
        <v>1.3769470404984425</v>
      </c>
    </row>
    <row r="111" spans="1:6" x14ac:dyDescent="0.3">
      <c r="A111" s="2">
        <v>25.483000000000001</v>
      </c>
      <c r="B111" s="2">
        <v>2.1162000000000001</v>
      </c>
      <c r="C111" s="1">
        <f>Tabela1[[#This Row],[Alongamento (mm/mm)]]/$I$2</f>
        <v>4.2324000000000001E-2</v>
      </c>
      <c r="D111" s="2">
        <v>59.024000000000001</v>
      </c>
      <c r="E111" s="1">
        <f>Tabela1[[#This Row],[Força (N)]]/$I$5</f>
        <v>1392995.3743037856</v>
      </c>
      <c r="F111" s="1">
        <f>Tabela1[[#This Row],[Tensão (Pa)]]/1000000</f>
        <v>1.3929953743037857</v>
      </c>
    </row>
    <row r="112" spans="1:6" x14ac:dyDescent="0.3">
      <c r="A112" s="2">
        <v>25.55</v>
      </c>
      <c r="B112" s="2">
        <v>2.1217000000000001</v>
      </c>
      <c r="C112" s="1">
        <f>Tabela1[[#This Row],[Alongamento (mm/mm)]]/$I$2</f>
        <v>4.2433999999999999E-2</v>
      </c>
      <c r="D112" s="2">
        <v>59.704999999999998</v>
      </c>
      <c r="E112" s="1">
        <f>Tabela1[[#This Row],[Força (N)]]/$I$5</f>
        <v>1409067.3086000187</v>
      </c>
      <c r="F112" s="1">
        <f>Tabela1[[#This Row],[Tensão (Pa)]]/1000000</f>
        <v>1.4090673086000187</v>
      </c>
    </row>
    <row r="113" spans="1:6" x14ac:dyDescent="0.3">
      <c r="A113" s="2">
        <v>25.6</v>
      </c>
      <c r="B113" s="2">
        <v>2.1259999999999999</v>
      </c>
      <c r="C113" s="1">
        <f>Tabela1[[#This Row],[Alongamento (mm/mm)]]/$I$2</f>
        <v>4.2519999999999995E-2</v>
      </c>
      <c r="D113" s="2">
        <v>60.384999999999998</v>
      </c>
      <c r="E113" s="1">
        <f>Tabela1[[#This Row],[Força (N)]]/$I$5</f>
        <v>1425115.6424053619</v>
      </c>
      <c r="F113" s="1">
        <f>Tabela1[[#This Row],[Tensão (Pa)]]/1000000</f>
        <v>1.4251156424053619</v>
      </c>
    </row>
    <row r="114" spans="1:6" x14ac:dyDescent="0.3">
      <c r="A114" s="2">
        <v>25.667000000000002</v>
      </c>
      <c r="B114" s="2">
        <v>2.1315</v>
      </c>
      <c r="C114" s="1">
        <f>Tabela1[[#This Row],[Alongamento (mm/mm)]]/$I$2</f>
        <v>4.2630000000000001E-2</v>
      </c>
      <c r="D114" s="2">
        <v>61.064999999999998</v>
      </c>
      <c r="E114" s="1">
        <f>Tabela1[[#This Row],[Força (N)]]/$I$5</f>
        <v>1441163.9762107052</v>
      </c>
      <c r="F114" s="1">
        <f>Tabela1[[#This Row],[Tensão (Pa)]]/1000000</f>
        <v>1.4411639762107051</v>
      </c>
    </row>
    <row r="115" spans="1:6" x14ac:dyDescent="0.3">
      <c r="A115" s="2">
        <v>25.733000000000001</v>
      </c>
      <c r="B115" s="2">
        <v>2.137</v>
      </c>
      <c r="C115" s="1">
        <f>Tabela1[[#This Row],[Alongamento (mm/mm)]]/$I$2</f>
        <v>4.274E-2</v>
      </c>
      <c r="D115" s="2">
        <v>61.746000000000002</v>
      </c>
      <c r="E115" s="1">
        <f>Tabela1[[#This Row],[Força (N)]]/$I$5</f>
        <v>1457235.9105069386</v>
      </c>
      <c r="F115" s="1">
        <f>Tabela1[[#This Row],[Tensão (Pa)]]/1000000</f>
        <v>1.4572359105069386</v>
      </c>
    </row>
    <row r="116" spans="1:6" x14ac:dyDescent="0.3">
      <c r="A116" s="2">
        <v>25.783000000000001</v>
      </c>
      <c r="B116" s="2">
        <v>2.1413000000000002</v>
      </c>
      <c r="C116" s="1">
        <f>Tabela1[[#This Row],[Alongamento (mm/mm)]]/$I$2</f>
        <v>4.2826000000000003E-2</v>
      </c>
      <c r="D116" s="2">
        <v>62.426000000000002</v>
      </c>
      <c r="E116" s="1">
        <f>Tabela1[[#This Row],[Força (N)]]/$I$5</f>
        <v>1473284.2443122817</v>
      </c>
      <c r="F116" s="1">
        <f>Tabela1[[#This Row],[Tensão (Pa)]]/1000000</f>
        <v>1.4732842443122818</v>
      </c>
    </row>
    <row r="117" spans="1:6" x14ac:dyDescent="0.3">
      <c r="A117" s="2">
        <v>25.85</v>
      </c>
      <c r="B117" s="2">
        <v>2.1467999999999998</v>
      </c>
      <c r="C117" s="1">
        <f>Tabela1[[#This Row],[Alongamento (mm/mm)]]/$I$2</f>
        <v>4.2935999999999995E-2</v>
      </c>
      <c r="D117" s="2">
        <v>63.277000000000001</v>
      </c>
      <c r="E117" s="1">
        <f>Tabela1[[#This Row],[Força (N)]]/$I$5</f>
        <v>1493368.2620598509</v>
      </c>
      <c r="F117" s="1">
        <f>Tabela1[[#This Row],[Tensão (Pa)]]/1000000</f>
        <v>1.493368262059851</v>
      </c>
    </row>
    <row r="118" spans="1:6" x14ac:dyDescent="0.3">
      <c r="A118" s="2">
        <v>25.917000000000002</v>
      </c>
      <c r="B118" s="2">
        <v>2.1522999999999999</v>
      </c>
      <c r="C118" s="1">
        <f>Tabela1[[#This Row],[Alongamento (mm/mm)]]/$I$2</f>
        <v>4.3046000000000001E-2</v>
      </c>
      <c r="D118" s="2">
        <v>63.957000000000001</v>
      </c>
      <c r="E118" s="1">
        <f>Tabela1[[#This Row],[Força (N)]]/$I$5</f>
        <v>1509416.595865194</v>
      </c>
      <c r="F118" s="1">
        <f>Tabela1[[#This Row],[Tensão (Pa)]]/1000000</f>
        <v>1.5094165958651939</v>
      </c>
    </row>
    <row r="119" spans="1:6" x14ac:dyDescent="0.3">
      <c r="A119" s="2">
        <v>25.966999999999999</v>
      </c>
      <c r="B119" s="2">
        <v>2.1566000000000001</v>
      </c>
      <c r="C119" s="1">
        <f>Tabela1[[#This Row],[Alongamento (mm/mm)]]/$I$2</f>
        <v>4.3132000000000004E-2</v>
      </c>
      <c r="D119" s="2">
        <v>64.638000000000005</v>
      </c>
      <c r="E119" s="1">
        <f>Tabela1[[#This Row],[Força (N)]]/$I$5</f>
        <v>1525488.5301614276</v>
      </c>
      <c r="F119" s="1">
        <f>Tabela1[[#This Row],[Tensão (Pa)]]/1000000</f>
        <v>1.5254885301614276</v>
      </c>
    </row>
    <row r="120" spans="1:6" x14ac:dyDescent="0.3">
      <c r="A120" s="2">
        <v>26.033000000000001</v>
      </c>
      <c r="B120" s="2">
        <v>2.1621000000000001</v>
      </c>
      <c r="C120" s="1">
        <f>Tabela1[[#This Row],[Alongamento (mm/mm)]]/$I$2</f>
        <v>4.3242000000000003E-2</v>
      </c>
      <c r="D120" s="2">
        <v>65.317999999999998</v>
      </c>
      <c r="E120" s="1">
        <f>Tabela1[[#This Row],[Força (N)]]/$I$5</f>
        <v>1541536.8639667705</v>
      </c>
      <c r="F120" s="1">
        <f>Tabela1[[#This Row],[Tensão (Pa)]]/1000000</f>
        <v>1.5415368639667704</v>
      </c>
    </row>
    <row r="121" spans="1:6" x14ac:dyDescent="0.3">
      <c r="A121" s="2">
        <v>26.082999999999998</v>
      </c>
      <c r="B121" s="2">
        <v>2.1663000000000001</v>
      </c>
      <c r="C121" s="1">
        <f>Tabela1[[#This Row],[Alongamento (mm/mm)]]/$I$2</f>
        <v>4.3326000000000003E-2</v>
      </c>
      <c r="D121" s="2">
        <v>65.998000000000005</v>
      </c>
      <c r="E121" s="1">
        <f>Tabela1[[#This Row],[Força (N)]]/$I$5</f>
        <v>1557585.1977721138</v>
      </c>
      <c r="F121" s="1">
        <f>Tabela1[[#This Row],[Tensão (Pa)]]/1000000</f>
        <v>1.5575851977721138</v>
      </c>
    </row>
    <row r="122" spans="1:6" x14ac:dyDescent="0.3">
      <c r="A122" s="2">
        <v>26.15</v>
      </c>
      <c r="B122" s="2">
        <v>2.1718999999999999</v>
      </c>
      <c r="C122" s="1">
        <f>Tabela1[[#This Row],[Alongamento (mm/mm)]]/$I$2</f>
        <v>4.3437999999999997E-2</v>
      </c>
      <c r="D122" s="2">
        <v>66.679000000000002</v>
      </c>
      <c r="E122" s="1">
        <f>Tabela1[[#This Row],[Força (N)]]/$I$5</f>
        <v>1573657.132068347</v>
      </c>
      <c r="F122" s="1">
        <f>Tabela1[[#This Row],[Tensão (Pa)]]/1000000</f>
        <v>1.573657132068347</v>
      </c>
    </row>
    <row r="123" spans="1:6" x14ac:dyDescent="0.3">
      <c r="A123" s="2">
        <v>26.2</v>
      </c>
      <c r="B123" s="2">
        <v>2.1760000000000002</v>
      </c>
      <c r="C123" s="1">
        <f>Tabela1[[#This Row],[Alongamento (mm/mm)]]/$I$2</f>
        <v>4.3520000000000003E-2</v>
      </c>
      <c r="D123" s="2">
        <v>67.358999999999995</v>
      </c>
      <c r="E123" s="1">
        <f>Tabela1[[#This Row],[Força (N)]]/$I$5</f>
        <v>1589705.4658736901</v>
      </c>
      <c r="F123" s="1">
        <f>Tabela1[[#This Row],[Tensão (Pa)]]/1000000</f>
        <v>1.58970546587369</v>
      </c>
    </row>
    <row r="124" spans="1:6" x14ac:dyDescent="0.3">
      <c r="A124" s="2">
        <v>26.266999999999999</v>
      </c>
      <c r="B124" s="2">
        <v>2.1816</v>
      </c>
      <c r="C124" s="1">
        <f>Tabela1[[#This Row],[Alongamento (mm/mm)]]/$I$2</f>
        <v>4.3631999999999997E-2</v>
      </c>
      <c r="D124" s="2">
        <v>68.209999999999994</v>
      </c>
      <c r="E124" s="1">
        <f>Tabela1[[#This Row],[Força (N)]]/$I$5</f>
        <v>1609789.4836212592</v>
      </c>
      <c r="F124" s="1">
        <f>Tabela1[[#This Row],[Tensão (Pa)]]/1000000</f>
        <v>1.6097894836212592</v>
      </c>
    </row>
    <row r="125" spans="1:6" x14ac:dyDescent="0.3">
      <c r="A125" s="2">
        <v>26.332999999999998</v>
      </c>
      <c r="B125" s="2">
        <v>2.1871</v>
      </c>
      <c r="C125" s="1">
        <f>Tabela1[[#This Row],[Alongamento (mm/mm)]]/$I$2</f>
        <v>4.3742000000000003E-2</v>
      </c>
      <c r="D125" s="2">
        <v>68.89</v>
      </c>
      <c r="E125" s="1">
        <f>Tabela1[[#This Row],[Força (N)]]/$I$5</f>
        <v>1625837.8174266026</v>
      </c>
      <c r="F125" s="1">
        <f>Tabela1[[#This Row],[Tensão (Pa)]]/1000000</f>
        <v>1.6258378174266026</v>
      </c>
    </row>
    <row r="126" spans="1:6" x14ac:dyDescent="0.3">
      <c r="A126" s="2">
        <v>26.382999999999999</v>
      </c>
      <c r="B126" s="2">
        <v>2.1911999999999998</v>
      </c>
      <c r="C126" s="1">
        <f>Tabela1[[#This Row],[Alongamento (mm/mm)]]/$I$2</f>
        <v>4.3823999999999995E-2</v>
      </c>
      <c r="D126" s="2">
        <v>69.569999999999993</v>
      </c>
      <c r="E126" s="1">
        <f>Tabela1[[#This Row],[Força (N)]]/$I$5</f>
        <v>1641886.1512319455</v>
      </c>
      <c r="F126" s="1">
        <f>Tabela1[[#This Row],[Tensão (Pa)]]/1000000</f>
        <v>1.6418861512319456</v>
      </c>
    </row>
    <row r="127" spans="1:6" x14ac:dyDescent="0.3">
      <c r="A127" s="2">
        <v>26.433</v>
      </c>
      <c r="B127" s="2">
        <v>2.1953999999999998</v>
      </c>
      <c r="C127" s="1">
        <f>Tabela1[[#This Row],[Alongamento (mm/mm)]]/$I$2</f>
        <v>4.3907999999999996E-2</v>
      </c>
      <c r="D127" s="2">
        <v>70.251000000000005</v>
      </c>
      <c r="E127" s="1">
        <f>Tabela1[[#This Row],[Força (N)]]/$I$5</f>
        <v>1657958.0855281791</v>
      </c>
      <c r="F127" s="1">
        <f>Tabela1[[#This Row],[Tensão (Pa)]]/1000000</f>
        <v>1.657958085528179</v>
      </c>
    </row>
    <row r="128" spans="1:6" x14ac:dyDescent="0.3">
      <c r="A128" s="2">
        <v>26.5</v>
      </c>
      <c r="B128" s="2">
        <v>2.2010000000000001</v>
      </c>
      <c r="C128" s="1">
        <f>Tabela1[[#This Row],[Alongamento (mm/mm)]]/$I$2</f>
        <v>4.4020000000000004E-2</v>
      </c>
      <c r="D128" s="2">
        <v>70.930999999999997</v>
      </c>
      <c r="E128" s="1">
        <f>Tabela1[[#This Row],[Força (N)]]/$I$5</f>
        <v>1674006.419333522</v>
      </c>
      <c r="F128" s="1">
        <f>Tabela1[[#This Row],[Tensão (Pa)]]/1000000</f>
        <v>1.674006419333522</v>
      </c>
    </row>
    <row r="129" spans="1:6" x14ac:dyDescent="0.3">
      <c r="A129" s="2">
        <v>26.55</v>
      </c>
      <c r="B129" s="2">
        <v>2.2050999999999998</v>
      </c>
      <c r="C129" s="1">
        <f>Tabela1[[#This Row],[Alongamento (mm/mm)]]/$I$2</f>
        <v>4.4101999999999995E-2</v>
      </c>
      <c r="D129" s="2">
        <v>71.611999999999995</v>
      </c>
      <c r="E129" s="1">
        <f>Tabela1[[#This Row],[Força (N)]]/$I$5</f>
        <v>1690078.3536297553</v>
      </c>
      <c r="F129" s="1">
        <f>Tabela1[[#This Row],[Tensão (Pa)]]/1000000</f>
        <v>1.6900783536297552</v>
      </c>
    </row>
    <row r="130" spans="1:6" x14ac:dyDescent="0.3">
      <c r="A130" s="2">
        <v>26.617000000000001</v>
      </c>
      <c r="B130" s="2">
        <v>2.2107000000000001</v>
      </c>
      <c r="C130" s="1">
        <f>Tabela1[[#This Row],[Alongamento (mm/mm)]]/$I$2</f>
        <v>4.4214000000000003E-2</v>
      </c>
      <c r="D130" s="2">
        <v>72.462000000000003</v>
      </c>
      <c r="E130" s="1">
        <f>Tabela1[[#This Row],[Força (N)]]/$I$5</f>
        <v>1710138.7708864345</v>
      </c>
      <c r="F130" s="1">
        <f>Tabela1[[#This Row],[Tensão (Pa)]]/1000000</f>
        <v>1.7101387708864344</v>
      </c>
    </row>
    <row r="131" spans="1:6" x14ac:dyDescent="0.3">
      <c r="A131" s="2">
        <v>26.683</v>
      </c>
      <c r="B131" s="2">
        <v>2.2162999999999999</v>
      </c>
      <c r="C131" s="1">
        <f>Tabela1[[#This Row],[Alongamento (mm/mm)]]/$I$2</f>
        <v>4.4325999999999997E-2</v>
      </c>
      <c r="D131" s="2">
        <v>73.141999999999996</v>
      </c>
      <c r="E131" s="1">
        <f>Tabela1[[#This Row],[Força (N)]]/$I$5</f>
        <v>1726187.1046917774</v>
      </c>
      <c r="F131" s="1">
        <f>Tabela1[[#This Row],[Tensão (Pa)]]/1000000</f>
        <v>1.7261871046917774</v>
      </c>
    </row>
    <row r="132" spans="1:6" x14ac:dyDescent="0.3">
      <c r="A132" s="2">
        <v>26.733000000000001</v>
      </c>
      <c r="B132" s="2">
        <v>2.2204000000000002</v>
      </c>
      <c r="C132" s="1">
        <f>Tabela1[[#This Row],[Alongamento (mm/mm)]]/$I$2</f>
        <v>4.4408000000000003E-2</v>
      </c>
      <c r="D132" s="2">
        <v>73.822999999999993</v>
      </c>
      <c r="E132" s="1">
        <f>Tabela1[[#This Row],[Força (N)]]/$I$5</f>
        <v>1742259.0389880107</v>
      </c>
      <c r="F132" s="1">
        <f>Tabela1[[#This Row],[Tensão (Pa)]]/1000000</f>
        <v>1.7422590389880108</v>
      </c>
    </row>
    <row r="133" spans="1:6" x14ac:dyDescent="0.3">
      <c r="A133" s="2">
        <v>26.783000000000001</v>
      </c>
      <c r="B133" s="2">
        <v>2.2246000000000001</v>
      </c>
      <c r="C133" s="1">
        <f>Tabela1[[#This Row],[Alongamento (mm/mm)]]/$I$2</f>
        <v>4.4492000000000004E-2</v>
      </c>
      <c r="D133" s="2">
        <v>74.503</v>
      </c>
      <c r="E133" s="1">
        <f>Tabela1[[#This Row],[Força (N)]]/$I$5</f>
        <v>1758307.3727933541</v>
      </c>
      <c r="F133" s="1">
        <f>Tabela1[[#This Row],[Tensão (Pa)]]/1000000</f>
        <v>1.758307372793354</v>
      </c>
    </row>
    <row r="134" spans="1:6" x14ac:dyDescent="0.3">
      <c r="A134" s="2">
        <v>26.85</v>
      </c>
      <c r="B134" s="2">
        <v>2.2301000000000002</v>
      </c>
      <c r="C134" s="1">
        <f>Tabela1[[#This Row],[Alongamento (mm/mm)]]/$I$2</f>
        <v>4.4602000000000003E-2</v>
      </c>
      <c r="D134" s="2">
        <v>75.353999999999999</v>
      </c>
      <c r="E134" s="1">
        <f>Tabela1[[#This Row],[Força (N)]]/$I$5</f>
        <v>1778391.3905409232</v>
      </c>
      <c r="F134" s="1">
        <f>Tabela1[[#This Row],[Tensão (Pa)]]/1000000</f>
        <v>1.7783913905409232</v>
      </c>
    </row>
    <row r="135" spans="1:6" x14ac:dyDescent="0.3">
      <c r="A135" s="2">
        <v>26.917000000000002</v>
      </c>
      <c r="B135" s="2">
        <v>2.2355999999999998</v>
      </c>
      <c r="C135" s="1">
        <f>Tabela1[[#This Row],[Alongamento (mm/mm)]]/$I$2</f>
        <v>4.4711999999999995E-2</v>
      </c>
      <c r="D135" s="2">
        <v>76.034000000000006</v>
      </c>
      <c r="E135" s="1">
        <f>Tabela1[[#This Row],[Força (N)]]/$I$5</f>
        <v>1794439.7243462666</v>
      </c>
      <c r="F135" s="1">
        <f>Tabela1[[#This Row],[Tensão (Pa)]]/1000000</f>
        <v>1.7944397243462666</v>
      </c>
    </row>
    <row r="136" spans="1:6" x14ac:dyDescent="0.3">
      <c r="A136" s="2">
        <v>26.966999999999999</v>
      </c>
      <c r="B136" s="2">
        <v>2.2399</v>
      </c>
      <c r="C136" s="1">
        <f>Tabela1[[#This Row],[Alongamento (mm/mm)]]/$I$2</f>
        <v>4.4797999999999998E-2</v>
      </c>
      <c r="D136" s="2">
        <v>76.715000000000003</v>
      </c>
      <c r="E136" s="1">
        <f>Tabela1[[#This Row],[Força (N)]]/$I$5</f>
        <v>1810511.6586424999</v>
      </c>
      <c r="F136" s="1">
        <f>Tabela1[[#This Row],[Tensão (Pa)]]/1000000</f>
        <v>1.8105116586424999</v>
      </c>
    </row>
    <row r="137" spans="1:6" x14ac:dyDescent="0.3">
      <c r="A137" s="2">
        <v>27.016999999999999</v>
      </c>
      <c r="B137" s="2">
        <v>2.2441</v>
      </c>
      <c r="C137" s="1">
        <f>Tabela1[[#This Row],[Alongamento (mm/mm)]]/$I$2</f>
        <v>4.4881999999999998E-2</v>
      </c>
      <c r="D137" s="2">
        <v>77.394999999999996</v>
      </c>
      <c r="E137" s="1">
        <f>Tabela1[[#This Row],[Força (N)]]/$I$5</f>
        <v>1826559.9924478428</v>
      </c>
      <c r="F137" s="1">
        <f>Tabela1[[#This Row],[Tensão (Pa)]]/1000000</f>
        <v>1.8265599924478428</v>
      </c>
    </row>
    <row r="138" spans="1:6" x14ac:dyDescent="0.3">
      <c r="A138" s="2">
        <v>27.082999999999998</v>
      </c>
      <c r="B138" s="2">
        <v>2.2496999999999998</v>
      </c>
      <c r="C138" s="1">
        <f>Tabela1[[#This Row],[Alongamento (mm/mm)]]/$I$2</f>
        <v>4.4993999999999999E-2</v>
      </c>
      <c r="D138" s="2">
        <v>78.075000000000003</v>
      </c>
      <c r="E138" s="1">
        <f>Tabela1[[#This Row],[Força (N)]]/$I$5</f>
        <v>1842608.3262531862</v>
      </c>
      <c r="F138" s="1">
        <f>Tabela1[[#This Row],[Tensão (Pa)]]/1000000</f>
        <v>1.8426083262531863</v>
      </c>
    </row>
    <row r="139" spans="1:6" x14ac:dyDescent="0.3">
      <c r="A139" s="2">
        <v>27.132999999999999</v>
      </c>
      <c r="B139" s="2">
        <v>2.2538</v>
      </c>
      <c r="C139" s="1">
        <f>Tabela1[[#This Row],[Alongamento (mm/mm)]]/$I$2</f>
        <v>4.5075999999999998E-2</v>
      </c>
      <c r="D139" s="2">
        <v>78.756</v>
      </c>
      <c r="E139" s="1">
        <f>Tabela1[[#This Row],[Força (N)]]/$I$5</f>
        <v>1858680.2605494193</v>
      </c>
      <c r="F139" s="1">
        <f>Tabela1[[#This Row],[Tensão (Pa)]]/1000000</f>
        <v>1.8586802605494193</v>
      </c>
    </row>
    <row r="140" spans="1:6" x14ac:dyDescent="0.3">
      <c r="A140" s="2">
        <v>27.183</v>
      </c>
      <c r="B140" s="2">
        <v>2.258</v>
      </c>
      <c r="C140" s="1">
        <f>Tabela1[[#This Row],[Alongamento (mm/mm)]]/$I$2</f>
        <v>4.5159999999999999E-2</v>
      </c>
      <c r="D140" s="2">
        <v>79.436000000000007</v>
      </c>
      <c r="E140" s="1">
        <f>Tabela1[[#This Row],[Força (N)]]/$I$5</f>
        <v>1874728.5943547627</v>
      </c>
      <c r="F140" s="1">
        <f>Tabela1[[#This Row],[Tensão (Pa)]]/1000000</f>
        <v>1.8747285943547627</v>
      </c>
    </row>
    <row r="141" spans="1:6" x14ac:dyDescent="0.3">
      <c r="A141" s="2">
        <v>27.233000000000001</v>
      </c>
      <c r="B141" s="2">
        <v>2.2621000000000002</v>
      </c>
      <c r="C141" s="1">
        <f>Tabela1[[#This Row],[Alongamento (mm/mm)]]/$I$2</f>
        <v>4.5242000000000004E-2</v>
      </c>
      <c r="D141" s="2">
        <v>80.117000000000004</v>
      </c>
      <c r="E141" s="1">
        <f>Tabela1[[#This Row],[Força (N)]]/$I$5</f>
        <v>1890800.528650996</v>
      </c>
      <c r="F141" s="1">
        <f>Tabela1[[#This Row],[Tensão (Pa)]]/1000000</f>
        <v>1.8908005286509961</v>
      </c>
    </row>
    <row r="142" spans="1:6" x14ac:dyDescent="0.3">
      <c r="A142" s="2">
        <v>27.283000000000001</v>
      </c>
      <c r="B142" s="2">
        <v>2.2662</v>
      </c>
      <c r="C142" s="1">
        <f>Tabela1[[#This Row],[Alongamento (mm/mm)]]/$I$2</f>
        <v>4.5324000000000003E-2</v>
      </c>
      <c r="D142" s="2">
        <v>80.796999999999997</v>
      </c>
      <c r="E142" s="1">
        <f>Tabela1[[#This Row],[Força (N)]]/$I$5</f>
        <v>1906848.8624563389</v>
      </c>
      <c r="F142" s="1">
        <f>Tabela1[[#This Row],[Tensão (Pa)]]/1000000</f>
        <v>1.9068488624563389</v>
      </c>
    </row>
    <row r="143" spans="1:6" x14ac:dyDescent="0.3">
      <c r="A143" s="2">
        <v>27.35</v>
      </c>
      <c r="B143" s="2">
        <v>2.2717000000000001</v>
      </c>
      <c r="C143" s="1">
        <f>Tabela1[[#This Row],[Alongamento (mm/mm)]]/$I$2</f>
        <v>4.5434000000000002E-2</v>
      </c>
      <c r="D143" s="2">
        <v>81.647000000000006</v>
      </c>
      <c r="E143" s="1">
        <f>Tabela1[[#This Row],[Força (N)]]/$I$5</f>
        <v>1926909.2797130181</v>
      </c>
      <c r="F143" s="1">
        <f>Tabela1[[#This Row],[Tensão (Pa)]]/1000000</f>
        <v>1.9269092797130181</v>
      </c>
    </row>
    <row r="144" spans="1:6" x14ac:dyDescent="0.3">
      <c r="A144" s="2">
        <v>27.417000000000002</v>
      </c>
      <c r="B144" s="2">
        <v>2.2772999999999999</v>
      </c>
      <c r="C144" s="1">
        <f>Tabela1[[#This Row],[Alongamento (mm/mm)]]/$I$2</f>
        <v>4.5545999999999996E-2</v>
      </c>
      <c r="D144" s="2">
        <v>82.498000000000005</v>
      </c>
      <c r="E144" s="1">
        <f>Tabela1[[#This Row],[Força (N)]]/$I$5</f>
        <v>1946993.2974605872</v>
      </c>
      <c r="F144" s="1">
        <f>Tabela1[[#This Row],[Tensão (Pa)]]/1000000</f>
        <v>1.9469932974605872</v>
      </c>
    </row>
    <row r="145" spans="1:6" x14ac:dyDescent="0.3">
      <c r="A145" s="2">
        <v>27.466999999999999</v>
      </c>
      <c r="B145" s="2">
        <v>2.2816000000000001</v>
      </c>
      <c r="C145" s="1">
        <f>Tabela1[[#This Row],[Alongamento (mm/mm)]]/$I$2</f>
        <v>4.5631999999999999E-2</v>
      </c>
      <c r="D145" s="2">
        <v>83.177999999999997</v>
      </c>
      <c r="E145" s="1">
        <f>Tabela1[[#This Row],[Força (N)]]/$I$5</f>
        <v>1963041.6312659304</v>
      </c>
      <c r="F145" s="1">
        <f>Tabela1[[#This Row],[Tensão (Pa)]]/1000000</f>
        <v>1.9630416312659305</v>
      </c>
    </row>
    <row r="146" spans="1:6" x14ac:dyDescent="0.3">
      <c r="A146" s="2">
        <v>27.533000000000001</v>
      </c>
      <c r="B146" s="2">
        <v>2.2871000000000001</v>
      </c>
      <c r="C146" s="1">
        <f>Tabela1[[#This Row],[Alongamento (mm/mm)]]/$I$2</f>
        <v>4.5742000000000005E-2</v>
      </c>
      <c r="D146" s="2">
        <v>84.028999999999996</v>
      </c>
      <c r="E146" s="1">
        <f>Tabela1[[#This Row],[Força (N)]]/$I$5</f>
        <v>1983125.6490134995</v>
      </c>
      <c r="F146" s="1">
        <f>Tabela1[[#This Row],[Tensão (Pa)]]/1000000</f>
        <v>1.9831256490134994</v>
      </c>
    </row>
    <row r="147" spans="1:6" x14ac:dyDescent="0.3">
      <c r="A147" s="2">
        <v>27.6</v>
      </c>
      <c r="B147" s="2">
        <v>2.2926000000000002</v>
      </c>
      <c r="C147" s="1">
        <f>Tabela1[[#This Row],[Alongamento (mm/mm)]]/$I$2</f>
        <v>4.5852000000000004E-2</v>
      </c>
      <c r="D147" s="2">
        <v>84.879000000000005</v>
      </c>
      <c r="E147" s="1">
        <f>Tabela1[[#This Row],[Força (N)]]/$I$5</f>
        <v>2003186.0662701784</v>
      </c>
      <c r="F147" s="1">
        <f>Tabela1[[#This Row],[Tensão (Pa)]]/1000000</f>
        <v>2.0031860662701786</v>
      </c>
    </row>
    <row r="148" spans="1:6" x14ac:dyDescent="0.3">
      <c r="A148" s="2">
        <v>27.667000000000002</v>
      </c>
      <c r="B148" s="2">
        <v>2.2982</v>
      </c>
      <c r="C148" s="1">
        <f>Tabela1[[#This Row],[Alongamento (mm/mm)]]/$I$2</f>
        <v>4.5963999999999998E-2</v>
      </c>
      <c r="D148" s="2">
        <v>85.73</v>
      </c>
      <c r="E148" s="1">
        <f>Tabela1[[#This Row],[Força (N)]]/$I$5</f>
        <v>2023270.0840177475</v>
      </c>
      <c r="F148" s="1">
        <f>Tabela1[[#This Row],[Tensão (Pa)]]/1000000</f>
        <v>2.0232700840177475</v>
      </c>
    </row>
    <row r="149" spans="1:6" x14ac:dyDescent="0.3">
      <c r="A149" s="2">
        <v>27.733000000000001</v>
      </c>
      <c r="B149" s="2">
        <v>2.3037000000000001</v>
      </c>
      <c r="C149" s="1">
        <f>Tabela1[[#This Row],[Alongamento (mm/mm)]]/$I$2</f>
        <v>4.6074000000000004E-2</v>
      </c>
      <c r="D149" s="2">
        <v>86.58</v>
      </c>
      <c r="E149" s="1">
        <f>Tabela1[[#This Row],[Força (N)]]/$I$5</f>
        <v>2043330.5012744265</v>
      </c>
      <c r="F149" s="1">
        <f>Tabela1[[#This Row],[Tensão (Pa)]]/1000000</f>
        <v>2.0433305012744265</v>
      </c>
    </row>
    <row r="150" spans="1:6" x14ac:dyDescent="0.3">
      <c r="A150" s="2">
        <v>27.783000000000001</v>
      </c>
      <c r="B150" s="2">
        <v>2.3077999999999999</v>
      </c>
      <c r="C150" s="1">
        <f>Tabela1[[#This Row],[Alongamento (mm/mm)]]/$I$2</f>
        <v>4.6155999999999996E-2</v>
      </c>
      <c r="D150" s="2">
        <v>87.260999999999996</v>
      </c>
      <c r="E150" s="1">
        <f>Tabela1[[#This Row],[Força (N)]]/$I$5</f>
        <v>2059402.4355706598</v>
      </c>
      <c r="F150" s="1">
        <f>Tabela1[[#This Row],[Tensão (Pa)]]/1000000</f>
        <v>2.0594024355706599</v>
      </c>
    </row>
    <row r="151" spans="1:6" x14ac:dyDescent="0.3">
      <c r="A151" s="2">
        <v>27.85</v>
      </c>
      <c r="B151" s="2">
        <v>2.3134000000000001</v>
      </c>
      <c r="C151" s="1">
        <f>Tabela1[[#This Row],[Alongamento (mm/mm)]]/$I$2</f>
        <v>4.6268000000000004E-2</v>
      </c>
      <c r="D151" s="2">
        <v>88.111000000000004</v>
      </c>
      <c r="E151" s="1">
        <f>Tabela1[[#This Row],[Força (N)]]/$I$5</f>
        <v>2079462.852827339</v>
      </c>
      <c r="F151" s="1">
        <f>Tabela1[[#This Row],[Tensão (Pa)]]/1000000</f>
        <v>2.0794628528273389</v>
      </c>
    </row>
    <row r="152" spans="1:6" x14ac:dyDescent="0.3">
      <c r="A152" s="2">
        <v>27.917000000000002</v>
      </c>
      <c r="B152" s="2">
        <v>2.319</v>
      </c>
      <c r="C152" s="1">
        <f>Tabela1[[#This Row],[Alongamento (mm/mm)]]/$I$2</f>
        <v>4.6379999999999998E-2</v>
      </c>
      <c r="D152" s="2">
        <v>88.962000000000003</v>
      </c>
      <c r="E152" s="1">
        <f>Tabela1[[#This Row],[Força (N)]]/$I$5</f>
        <v>2099546.8705749079</v>
      </c>
      <c r="F152" s="1">
        <f>Tabela1[[#This Row],[Tensão (Pa)]]/1000000</f>
        <v>2.0995468705749079</v>
      </c>
    </row>
    <row r="153" spans="1:6" x14ac:dyDescent="0.3">
      <c r="A153" s="2">
        <v>27.966999999999999</v>
      </c>
      <c r="B153" s="2">
        <v>2.3231000000000002</v>
      </c>
      <c r="C153" s="1">
        <f>Tabela1[[#This Row],[Alongamento (mm/mm)]]/$I$2</f>
        <v>4.6462000000000003E-2</v>
      </c>
      <c r="D153" s="2">
        <v>89.641999999999996</v>
      </c>
      <c r="E153" s="1">
        <f>Tabela1[[#This Row],[Força (N)]]/$I$5</f>
        <v>2115595.204380251</v>
      </c>
      <c r="F153" s="1">
        <f>Tabela1[[#This Row],[Tensão (Pa)]]/1000000</f>
        <v>2.1155952043802508</v>
      </c>
    </row>
    <row r="154" spans="1:6" x14ac:dyDescent="0.3">
      <c r="A154" s="2">
        <v>28.033000000000001</v>
      </c>
      <c r="B154" s="2">
        <v>2.3287</v>
      </c>
      <c r="C154" s="1">
        <f>Tabela1[[#This Row],[Alongamento (mm/mm)]]/$I$2</f>
        <v>4.6573999999999997E-2</v>
      </c>
      <c r="D154" s="2">
        <v>90.492999999999995</v>
      </c>
      <c r="E154" s="1">
        <f>Tabela1[[#This Row],[Força (N)]]/$I$5</f>
        <v>2135679.2221278199</v>
      </c>
      <c r="F154" s="1">
        <f>Tabela1[[#This Row],[Tensão (Pa)]]/1000000</f>
        <v>2.1356792221278198</v>
      </c>
    </row>
    <row r="155" spans="1:6" x14ac:dyDescent="0.3">
      <c r="A155" s="2">
        <v>28.082999999999998</v>
      </c>
      <c r="B155" s="2">
        <v>2.3330000000000002</v>
      </c>
      <c r="C155" s="1">
        <f>Tabela1[[#This Row],[Alongamento (mm/mm)]]/$I$2</f>
        <v>4.6660000000000007E-2</v>
      </c>
      <c r="D155" s="2">
        <v>91.173000000000002</v>
      </c>
      <c r="E155" s="1">
        <f>Tabela1[[#This Row],[Força (N)]]/$I$5</f>
        <v>2151727.5559331635</v>
      </c>
      <c r="F155" s="1">
        <f>Tabela1[[#This Row],[Tensão (Pa)]]/1000000</f>
        <v>2.1517275559331637</v>
      </c>
    </row>
    <row r="156" spans="1:6" x14ac:dyDescent="0.3">
      <c r="A156" s="2">
        <v>28.132999999999999</v>
      </c>
      <c r="B156" s="2">
        <v>2.3372000000000002</v>
      </c>
      <c r="C156" s="1">
        <f>Tabela1[[#This Row],[Alongamento (mm/mm)]]/$I$2</f>
        <v>4.6744000000000001E-2</v>
      </c>
      <c r="D156" s="2">
        <v>91.852999999999994</v>
      </c>
      <c r="E156" s="1">
        <f>Tabela1[[#This Row],[Força (N)]]/$I$5</f>
        <v>2167775.8897385066</v>
      </c>
      <c r="F156" s="1">
        <f>Tabela1[[#This Row],[Tensão (Pa)]]/1000000</f>
        <v>2.1677758897385067</v>
      </c>
    </row>
    <row r="157" spans="1:6" x14ac:dyDescent="0.3">
      <c r="A157" s="2">
        <v>28.2</v>
      </c>
      <c r="B157" s="2">
        <v>2.3426</v>
      </c>
      <c r="C157" s="1">
        <f>Tabela1[[#This Row],[Alongamento (mm/mm)]]/$I$2</f>
        <v>4.6851999999999998E-2</v>
      </c>
      <c r="D157" s="2">
        <v>92.703999999999994</v>
      </c>
      <c r="E157" s="1">
        <f>Tabela1[[#This Row],[Força (N)]]/$I$5</f>
        <v>2187859.9074860755</v>
      </c>
      <c r="F157" s="1">
        <f>Tabela1[[#This Row],[Tensão (Pa)]]/1000000</f>
        <v>2.1878599074860756</v>
      </c>
    </row>
    <row r="158" spans="1:6" x14ac:dyDescent="0.3">
      <c r="A158" s="2">
        <v>28.25</v>
      </c>
      <c r="B158" s="2">
        <v>2.3468</v>
      </c>
      <c r="C158" s="1">
        <f>Tabela1[[#This Row],[Alongamento (mm/mm)]]/$I$2</f>
        <v>4.6935999999999999E-2</v>
      </c>
      <c r="D158" s="2">
        <v>93.384</v>
      </c>
      <c r="E158" s="1">
        <f>Tabela1[[#This Row],[Força (N)]]/$I$5</f>
        <v>2203908.2412914187</v>
      </c>
      <c r="F158" s="1">
        <f>Tabela1[[#This Row],[Tensão (Pa)]]/1000000</f>
        <v>2.2039082412914186</v>
      </c>
    </row>
    <row r="159" spans="1:6" x14ac:dyDescent="0.3">
      <c r="A159" s="2">
        <v>28.3</v>
      </c>
      <c r="B159" s="2">
        <v>2.351</v>
      </c>
      <c r="C159" s="1">
        <f>Tabela1[[#This Row],[Alongamento (mm/mm)]]/$I$2</f>
        <v>4.7019999999999999E-2</v>
      </c>
      <c r="D159" s="2">
        <v>94.064999999999998</v>
      </c>
      <c r="E159" s="1">
        <f>Tabela1[[#This Row],[Força (N)]]/$I$5</f>
        <v>2219980.1755876523</v>
      </c>
      <c r="F159" s="1">
        <f>Tabela1[[#This Row],[Tensão (Pa)]]/1000000</f>
        <v>2.219980175587652</v>
      </c>
    </row>
    <row r="160" spans="1:6" x14ac:dyDescent="0.3">
      <c r="A160" s="2">
        <v>28.35</v>
      </c>
      <c r="B160" s="2">
        <v>2.3551000000000002</v>
      </c>
      <c r="C160" s="1">
        <f>Tabela1[[#This Row],[Alongamento (mm/mm)]]/$I$2</f>
        <v>4.7102000000000005E-2</v>
      </c>
      <c r="D160" s="2">
        <v>94.745000000000005</v>
      </c>
      <c r="E160" s="1">
        <f>Tabela1[[#This Row],[Força (N)]]/$I$5</f>
        <v>2236028.5093929954</v>
      </c>
      <c r="F160" s="1">
        <f>Tabela1[[#This Row],[Tensão (Pa)]]/1000000</f>
        <v>2.2360285093929955</v>
      </c>
    </row>
    <row r="161" spans="1:6" x14ac:dyDescent="0.3">
      <c r="A161" s="2">
        <v>28.417000000000002</v>
      </c>
      <c r="B161" s="2">
        <v>2.3607</v>
      </c>
      <c r="C161" s="1">
        <f>Tabela1[[#This Row],[Alongamento (mm/mm)]]/$I$2</f>
        <v>4.7213999999999999E-2</v>
      </c>
      <c r="D161" s="2">
        <v>95.596000000000004</v>
      </c>
      <c r="E161" s="1">
        <f>Tabela1[[#This Row],[Força (N)]]/$I$5</f>
        <v>2256112.5271405648</v>
      </c>
      <c r="F161" s="1">
        <f>Tabela1[[#This Row],[Tensão (Pa)]]/1000000</f>
        <v>2.2561125271405649</v>
      </c>
    </row>
    <row r="162" spans="1:6" x14ac:dyDescent="0.3">
      <c r="A162" s="2">
        <v>28.466999999999999</v>
      </c>
      <c r="B162" s="2">
        <v>2.3647999999999998</v>
      </c>
      <c r="C162" s="1">
        <f>Tabela1[[#This Row],[Alongamento (mm/mm)]]/$I$2</f>
        <v>4.7295999999999998E-2</v>
      </c>
      <c r="D162" s="2">
        <v>96.275999999999996</v>
      </c>
      <c r="E162" s="1">
        <f>Tabela1[[#This Row],[Força (N)]]/$I$5</f>
        <v>2272160.8609459074</v>
      </c>
      <c r="F162" s="1">
        <f>Tabela1[[#This Row],[Tensão (Pa)]]/1000000</f>
        <v>2.2721608609459074</v>
      </c>
    </row>
    <row r="163" spans="1:6" x14ac:dyDescent="0.3">
      <c r="A163" s="2">
        <v>28.533000000000001</v>
      </c>
      <c r="B163" s="2">
        <v>2.3704000000000001</v>
      </c>
      <c r="C163" s="1">
        <f>Tabela1[[#This Row],[Alongamento (mm/mm)]]/$I$2</f>
        <v>4.7407999999999999E-2</v>
      </c>
      <c r="D163" s="2">
        <v>97.126000000000005</v>
      </c>
      <c r="E163" s="1">
        <f>Tabela1[[#This Row],[Força (N)]]/$I$5</f>
        <v>2292221.2782025868</v>
      </c>
      <c r="F163" s="1">
        <f>Tabela1[[#This Row],[Tensão (Pa)]]/1000000</f>
        <v>2.2922212782025868</v>
      </c>
    </row>
    <row r="164" spans="1:6" x14ac:dyDescent="0.3">
      <c r="A164" s="2">
        <v>28.582999999999998</v>
      </c>
      <c r="B164" s="2">
        <v>2.3746</v>
      </c>
      <c r="C164" s="1">
        <f>Tabela1[[#This Row],[Alongamento (mm/mm)]]/$I$2</f>
        <v>4.7491999999999999E-2</v>
      </c>
      <c r="D164" s="2">
        <v>97.807000000000002</v>
      </c>
      <c r="E164" s="1">
        <f>Tabela1[[#This Row],[Força (N)]]/$I$5</f>
        <v>2308293.2124988199</v>
      </c>
      <c r="F164" s="1">
        <f>Tabela1[[#This Row],[Tensão (Pa)]]/1000000</f>
        <v>2.3082932124988198</v>
      </c>
    </row>
    <row r="165" spans="1:6" x14ac:dyDescent="0.3">
      <c r="A165" s="2">
        <v>28.632999999999999</v>
      </c>
      <c r="B165" s="2">
        <v>2.3786999999999998</v>
      </c>
      <c r="C165" s="1">
        <f>Tabela1[[#This Row],[Alongamento (mm/mm)]]/$I$2</f>
        <v>4.7573999999999998E-2</v>
      </c>
      <c r="D165" s="2">
        <v>98.486999999999995</v>
      </c>
      <c r="E165" s="1">
        <f>Tabela1[[#This Row],[Força (N)]]/$I$5</f>
        <v>2324341.5463041631</v>
      </c>
      <c r="F165" s="1">
        <f>Tabela1[[#This Row],[Tensão (Pa)]]/1000000</f>
        <v>2.3243415463041632</v>
      </c>
    </row>
    <row r="166" spans="1:6" x14ac:dyDescent="0.3">
      <c r="A166" s="2">
        <v>28.683</v>
      </c>
      <c r="B166" s="2">
        <v>2.3828999999999998</v>
      </c>
      <c r="C166" s="1">
        <f>Tabela1[[#This Row],[Alongamento (mm/mm)]]/$I$2</f>
        <v>4.7657999999999999E-2</v>
      </c>
      <c r="D166" s="2">
        <v>99.168000000000006</v>
      </c>
      <c r="E166" s="1">
        <f>Tabela1[[#This Row],[Força (N)]]/$I$5</f>
        <v>2340413.4806003966</v>
      </c>
      <c r="F166" s="1">
        <f>Tabela1[[#This Row],[Tensão (Pa)]]/1000000</f>
        <v>2.3404134806003967</v>
      </c>
    </row>
    <row r="167" spans="1:6" x14ac:dyDescent="0.3">
      <c r="A167" s="2">
        <v>28.733000000000001</v>
      </c>
      <c r="B167" s="2">
        <v>2.3871000000000002</v>
      </c>
      <c r="C167" s="1">
        <f>Tabela1[[#This Row],[Alongamento (mm/mm)]]/$I$2</f>
        <v>4.7742000000000007E-2</v>
      </c>
      <c r="D167" s="2">
        <v>99.847999999999999</v>
      </c>
      <c r="E167" s="1">
        <f>Tabela1[[#This Row],[Força (N)]]/$I$5</f>
        <v>2356461.8144057398</v>
      </c>
      <c r="F167" s="1">
        <f>Tabela1[[#This Row],[Tensão (Pa)]]/1000000</f>
        <v>2.3564618144057397</v>
      </c>
    </row>
    <row r="168" spans="1:6" x14ac:dyDescent="0.3">
      <c r="A168" s="2">
        <v>28.783000000000001</v>
      </c>
      <c r="B168" s="2">
        <v>2.3912</v>
      </c>
      <c r="C168" s="1">
        <f>Tabela1[[#This Row],[Alongamento (mm/mm)]]/$I$2</f>
        <v>4.7823999999999998E-2</v>
      </c>
      <c r="D168" s="2">
        <v>100.53</v>
      </c>
      <c r="E168" s="1">
        <f>Tabela1[[#This Row],[Força (N)]]/$I$5</f>
        <v>2372557.3491928633</v>
      </c>
      <c r="F168" s="1">
        <f>Tabela1[[#This Row],[Tensão (Pa)]]/1000000</f>
        <v>2.3725573491928635</v>
      </c>
    </row>
    <row r="169" spans="1:6" x14ac:dyDescent="0.3">
      <c r="A169" s="2">
        <v>28.832999999999998</v>
      </c>
      <c r="B169" s="2">
        <v>2.3954</v>
      </c>
      <c r="C169" s="1">
        <f>Tabela1[[#This Row],[Alongamento (mm/mm)]]/$I$2</f>
        <v>4.7907999999999999E-2</v>
      </c>
      <c r="D169" s="2">
        <v>101.21</v>
      </c>
      <c r="E169" s="1">
        <f>Tabela1[[#This Row],[Força (N)]]/$I$5</f>
        <v>2388605.682998206</v>
      </c>
      <c r="F169" s="1">
        <f>Tabela1[[#This Row],[Tensão (Pa)]]/1000000</f>
        <v>2.3886056829982061</v>
      </c>
    </row>
    <row r="170" spans="1:6" x14ac:dyDescent="0.3">
      <c r="A170" s="2">
        <v>28.882999999999999</v>
      </c>
      <c r="B170" s="2">
        <v>2.3996</v>
      </c>
      <c r="C170" s="1">
        <f>Tabela1[[#This Row],[Alongamento (mm/mm)]]/$I$2</f>
        <v>4.7992E-2</v>
      </c>
      <c r="D170" s="2">
        <v>101.89</v>
      </c>
      <c r="E170" s="1">
        <f>Tabela1[[#This Row],[Força (N)]]/$I$5</f>
        <v>2404654.0168035496</v>
      </c>
      <c r="F170" s="1">
        <f>Tabela1[[#This Row],[Tensão (Pa)]]/1000000</f>
        <v>2.4046540168035495</v>
      </c>
    </row>
    <row r="171" spans="1:6" x14ac:dyDescent="0.3">
      <c r="A171" s="2">
        <v>28.933</v>
      </c>
      <c r="B171" s="2">
        <v>2.4037999999999999</v>
      </c>
      <c r="C171" s="1">
        <f>Tabela1[[#This Row],[Alongamento (mm/mm)]]/$I$2</f>
        <v>4.8076000000000001E-2</v>
      </c>
      <c r="D171" s="2">
        <v>102.57</v>
      </c>
      <c r="E171" s="1">
        <f>Tabela1[[#This Row],[Força (N)]]/$I$5</f>
        <v>2420702.3506088923</v>
      </c>
      <c r="F171" s="1">
        <f>Tabela1[[#This Row],[Tensão (Pa)]]/1000000</f>
        <v>2.4207023506088925</v>
      </c>
    </row>
    <row r="172" spans="1:6" x14ac:dyDescent="0.3">
      <c r="A172" s="2">
        <v>28.983000000000001</v>
      </c>
      <c r="B172" s="2">
        <v>2.4079000000000002</v>
      </c>
      <c r="C172" s="1">
        <f>Tabela1[[#This Row],[Alongamento (mm/mm)]]/$I$2</f>
        <v>4.8158000000000006E-2</v>
      </c>
      <c r="D172" s="2">
        <v>103.42</v>
      </c>
      <c r="E172" s="1">
        <f>Tabela1[[#This Row],[Força (N)]]/$I$5</f>
        <v>2440762.7678655717</v>
      </c>
      <c r="F172" s="1">
        <f>Tabela1[[#This Row],[Tensão (Pa)]]/1000000</f>
        <v>2.4407627678655714</v>
      </c>
    </row>
    <row r="173" spans="1:6" x14ac:dyDescent="0.3">
      <c r="A173" s="2">
        <v>29.033000000000001</v>
      </c>
      <c r="B173" s="2">
        <v>2.4121000000000001</v>
      </c>
      <c r="C173" s="1">
        <f>Tabela1[[#This Row],[Alongamento (mm/mm)]]/$I$2</f>
        <v>4.8242E-2</v>
      </c>
      <c r="D173" s="2">
        <v>104.1</v>
      </c>
      <c r="E173" s="1">
        <f>Tabela1[[#This Row],[Força (N)]]/$I$5</f>
        <v>2456811.1016709148</v>
      </c>
      <c r="F173" s="1">
        <f>Tabela1[[#This Row],[Tensão (Pa)]]/1000000</f>
        <v>2.4568111016709149</v>
      </c>
    </row>
    <row r="174" spans="1:6" x14ac:dyDescent="0.3">
      <c r="A174" s="2">
        <v>29.082999999999998</v>
      </c>
      <c r="B174" s="2">
        <v>2.4161999999999999</v>
      </c>
      <c r="C174" s="1">
        <f>Tabela1[[#This Row],[Alongamento (mm/mm)]]/$I$2</f>
        <v>4.8323999999999999E-2</v>
      </c>
      <c r="D174" s="2">
        <v>104.78</v>
      </c>
      <c r="E174" s="1">
        <f>Tabela1[[#This Row],[Força (N)]]/$I$5</f>
        <v>2472859.4354762579</v>
      </c>
      <c r="F174" s="1">
        <f>Tabela1[[#This Row],[Tensão (Pa)]]/1000000</f>
        <v>2.4728594354762579</v>
      </c>
    </row>
    <row r="175" spans="1:6" x14ac:dyDescent="0.3">
      <c r="A175" s="2">
        <v>29.132999999999999</v>
      </c>
      <c r="B175" s="2">
        <v>2.4203999999999999</v>
      </c>
      <c r="C175" s="1">
        <f>Tabela1[[#This Row],[Alongamento (mm/mm)]]/$I$2</f>
        <v>4.8408E-2</v>
      </c>
      <c r="D175" s="2">
        <v>105.46</v>
      </c>
      <c r="E175" s="1">
        <f>Tabela1[[#This Row],[Força (N)]]/$I$5</f>
        <v>2488907.7692816011</v>
      </c>
      <c r="F175" s="1">
        <f>Tabela1[[#This Row],[Tensão (Pa)]]/1000000</f>
        <v>2.4889077692816008</v>
      </c>
    </row>
    <row r="176" spans="1:6" x14ac:dyDescent="0.3">
      <c r="A176" s="2">
        <v>29.183</v>
      </c>
      <c r="B176" s="2">
        <v>2.4245999999999999</v>
      </c>
      <c r="C176" s="1">
        <f>Tabela1[[#This Row],[Alongamento (mm/mm)]]/$I$2</f>
        <v>4.8492E-2</v>
      </c>
      <c r="D176" s="2">
        <v>106.14</v>
      </c>
      <c r="E176" s="1">
        <f>Tabela1[[#This Row],[Força (N)]]/$I$5</f>
        <v>2504956.1030869442</v>
      </c>
      <c r="F176" s="1">
        <f>Tabela1[[#This Row],[Tensão (Pa)]]/1000000</f>
        <v>2.5049561030869443</v>
      </c>
    </row>
    <row r="177" spans="1:6" x14ac:dyDescent="0.3">
      <c r="A177" s="2">
        <v>29.233000000000001</v>
      </c>
      <c r="B177" s="2">
        <v>2.4287999999999998</v>
      </c>
      <c r="C177" s="1">
        <f>Tabela1[[#This Row],[Alongamento (mm/mm)]]/$I$2</f>
        <v>4.8575999999999994E-2</v>
      </c>
      <c r="D177" s="2">
        <v>106.99</v>
      </c>
      <c r="E177" s="1">
        <f>Tabela1[[#This Row],[Força (N)]]/$I$5</f>
        <v>2525016.5203436231</v>
      </c>
      <c r="F177" s="1">
        <f>Tabela1[[#This Row],[Tensão (Pa)]]/1000000</f>
        <v>2.5250165203436232</v>
      </c>
    </row>
    <row r="178" spans="1:6" x14ac:dyDescent="0.3">
      <c r="A178" s="2">
        <v>29.283000000000001</v>
      </c>
      <c r="B178" s="2">
        <v>2.4329000000000001</v>
      </c>
      <c r="C178" s="1">
        <f>Tabela1[[#This Row],[Alongamento (mm/mm)]]/$I$2</f>
        <v>4.8658E-2</v>
      </c>
      <c r="D178" s="2">
        <v>107.67</v>
      </c>
      <c r="E178" s="1">
        <f>Tabela1[[#This Row],[Força (N)]]/$I$5</f>
        <v>2541064.8541489663</v>
      </c>
      <c r="F178" s="1">
        <f>Tabela1[[#This Row],[Tensão (Pa)]]/1000000</f>
        <v>2.5410648541489662</v>
      </c>
    </row>
    <row r="179" spans="1:6" x14ac:dyDescent="0.3">
      <c r="A179" s="2">
        <v>29.332999999999998</v>
      </c>
      <c r="B179" s="2">
        <v>2.4371</v>
      </c>
      <c r="C179" s="1">
        <f>Tabela1[[#This Row],[Alongamento (mm/mm)]]/$I$2</f>
        <v>4.8742000000000001E-2</v>
      </c>
      <c r="D179" s="2">
        <v>108.35</v>
      </c>
      <c r="E179" s="1">
        <f>Tabela1[[#This Row],[Força (N)]]/$I$5</f>
        <v>2557113.1879543094</v>
      </c>
      <c r="F179" s="1">
        <f>Tabela1[[#This Row],[Tensão (Pa)]]/1000000</f>
        <v>2.5571131879543092</v>
      </c>
    </row>
    <row r="180" spans="1:6" x14ac:dyDescent="0.3">
      <c r="A180" s="2">
        <v>29.382999999999999</v>
      </c>
      <c r="B180" s="2">
        <v>2.4413</v>
      </c>
      <c r="C180" s="1">
        <f>Tabela1[[#This Row],[Alongamento (mm/mm)]]/$I$2</f>
        <v>4.8826000000000001E-2</v>
      </c>
      <c r="D180" s="2">
        <v>109.2</v>
      </c>
      <c r="E180" s="1">
        <f>Tabela1[[#This Row],[Força (N)]]/$I$5</f>
        <v>2577173.6052109883</v>
      </c>
      <c r="F180" s="1">
        <f>Tabela1[[#This Row],[Tensão (Pa)]]/1000000</f>
        <v>2.5771736052109881</v>
      </c>
    </row>
    <row r="181" spans="1:6" x14ac:dyDescent="0.3">
      <c r="A181" s="2">
        <v>29.433</v>
      </c>
      <c r="B181" s="2">
        <v>2.4455</v>
      </c>
      <c r="C181" s="1">
        <f>Tabela1[[#This Row],[Alongamento (mm/mm)]]/$I$2</f>
        <v>4.8910000000000002E-2</v>
      </c>
      <c r="D181" s="2">
        <v>109.88</v>
      </c>
      <c r="E181" s="1">
        <f>Tabela1[[#This Row],[Força (N)]]/$I$5</f>
        <v>2593221.9390163315</v>
      </c>
      <c r="F181" s="1">
        <f>Tabela1[[#This Row],[Tensão (Pa)]]/1000000</f>
        <v>2.5932219390163316</v>
      </c>
    </row>
    <row r="182" spans="1:6" x14ac:dyDescent="0.3">
      <c r="A182" s="2">
        <v>29.483000000000001</v>
      </c>
      <c r="B182" s="2">
        <v>2.4497</v>
      </c>
      <c r="C182" s="1">
        <f>Tabela1[[#This Row],[Alongamento (mm/mm)]]/$I$2</f>
        <v>4.8994000000000003E-2</v>
      </c>
      <c r="D182" s="2">
        <v>110.56</v>
      </c>
      <c r="E182" s="1">
        <f>Tabela1[[#This Row],[Força (N)]]/$I$5</f>
        <v>2609270.2728216746</v>
      </c>
      <c r="F182" s="1">
        <f>Tabela1[[#This Row],[Tensão (Pa)]]/1000000</f>
        <v>2.6092702728216746</v>
      </c>
    </row>
    <row r="183" spans="1:6" x14ac:dyDescent="0.3">
      <c r="A183" s="2">
        <v>29.533000000000001</v>
      </c>
      <c r="B183" s="2">
        <v>2.4538000000000002</v>
      </c>
      <c r="C183" s="1">
        <f>Tabela1[[#This Row],[Alongamento (mm/mm)]]/$I$2</f>
        <v>4.9076000000000002E-2</v>
      </c>
      <c r="D183" s="2">
        <v>111.24</v>
      </c>
      <c r="E183" s="1">
        <f>Tabela1[[#This Row],[Força (N)]]/$I$5</f>
        <v>2625318.6066270177</v>
      </c>
      <c r="F183" s="1">
        <f>Tabela1[[#This Row],[Tensão (Pa)]]/1000000</f>
        <v>2.6253186066270175</v>
      </c>
    </row>
    <row r="184" spans="1:6" x14ac:dyDescent="0.3">
      <c r="A184" s="2">
        <v>29.582999999999998</v>
      </c>
      <c r="B184" s="2">
        <v>2.4578000000000002</v>
      </c>
      <c r="C184" s="1">
        <f>Tabela1[[#This Row],[Alongamento (mm/mm)]]/$I$2</f>
        <v>4.9156000000000005E-2</v>
      </c>
      <c r="D184" s="2">
        <v>111.93</v>
      </c>
      <c r="E184" s="1">
        <f>Tabela1[[#This Row],[Força (N)]]/$I$5</f>
        <v>2641602.9453412634</v>
      </c>
      <c r="F184" s="1">
        <f>Tabela1[[#This Row],[Tensão (Pa)]]/1000000</f>
        <v>2.6416029453412633</v>
      </c>
    </row>
    <row r="185" spans="1:6" x14ac:dyDescent="0.3">
      <c r="A185" s="2">
        <v>29.632999999999999</v>
      </c>
      <c r="B185" s="2">
        <v>2.4620000000000002</v>
      </c>
      <c r="C185" s="1">
        <f>Tabela1[[#This Row],[Alongamento (mm/mm)]]/$I$2</f>
        <v>4.9240000000000006E-2</v>
      </c>
      <c r="D185" s="2">
        <v>112.61</v>
      </c>
      <c r="E185" s="1">
        <f>Tabela1[[#This Row],[Força (N)]]/$I$5</f>
        <v>2657651.2791466061</v>
      </c>
      <c r="F185" s="1">
        <f>Tabela1[[#This Row],[Tensão (Pa)]]/1000000</f>
        <v>2.6576512791466063</v>
      </c>
    </row>
    <row r="186" spans="1:6" x14ac:dyDescent="0.3">
      <c r="A186" s="2">
        <v>29.683</v>
      </c>
      <c r="B186" s="2">
        <v>2.4662999999999999</v>
      </c>
      <c r="C186" s="1">
        <f>Tabela1[[#This Row],[Alongamento (mm/mm)]]/$I$2</f>
        <v>4.9326000000000002E-2</v>
      </c>
      <c r="D186" s="2">
        <v>113.46</v>
      </c>
      <c r="E186" s="1">
        <f>Tabela1[[#This Row],[Força (N)]]/$I$5</f>
        <v>2677711.696403285</v>
      </c>
      <c r="F186" s="1">
        <f>Tabela1[[#This Row],[Tensão (Pa)]]/1000000</f>
        <v>2.6777116964032852</v>
      </c>
    </row>
    <row r="187" spans="1:6" x14ac:dyDescent="0.3">
      <c r="A187" s="2">
        <v>29.733000000000001</v>
      </c>
      <c r="B187" s="2">
        <v>2.4704999999999999</v>
      </c>
      <c r="C187" s="1">
        <f>Tabela1[[#This Row],[Alongamento (mm/mm)]]/$I$2</f>
        <v>4.9409999999999996E-2</v>
      </c>
      <c r="D187" s="2">
        <v>114.14</v>
      </c>
      <c r="E187" s="1">
        <f>Tabela1[[#This Row],[Força (N)]]/$I$5</f>
        <v>2693760.0302086282</v>
      </c>
      <c r="F187" s="1">
        <f>Tabela1[[#This Row],[Tensão (Pa)]]/1000000</f>
        <v>2.6937600302086282</v>
      </c>
    </row>
    <row r="188" spans="1:6" x14ac:dyDescent="0.3">
      <c r="A188" s="2">
        <v>29.783000000000001</v>
      </c>
      <c r="B188" s="2">
        <v>2.4746000000000001</v>
      </c>
      <c r="C188" s="1">
        <f>Tabela1[[#This Row],[Alongamento (mm/mm)]]/$I$2</f>
        <v>4.9492000000000001E-2</v>
      </c>
      <c r="D188" s="2">
        <v>114.82</v>
      </c>
      <c r="E188" s="1">
        <f>Tabela1[[#This Row],[Força (N)]]/$I$5</f>
        <v>2709808.3640139713</v>
      </c>
      <c r="F188" s="1">
        <f>Tabela1[[#This Row],[Tensão (Pa)]]/1000000</f>
        <v>2.7098083640139712</v>
      </c>
    </row>
    <row r="189" spans="1:6" x14ac:dyDescent="0.3">
      <c r="A189" s="2">
        <v>29.832999999999998</v>
      </c>
      <c r="B189" s="2">
        <v>2.4786999999999999</v>
      </c>
      <c r="C189" s="1">
        <f>Tabela1[[#This Row],[Alongamento (mm/mm)]]/$I$2</f>
        <v>4.9574E-2</v>
      </c>
      <c r="D189" s="2">
        <v>115.5</v>
      </c>
      <c r="E189" s="1">
        <f>Tabela1[[#This Row],[Força (N)]]/$I$5</f>
        <v>2725856.6978193144</v>
      </c>
      <c r="F189" s="1">
        <f>Tabela1[[#This Row],[Tensão (Pa)]]/1000000</f>
        <v>2.7258566978193146</v>
      </c>
    </row>
    <row r="190" spans="1:6" x14ac:dyDescent="0.3">
      <c r="A190" s="2">
        <v>29.882999999999999</v>
      </c>
      <c r="B190" s="2">
        <v>2.4830000000000001</v>
      </c>
      <c r="C190" s="1">
        <f>Tabela1[[#This Row],[Alongamento (mm/mm)]]/$I$2</f>
        <v>4.9660000000000003E-2</v>
      </c>
      <c r="D190" s="2">
        <v>116.18</v>
      </c>
      <c r="E190" s="1">
        <f>Tabela1[[#This Row],[Força (N)]]/$I$5</f>
        <v>2741905.031624658</v>
      </c>
      <c r="F190" s="1">
        <f>Tabela1[[#This Row],[Tensão (Pa)]]/1000000</f>
        <v>2.741905031624658</v>
      </c>
    </row>
    <row r="191" spans="1:6" x14ac:dyDescent="0.3">
      <c r="A191" s="2">
        <v>29.95</v>
      </c>
      <c r="B191" s="2">
        <v>2.4885000000000002</v>
      </c>
      <c r="C191" s="1">
        <f>Tabela1[[#This Row],[Alongamento (mm/mm)]]/$I$2</f>
        <v>4.9770000000000002E-2</v>
      </c>
      <c r="D191" s="2">
        <v>117.03</v>
      </c>
      <c r="E191" s="1">
        <f>Tabela1[[#This Row],[Força (N)]]/$I$5</f>
        <v>2761965.448881337</v>
      </c>
      <c r="F191" s="1">
        <f>Tabela1[[#This Row],[Tensão (Pa)]]/1000000</f>
        <v>2.761965448881337</v>
      </c>
    </row>
    <row r="192" spans="1:6" x14ac:dyDescent="0.3">
      <c r="A192" s="2">
        <v>30</v>
      </c>
      <c r="B192" s="2">
        <v>2.4927000000000001</v>
      </c>
      <c r="C192" s="1">
        <f>Tabela1[[#This Row],[Alongamento (mm/mm)]]/$I$2</f>
        <v>4.9854000000000002E-2</v>
      </c>
      <c r="D192" s="2">
        <v>117.71</v>
      </c>
      <c r="E192" s="1">
        <f>Tabela1[[#This Row],[Força (N)]]/$I$5</f>
        <v>2778013.7826866796</v>
      </c>
      <c r="F192" s="1">
        <f>Tabela1[[#This Row],[Tensão (Pa)]]/1000000</f>
        <v>2.7780137826866795</v>
      </c>
    </row>
    <row r="193" spans="1:6" x14ac:dyDescent="0.3">
      <c r="A193" s="2">
        <v>30.05</v>
      </c>
      <c r="B193" s="2">
        <v>2.4967999999999999</v>
      </c>
      <c r="C193" s="1">
        <f>Tabela1[[#This Row],[Alongamento (mm/mm)]]/$I$2</f>
        <v>4.9936000000000001E-2</v>
      </c>
      <c r="D193" s="2">
        <v>118.39</v>
      </c>
      <c r="E193" s="1">
        <f>Tabela1[[#This Row],[Força (N)]]/$I$5</f>
        <v>2794062.1164920232</v>
      </c>
      <c r="F193" s="1">
        <f>Tabela1[[#This Row],[Tensão (Pa)]]/1000000</f>
        <v>2.7940621164920234</v>
      </c>
    </row>
    <row r="194" spans="1:6" x14ac:dyDescent="0.3">
      <c r="A194" s="2">
        <v>30.1</v>
      </c>
      <c r="B194" s="2">
        <v>2.5009000000000001</v>
      </c>
      <c r="C194" s="1">
        <f>Tabela1[[#This Row],[Alongamento (mm/mm)]]/$I$2</f>
        <v>5.0018E-2</v>
      </c>
      <c r="D194" s="2">
        <v>119.07</v>
      </c>
      <c r="E194" s="1">
        <f>Tabela1[[#This Row],[Força (N)]]/$I$5</f>
        <v>2810110.4502973659</v>
      </c>
      <c r="F194" s="1">
        <f>Tabela1[[#This Row],[Tensão (Pa)]]/1000000</f>
        <v>2.8101104502973659</v>
      </c>
    </row>
    <row r="195" spans="1:6" x14ac:dyDescent="0.3">
      <c r="A195" s="2">
        <v>30.15</v>
      </c>
      <c r="B195" s="2">
        <v>2.5051000000000001</v>
      </c>
      <c r="C195" s="1">
        <f>Tabela1[[#This Row],[Alongamento (mm/mm)]]/$I$2</f>
        <v>5.0102000000000001E-2</v>
      </c>
      <c r="D195" s="2">
        <v>119.75</v>
      </c>
      <c r="E195" s="1">
        <f>Tabela1[[#This Row],[Força (N)]]/$I$5</f>
        <v>2826158.7841027095</v>
      </c>
      <c r="F195" s="1">
        <f>Tabela1[[#This Row],[Tensão (Pa)]]/1000000</f>
        <v>2.8261587841027094</v>
      </c>
    </row>
    <row r="196" spans="1:6" x14ac:dyDescent="0.3">
      <c r="A196" s="2">
        <v>30.2</v>
      </c>
      <c r="B196" s="2">
        <v>2.5091999999999999</v>
      </c>
      <c r="C196" s="1">
        <f>Tabela1[[#This Row],[Alongamento (mm/mm)]]/$I$2</f>
        <v>5.0183999999999999E-2</v>
      </c>
      <c r="D196" s="2">
        <v>120.43</v>
      </c>
      <c r="E196" s="1">
        <f>Tabela1[[#This Row],[Força (N)]]/$I$5</f>
        <v>2842207.1179080526</v>
      </c>
      <c r="F196" s="1">
        <f>Tabela1[[#This Row],[Tensão (Pa)]]/1000000</f>
        <v>2.8422071179080528</v>
      </c>
    </row>
    <row r="197" spans="1:6" x14ac:dyDescent="0.3">
      <c r="A197" s="2">
        <v>30.25</v>
      </c>
      <c r="B197" s="2">
        <v>2.5135000000000001</v>
      </c>
      <c r="C197" s="1">
        <f>Tabela1[[#This Row],[Alongamento (mm/mm)]]/$I$2</f>
        <v>5.0270000000000002E-2</v>
      </c>
      <c r="D197" s="2">
        <v>121.11</v>
      </c>
      <c r="E197" s="1">
        <f>Tabela1[[#This Row],[Força (N)]]/$I$5</f>
        <v>2858255.4517133958</v>
      </c>
      <c r="F197" s="1">
        <f>Tabela1[[#This Row],[Tensão (Pa)]]/1000000</f>
        <v>2.8582554517133958</v>
      </c>
    </row>
    <row r="198" spans="1:6" x14ac:dyDescent="0.3">
      <c r="A198" s="2">
        <v>30.3</v>
      </c>
      <c r="B198" s="2">
        <v>2.5177</v>
      </c>
      <c r="C198" s="1">
        <f>Tabela1[[#This Row],[Alongamento (mm/mm)]]/$I$2</f>
        <v>5.0354000000000003E-2</v>
      </c>
      <c r="D198" s="2">
        <v>121.79</v>
      </c>
      <c r="E198" s="1">
        <f>Tabela1[[#This Row],[Força (N)]]/$I$5</f>
        <v>2874303.7855187389</v>
      </c>
      <c r="F198" s="1">
        <f>Tabela1[[#This Row],[Tensão (Pa)]]/1000000</f>
        <v>2.8743037855187388</v>
      </c>
    </row>
    <row r="199" spans="1:6" x14ac:dyDescent="0.3">
      <c r="A199" s="2">
        <v>30.35</v>
      </c>
      <c r="B199" s="2">
        <v>2.5219</v>
      </c>
      <c r="C199" s="1">
        <f>Tabela1[[#This Row],[Alongamento (mm/mm)]]/$I$2</f>
        <v>5.0438000000000004E-2</v>
      </c>
      <c r="D199" s="2">
        <v>122.47</v>
      </c>
      <c r="E199" s="1">
        <f>Tabela1[[#This Row],[Força (N)]]/$I$5</f>
        <v>2890352.119324082</v>
      </c>
      <c r="F199" s="1">
        <f>Tabela1[[#This Row],[Tensão (Pa)]]/1000000</f>
        <v>2.8903521193240822</v>
      </c>
    </row>
    <row r="200" spans="1:6" x14ac:dyDescent="0.3">
      <c r="A200" s="2">
        <v>30.4</v>
      </c>
      <c r="B200" s="2">
        <v>2.5259999999999998</v>
      </c>
      <c r="C200" s="1">
        <f>Tabela1[[#This Row],[Alongamento (mm/mm)]]/$I$2</f>
        <v>5.0519999999999995E-2</v>
      </c>
      <c r="D200" s="2">
        <v>123.15</v>
      </c>
      <c r="E200" s="1">
        <f>Tabela1[[#This Row],[Força (N)]]/$I$5</f>
        <v>2906400.4531294252</v>
      </c>
      <c r="F200" s="1">
        <f>Tabela1[[#This Row],[Tensão (Pa)]]/1000000</f>
        <v>2.9064004531294252</v>
      </c>
    </row>
    <row r="201" spans="1:6" x14ac:dyDescent="0.3">
      <c r="A201" s="2">
        <v>30.45</v>
      </c>
      <c r="B201" s="2">
        <v>2.5301999999999998</v>
      </c>
      <c r="C201" s="1">
        <f>Tabela1[[#This Row],[Alongamento (mm/mm)]]/$I$2</f>
        <v>5.0603999999999996E-2</v>
      </c>
      <c r="D201" s="2">
        <v>123.83</v>
      </c>
      <c r="E201" s="1">
        <f>Tabela1[[#This Row],[Força (N)]]/$I$5</f>
        <v>2922448.7869347683</v>
      </c>
      <c r="F201" s="1">
        <f>Tabela1[[#This Row],[Tensão (Pa)]]/1000000</f>
        <v>2.9224487869347682</v>
      </c>
    </row>
    <row r="202" spans="1:6" x14ac:dyDescent="0.3">
      <c r="A202" s="2">
        <v>30.5</v>
      </c>
      <c r="B202" s="2">
        <v>2.5343</v>
      </c>
      <c r="C202" s="1">
        <f>Tabela1[[#This Row],[Alongamento (mm/mm)]]/$I$2</f>
        <v>5.0686000000000002E-2</v>
      </c>
      <c r="D202" s="2">
        <v>124.51</v>
      </c>
      <c r="E202" s="1">
        <f>Tabela1[[#This Row],[Força (N)]]/$I$5</f>
        <v>2938497.1207401115</v>
      </c>
      <c r="F202" s="1">
        <f>Tabela1[[#This Row],[Tensão (Pa)]]/1000000</f>
        <v>2.9384971207401116</v>
      </c>
    </row>
    <row r="203" spans="1:6" x14ac:dyDescent="0.3">
      <c r="A203" s="2">
        <v>30.55</v>
      </c>
      <c r="B203" s="2">
        <v>2.5385</v>
      </c>
      <c r="C203" s="1">
        <f>Tabela1[[#This Row],[Alongamento (mm/mm)]]/$I$2</f>
        <v>5.0770000000000003E-2</v>
      </c>
      <c r="D203" s="2">
        <v>125.19</v>
      </c>
      <c r="E203" s="1">
        <f>Tabela1[[#This Row],[Força (N)]]/$I$5</f>
        <v>2954545.4545454546</v>
      </c>
      <c r="F203" s="1">
        <f>Tabela1[[#This Row],[Tensão (Pa)]]/1000000</f>
        <v>2.9545454545454546</v>
      </c>
    </row>
    <row r="204" spans="1:6" x14ac:dyDescent="0.3">
      <c r="A204" s="2">
        <v>30.6</v>
      </c>
      <c r="B204" s="2">
        <v>2.5426000000000002</v>
      </c>
      <c r="C204" s="1">
        <f>Tabela1[[#This Row],[Alongamento (mm/mm)]]/$I$2</f>
        <v>5.0852000000000001E-2</v>
      </c>
      <c r="D204" s="2">
        <v>125.87</v>
      </c>
      <c r="E204" s="1">
        <f>Tabela1[[#This Row],[Força (N)]]/$I$5</f>
        <v>2970593.7883507977</v>
      </c>
      <c r="F204" s="1">
        <f>Tabela1[[#This Row],[Tensão (Pa)]]/1000000</f>
        <v>2.9705937883507976</v>
      </c>
    </row>
    <row r="205" spans="1:6" x14ac:dyDescent="0.3">
      <c r="A205" s="2">
        <v>30.65</v>
      </c>
      <c r="B205" s="2">
        <v>2.5468000000000002</v>
      </c>
      <c r="C205" s="1">
        <f>Tabela1[[#This Row],[Alongamento (mm/mm)]]/$I$2</f>
        <v>5.0936000000000002E-2</v>
      </c>
      <c r="D205" s="2">
        <v>126.72</v>
      </c>
      <c r="E205" s="1">
        <f>Tabela1[[#This Row],[Força (N)]]/$I$5</f>
        <v>2990654.2056074766</v>
      </c>
      <c r="F205" s="1">
        <f>Tabela1[[#This Row],[Tensão (Pa)]]/1000000</f>
        <v>2.9906542056074765</v>
      </c>
    </row>
    <row r="206" spans="1:6" x14ac:dyDescent="0.3">
      <c r="A206" s="2">
        <v>30.7</v>
      </c>
      <c r="B206" s="2">
        <v>2.5508999999999999</v>
      </c>
      <c r="C206" s="1">
        <f>Tabela1[[#This Row],[Alongamento (mm/mm)]]/$I$2</f>
        <v>5.1018000000000001E-2</v>
      </c>
      <c r="D206" s="2">
        <v>127.4</v>
      </c>
      <c r="E206" s="1">
        <f>Tabela1[[#This Row],[Força (N)]]/$I$5</f>
        <v>3006702.5394128198</v>
      </c>
      <c r="F206" s="1">
        <f>Tabela1[[#This Row],[Tensão (Pa)]]/1000000</f>
        <v>3.00670253941282</v>
      </c>
    </row>
    <row r="207" spans="1:6" x14ac:dyDescent="0.3">
      <c r="A207" s="2">
        <v>30.75</v>
      </c>
      <c r="B207" s="2">
        <v>2.5550999999999999</v>
      </c>
      <c r="C207" s="1">
        <f>Tabela1[[#This Row],[Alongamento (mm/mm)]]/$I$2</f>
        <v>5.1102000000000002E-2</v>
      </c>
      <c r="D207" s="2">
        <v>128.08000000000001</v>
      </c>
      <c r="E207" s="1">
        <f>Tabela1[[#This Row],[Força (N)]]/$I$5</f>
        <v>3022750.8732181634</v>
      </c>
      <c r="F207" s="1">
        <f>Tabela1[[#This Row],[Tensão (Pa)]]/1000000</f>
        <v>3.0227508732181634</v>
      </c>
    </row>
    <row r="208" spans="1:6" x14ac:dyDescent="0.3">
      <c r="A208" s="2">
        <v>30.8</v>
      </c>
      <c r="B208" s="2">
        <v>2.5594000000000001</v>
      </c>
      <c r="C208" s="1">
        <f>Tabela1[[#This Row],[Alongamento (mm/mm)]]/$I$2</f>
        <v>5.1188000000000004E-2</v>
      </c>
      <c r="D208" s="2">
        <v>128.76</v>
      </c>
      <c r="E208" s="1">
        <f>Tabela1[[#This Row],[Força (N)]]/$I$5</f>
        <v>3038799.2070235061</v>
      </c>
      <c r="F208" s="1">
        <f>Tabela1[[#This Row],[Tensão (Pa)]]/1000000</f>
        <v>3.0387992070235059</v>
      </c>
    </row>
    <row r="209" spans="1:6" x14ac:dyDescent="0.3">
      <c r="A209" s="2">
        <v>30.85</v>
      </c>
      <c r="B209" s="2">
        <v>2.5634999999999999</v>
      </c>
      <c r="C209" s="1">
        <f>Tabela1[[#This Row],[Alongamento (mm/mm)]]/$I$2</f>
        <v>5.1269999999999996E-2</v>
      </c>
      <c r="D209" s="2">
        <v>129.44999999999999</v>
      </c>
      <c r="E209" s="1">
        <f>Tabela1[[#This Row],[Força (N)]]/$I$5</f>
        <v>3055083.5457377513</v>
      </c>
      <c r="F209" s="1">
        <f>Tabela1[[#This Row],[Tensão (Pa)]]/1000000</f>
        <v>3.0550835457377512</v>
      </c>
    </row>
    <row r="210" spans="1:6" x14ac:dyDescent="0.3">
      <c r="A210" s="2">
        <v>30.9</v>
      </c>
      <c r="B210" s="2">
        <v>2.5676999999999999</v>
      </c>
      <c r="C210" s="1">
        <f>Tabela1[[#This Row],[Alongamento (mm/mm)]]/$I$2</f>
        <v>5.1353999999999997E-2</v>
      </c>
      <c r="D210" s="2">
        <v>130.13</v>
      </c>
      <c r="E210" s="1">
        <f>Tabela1[[#This Row],[Força (N)]]/$I$5</f>
        <v>3071131.8795430944</v>
      </c>
      <c r="F210" s="1">
        <f>Tabela1[[#This Row],[Tensão (Pa)]]/1000000</f>
        <v>3.0711318795430946</v>
      </c>
    </row>
    <row r="211" spans="1:6" x14ac:dyDescent="0.3">
      <c r="A211" s="2">
        <v>30.95</v>
      </c>
      <c r="B211" s="2">
        <v>2.5718000000000001</v>
      </c>
      <c r="C211" s="1">
        <f>Tabela1[[#This Row],[Alongamento (mm/mm)]]/$I$2</f>
        <v>5.1436000000000003E-2</v>
      </c>
      <c r="D211" s="2">
        <v>130.97999999999999</v>
      </c>
      <c r="E211" s="1">
        <f>Tabela1[[#This Row],[Força (N)]]/$I$5</f>
        <v>3091192.2967997734</v>
      </c>
      <c r="F211" s="1">
        <f>Tabela1[[#This Row],[Tensão (Pa)]]/1000000</f>
        <v>3.0911922967997731</v>
      </c>
    </row>
    <row r="212" spans="1:6" x14ac:dyDescent="0.3">
      <c r="A212" s="2">
        <v>31.033000000000001</v>
      </c>
      <c r="B212" s="2">
        <v>2.5787</v>
      </c>
      <c r="C212" s="1">
        <f>Tabela1[[#This Row],[Alongamento (mm/mm)]]/$I$2</f>
        <v>5.1574000000000002E-2</v>
      </c>
      <c r="D212" s="2">
        <v>132.16999999999999</v>
      </c>
      <c r="E212" s="1">
        <f>Tabela1[[#This Row],[Força (N)]]/$I$5</f>
        <v>3119276.8809591238</v>
      </c>
      <c r="F212" s="1">
        <f>Tabela1[[#This Row],[Tensão (Pa)]]/1000000</f>
        <v>3.119276880959124</v>
      </c>
    </row>
    <row r="213" spans="1:6" x14ac:dyDescent="0.3">
      <c r="A213" s="2">
        <v>31.117000000000001</v>
      </c>
      <c r="B213" s="2">
        <v>2.5857000000000001</v>
      </c>
      <c r="C213" s="1">
        <f>Tabela1[[#This Row],[Alongamento (mm/mm)]]/$I$2</f>
        <v>5.1714000000000003E-2</v>
      </c>
      <c r="D213" s="2">
        <v>133.36000000000001</v>
      </c>
      <c r="E213" s="1">
        <f>Tabela1[[#This Row],[Força (N)]]/$I$5</f>
        <v>3147361.4651184748</v>
      </c>
      <c r="F213" s="1">
        <f>Tabela1[[#This Row],[Tensão (Pa)]]/1000000</f>
        <v>3.1473614651184749</v>
      </c>
    </row>
    <row r="214" spans="1:6" x14ac:dyDescent="0.3">
      <c r="A214" s="2">
        <v>31.183</v>
      </c>
      <c r="B214" s="2">
        <v>2.5912999999999999</v>
      </c>
      <c r="C214" s="1">
        <f>Tabela1[[#This Row],[Alongamento (mm/mm)]]/$I$2</f>
        <v>5.1825999999999997E-2</v>
      </c>
      <c r="D214" s="2">
        <v>134.38</v>
      </c>
      <c r="E214" s="1">
        <f>Tabela1[[#This Row],[Força (N)]]/$I$5</f>
        <v>3171433.965826489</v>
      </c>
      <c r="F214" s="1">
        <f>Tabela1[[#This Row],[Tensão (Pa)]]/1000000</f>
        <v>3.171433965826489</v>
      </c>
    </row>
    <row r="215" spans="1:6" x14ac:dyDescent="0.3">
      <c r="A215" s="2">
        <v>31.266999999999999</v>
      </c>
      <c r="B215" s="2">
        <v>2.5981999999999998</v>
      </c>
      <c r="C215" s="1">
        <f>Tabela1[[#This Row],[Alongamento (mm/mm)]]/$I$2</f>
        <v>5.1963999999999996E-2</v>
      </c>
      <c r="D215" s="2">
        <v>135.57</v>
      </c>
      <c r="E215" s="1">
        <f>Tabela1[[#This Row],[Força (N)]]/$I$5</f>
        <v>3199518.5499858395</v>
      </c>
      <c r="F215" s="1">
        <f>Tabela1[[#This Row],[Tensão (Pa)]]/1000000</f>
        <v>3.1995185499858394</v>
      </c>
    </row>
    <row r="216" spans="1:6" x14ac:dyDescent="0.3">
      <c r="A216" s="2">
        <v>31.332999999999998</v>
      </c>
      <c r="B216" s="2">
        <v>2.6038000000000001</v>
      </c>
      <c r="C216" s="1">
        <f>Tabela1[[#This Row],[Alongamento (mm/mm)]]/$I$2</f>
        <v>5.2076000000000004E-2</v>
      </c>
      <c r="D216" s="2">
        <v>136.59</v>
      </c>
      <c r="E216" s="1">
        <f>Tabela1[[#This Row],[Força (N)]]/$I$5</f>
        <v>3223591.0506938547</v>
      </c>
      <c r="F216" s="1">
        <f>Tabela1[[#This Row],[Tensão (Pa)]]/1000000</f>
        <v>3.2235910506938548</v>
      </c>
    </row>
    <row r="217" spans="1:6" x14ac:dyDescent="0.3">
      <c r="A217" s="2">
        <v>31.417000000000002</v>
      </c>
      <c r="B217" s="2">
        <v>2.6107</v>
      </c>
      <c r="C217" s="1">
        <f>Tabela1[[#This Row],[Alongamento (mm/mm)]]/$I$2</f>
        <v>5.2214000000000003E-2</v>
      </c>
      <c r="D217" s="2">
        <v>137.78</v>
      </c>
      <c r="E217" s="1">
        <f>Tabela1[[#This Row],[Força (N)]]/$I$5</f>
        <v>3251675.6348532052</v>
      </c>
      <c r="F217" s="1">
        <f>Tabela1[[#This Row],[Tensão (Pa)]]/1000000</f>
        <v>3.2516756348532052</v>
      </c>
    </row>
    <row r="218" spans="1:6" x14ac:dyDescent="0.3">
      <c r="A218" s="2">
        <v>31.483000000000001</v>
      </c>
      <c r="B218" s="2">
        <v>2.6162999999999998</v>
      </c>
      <c r="C218" s="1">
        <f>Tabela1[[#This Row],[Alongamento (mm/mm)]]/$I$2</f>
        <v>5.2325999999999998E-2</v>
      </c>
      <c r="D218" s="2">
        <v>138.80000000000001</v>
      </c>
      <c r="E218" s="1">
        <f>Tabela1[[#This Row],[Força (N)]]/$I$5</f>
        <v>3275748.1355612199</v>
      </c>
      <c r="F218" s="1">
        <f>Tabela1[[#This Row],[Tensão (Pa)]]/1000000</f>
        <v>3.2757481355612197</v>
      </c>
    </row>
    <row r="219" spans="1:6" x14ac:dyDescent="0.3">
      <c r="A219" s="2">
        <v>31.567</v>
      </c>
      <c r="B219" s="2">
        <v>2.6232000000000002</v>
      </c>
      <c r="C219" s="1">
        <f>Tabela1[[#This Row],[Alongamento (mm/mm)]]/$I$2</f>
        <v>5.2464000000000004E-2</v>
      </c>
      <c r="D219" s="2">
        <v>139.99</v>
      </c>
      <c r="E219" s="1">
        <f>Tabela1[[#This Row],[Força (N)]]/$I$5</f>
        <v>3303832.7197205704</v>
      </c>
      <c r="F219" s="1">
        <f>Tabela1[[#This Row],[Tensão (Pa)]]/1000000</f>
        <v>3.3038327197205706</v>
      </c>
    </row>
    <row r="220" spans="1:6" x14ac:dyDescent="0.3">
      <c r="A220" s="2">
        <v>31.65</v>
      </c>
      <c r="B220" s="2">
        <v>2.6301999999999999</v>
      </c>
      <c r="C220" s="1">
        <f>Tabela1[[#This Row],[Alongamento (mm/mm)]]/$I$2</f>
        <v>5.2603999999999998E-2</v>
      </c>
      <c r="D220" s="2">
        <v>141.18</v>
      </c>
      <c r="E220" s="1">
        <f>Tabela1[[#This Row],[Força (N)]]/$I$5</f>
        <v>3331917.3038799209</v>
      </c>
      <c r="F220" s="1">
        <f>Tabela1[[#This Row],[Tensão (Pa)]]/1000000</f>
        <v>3.331917303879921</v>
      </c>
    </row>
    <row r="221" spans="1:6" x14ac:dyDescent="0.3">
      <c r="A221" s="2">
        <v>31.733000000000001</v>
      </c>
      <c r="B221" s="2">
        <v>2.6372</v>
      </c>
      <c r="C221" s="1">
        <f>Tabela1[[#This Row],[Alongamento (mm/mm)]]/$I$2</f>
        <v>5.2743999999999999E-2</v>
      </c>
      <c r="D221" s="2">
        <v>142.37</v>
      </c>
      <c r="E221" s="1">
        <f>Tabela1[[#This Row],[Força (N)]]/$I$5</f>
        <v>3360001.8880392713</v>
      </c>
      <c r="F221" s="1">
        <f>Tabela1[[#This Row],[Tensão (Pa)]]/1000000</f>
        <v>3.3600018880392715</v>
      </c>
    </row>
    <row r="222" spans="1:6" x14ac:dyDescent="0.3">
      <c r="A222" s="2">
        <v>31.8</v>
      </c>
      <c r="B222" s="2">
        <v>2.6427</v>
      </c>
      <c r="C222" s="1">
        <f>Tabela1[[#This Row],[Alongamento (mm/mm)]]/$I$2</f>
        <v>5.2853999999999998E-2</v>
      </c>
      <c r="D222" s="2">
        <v>143.38999999999999</v>
      </c>
      <c r="E222" s="1">
        <f>Tabela1[[#This Row],[Força (N)]]/$I$5</f>
        <v>3384074.3887472856</v>
      </c>
      <c r="F222" s="1">
        <f>Tabela1[[#This Row],[Tensão (Pa)]]/1000000</f>
        <v>3.3840743887472855</v>
      </c>
    </row>
    <row r="223" spans="1:6" x14ac:dyDescent="0.3">
      <c r="A223" s="2">
        <v>31.867000000000001</v>
      </c>
      <c r="B223" s="2">
        <v>2.6482000000000001</v>
      </c>
      <c r="C223" s="1">
        <f>Tabela1[[#This Row],[Alongamento (mm/mm)]]/$I$2</f>
        <v>5.2964000000000004E-2</v>
      </c>
      <c r="D223" s="2">
        <v>144.41</v>
      </c>
      <c r="E223" s="1">
        <f>Tabela1[[#This Row],[Força (N)]]/$I$5</f>
        <v>3408146.8894553008</v>
      </c>
      <c r="F223" s="1">
        <f>Tabela1[[#This Row],[Tensão (Pa)]]/1000000</f>
        <v>3.4081468894553009</v>
      </c>
    </row>
    <row r="224" spans="1:6" x14ac:dyDescent="0.3">
      <c r="A224" s="2">
        <v>31.933</v>
      </c>
      <c r="B224" s="2">
        <v>2.6537999999999999</v>
      </c>
      <c r="C224" s="1">
        <f>Tabela1[[#This Row],[Alongamento (mm/mm)]]/$I$2</f>
        <v>5.3075999999999998E-2</v>
      </c>
      <c r="D224" s="2">
        <v>145.43</v>
      </c>
      <c r="E224" s="1">
        <f>Tabela1[[#This Row],[Força (N)]]/$I$5</f>
        <v>3432219.3901633155</v>
      </c>
      <c r="F224" s="1">
        <f>Tabela1[[#This Row],[Tensão (Pa)]]/1000000</f>
        <v>3.4322193901633153</v>
      </c>
    </row>
    <row r="225" spans="1:6" x14ac:dyDescent="0.3">
      <c r="A225" s="2">
        <v>32</v>
      </c>
      <c r="B225" s="2">
        <v>2.6593</v>
      </c>
      <c r="C225" s="1">
        <f>Tabela1[[#This Row],[Alongamento (mm/mm)]]/$I$2</f>
        <v>5.3185999999999997E-2</v>
      </c>
      <c r="D225" s="2">
        <v>146.46</v>
      </c>
      <c r="E225" s="1">
        <f>Tabela1[[#This Row],[Força (N)]]/$I$5</f>
        <v>3456527.8957802323</v>
      </c>
      <c r="F225" s="1">
        <f>Tabela1[[#This Row],[Tensão (Pa)]]/1000000</f>
        <v>3.4565278957802321</v>
      </c>
    </row>
    <row r="226" spans="1:6" x14ac:dyDescent="0.3">
      <c r="A226" s="2">
        <v>32.067</v>
      </c>
      <c r="B226" s="2">
        <v>2.6648000000000001</v>
      </c>
      <c r="C226" s="1">
        <f>Tabela1[[#This Row],[Alongamento (mm/mm)]]/$I$2</f>
        <v>5.3296000000000003E-2</v>
      </c>
      <c r="D226" s="2">
        <v>147.47999999999999</v>
      </c>
      <c r="E226" s="1">
        <f>Tabela1[[#This Row],[Força (N)]]/$I$5</f>
        <v>3480600.3964882465</v>
      </c>
      <c r="F226" s="1">
        <f>Tabela1[[#This Row],[Tensão (Pa)]]/1000000</f>
        <v>3.4806003964882466</v>
      </c>
    </row>
    <row r="227" spans="1:6" x14ac:dyDescent="0.3">
      <c r="A227" s="2">
        <v>32.133000000000003</v>
      </c>
      <c r="B227" s="2">
        <v>2.6703999999999999</v>
      </c>
      <c r="C227" s="1">
        <f>Tabela1[[#This Row],[Alongamento (mm/mm)]]/$I$2</f>
        <v>5.3407999999999997E-2</v>
      </c>
      <c r="D227" s="2">
        <v>148.5</v>
      </c>
      <c r="E227" s="1">
        <f>Tabela1[[#This Row],[Força (N)]]/$I$5</f>
        <v>3504672.8971962617</v>
      </c>
      <c r="F227" s="1">
        <f>Tabela1[[#This Row],[Tensão (Pa)]]/1000000</f>
        <v>3.5046728971962615</v>
      </c>
    </row>
    <row r="228" spans="1:6" x14ac:dyDescent="0.3">
      <c r="A228" s="2">
        <v>32.200000000000003</v>
      </c>
      <c r="B228" s="2">
        <v>2.6760000000000002</v>
      </c>
      <c r="C228" s="1">
        <f>Tabela1[[#This Row],[Alongamento (mm/mm)]]/$I$2</f>
        <v>5.3520000000000005E-2</v>
      </c>
      <c r="D228" s="2">
        <v>149.52000000000001</v>
      </c>
      <c r="E228" s="1">
        <f>Tabela1[[#This Row],[Força (N)]]/$I$5</f>
        <v>3528745.3979042768</v>
      </c>
      <c r="F228" s="1">
        <f>Tabela1[[#This Row],[Tensão (Pa)]]/1000000</f>
        <v>3.5287453979042769</v>
      </c>
    </row>
    <row r="229" spans="1:6" x14ac:dyDescent="0.3">
      <c r="A229" s="2">
        <v>32.267000000000003</v>
      </c>
      <c r="B229" s="2">
        <v>2.6815000000000002</v>
      </c>
      <c r="C229" s="1">
        <f>Tabela1[[#This Row],[Alongamento (mm/mm)]]/$I$2</f>
        <v>5.3630000000000004E-2</v>
      </c>
      <c r="D229" s="2">
        <v>150.54</v>
      </c>
      <c r="E229" s="1">
        <f>Tabela1[[#This Row],[Força (N)]]/$I$5</f>
        <v>3552817.8986122911</v>
      </c>
      <c r="F229" s="1">
        <f>Tabela1[[#This Row],[Tensão (Pa)]]/1000000</f>
        <v>3.5528178986122909</v>
      </c>
    </row>
    <row r="230" spans="1:6" x14ac:dyDescent="0.3">
      <c r="A230" s="2">
        <v>32.332999999999998</v>
      </c>
      <c r="B230" s="2">
        <v>2.6869999999999998</v>
      </c>
      <c r="C230" s="1">
        <f>Tabela1[[#This Row],[Alongamento (mm/mm)]]/$I$2</f>
        <v>5.3739999999999996E-2</v>
      </c>
      <c r="D230" s="2">
        <v>151.72999999999999</v>
      </c>
      <c r="E230" s="1">
        <f>Tabela1[[#This Row],[Força (N)]]/$I$5</f>
        <v>3580902.4827716416</v>
      </c>
      <c r="F230" s="1">
        <f>Tabela1[[#This Row],[Tensão (Pa)]]/1000000</f>
        <v>3.5809024827716414</v>
      </c>
    </row>
    <row r="231" spans="1:6" x14ac:dyDescent="0.3">
      <c r="A231" s="2">
        <v>32.4</v>
      </c>
      <c r="B231" s="2">
        <v>2.6926000000000001</v>
      </c>
      <c r="C231" s="1">
        <f>Tabela1[[#This Row],[Alongamento (mm/mm)]]/$I$2</f>
        <v>5.3852000000000004E-2</v>
      </c>
      <c r="D231" s="2">
        <v>152.75</v>
      </c>
      <c r="E231" s="1">
        <f>Tabela1[[#This Row],[Força (N)]]/$I$5</f>
        <v>3604974.9834796563</v>
      </c>
      <c r="F231" s="1">
        <f>Tabela1[[#This Row],[Tensão (Pa)]]/1000000</f>
        <v>3.6049749834796563</v>
      </c>
    </row>
    <row r="232" spans="1:6" x14ac:dyDescent="0.3">
      <c r="A232" s="2">
        <v>32.466999999999999</v>
      </c>
      <c r="B232" s="2">
        <v>2.6981999999999999</v>
      </c>
      <c r="C232" s="1">
        <f>Tabela1[[#This Row],[Alongamento (mm/mm)]]/$I$2</f>
        <v>5.3963999999999998E-2</v>
      </c>
      <c r="D232" s="2">
        <v>153.77000000000001</v>
      </c>
      <c r="E232" s="1">
        <f>Tabela1[[#This Row],[Força (N)]]/$I$5</f>
        <v>3629047.4841876714</v>
      </c>
      <c r="F232" s="1">
        <f>Tabela1[[#This Row],[Tensão (Pa)]]/1000000</f>
        <v>3.6290474841876716</v>
      </c>
    </row>
    <row r="233" spans="1:6" x14ac:dyDescent="0.3">
      <c r="A233" s="2">
        <v>32.533000000000001</v>
      </c>
      <c r="B233" s="2">
        <v>2.7038000000000002</v>
      </c>
      <c r="C233" s="1">
        <f>Tabela1[[#This Row],[Alongamento (mm/mm)]]/$I$2</f>
        <v>5.4076000000000006E-2</v>
      </c>
      <c r="D233" s="2">
        <v>154.96</v>
      </c>
      <c r="E233" s="1">
        <f>Tabela1[[#This Row],[Força (N)]]/$I$5</f>
        <v>3657132.0683470219</v>
      </c>
      <c r="F233" s="1">
        <f>Tabela1[[#This Row],[Tensão (Pa)]]/1000000</f>
        <v>3.6571320683470221</v>
      </c>
    </row>
    <row r="234" spans="1:6" x14ac:dyDescent="0.3">
      <c r="A234" s="2">
        <v>32.6</v>
      </c>
      <c r="B234" s="2">
        <v>2.7094</v>
      </c>
      <c r="C234" s="1">
        <f>Tabela1[[#This Row],[Alongamento (mm/mm)]]/$I$2</f>
        <v>5.4188E-2</v>
      </c>
      <c r="D234" s="2">
        <v>155.97999999999999</v>
      </c>
      <c r="E234" s="1">
        <f>Tabela1[[#This Row],[Força (N)]]/$I$5</f>
        <v>3681204.5690550362</v>
      </c>
      <c r="F234" s="1">
        <f>Tabela1[[#This Row],[Tensão (Pa)]]/1000000</f>
        <v>3.6812045690550361</v>
      </c>
    </row>
    <row r="235" spans="1:6" x14ac:dyDescent="0.3">
      <c r="A235" s="2">
        <v>32.667000000000002</v>
      </c>
      <c r="B235" s="2">
        <v>2.7149000000000001</v>
      </c>
      <c r="C235" s="1">
        <f>Tabela1[[#This Row],[Alongamento (mm/mm)]]/$I$2</f>
        <v>5.4297999999999999E-2</v>
      </c>
      <c r="D235" s="2">
        <v>157</v>
      </c>
      <c r="E235" s="1">
        <f>Tabela1[[#This Row],[Força (N)]]/$I$5</f>
        <v>3705277.0697630509</v>
      </c>
      <c r="F235" s="1">
        <f>Tabela1[[#This Row],[Tensão (Pa)]]/1000000</f>
        <v>3.705277069763051</v>
      </c>
    </row>
    <row r="236" spans="1:6" x14ac:dyDescent="0.3">
      <c r="A236" s="2">
        <v>32.732999999999997</v>
      </c>
      <c r="B236" s="2">
        <v>2.7204999999999999</v>
      </c>
      <c r="C236" s="1">
        <f>Tabela1[[#This Row],[Alongamento (mm/mm)]]/$I$2</f>
        <v>5.441E-2</v>
      </c>
      <c r="D236" s="2">
        <v>158.19</v>
      </c>
      <c r="E236" s="1">
        <f>Tabela1[[#This Row],[Força (N)]]/$I$5</f>
        <v>3733361.6539224014</v>
      </c>
      <c r="F236" s="1">
        <f>Tabela1[[#This Row],[Tensão (Pa)]]/1000000</f>
        <v>3.7333616539224015</v>
      </c>
    </row>
    <row r="237" spans="1:6" x14ac:dyDescent="0.3">
      <c r="A237" s="2">
        <v>32.799999999999997</v>
      </c>
      <c r="B237" s="2">
        <v>2.7259000000000002</v>
      </c>
      <c r="C237" s="1">
        <f>Tabela1[[#This Row],[Alongamento (mm/mm)]]/$I$2</f>
        <v>5.4518000000000004E-2</v>
      </c>
      <c r="D237" s="2">
        <v>159.21</v>
      </c>
      <c r="E237" s="1">
        <f>Tabela1[[#This Row],[Força (N)]]/$I$5</f>
        <v>3757434.1546304165</v>
      </c>
      <c r="F237" s="1">
        <f>Tabela1[[#This Row],[Tensão (Pa)]]/1000000</f>
        <v>3.7574341546304164</v>
      </c>
    </row>
    <row r="238" spans="1:6" x14ac:dyDescent="0.3">
      <c r="A238" s="2">
        <v>32.866999999999997</v>
      </c>
      <c r="B238" s="2">
        <v>2.7315</v>
      </c>
      <c r="C238" s="1">
        <f>Tabela1[[#This Row],[Alongamento (mm/mm)]]/$I$2</f>
        <v>5.4629999999999998E-2</v>
      </c>
      <c r="D238" s="2">
        <v>160.22999999999999</v>
      </c>
      <c r="E238" s="1">
        <f>Tabela1[[#This Row],[Força (N)]]/$I$5</f>
        <v>3781506.6553384308</v>
      </c>
      <c r="F238" s="1">
        <f>Tabela1[[#This Row],[Tensão (Pa)]]/1000000</f>
        <v>3.7815066553384309</v>
      </c>
    </row>
    <row r="239" spans="1:6" x14ac:dyDescent="0.3">
      <c r="A239" s="2">
        <v>32.933</v>
      </c>
      <c r="B239" s="2">
        <v>2.7370000000000001</v>
      </c>
      <c r="C239" s="1">
        <f>Tabela1[[#This Row],[Alongamento (mm/mm)]]/$I$2</f>
        <v>5.4740000000000004E-2</v>
      </c>
      <c r="D239" s="2">
        <v>161.41999999999999</v>
      </c>
      <c r="E239" s="1">
        <f>Tabela1[[#This Row],[Força (N)]]/$I$5</f>
        <v>3809591.2394977813</v>
      </c>
      <c r="F239" s="1">
        <f>Tabela1[[#This Row],[Tensão (Pa)]]/1000000</f>
        <v>3.8095912394977813</v>
      </c>
    </row>
    <row r="240" spans="1:6" x14ac:dyDescent="0.3">
      <c r="A240" s="2">
        <v>33</v>
      </c>
      <c r="B240" s="2">
        <v>2.7425999999999999</v>
      </c>
      <c r="C240" s="1">
        <f>Tabela1[[#This Row],[Alongamento (mm/mm)]]/$I$2</f>
        <v>5.4851999999999998E-2</v>
      </c>
      <c r="D240" s="2">
        <v>162.44</v>
      </c>
      <c r="E240" s="1">
        <f>Tabela1[[#This Row],[Força (N)]]/$I$5</f>
        <v>3833663.7402057964</v>
      </c>
      <c r="F240" s="1">
        <f>Tabela1[[#This Row],[Tensão (Pa)]]/1000000</f>
        <v>3.8336637402057963</v>
      </c>
    </row>
    <row r="241" spans="1:6" x14ac:dyDescent="0.3">
      <c r="A241" s="2">
        <v>33.067</v>
      </c>
      <c r="B241" s="2">
        <v>2.7482000000000002</v>
      </c>
      <c r="C241" s="1">
        <f>Tabela1[[#This Row],[Alongamento (mm/mm)]]/$I$2</f>
        <v>5.4964000000000006E-2</v>
      </c>
      <c r="D241" s="2">
        <v>163.46</v>
      </c>
      <c r="E241" s="1">
        <f>Tabela1[[#This Row],[Força (N)]]/$I$5</f>
        <v>3857736.2409138111</v>
      </c>
      <c r="F241" s="1">
        <f>Tabela1[[#This Row],[Tensão (Pa)]]/1000000</f>
        <v>3.8577362409138112</v>
      </c>
    </row>
    <row r="242" spans="1:6" x14ac:dyDescent="0.3">
      <c r="A242" s="2">
        <v>33.133000000000003</v>
      </c>
      <c r="B242" s="2">
        <v>2.7538</v>
      </c>
      <c r="C242" s="1">
        <f>Tabela1[[#This Row],[Alongamento (mm/mm)]]/$I$2</f>
        <v>5.5076E-2</v>
      </c>
      <c r="D242" s="2">
        <v>164.66</v>
      </c>
      <c r="E242" s="1">
        <f>Tabela1[[#This Row],[Força (N)]]/$I$5</f>
        <v>3886056.8299820637</v>
      </c>
      <c r="F242" s="1">
        <f>Tabela1[[#This Row],[Tensão (Pa)]]/1000000</f>
        <v>3.8860568299820639</v>
      </c>
    </row>
    <row r="243" spans="1:6" x14ac:dyDescent="0.3">
      <c r="A243" s="2">
        <v>33.200000000000003</v>
      </c>
      <c r="B243" s="2">
        <v>2.7593999999999999</v>
      </c>
      <c r="C243" s="1">
        <f>Tabela1[[#This Row],[Alongamento (mm/mm)]]/$I$2</f>
        <v>5.5187999999999994E-2</v>
      </c>
      <c r="D243" s="2">
        <v>165.68</v>
      </c>
      <c r="E243" s="1">
        <f>Tabela1[[#This Row],[Força (N)]]/$I$5</f>
        <v>3910129.3306900784</v>
      </c>
      <c r="F243" s="1">
        <f>Tabela1[[#This Row],[Tensão (Pa)]]/1000000</f>
        <v>3.9101293306900784</v>
      </c>
    </row>
    <row r="244" spans="1:6" x14ac:dyDescent="0.3">
      <c r="A244" s="2">
        <v>33.267000000000003</v>
      </c>
      <c r="B244" s="2">
        <v>2.7648000000000001</v>
      </c>
      <c r="C244" s="1">
        <f>Tabela1[[#This Row],[Alongamento (mm/mm)]]/$I$2</f>
        <v>5.5296000000000005E-2</v>
      </c>
      <c r="D244" s="2">
        <v>166.87</v>
      </c>
      <c r="E244" s="1">
        <f>Tabela1[[#This Row],[Força (N)]]/$I$5</f>
        <v>3938213.9148494289</v>
      </c>
      <c r="F244" s="1">
        <f>Tabela1[[#This Row],[Tensão (Pa)]]/1000000</f>
        <v>3.9382139148494288</v>
      </c>
    </row>
    <row r="245" spans="1:6" x14ac:dyDescent="0.3">
      <c r="A245" s="2">
        <v>33.332999999999998</v>
      </c>
      <c r="B245" s="2">
        <v>2.7704</v>
      </c>
      <c r="C245" s="1">
        <f>Tabela1[[#This Row],[Alongamento (mm/mm)]]/$I$2</f>
        <v>5.5407999999999999E-2</v>
      </c>
      <c r="D245" s="2">
        <v>168.06</v>
      </c>
      <c r="E245" s="1">
        <f>Tabela1[[#This Row],[Força (N)]]/$I$5</f>
        <v>3966298.4990087794</v>
      </c>
      <c r="F245" s="1">
        <f>Tabela1[[#This Row],[Tensão (Pa)]]/1000000</f>
        <v>3.9662984990087793</v>
      </c>
    </row>
    <row r="246" spans="1:6" x14ac:dyDescent="0.3">
      <c r="A246" s="2">
        <v>33.4</v>
      </c>
      <c r="B246" s="2">
        <v>2.7759999999999998</v>
      </c>
      <c r="C246" s="1">
        <f>Tabela1[[#This Row],[Alongamento (mm/mm)]]/$I$2</f>
        <v>5.5519999999999993E-2</v>
      </c>
      <c r="D246" s="2">
        <v>169.08</v>
      </c>
      <c r="E246" s="1">
        <f>Tabela1[[#This Row],[Força (N)]]/$I$5</f>
        <v>3990370.9997167946</v>
      </c>
      <c r="F246" s="1">
        <f>Tabela1[[#This Row],[Tensão (Pa)]]/1000000</f>
        <v>3.9903709997167947</v>
      </c>
    </row>
    <row r="247" spans="1:6" x14ac:dyDescent="0.3">
      <c r="A247" s="2">
        <v>33.466999999999999</v>
      </c>
      <c r="B247" s="2">
        <v>2.7814999999999999</v>
      </c>
      <c r="C247" s="1">
        <f>Tabela1[[#This Row],[Alongamento (mm/mm)]]/$I$2</f>
        <v>5.5629999999999999E-2</v>
      </c>
      <c r="D247" s="2">
        <v>170.27</v>
      </c>
      <c r="E247" s="1">
        <f>Tabela1[[#This Row],[Força (N)]]/$I$5</f>
        <v>4018455.5838761451</v>
      </c>
      <c r="F247" s="1">
        <f>Tabela1[[#This Row],[Tensão (Pa)]]/1000000</f>
        <v>4.0184555838761451</v>
      </c>
    </row>
    <row r="248" spans="1:6" x14ac:dyDescent="0.3">
      <c r="A248" s="2">
        <v>33.533000000000001</v>
      </c>
      <c r="B248" s="2">
        <v>2.7871000000000001</v>
      </c>
      <c r="C248" s="1">
        <f>Tabela1[[#This Row],[Alongamento (mm/mm)]]/$I$2</f>
        <v>5.5742E-2</v>
      </c>
      <c r="D248" s="2">
        <v>171.46</v>
      </c>
      <c r="E248" s="1">
        <f>Tabela1[[#This Row],[Força (N)]]/$I$5</f>
        <v>4046540.1680354951</v>
      </c>
      <c r="F248" s="1">
        <f>Tabela1[[#This Row],[Tensão (Pa)]]/1000000</f>
        <v>4.0465401680354951</v>
      </c>
    </row>
    <row r="249" spans="1:6" x14ac:dyDescent="0.3">
      <c r="A249" s="2">
        <v>33.6</v>
      </c>
      <c r="B249" s="2">
        <v>2.7927</v>
      </c>
      <c r="C249" s="1">
        <f>Tabela1[[#This Row],[Alongamento (mm/mm)]]/$I$2</f>
        <v>5.5854000000000001E-2</v>
      </c>
      <c r="D249" s="2">
        <v>172.48</v>
      </c>
      <c r="E249" s="1">
        <f>Tabela1[[#This Row],[Força (N)]]/$I$5</f>
        <v>4070612.6687435098</v>
      </c>
      <c r="F249" s="1">
        <f>Tabela1[[#This Row],[Tensão (Pa)]]/1000000</f>
        <v>4.07061266874351</v>
      </c>
    </row>
    <row r="250" spans="1:6" x14ac:dyDescent="0.3">
      <c r="A250" s="2">
        <v>33.667000000000002</v>
      </c>
      <c r="B250" s="2">
        <v>2.7982999999999998</v>
      </c>
      <c r="C250" s="1">
        <f>Tabela1[[#This Row],[Alongamento (mm/mm)]]/$I$2</f>
        <v>5.5965999999999995E-2</v>
      </c>
      <c r="D250" s="2">
        <v>173.67</v>
      </c>
      <c r="E250" s="1">
        <f>Tabela1[[#This Row],[Força (N)]]/$I$5</f>
        <v>4098697.2529028603</v>
      </c>
      <c r="F250" s="1">
        <f>Tabela1[[#This Row],[Tensão (Pa)]]/1000000</f>
        <v>4.09869725290286</v>
      </c>
    </row>
    <row r="251" spans="1:6" x14ac:dyDescent="0.3">
      <c r="A251" s="2">
        <v>33.732999999999997</v>
      </c>
      <c r="B251" s="2">
        <v>2.8037000000000001</v>
      </c>
      <c r="C251" s="1">
        <f>Tabela1[[#This Row],[Alongamento (mm/mm)]]/$I$2</f>
        <v>5.6073999999999999E-2</v>
      </c>
      <c r="D251" s="2">
        <v>174.86</v>
      </c>
      <c r="E251" s="1">
        <f>Tabela1[[#This Row],[Força (N)]]/$I$5</f>
        <v>4126781.8370622112</v>
      </c>
      <c r="F251" s="1">
        <f>Tabela1[[#This Row],[Tensão (Pa)]]/1000000</f>
        <v>4.1267818370622109</v>
      </c>
    </row>
    <row r="252" spans="1:6" x14ac:dyDescent="0.3">
      <c r="A252" s="2">
        <v>33.817</v>
      </c>
      <c r="B252" s="2">
        <v>2.8107000000000002</v>
      </c>
      <c r="C252" s="1">
        <f>Tabela1[[#This Row],[Alongamento (mm/mm)]]/$I$2</f>
        <v>5.6214000000000007E-2</v>
      </c>
      <c r="D252" s="2">
        <v>176.22</v>
      </c>
      <c r="E252" s="1">
        <f>Tabela1[[#This Row],[Força (N)]]/$I$5</f>
        <v>4158878.504672897</v>
      </c>
      <c r="F252" s="1">
        <f>Tabela1[[#This Row],[Tensão (Pa)]]/1000000</f>
        <v>4.1588785046728969</v>
      </c>
    </row>
    <row r="253" spans="1:6" x14ac:dyDescent="0.3">
      <c r="A253" s="2">
        <v>33.9</v>
      </c>
      <c r="B253" s="2">
        <v>2.8176999999999999</v>
      </c>
      <c r="C253" s="1">
        <f>Tabela1[[#This Row],[Alongamento (mm/mm)]]/$I$2</f>
        <v>5.6353999999999994E-2</v>
      </c>
      <c r="D253" s="2">
        <v>177.75</v>
      </c>
      <c r="E253" s="1">
        <f>Tabela1[[#This Row],[Força (N)]]/$I$5</f>
        <v>4194987.2557349196</v>
      </c>
      <c r="F253" s="1">
        <f>Tabela1[[#This Row],[Tensão (Pa)]]/1000000</f>
        <v>4.1949872557349197</v>
      </c>
    </row>
    <row r="254" spans="1:6" x14ac:dyDescent="0.3">
      <c r="A254" s="2">
        <v>33.982999999999997</v>
      </c>
      <c r="B254" s="2">
        <v>2.8246000000000002</v>
      </c>
      <c r="C254" s="1">
        <f>Tabela1[[#This Row],[Alongamento (mm/mm)]]/$I$2</f>
        <v>5.6492000000000007E-2</v>
      </c>
      <c r="D254" s="2">
        <v>179.28</v>
      </c>
      <c r="E254" s="1">
        <f>Tabela1[[#This Row],[Força (N)]]/$I$5</f>
        <v>4231096.0067969412</v>
      </c>
      <c r="F254" s="1">
        <f>Tabela1[[#This Row],[Tensão (Pa)]]/1000000</f>
        <v>4.2310960067969408</v>
      </c>
    </row>
    <row r="255" spans="1:6" x14ac:dyDescent="0.3">
      <c r="A255" s="2">
        <v>34.067</v>
      </c>
      <c r="B255" s="2">
        <v>2.8315999999999999</v>
      </c>
      <c r="C255" s="1">
        <f>Tabela1[[#This Row],[Alongamento (mm/mm)]]/$I$2</f>
        <v>5.6631999999999995E-2</v>
      </c>
      <c r="D255" s="2">
        <v>180.82</v>
      </c>
      <c r="E255" s="1">
        <f>Tabela1[[#This Row],[Força (N)]]/$I$5</f>
        <v>4267440.7627678653</v>
      </c>
      <c r="F255" s="1">
        <f>Tabela1[[#This Row],[Tensão (Pa)]]/1000000</f>
        <v>4.2674407627678654</v>
      </c>
    </row>
    <row r="256" spans="1:6" x14ac:dyDescent="0.3">
      <c r="A256" s="2">
        <v>34.15</v>
      </c>
      <c r="B256" s="2">
        <v>2.8384999999999998</v>
      </c>
      <c r="C256" s="1">
        <f>Tabela1[[#This Row],[Alongamento (mm/mm)]]/$I$2</f>
        <v>5.6769999999999994E-2</v>
      </c>
      <c r="D256" s="2">
        <v>182.35</v>
      </c>
      <c r="E256" s="1">
        <f>Tabela1[[#This Row],[Força (N)]]/$I$5</f>
        <v>4303549.5138298878</v>
      </c>
      <c r="F256" s="1">
        <f>Tabela1[[#This Row],[Tensão (Pa)]]/1000000</f>
        <v>4.3035495138298883</v>
      </c>
    </row>
    <row r="257" spans="1:6" x14ac:dyDescent="0.3">
      <c r="A257" s="2">
        <v>34.232999999999997</v>
      </c>
      <c r="B257" s="2">
        <v>2.8454000000000002</v>
      </c>
      <c r="C257" s="1">
        <f>Tabela1[[#This Row],[Alongamento (mm/mm)]]/$I$2</f>
        <v>5.6908E-2</v>
      </c>
      <c r="D257" s="2">
        <v>183.88</v>
      </c>
      <c r="E257" s="1">
        <f>Tabela1[[#This Row],[Força (N)]]/$I$5</f>
        <v>4339658.2648919094</v>
      </c>
      <c r="F257" s="1">
        <f>Tabela1[[#This Row],[Tensão (Pa)]]/1000000</f>
        <v>4.3396582648919093</v>
      </c>
    </row>
    <row r="258" spans="1:6" x14ac:dyDescent="0.3">
      <c r="A258" s="2">
        <v>34.317</v>
      </c>
      <c r="B258" s="2">
        <v>2.8523999999999998</v>
      </c>
      <c r="C258" s="1">
        <f>Tabela1[[#This Row],[Alongamento (mm/mm)]]/$I$2</f>
        <v>5.7047999999999995E-2</v>
      </c>
      <c r="D258" s="2">
        <v>185.41</v>
      </c>
      <c r="E258" s="1">
        <f>Tabela1[[#This Row],[Força (N)]]/$I$5</f>
        <v>4375767.015953932</v>
      </c>
      <c r="F258" s="1">
        <f>Tabela1[[#This Row],[Tensão (Pa)]]/1000000</f>
        <v>4.3757670159539321</v>
      </c>
    </row>
    <row r="259" spans="1:6" x14ac:dyDescent="0.3">
      <c r="A259" s="2">
        <v>34.4</v>
      </c>
      <c r="B259" s="2">
        <v>2.8593000000000002</v>
      </c>
      <c r="C259" s="1">
        <f>Tabela1[[#This Row],[Alongamento (mm/mm)]]/$I$2</f>
        <v>5.7186000000000001E-2</v>
      </c>
      <c r="D259" s="2">
        <v>186.94</v>
      </c>
      <c r="E259" s="1">
        <f>Tabela1[[#This Row],[Força (N)]]/$I$5</f>
        <v>4411875.7670159535</v>
      </c>
      <c r="F259" s="1">
        <f>Tabela1[[#This Row],[Tensão (Pa)]]/1000000</f>
        <v>4.4118757670159532</v>
      </c>
    </row>
    <row r="260" spans="1:6" x14ac:dyDescent="0.3">
      <c r="A260" s="2">
        <v>34.482999999999997</v>
      </c>
      <c r="B260" s="2">
        <v>2.8662000000000001</v>
      </c>
      <c r="C260" s="1">
        <f>Tabela1[[#This Row],[Alongamento (mm/mm)]]/$I$2</f>
        <v>5.7324E-2</v>
      </c>
      <c r="D260" s="2">
        <v>188.47</v>
      </c>
      <c r="E260" s="1">
        <f>Tabela1[[#This Row],[Força (N)]]/$I$5</f>
        <v>4447984.5180779761</v>
      </c>
      <c r="F260" s="1">
        <f>Tabela1[[#This Row],[Tensão (Pa)]]/1000000</f>
        <v>4.447984518077976</v>
      </c>
    </row>
    <row r="261" spans="1:6" x14ac:dyDescent="0.3">
      <c r="A261" s="2">
        <v>34.567</v>
      </c>
      <c r="B261" s="2">
        <v>2.8732000000000002</v>
      </c>
      <c r="C261" s="1">
        <f>Tabela1[[#This Row],[Alongamento (mm/mm)]]/$I$2</f>
        <v>5.7464000000000001E-2</v>
      </c>
      <c r="D261" s="2">
        <v>190</v>
      </c>
      <c r="E261" s="1">
        <f>Tabela1[[#This Row],[Força (N)]]/$I$5</f>
        <v>4484093.2691399977</v>
      </c>
      <c r="F261" s="1">
        <f>Tabela1[[#This Row],[Tensão (Pa)]]/1000000</f>
        <v>4.484093269139998</v>
      </c>
    </row>
    <row r="262" spans="1:6" x14ac:dyDescent="0.3">
      <c r="A262" s="2">
        <v>34.633000000000003</v>
      </c>
      <c r="B262" s="2">
        <v>2.8786999999999998</v>
      </c>
      <c r="C262" s="1">
        <f>Tabela1[[#This Row],[Alongamento (mm/mm)]]/$I$2</f>
        <v>5.7573999999999993E-2</v>
      </c>
      <c r="D262" s="2">
        <v>191.36</v>
      </c>
      <c r="E262" s="1">
        <f>Tabela1[[#This Row],[Força (N)]]/$I$5</f>
        <v>4516189.9367506849</v>
      </c>
      <c r="F262" s="1">
        <f>Tabela1[[#This Row],[Tensão (Pa)]]/1000000</f>
        <v>4.5161899367506848</v>
      </c>
    </row>
    <row r="263" spans="1:6" x14ac:dyDescent="0.3">
      <c r="A263" s="2">
        <v>34.716999999999999</v>
      </c>
      <c r="B263" s="2">
        <v>2.8856999999999999</v>
      </c>
      <c r="C263" s="1">
        <f>Tabela1[[#This Row],[Alongamento (mm/mm)]]/$I$2</f>
        <v>5.7714000000000001E-2</v>
      </c>
      <c r="D263" s="2">
        <v>192.89</v>
      </c>
      <c r="E263" s="1">
        <f>Tabela1[[#This Row],[Força (N)]]/$I$5</f>
        <v>4552298.6878127065</v>
      </c>
      <c r="F263" s="1">
        <f>Tabela1[[#This Row],[Tensão (Pa)]]/1000000</f>
        <v>4.5522986878127067</v>
      </c>
    </row>
    <row r="264" spans="1:6" x14ac:dyDescent="0.3">
      <c r="A264" s="2">
        <v>34.783000000000001</v>
      </c>
      <c r="B264" s="2">
        <v>2.8913000000000002</v>
      </c>
      <c r="C264" s="1">
        <f>Tabela1[[#This Row],[Alongamento (mm/mm)]]/$I$2</f>
        <v>5.7826000000000002E-2</v>
      </c>
      <c r="D264" s="2">
        <v>194.25</v>
      </c>
      <c r="E264" s="1">
        <f>Tabela1[[#This Row],[Força (N)]]/$I$5</f>
        <v>4584395.3554233927</v>
      </c>
      <c r="F264" s="1">
        <f>Tabela1[[#This Row],[Tensão (Pa)]]/1000000</f>
        <v>4.5843953554233927</v>
      </c>
    </row>
    <row r="265" spans="1:6" x14ac:dyDescent="0.3">
      <c r="A265" s="2">
        <v>34.85</v>
      </c>
      <c r="B265" s="2">
        <v>2.8967999999999998</v>
      </c>
      <c r="C265" s="1">
        <f>Tabela1[[#This Row],[Alongamento (mm/mm)]]/$I$2</f>
        <v>5.7935999999999994E-2</v>
      </c>
      <c r="D265" s="2">
        <v>195.61</v>
      </c>
      <c r="E265" s="1">
        <f>Tabela1[[#This Row],[Força (N)]]/$I$5</f>
        <v>4616492.023034079</v>
      </c>
      <c r="F265" s="1">
        <f>Tabela1[[#This Row],[Tensão (Pa)]]/1000000</f>
        <v>4.6164920230340787</v>
      </c>
    </row>
    <row r="266" spans="1:6" x14ac:dyDescent="0.3">
      <c r="A266" s="2">
        <v>34.933</v>
      </c>
      <c r="B266" s="2">
        <v>2.9037000000000002</v>
      </c>
      <c r="C266" s="1">
        <f>Tabela1[[#This Row],[Alongamento (mm/mm)]]/$I$2</f>
        <v>5.8074000000000001E-2</v>
      </c>
      <c r="D266" s="2">
        <v>197.14</v>
      </c>
      <c r="E266" s="1">
        <f>Tabela1[[#This Row],[Força (N)]]/$I$5</f>
        <v>4652600.7740961006</v>
      </c>
      <c r="F266" s="1">
        <f>Tabela1[[#This Row],[Tensão (Pa)]]/1000000</f>
        <v>4.6526007740961006</v>
      </c>
    </row>
    <row r="267" spans="1:6" x14ac:dyDescent="0.3">
      <c r="A267" s="2">
        <v>35</v>
      </c>
      <c r="B267" s="2">
        <v>2.9094000000000002</v>
      </c>
      <c r="C267" s="1">
        <f>Tabela1[[#This Row],[Alongamento (mm/mm)]]/$I$2</f>
        <v>5.8188000000000004E-2</v>
      </c>
      <c r="D267" s="2">
        <v>198.51</v>
      </c>
      <c r="E267" s="1">
        <f>Tabela1[[#This Row],[Força (N)]]/$I$5</f>
        <v>4684933.4466156894</v>
      </c>
      <c r="F267" s="1">
        <f>Tabela1[[#This Row],[Tensão (Pa)]]/1000000</f>
        <v>4.6849334466156893</v>
      </c>
    </row>
    <row r="268" spans="1:6" x14ac:dyDescent="0.3">
      <c r="A268" s="2">
        <v>35.067</v>
      </c>
      <c r="B268" s="2">
        <v>2.9148999999999998</v>
      </c>
      <c r="C268" s="1">
        <f>Tabela1[[#This Row],[Alongamento (mm/mm)]]/$I$2</f>
        <v>5.8297999999999996E-2</v>
      </c>
      <c r="D268" s="2">
        <v>199.87</v>
      </c>
      <c r="E268" s="1">
        <f>Tabela1[[#This Row],[Força (N)]]/$I$5</f>
        <v>4717030.1142263757</v>
      </c>
      <c r="F268" s="1">
        <f>Tabela1[[#This Row],[Tensão (Pa)]]/1000000</f>
        <v>4.7170301142263753</v>
      </c>
    </row>
    <row r="269" spans="1:6" x14ac:dyDescent="0.3">
      <c r="A269" s="2">
        <v>35.133000000000003</v>
      </c>
      <c r="B269" s="2">
        <v>2.9203999999999999</v>
      </c>
      <c r="C269" s="1">
        <f>Tabela1[[#This Row],[Alongamento (mm/mm)]]/$I$2</f>
        <v>5.8407999999999995E-2</v>
      </c>
      <c r="D269" s="2">
        <v>201.23</v>
      </c>
      <c r="E269" s="1">
        <f>Tabela1[[#This Row],[Força (N)]]/$I$5</f>
        <v>4749126.781837062</v>
      </c>
      <c r="F269" s="1">
        <f>Tabela1[[#This Row],[Tensão (Pa)]]/1000000</f>
        <v>4.7491267818370622</v>
      </c>
    </row>
    <row r="270" spans="1:6" x14ac:dyDescent="0.3">
      <c r="A270" s="2">
        <v>35.200000000000003</v>
      </c>
      <c r="B270" s="2">
        <v>2.9260000000000002</v>
      </c>
      <c r="C270" s="1">
        <f>Tabela1[[#This Row],[Alongamento (mm/mm)]]/$I$2</f>
        <v>5.8520000000000003E-2</v>
      </c>
      <c r="D270" s="2">
        <v>202.59</v>
      </c>
      <c r="E270" s="1">
        <f>Tabela1[[#This Row],[Força (N)]]/$I$5</f>
        <v>4781223.4494477483</v>
      </c>
      <c r="F270" s="1">
        <f>Tabela1[[#This Row],[Tensão (Pa)]]/1000000</f>
        <v>4.7812234494477481</v>
      </c>
    </row>
    <row r="271" spans="1:6" x14ac:dyDescent="0.3">
      <c r="A271" s="2">
        <v>35.283000000000001</v>
      </c>
      <c r="B271" s="2">
        <v>2.9329000000000001</v>
      </c>
      <c r="C271" s="1">
        <f>Tabela1[[#This Row],[Alongamento (mm/mm)]]/$I$2</f>
        <v>5.8658000000000002E-2</v>
      </c>
      <c r="D271" s="2">
        <v>204.12</v>
      </c>
      <c r="E271" s="1">
        <f>Tabela1[[#This Row],[Força (N)]]/$I$5</f>
        <v>4817332.2005097708</v>
      </c>
      <c r="F271" s="1">
        <f>Tabela1[[#This Row],[Tensão (Pa)]]/1000000</f>
        <v>4.817332200509771</v>
      </c>
    </row>
    <row r="272" spans="1:6" x14ac:dyDescent="0.3">
      <c r="A272" s="2">
        <v>35.35</v>
      </c>
      <c r="B272" s="2">
        <v>2.9384999999999999</v>
      </c>
      <c r="C272" s="1">
        <f>Tabela1[[#This Row],[Alongamento (mm/mm)]]/$I$2</f>
        <v>5.8769999999999996E-2</v>
      </c>
      <c r="D272" s="2">
        <v>205.48</v>
      </c>
      <c r="E272" s="1">
        <f>Tabela1[[#This Row],[Força (N)]]/$I$5</f>
        <v>4849428.868120457</v>
      </c>
      <c r="F272" s="1">
        <f>Tabela1[[#This Row],[Tensão (Pa)]]/1000000</f>
        <v>4.8494288681204569</v>
      </c>
    </row>
    <row r="273" spans="1:6" x14ac:dyDescent="0.3">
      <c r="A273" s="2">
        <v>35.417000000000002</v>
      </c>
      <c r="B273" s="2">
        <v>2.944</v>
      </c>
      <c r="C273" s="1">
        <f>Tabela1[[#This Row],[Alongamento (mm/mm)]]/$I$2</f>
        <v>5.8880000000000002E-2</v>
      </c>
      <c r="D273" s="2">
        <v>206.84</v>
      </c>
      <c r="E273" s="1">
        <f>Tabela1[[#This Row],[Força (N)]]/$I$5</f>
        <v>4881525.5357311433</v>
      </c>
      <c r="F273" s="1">
        <f>Tabela1[[#This Row],[Tensão (Pa)]]/1000000</f>
        <v>4.8815255357311429</v>
      </c>
    </row>
    <row r="274" spans="1:6" x14ac:dyDescent="0.3">
      <c r="A274" s="2">
        <v>35.482999999999997</v>
      </c>
      <c r="B274" s="2">
        <v>2.9496000000000002</v>
      </c>
      <c r="C274" s="1">
        <f>Tabela1[[#This Row],[Alongamento (mm/mm)]]/$I$2</f>
        <v>5.8992000000000003E-2</v>
      </c>
      <c r="D274" s="2">
        <v>208.2</v>
      </c>
      <c r="E274" s="1">
        <f>Tabela1[[#This Row],[Força (N)]]/$I$5</f>
        <v>4913622.2033418296</v>
      </c>
      <c r="F274" s="1">
        <f>Tabela1[[#This Row],[Tensão (Pa)]]/1000000</f>
        <v>4.9136222033418298</v>
      </c>
    </row>
    <row r="275" spans="1:6" x14ac:dyDescent="0.3">
      <c r="A275" s="2">
        <v>35.549999999999997</v>
      </c>
      <c r="B275" s="2">
        <v>2.9550999999999998</v>
      </c>
      <c r="C275" s="1">
        <f>Tabela1[[#This Row],[Alongamento (mm/mm)]]/$I$2</f>
        <v>5.9101999999999995E-2</v>
      </c>
      <c r="D275" s="2">
        <v>209.56</v>
      </c>
      <c r="E275" s="1">
        <f>Tabela1[[#This Row],[Força (N)]]/$I$5</f>
        <v>4945718.8709525159</v>
      </c>
      <c r="F275" s="1">
        <f>Tabela1[[#This Row],[Tensão (Pa)]]/1000000</f>
        <v>4.9457188709525157</v>
      </c>
    </row>
    <row r="276" spans="1:6" x14ac:dyDescent="0.3">
      <c r="A276" s="2">
        <v>35.616999999999997</v>
      </c>
      <c r="B276" s="2">
        <v>2.9605999999999999</v>
      </c>
      <c r="C276" s="1">
        <f>Tabela1[[#This Row],[Alongamento (mm/mm)]]/$I$2</f>
        <v>5.9212000000000001E-2</v>
      </c>
      <c r="D276" s="2">
        <v>210.92</v>
      </c>
      <c r="E276" s="1">
        <f>Tabela1[[#This Row],[Força (N)]]/$I$5</f>
        <v>4977815.5385632021</v>
      </c>
      <c r="F276" s="1">
        <f>Tabela1[[#This Row],[Tensão (Pa)]]/1000000</f>
        <v>4.9778155385632017</v>
      </c>
    </row>
    <row r="277" spans="1:6" x14ac:dyDescent="0.3">
      <c r="A277" s="2">
        <v>35.683</v>
      </c>
      <c r="B277" s="2">
        <v>2.9662000000000002</v>
      </c>
      <c r="C277" s="1">
        <f>Tabela1[[#This Row],[Alongamento (mm/mm)]]/$I$2</f>
        <v>5.9324000000000002E-2</v>
      </c>
      <c r="D277" s="2">
        <v>212.45</v>
      </c>
      <c r="E277" s="1">
        <f>Tabela1[[#This Row],[Força (N)]]/$I$5</f>
        <v>5013924.2896252237</v>
      </c>
      <c r="F277" s="1">
        <f>Tabela1[[#This Row],[Tensão (Pa)]]/1000000</f>
        <v>5.0139242896252236</v>
      </c>
    </row>
    <row r="278" spans="1:6" x14ac:dyDescent="0.3">
      <c r="A278" s="2">
        <v>35.75</v>
      </c>
      <c r="B278" s="2">
        <v>2.9718</v>
      </c>
      <c r="C278" s="1">
        <f>Tabela1[[#This Row],[Alongamento (mm/mm)]]/$I$2</f>
        <v>5.9436000000000003E-2</v>
      </c>
      <c r="D278" s="2">
        <v>213.81</v>
      </c>
      <c r="E278" s="1">
        <f>Tabela1[[#This Row],[Força (N)]]/$I$5</f>
        <v>5046020.9572359109</v>
      </c>
      <c r="F278" s="1">
        <f>Tabela1[[#This Row],[Tensão (Pa)]]/1000000</f>
        <v>5.0460209572359105</v>
      </c>
    </row>
    <row r="279" spans="1:6" x14ac:dyDescent="0.3">
      <c r="A279" s="2">
        <v>35.817</v>
      </c>
      <c r="B279" s="2">
        <v>2.9773999999999998</v>
      </c>
      <c r="C279" s="1">
        <f>Tabela1[[#This Row],[Alongamento (mm/mm)]]/$I$2</f>
        <v>5.9547999999999997E-2</v>
      </c>
      <c r="D279" s="2">
        <v>215.18</v>
      </c>
      <c r="E279" s="1">
        <f>Tabela1[[#This Row],[Força (N)]]/$I$5</f>
        <v>5078353.6297554988</v>
      </c>
      <c r="F279" s="1">
        <f>Tabela1[[#This Row],[Tensão (Pa)]]/1000000</f>
        <v>5.0783536297554992</v>
      </c>
    </row>
    <row r="280" spans="1:6" x14ac:dyDescent="0.3">
      <c r="A280" s="2">
        <v>35.883000000000003</v>
      </c>
      <c r="B280" s="2">
        <v>2.9830000000000001</v>
      </c>
      <c r="C280" s="1">
        <f>Tabela1[[#This Row],[Alongamento (mm/mm)]]/$I$2</f>
        <v>5.9660000000000005E-2</v>
      </c>
      <c r="D280" s="2">
        <v>216.54</v>
      </c>
      <c r="E280" s="1">
        <f>Tabela1[[#This Row],[Força (N)]]/$I$5</f>
        <v>5110450.2973661851</v>
      </c>
      <c r="F280" s="1">
        <f>Tabela1[[#This Row],[Tensão (Pa)]]/1000000</f>
        <v>5.1104502973661852</v>
      </c>
    </row>
    <row r="281" spans="1:6" x14ac:dyDescent="0.3">
      <c r="A281" s="2">
        <v>35.950000000000003</v>
      </c>
      <c r="B281" s="2">
        <v>2.9885000000000002</v>
      </c>
      <c r="C281" s="1">
        <f>Tabela1[[#This Row],[Alongamento (mm/mm)]]/$I$2</f>
        <v>5.9770000000000004E-2</v>
      </c>
      <c r="D281" s="2">
        <v>218.07</v>
      </c>
      <c r="E281" s="1">
        <f>Tabela1[[#This Row],[Força (N)]]/$I$5</f>
        <v>5146559.0484282067</v>
      </c>
      <c r="F281" s="1">
        <f>Tabela1[[#This Row],[Tensão (Pa)]]/1000000</f>
        <v>5.1465590484282071</v>
      </c>
    </row>
    <row r="282" spans="1:6" x14ac:dyDescent="0.3">
      <c r="A282" s="2">
        <v>36.033000000000001</v>
      </c>
      <c r="B282" s="2">
        <v>2.9954000000000001</v>
      </c>
      <c r="C282" s="1">
        <f>Tabela1[[#This Row],[Alongamento (mm/mm)]]/$I$2</f>
        <v>5.9908000000000003E-2</v>
      </c>
      <c r="D282" s="2">
        <v>219.77</v>
      </c>
      <c r="E282" s="1">
        <f>Tabela1[[#This Row],[Força (N)]]/$I$5</f>
        <v>5186679.8829415655</v>
      </c>
      <c r="F282" s="1">
        <f>Tabela1[[#This Row],[Tensão (Pa)]]/1000000</f>
        <v>5.1866798829415659</v>
      </c>
    </row>
    <row r="283" spans="1:6" x14ac:dyDescent="0.3">
      <c r="A283" s="2">
        <v>36.116999999999997</v>
      </c>
      <c r="B283" s="2">
        <v>3.0023</v>
      </c>
      <c r="C283" s="1">
        <f>Tabela1[[#This Row],[Alongamento (mm/mm)]]/$I$2</f>
        <v>6.0046000000000002E-2</v>
      </c>
      <c r="D283" s="2">
        <v>221.64</v>
      </c>
      <c r="E283" s="1">
        <f>Tabela1[[#This Row],[Força (N)]]/$I$5</f>
        <v>5230812.8009062586</v>
      </c>
      <c r="F283" s="1">
        <f>Tabela1[[#This Row],[Tensão (Pa)]]/1000000</f>
        <v>5.2308128009062589</v>
      </c>
    </row>
    <row r="284" spans="1:6" x14ac:dyDescent="0.3">
      <c r="A284" s="2">
        <v>36.200000000000003</v>
      </c>
      <c r="B284" s="2">
        <v>3.0093999999999999</v>
      </c>
      <c r="C284" s="1">
        <f>Tabela1[[#This Row],[Alongamento (mm/mm)]]/$I$2</f>
        <v>6.0187999999999998E-2</v>
      </c>
      <c r="D284" s="2">
        <v>223.34</v>
      </c>
      <c r="E284" s="1">
        <f>Tabela1[[#This Row],[Força (N)]]/$I$5</f>
        <v>5270933.6354196165</v>
      </c>
      <c r="F284" s="1">
        <f>Tabela1[[#This Row],[Tensão (Pa)]]/1000000</f>
        <v>5.2709336354196168</v>
      </c>
    </row>
    <row r="285" spans="1:6" x14ac:dyDescent="0.3">
      <c r="A285" s="2">
        <v>36.283000000000001</v>
      </c>
      <c r="B285" s="2">
        <v>3.0162</v>
      </c>
      <c r="C285" s="1">
        <f>Tabela1[[#This Row],[Alongamento (mm/mm)]]/$I$2</f>
        <v>6.0324000000000003E-2</v>
      </c>
      <c r="D285" s="2">
        <v>225.21</v>
      </c>
      <c r="E285" s="1">
        <f>Tabela1[[#This Row],[Força (N)]]/$I$5</f>
        <v>5315066.5533843106</v>
      </c>
      <c r="F285" s="1">
        <f>Tabela1[[#This Row],[Tensão (Pa)]]/1000000</f>
        <v>5.3150665533843107</v>
      </c>
    </row>
    <row r="286" spans="1:6" x14ac:dyDescent="0.3">
      <c r="A286" s="2">
        <v>36.366999999999997</v>
      </c>
      <c r="B286" s="2">
        <v>3.0232000000000001</v>
      </c>
      <c r="C286" s="1">
        <f>Tabela1[[#This Row],[Alongamento (mm/mm)]]/$I$2</f>
        <v>6.0464000000000004E-2</v>
      </c>
      <c r="D286" s="2">
        <v>226.91</v>
      </c>
      <c r="E286" s="1">
        <f>Tabela1[[#This Row],[Força (N)]]/$I$5</f>
        <v>5355187.3878976684</v>
      </c>
      <c r="F286" s="1">
        <f>Tabela1[[#This Row],[Tensão (Pa)]]/1000000</f>
        <v>5.3551873878976686</v>
      </c>
    </row>
    <row r="287" spans="1:6" x14ac:dyDescent="0.3">
      <c r="A287" s="2">
        <v>36.450000000000003</v>
      </c>
      <c r="B287" s="2">
        <v>3.0301999999999998</v>
      </c>
      <c r="C287" s="1">
        <f>Tabela1[[#This Row],[Alongamento (mm/mm)]]/$I$2</f>
        <v>6.0603999999999998E-2</v>
      </c>
      <c r="D287" s="2">
        <v>228.78</v>
      </c>
      <c r="E287" s="1">
        <f>Tabela1[[#This Row],[Força (N)]]/$I$5</f>
        <v>5399320.3058623616</v>
      </c>
      <c r="F287" s="1">
        <f>Tabela1[[#This Row],[Tensão (Pa)]]/1000000</f>
        <v>5.3993203058623616</v>
      </c>
    </row>
    <row r="288" spans="1:6" x14ac:dyDescent="0.3">
      <c r="A288" s="2">
        <v>36.533000000000001</v>
      </c>
      <c r="B288" s="2">
        <v>3.0369999999999999</v>
      </c>
      <c r="C288" s="1">
        <f>Tabela1[[#This Row],[Alongamento (mm/mm)]]/$I$2</f>
        <v>6.0739999999999995E-2</v>
      </c>
      <c r="D288" s="2">
        <v>230.65</v>
      </c>
      <c r="E288" s="1">
        <f>Tabela1[[#This Row],[Força (N)]]/$I$5</f>
        <v>5443453.2238270557</v>
      </c>
      <c r="F288" s="1">
        <f>Tabela1[[#This Row],[Tensão (Pa)]]/1000000</f>
        <v>5.4434532238270554</v>
      </c>
    </row>
    <row r="289" spans="1:6" x14ac:dyDescent="0.3">
      <c r="A289" s="2">
        <v>36.616999999999997</v>
      </c>
      <c r="B289" s="2">
        <v>3.044</v>
      </c>
      <c r="C289" s="1">
        <f>Tabela1[[#This Row],[Alongamento (mm/mm)]]/$I$2</f>
        <v>6.0880000000000004E-2</v>
      </c>
      <c r="D289" s="2">
        <v>232.35</v>
      </c>
      <c r="E289" s="1">
        <f>Tabela1[[#This Row],[Força (N)]]/$I$5</f>
        <v>5483574.0583404135</v>
      </c>
      <c r="F289" s="1">
        <f>Tabela1[[#This Row],[Tensão (Pa)]]/1000000</f>
        <v>5.4835740583404133</v>
      </c>
    </row>
    <row r="290" spans="1:6" x14ac:dyDescent="0.3">
      <c r="A290" s="2">
        <v>36.700000000000003</v>
      </c>
      <c r="B290" s="2">
        <v>3.0510000000000002</v>
      </c>
      <c r="C290" s="1">
        <f>Tabela1[[#This Row],[Alongamento (mm/mm)]]/$I$2</f>
        <v>6.1020000000000005E-2</v>
      </c>
      <c r="D290" s="2">
        <v>234.23</v>
      </c>
      <c r="E290" s="1">
        <f>Tabela1[[#This Row],[Força (N)]]/$I$5</f>
        <v>5527942.9812140092</v>
      </c>
      <c r="F290" s="1">
        <f>Tabela1[[#This Row],[Tensão (Pa)]]/1000000</f>
        <v>5.5279429812140091</v>
      </c>
    </row>
    <row r="291" spans="1:6" x14ac:dyDescent="0.3">
      <c r="A291" s="2">
        <v>36.783000000000001</v>
      </c>
      <c r="B291" s="2">
        <v>3.0579000000000001</v>
      </c>
      <c r="C291" s="1">
        <f>Tabela1[[#This Row],[Alongamento (mm/mm)]]/$I$2</f>
        <v>6.1158000000000004E-2</v>
      </c>
      <c r="D291" s="2">
        <v>236.1</v>
      </c>
      <c r="E291" s="1">
        <f>Tabela1[[#This Row],[Força (N)]]/$I$5</f>
        <v>5572075.8991787024</v>
      </c>
      <c r="F291" s="1">
        <f>Tabela1[[#This Row],[Tensão (Pa)]]/1000000</f>
        <v>5.5720758991787021</v>
      </c>
    </row>
    <row r="292" spans="1:6" x14ac:dyDescent="0.3">
      <c r="A292" s="2">
        <v>36.866999999999997</v>
      </c>
      <c r="B292" s="2">
        <v>3.0649000000000002</v>
      </c>
      <c r="C292" s="1">
        <f>Tabela1[[#This Row],[Alongamento (mm/mm)]]/$I$2</f>
        <v>6.1298000000000005E-2</v>
      </c>
      <c r="D292" s="2">
        <v>238.14</v>
      </c>
      <c r="E292" s="1">
        <f>Tabela1[[#This Row],[Força (N)]]/$I$5</f>
        <v>5620220.9005947318</v>
      </c>
      <c r="F292" s="1">
        <f>Tabela1[[#This Row],[Tensão (Pa)]]/1000000</f>
        <v>5.6202209005947319</v>
      </c>
    </row>
    <row r="293" spans="1:6" x14ac:dyDescent="0.3">
      <c r="A293" s="2">
        <v>36.950000000000003</v>
      </c>
      <c r="B293" s="2">
        <v>3.0718000000000001</v>
      </c>
      <c r="C293" s="1">
        <f>Tabela1[[#This Row],[Alongamento (mm/mm)]]/$I$2</f>
        <v>6.1436000000000004E-2</v>
      </c>
      <c r="D293" s="2">
        <v>240.01</v>
      </c>
      <c r="E293" s="1">
        <f>Tabela1[[#This Row],[Força (N)]]/$I$5</f>
        <v>5664353.8185594259</v>
      </c>
      <c r="F293" s="1">
        <f>Tabela1[[#This Row],[Tensão (Pa)]]/1000000</f>
        <v>5.6643538185594258</v>
      </c>
    </row>
    <row r="294" spans="1:6" x14ac:dyDescent="0.3">
      <c r="A294" s="2">
        <v>37.033000000000001</v>
      </c>
      <c r="B294" s="2">
        <v>3.0787</v>
      </c>
      <c r="C294" s="1">
        <f>Tabela1[[#This Row],[Alongamento (mm/mm)]]/$I$2</f>
        <v>6.1573999999999997E-2</v>
      </c>
      <c r="D294" s="2">
        <v>242.05</v>
      </c>
      <c r="E294" s="1">
        <f>Tabela1[[#This Row],[Força (N)]]/$I$5</f>
        <v>5712498.8199754553</v>
      </c>
      <c r="F294" s="1">
        <f>Tabela1[[#This Row],[Tensão (Pa)]]/1000000</f>
        <v>5.7124988199754556</v>
      </c>
    </row>
    <row r="295" spans="1:6" x14ac:dyDescent="0.3">
      <c r="A295" s="2">
        <v>37.116999999999997</v>
      </c>
      <c r="B295" s="2">
        <v>3.0857000000000001</v>
      </c>
      <c r="C295" s="1">
        <f>Tabela1[[#This Row],[Alongamento (mm/mm)]]/$I$2</f>
        <v>6.1714000000000005E-2</v>
      </c>
      <c r="D295" s="2">
        <v>243.92</v>
      </c>
      <c r="E295" s="1">
        <f>Tabela1[[#This Row],[Força (N)]]/$I$5</f>
        <v>5756631.7379401485</v>
      </c>
      <c r="F295" s="1">
        <f>Tabela1[[#This Row],[Tensão (Pa)]]/1000000</f>
        <v>5.7566317379401486</v>
      </c>
    </row>
    <row r="296" spans="1:6" x14ac:dyDescent="0.3">
      <c r="A296" s="2">
        <v>37.200000000000003</v>
      </c>
      <c r="B296" s="2">
        <v>3.0926</v>
      </c>
      <c r="C296" s="1">
        <f>Tabela1[[#This Row],[Alongamento (mm/mm)]]/$I$2</f>
        <v>6.1851999999999997E-2</v>
      </c>
      <c r="D296" s="2">
        <v>245.79</v>
      </c>
      <c r="E296" s="1">
        <f>Tabela1[[#This Row],[Força (N)]]/$I$5</f>
        <v>5800764.6559048425</v>
      </c>
      <c r="F296" s="1">
        <f>Tabela1[[#This Row],[Tensão (Pa)]]/1000000</f>
        <v>5.8007646559048425</v>
      </c>
    </row>
    <row r="297" spans="1:6" x14ac:dyDescent="0.3">
      <c r="A297" s="2">
        <v>37.283000000000001</v>
      </c>
      <c r="B297" s="2">
        <v>3.0996000000000001</v>
      </c>
      <c r="C297" s="1">
        <f>Tabela1[[#This Row],[Alongamento (mm/mm)]]/$I$2</f>
        <v>6.1992000000000005E-2</v>
      </c>
      <c r="D297" s="2">
        <v>247.66</v>
      </c>
      <c r="E297" s="1">
        <f>Tabela1[[#This Row],[Força (N)]]/$I$5</f>
        <v>5844897.5738695366</v>
      </c>
      <c r="F297" s="1">
        <f>Tabela1[[#This Row],[Tensão (Pa)]]/1000000</f>
        <v>5.8448975738695363</v>
      </c>
    </row>
    <row r="298" spans="1:6" x14ac:dyDescent="0.3">
      <c r="A298" s="2">
        <v>37.366999999999997</v>
      </c>
      <c r="B298" s="2">
        <v>3.1065999999999998</v>
      </c>
      <c r="C298" s="1">
        <f>Tabela1[[#This Row],[Alongamento (mm/mm)]]/$I$2</f>
        <v>6.2131999999999993E-2</v>
      </c>
      <c r="D298" s="2">
        <v>249.53</v>
      </c>
      <c r="E298" s="1">
        <f>Tabela1[[#This Row],[Força (N)]]/$I$5</f>
        <v>5889030.4918342298</v>
      </c>
      <c r="F298" s="1">
        <f>Tabela1[[#This Row],[Tensão (Pa)]]/1000000</f>
        <v>5.8890304918342302</v>
      </c>
    </row>
    <row r="299" spans="1:6" x14ac:dyDescent="0.3">
      <c r="A299" s="2">
        <v>37.450000000000003</v>
      </c>
      <c r="B299" s="2">
        <v>3.1133999999999999</v>
      </c>
      <c r="C299" s="1">
        <f>Tabela1[[#This Row],[Alongamento (mm/mm)]]/$I$2</f>
        <v>6.2267999999999997E-2</v>
      </c>
      <c r="D299" s="2">
        <v>251.41</v>
      </c>
      <c r="E299" s="1">
        <f>Tabela1[[#This Row],[Força (N)]]/$I$5</f>
        <v>5933399.4147078255</v>
      </c>
      <c r="F299" s="1">
        <f>Tabela1[[#This Row],[Tensão (Pa)]]/1000000</f>
        <v>5.9333994147078259</v>
      </c>
    </row>
    <row r="300" spans="1:6" x14ac:dyDescent="0.3">
      <c r="A300" s="2">
        <v>37.533000000000001</v>
      </c>
      <c r="B300" s="2">
        <v>3.1204000000000001</v>
      </c>
      <c r="C300" s="1">
        <f>Tabela1[[#This Row],[Alongamento (mm/mm)]]/$I$2</f>
        <v>6.2407999999999998E-2</v>
      </c>
      <c r="D300" s="2">
        <v>253.28</v>
      </c>
      <c r="E300" s="1">
        <f>Tabela1[[#This Row],[Força (N)]]/$I$5</f>
        <v>5977532.3326725196</v>
      </c>
      <c r="F300" s="1">
        <f>Tabela1[[#This Row],[Tensão (Pa)]]/1000000</f>
        <v>5.9775323326725198</v>
      </c>
    </row>
    <row r="301" spans="1:6" x14ac:dyDescent="0.3">
      <c r="A301" s="2">
        <v>37.6</v>
      </c>
      <c r="B301" s="2">
        <v>3.1259999999999999</v>
      </c>
      <c r="C301" s="1">
        <f>Tabela1[[#This Row],[Alongamento (mm/mm)]]/$I$2</f>
        <v>6.2519999999999992E-2</v>
      </c>
      <c r="D301" s="2">
        <v>254.98</v>
      </c>
      <c r="E301" s="1">
        <f>Tabela1[[#This Row],[Força (N)]]/$I$5</f>
        <v>6017653.1671858774</v>
      </c>
      <c r="F301" s="1">
        <f>Tabela1[[#This Row],[Tensão (Pa)]]/1000000</f>
        <v>6.0176531671858777</v>
      </c>
    </row>
    <row r="302" spans="1:6" x14ac:dyDescent="0.3">
      <c r="A302" s="2">
        <v>37.683</v>
      </c>
      <c r="B302" s="2">
        <v>3.133</v>
      </c>
      <c r="C302" s="1">
        <f>Tabela1[[#This Row],[Alongamento (mm/mm)]]/$I$2</f>
        <v>6.2659999999999993E-2</v>
      </c>
      <c r="D302" s="2">
        <v>256.85000000000002</v>
      </c>
      <c r="E302" s="1">
        <f>Tabela1[[#This Row],[Força (N)]]/$I$5</f>
        <v>6061786.0851505715</v>
      </c>
      <c r="F302" s="1">
        <f>Tabela1[[#This Row],[Tensão (Pa)]]/1000000</f>
        <v>6.0617860851505716</v>
      </c>
    </row>
    <row r="303" spans="1:6" x14ac:dyDescent="0.3">
      <c r="A303" s="2">
        <v>37.767000000000003</v>
      </c>
      <c r="B303" s="2">
        <v>3.1398999999999999</v>
      </c>
      <c r="C303" s="1">
        <f>Tabela1[[#This Row],[Alongamento (mm/mm)]]/$I$2</f>
        <v>6.2797999999999993E-2</v>
      </c>
      <c r="D303" s="2">
        <v>258.72000000000003</v>
      </c>
      <c r="E303" s="1">
        <f>Tabela1[[#This Row],[Força (N)]]/$I$5</f>
        <v>6105919.0031152656</v>
      </c>
      <c r="F303" s="1">
        <f>Tabela1[[#This Row],[Tensão (Pa)]]/1000000</f>
        <v>6.1059190031152655</v>
      </c>
    </row>
    <row r="304" spans="1:6" x14ac:dyDescent="0.3">
      <c r="A304" s="2">
        <v>37.832999999999998</v>
      </c>
      <c r="B304" s="2">
        <v>3.1454</v>
      </c>
      <c r="C304" s="1">
        <f>Tabela1[[#This Row],[Alongamento (mm/mm)]]/$I$2</f>
        <v>6.2908000000000006E-2</v>
      </c>
      <c r="D304" s="2">
        <v>260.42</v>
      </c>
      <c r="E304" s="1">
        <f>Tabela1[[#This Row],[Força (N)]]/$I$5</f>
        <v>6146039.8376286235</v>
      </c>
      <c r="F304" s="1">
        <f>Tabela1[[#This Row],[Tensão (Pa)]]/1000000</f>
        <v>6.1460398376286234</v>
      </c>
    </row>
    <row r="305" spans="1:6" x14ac:dyDescent="0.3">
      <c r="A305" s="2">
        <v>37.9</v>
      </c>
      <c r="B305" s="2">
        <v>3.1509</v>
      </c>
      <c r="C305" s="1">
        <f>Tabela1[[#This Row],[Alongamento (mm/mm)]]/$I$2</f>
        <v>6.3018000000000005E-2</v>
      </c>
      <c r="D305" s="2">
        <v>262.12</v>
      </c>
      <c r="E305" s="1">
        <f>Tabela1[[#This Row],[Força (N)]]/$I$5</f>
        <v>6186160.6721419804</v>
      </c>
      <c r="F305" s="1">
        <f>Tabela1[[#This Row],[Tensão (Pa)]]/1000000</f>
        <v>6.1861606721419804</v>
      </c>
    </row>
    <row r="306" spans="1:6" x14ac:dyDescent="0.3">
      <c r="A306" s="2">
        <v>37.982999999999997</v>
      </c>
      <c r="B306" s="2">
        <v>3.1579000000000002</v>
      </c>
      <c r="C306" s="1">
        <f>Tabela1[[#This Row],[Alongamento (mm/mm)]]/$I$2</f>
        <v>6.3158000000000006E-2</v>
      </c>
      <c r="D306" s="2">
        <v>264.16000000000003</v>
      </c>
      <c r="E306" s="1">
        <f>Tabela1[[#This Row],[Força (N)]]/$I$5</f>
        <v>6234305.6735580107</v>
      </c>
      <c r="F306" s="1">
        <f>Tabela1[[#This Row],[Tensão (Pa)]]/1000000</f>
        <v>6.2343056735580111</v>
      </c>
    </row>
    <row r="307" spans="1:6" x14ac:dyDescent="0.3">
      <c r="A307" s="2">
        <v>38.082999999999998</v>
      </c>
      <c r="B307" s="2">
        <v>3.1661999999999999</v>
      </c>
      <c r="C307" s="1">
        <f>Tabela1[[#This Row],[Alongamento (mm/mm)]]/$I$2</f>
        <v>6.3323999999999991E-2</v>
      </c>
      <c r="D307" s="2">
        <v>266.54000000000002</v>
      </c>
      <c r="E307" s="1">
        <f>Tabela1[[#This Row],[Força (N)]]/$I$5</f>
        <v>6290474.8418767117</v>
      </c>
      <c r="F307" s="1">
        <f>Tabela1[[#This Row],[Tensão (Pa)]]/1000000</f>
        <v>6.290474841876712</v>
      </c>
    </row>
    <row r="308" spans="1:6" x14ac:dyDescent="0.3">
      <c r="A308" s="2">
        <v>38.183</v>
      </c>
      <c r="B308" s="2">
        <v>3.1747000000000001</v>
      </c>
      <c r="C308" s="1">
        <f>Tabela1[[#This Row],[Alongamento (mm/mm)]]/$I$2</f>
        <v>6.3493999999999995E-2</v>
      </c>
      <c r="D308" s="2">
        <v>268.76</v>
      </c>
      <c r="E308" s="1">
        <f>Tabela1[[#This Row],[Força (N)]]/$I$5</f>
        <v>6342867.9316529781</v>
      </c>
      <c r="F308" s="1">
        <f>Tabela1[[#This Row],[Tensão (Pa)]]/1000000</f>
        <v>6.3428679316529779</v>
      </c>
    </row>
    <row r="309" spans="1:6" x14ac:dyDescent="0.3">
      <c r="A309" s="2">
        <v>38.267000000000003</v>
      </c>
      <c r="B309" s="2">
        <v>3.1816</v>
      </c>
      <c r="C309" s="1">
        <f>Tabela1[[#This Row],[Alongamento (mm/mm)]]/$I$2</f>
        <v>6.3631999999999994E-2</v>
      </c>
      <c r="D309" s="2">
        <v>270.8</v>
      </c>
      <c r="E309" s="1">
        <f>Tabela1[[#This Row],[Força (N)]]/$I$5</f>
        <v>6391012.9330690084</v>
      </c>
      <c r="F309" s="1">
        <f>Tabela1[[#This Row],[Tensão (Pa)]]/1000000</f>
        <v>6.3910129330690086</v>
      </c>
    </row>
    <row r="310" spans="1:6" x14ac:dyDescent="0.3">
      <c r="A310" s="2">
        <v>38.366999999999997</v>
      </c>
      <c r="B310" s="2">
        <v>3.1898</v>
      </c>
      <c r="C310" s="1">
        <f>Tabela1[[#This Row],[Alongamento (mm/mm)]]/$I$2</f>
        <v>6.3796000000000005E-2</v>
      </c>
      <c r="D310" s="2">
        <v>273.18</v>
      </c>
      <c r="E310" s="1">
        <f>Tabela1[[#This Row],[Força (N)]]/$I$5</f>
        <v>6447182.1013877094</v>
      </c>
      <c r="F310" s="1">
        <f>Tabela1[[#This Row],[Tensão (Pa)]]/1000000</f>
        <v>6.4471821013877095</v>
      </c>
    </row>
    <row r="311" spans="1:6" x14ac:dyDescent="0.3">
      <c r="A311" s="2">
        <v>38.466999999999999</v>
      </c>
      <c r="B311" s="2">
        <v>3.1981999999999999</v>
      </c>
      <c r="C311" s="1">
        <f>Tabela1[[#This Row],[Alongamento (mm/mm)]]/$I$2</f>
        <v>6.3963999999999993E-2</v>
      </c>
      <c r="D311" s="2">
        <v>275.39</v>
      </c>
      <c r="E311" s="1">
        <f>Tabela1[[#This Row],[Força (N)]]/$I$5</f>
        <v>6499339.1862550741</v>
      </c>
      <c r="F311" s="1">
        <f>Tabela1[[#This Row],[Tensão (Pa)]]/1000000</f>
        <v>6.4993391862550745</v>
      </c>
    </row>
    <row r="312" spans="1:6" x14ac:dyDescent="0.3">
      <c r="A312" s="2">
        <v>38.549999999999997</v>
      </c>
      <c r="B312" s="2">
        <v>3.2052</v>
      </c>
      <c r="C312" s="1">
        <f>Tabela1[[#This Row],[Alongamento (mm/mm)]]/$I$2</f>
        <v>6.4103999999999994E-2</v>
      </c>
      <c r="D312" s="2">
        <v>277.43</v>
      </c>
      <c r="E312" s="1">
        <f>Tabela1[[#This Row],[Força (N)]]/$I$5</f>
        <v>6547484.1876711035</v>
      </c>
      <c r="F312" s="1">
        <f>Tabela1[[#This Row],[Tensão (Pa)]]/1000000</f>
        <v>6.5474841876711034</v>
      </c>
    </row>
    <row r="313" spans="1:6" x14ac:dyDescent="0.3">
      <c r="A313" s="2">
        <v>38.633000000000003</v>
      </c>
      <c r="B313" s="2">
        <v>3.2121</v>
      </c>
      <c r="C313" s="1">
        <f>Tabela1[[#This Row],[Alongamento (mm/mm)]]/$I$2</f>
        <v>6.4241999999999994E-2</v>
      </c>
      <c r="D313" s="2">
        <v>279.47000000000003</v>
      </c>
      <c r="E313" s="1">
        <f>Tabela1[[#This Row],[Força (N)]]/$I$5</f>
        <v>6595629.1890871339</v>
      </c>
      <c r="F313" s="1">
        <f>Tabela1[[#This Row],[Tensão (Pa)]]/1000000</f>
        <v>6.5956291890871341</v>
      </c>
    </row>
    <row r="314" spans="1:6" x14ac:dyDescent="0.3">
      <c r="A314" s="2">
        <v>38.716999999999999</v>
      </c>
      <c r="B314" s="2">
        <v>3.2191000000000001</v>
      </c>
      <c r="C314" s="1">
        <f>Tabela1[[#This Row],[Alongamento (mm/mm)]]/$I$2</f>
        <v>6.4381999999999995E-2</v>
      </c>
      <c r="D314" s="2">
        <v>281.51</v>
      </c>
      <c r="E314" s="1">
        <f>Tabela1[[#This Row],[Força (N)]]/$I$5</f>
        <v>6643774.1905031623</v>
      </c>
      <c r="F314" s="1">
        <f>Tabela1[[#This Row],[Tensão (Pa)]]/1000000</f>
        <v>6.6437741905031622</v>
      </c>
    </row>
    <row r="315" spans="1:6" x14ac:dyDescent="0.3">
      <c r="A315" s="2">
        <v>38.817</v>
      </c>
      <c r="B315" s="2">
        <v>3.2273999999999998</v>
      </c>
      <c r="C315" s="1">
        <f>Tabela1[[#This Row],[Alongamento (mm/mm)]]/$I$2</f>
        <v>6.4547999999999994E-2</v>
      </c>
      <c r="D315" s="2">
        <v>283.89</v>
      </c>
      <c r="E315" s="1">
        <f>Tabela1[[#This Row],[Força (N)]]/$I$5</f>
        <v>6699943.3588218633</v>
      </c>
      <c r="F315" s="1">
        <f>Tabela1[[#This Row],[Tensão (Pa)]]/1000000</f>
        <v>6.6999433588218631</v>
      </c>
    </row>
    <row r="316" spans="1:6" x14ac:dyDescent="0.3">
      <c r="A316" s="2">
        <v>38.9</v>
      </c>
      <c r="B316" s="2">
        <v>3.2343000000000002</v>
      </c>
      <c r="C316" s="1">
        <f>Tabela1[[#This Row],[Alongamento (mm/mm)]]/$I$2</f>
        <v>6.4686000000000007E-2</v>
      </c>
      <c r="D316" s="2">
        <v>285.94</v>
      </c>
      <c r="E316" s="1">
        <f>Tabela1[[#This Row],[Força (N)]]/$I$5</f>
        <v>6748324.3651467953</v>
      </c>
      <c r="F316" s="1">
        <f>Tabela1[[#This Row],[Tensão (Pa)]]/1000000</f>
        <v>6.7483243651467957</v>
      </c>
    </row>
    <row r="317" spans="1:6" x14ac:dyDescent="0.3">
      <c r="A317" s="2">
        <v>38.982999999999997</v>
      </c>
      <c r="B317" s="2">
        <v>3.2412999999999998</v>
      </c>
      <c r="C317" s="1">
        <f>Tabela1[[#This Row],[Alongamento (mm/mm)]]/$I$2</f>
        <v>6.4825999999999995E-2</v>
      </c>
      <c r="D317" s="2">
        <v>287.98</v>
      </c>
      <c r="E317" s="1">
        <f>Tabela1[[#This Row],[Força (N)]]/$I$5</f>
        <v>6796469.3665628247</v>
      </c>
      <c r="F317" s="1">
        <f>Tabela1[[#This Row],[Tensão (Pa)]]/1000000</f>
        <v>6.7964693665628246</v>
      </c>
    </row>
    <row r="318" spans="1:6" x14ac:dyDescent="0.3">
      <c r="A318" s="2">
        <v>39.067</v>
      </c>
      <c r="B318" s="2">
        <v>3.2482000000000002</v>
      </c>
      <c r="C318" s="1">
        <f>Tabela1[[#This Row],[Alongamento (mm/mm)]]/$I$2</f>
        <v>6.4964000000000008E-2</v>
      </c>
      <c r="D318" s="2">
        <v>290.02</v>
      </c>
      <c r="E318" s="1">
        <f>Tabela1[[#This Row],[Força (N)]]/$I$5</f>
        <v>6844614.3679788532</v>
      </c>
      <c r="F318" s="1">
        <f>Tabela1[[#This Row],[Tensão (Pa)]]/1000000</f>
        <v>6.8446143679788536</v>
      </c>
    </row>
    <row r="319" spans="1:6" x14ac:dyDescent="0.3">
      <c r="A319" s="2">
        <v>39.15</v>
      </c>
      <c r="B319" s="2">
        <v>3.2551000000000001</v>
      </c>
      <c r="C319" s="1">
        <f>Tabela1[[#This Row],[Alongamento (mm/mm)]]/$I$2</f>
        <v>6.5102000000000007E-2</v>
      </c>
      <c r="D319" s="2">
        <v>292.06</v>
      </c>
      <c r="E319" s="1">
        <f>Tabela1[[#This Row],[Força (N)]]/$I$5</f>
        <v>6892759.3693948835</v>
      </c>
      <c r="F319" s="1">
        <f>Tabela1[[#This Row],[Tensão (Pa)]]/1000000</f>
        <v>6.8927593693948834</v>
      </c>
    </row>
    <row r="320" spans="1:6" x14ac:dyDescent="0.3">
      <c r="A320" s="2">
        <v>39.232999999999997</v>
      </c>
      <c r="B320" s="2">
        <v>3.2621000000000002</v>
      </c>
      <c r="C320" s="1">
        <f>Tabela1[[#This Row],[Alongamento (mm/mm)]]/$I$2</f>
        <v>6.5242000000000008E-2</v>
      </c>
      <c r="D320" s="2">
        <v>294.27</v>
      </c>
      <c r="E320" s="1">
        <f>Tabela1[[#This Row],[Força (N)]]/$I$5</f>
        <v>6944916.4542622482</v>
      </c>
      <c r="F320" s="1">
        <f>Tabela1[[#This Row],[Tensão (Pa)]]/1000000</f>
        <v>6.9449164542622484</v>
      </c>
    </row>
    <row r="321" spans="1:6" x14ac:dyDescent="0.3">
      <c r="A321" s="2">
        <v>39.317</v>
      </c>
      <c r="B321" s="2">
        <v>3.2690000000000001</v>
      </c>
      <c r="C321" s="1">
        <f>Tabela1[[#This Row],[Alongamento (mm/mm)]]/$I$2</f>
        <v>6.5380000000000008E-2</v>
      </c>
      <c r="D321" s="2">
        <v>296.31</v>
      </c>
      <c r="E321" s="1">
        <f>Tabela1[[#This Row],[Força (N)]]/$I$5</f>
        <v>6993061.4556782786</v>
      </c>
      <c r="F321" s="1">
        <f>Tabela1[[#This Row],[Tensão (Pa)]]/1000000</f>
        <v>6.9930614556782782</v>
      </c>
    </row>
    <row r="322" spans="1:6" x14ac:dyDescent="0.3">
      <c r="A322" s="2">
        <v>39.4</v>
      </c>
      <c r="B322" s="2">
        <v>3.2759999999999998</v>
      </c>
      <c r="C322" s="1">
        <f>Tabela1[[#This Row],[Alongamento (mm/mm)]]/$I$2</f>
        <v>6.5519999999999995E-2</v>
      </c>
      <c r="D322" s="2">
        <v>298.52</v>
      </c>
      <c r="E322" s="1">
        <f>Tabela1[[#This Row],[Força (N)]]/$I$5</f>
        <v>7045218.5405456433</v>
      </c>
      <c r="F322" s="1">
        <f>Tabela1[[#This Row],[Tensão (Pa)]]/1000000</f>
        <v>7.0452185405456431</v>
      </c>
    </row>
    <row r="323" spans="1:6" x14ac:dyDescent="0.3">
      <c r="A323" s="2">
        <v>39.482999999999997</v>
      </c>
      <c r="B323" s="2">
        <v>3.2829000000000002</v>
      </c>
      <c r="C323" s="1">
        <f>Tabela1[[#This Row],[Alongamento (mm/mm)]]/$I$2</f>
        <v>6.5658000000000008E-2</v>
      </c>
      <c r="D323" s="2">
        <v>300.56</v>
      </c>
      <c r="E323" s="1">
        <f>Tabela1[[#This Row],[Força (N)]]/$I$5</f>
        <v>7093363.5419616727</v>
      </c>
      <c r="F323" s="1">
        <f>Tabela1[[#This Row],[Tensão (Pa)]]/1000000</f>
        <v>7.093363541961673</v>
      </c>
    </row>
    <row r="324" spans="1:6" x14ac:dyDescent="0.3">
      <c r="A324" s="2">
        <v>39.567</v>
      </c>
      <c r="B324" s="2">
        <v>3.2898999999999998</v>
      </c>
      <c r="C324" s="1">
        <f>Tabela1[[#This Row],[Alongamento (mm/mm)]]/$I$2</f>
        <v>6.5797999999999995E-2</v>
      </c>
      <c r="D324" s="2">
        <v>302.77999999999997</v>
      </c>
      <c r="E324" s="1">
        <f>Tabela1[[#This Row],[Força (N)]]/$I$5</f>
        <v>7145756.6317379391</v>
      </c>
      <c r="F324" s="1">
        <f>Tabela1[[#This Row],[Tensão (Pa)]]/1000000</f>
        <v>7.1457566317379388</v>
      </c>
    </row>
    <row r="325" spans="1:6" x14ac:dyDescent="0.3">
      <c r="A325" s="2">
        <v>39.65</v>
      </c>
      <c r="B325" s="2">
        <v>3.2968999999999999</v>
      </c>
      <c r="C325" s="1">
        <f>Tabela1[[#This Row],[Alongamento (mm/mm)]]/$I$2</f>
        <v>6.5937999999999997E-2</v>
      </c>
      <c r="D325" s="2">
        <v>304.99</v>
      </c>
      <c r="E325" s="1">
        <f>Tabela1[[#This Row],[Força (N)]]/$I$5</f>
        <v>7197913.7166053057</v>
      </c>
      <c r="F325" s="1">
        <f>Tabela1[[#This Row],[Tensão (Pa)]]/1000000</f>
        <v>7.1979137166053055</v>
      </c>
    </row>
    <row r="326" spans="1:6" x14ac:dyDescent="0.3">
      <c r="A326" s="2">
        <v>39.75</v>
      </c>
      <c r="B326" s="2">
        <v>3.3050999999999999</v>
      </c>
      <c r="C326" s="1">
        <f>Tabela1[[#This Row],[Alongamento (mm/mm)]]/$I$2</f>
        <v>6.6101999999999994E-2</v>
      </c>
      <c r="D326" s="2">
        <v>307.70999999999998</v>
      </c>
      <c r="E326" s="1">
        <f>Tabela1[[#This Row],[Força (N)]]/$I$5</f>
        <v>7262107.0518266773</v>
      </c>
      <c r="F326" s="1">
        <f>Tabela1[[#This Row],[Tensão (Pa)]]/1000000</f>
        <v>7.2621070518266775</v>
      </c>
    </row>
    <row r="327" spans="1:6" x14ac:dyDescent="0.3">
      <c r="A327" s="2">
        <v>39.85</v>
      </c>
      <c r="B327" s="2">
        <v>3.3134999999999999</v>
      </c>
      <c r="C327" s="1">
        <f>Tabela1[[#This Row],[Alongamento (mm/mm)]]/$I$2</f>
        <v>6.6269999999999996E-2</v>
      </c>
      <c r="D327" s="2">
        <v>310.26</v>
      </c>
      <c r="E327" s="1">
        <f>Tabela1[[#This Row],[Força (N)]]/$I$5</f>
        <v>7322288.3035967145</v>
      </c>
      <c r="F327" s="1">
        <f>Tabela1[[#This Row],[Tensão (Pa)]]/1000000</f>
        <v>7.3222883035967143</v>
      </c>
    </row>
    <row r="328" spans="1:6" x14ac:dyDescent="0.3">
      <c r="A328" s="2">
        <v>39.950000000000003</v>
      </c>
      <c r="B328" s="2">
        <v>3.3218000000000001</v>
      </c>
      <c r="C328" s="1">
        <f>Tabela1[[#This Row],[Alongamento (mm/mm)]]/$I$2</f>
        <v>6.6435999999999995E-2</v>
      </c>
      <c r="D328" s="2">
        <v>312.98</v>
      </c>
      <c r="E328" s="1">
        <f>Tabela1[[#This Row],[Força (N)]]/$I$5</f>
        <v>7386481.638818088</v>
      </c>
      <c r="F328" s="1">
        <f>Tabela1[[#This Row],[Tensão (Pa)]]/1000000</f>
        <v>7.3864816388180881</v>
      </c>
    </row>
    <row r="329" spans="1:6" x14ac:dyDescent="0.3">
      <c r="A329" s="2">
        <v>40.049999999999997</v>
      </c>
      <c r="B329" s="2">
        <v>3.3302</v>
      </c>
      <c r="C329" s="1">
        <f>Tabela1[[#This Row],[Alongamento (mm/mm)]]/$I$2</f>
        <v>6.6603999999999997E-2</v>
      </c>
      <c r="D329" s="2">
        <v>315.7</v>
      </c>
      <c r="E329" s="1">
        <f>Tabela1[[#This Row],[Força (N)]]/$I$5</f>
        <v>7450674.9740394596</v>
      </c>
      <c r="F329" s="1">
        <f>Tabela1[[#This Row],[Tensão (Pa)]]/1000000</f>
        <v>7.45067497403946</v>
      </c>
    </row>
    <row r="330" spans="1:6" x14ac:dyDescent="0.3">
      <c r="A330" s="2">
        <v>40.15</v>
      </c>
      <c r="B330" s="2">
        <v>3.3384999999999998</v>
      </c>
      <c r="C330" s="1">
        <f>Tabela1[[#This Row],[Alongamento (mm/mm)]]/$I$2</f>
        <v>6.6769999999999996E-2</v>
      </c>
      <c r="D330" s="2">
        <v>318.42</v>
      </c>
      <c r="E330" s="1">
        <f>Tabela1[[#This Row],[Força (N)]]/$I$5</f>
        <v>7514868.3092608331</v>
      </c>
      <c r="F330" s="1">
        <f>Tabela1[[#This Row],[Tensão (Pa)]]/1000000</f>
        <v>7.5148683092608328</v>
      </c>
    </row>
    <row r="331" spans="1:6" x14ac:dyDescent="0.3">
      <c r="A331" s="2">
        <v>40.25</v>
      </c>
      <c r="B331" s="2">
        <v>3.3466999999999998</v>
      </c>
      <c r="C331" s="1">
        <f>Tabela1[[#This Row],[Alongamento (mm/mm)]]/$I$2</f>
        <v>6.6933999999999994E-2</v>
      </c>
      <c r="D331" s="2">
        <v>321.14999999999998</v>
      </c>
      <c r="E331" s="1">
        <f>Tabela1[[#This Row],[Força (N)]]/$I$5</f>
        <v>7579297.6493911063</v>
      </c>
      <c r="F331" s="1">
        <f>Tabela1[[#This Row],[Tensão (Pa)]]/1000000</f>
        <v>7.5792976493911066</v>
      </c>
    </row>
    <row r="332" spans="1:6" x14ac:dyDescent="0.3">
      <c r="A332" s="2">
        <v>40.35</v>
      </c>
      <c r="B332" s="2">
        <v>3.3551000000000002</v>
      </c>
      <c r="C332" s="1">
        <f>Tabela1[[#This Row],[Alongamento (mm/mm)]]/$I$2</f>
        <v>6.7102000000000009E-2</v>
      </c>
      <c r="D332" s="2">
        <v>323.87</v>
      </c>
      <c r="E332" s="1">
        <f>Tabela1[[#This Row],[Força (N)]]/$I$5</f>
        <v>7643490.9846124798</v>
      </c>
      <c r="F332" s="1">
        <f>Tabela1[[#This Row],[Tensão (Pa)]]/1000000</f>
        <v>7.6434909846124794</v>
      </c>
    </row>
    <row r="333" spans="1:6" x14ac:dyDescent="0.3">
      <c r="A333" s="2">
        <v>40.450000000000003</v>
      </c>
      <c r="B333" s="2">
        <v>3.3635000000000002</v>
      </c>
      <c r="C333" s="1">
        <f>Tabela1[[#This Row],[Alongamento (mm/mm)]]/$I$2</f>
        <v>6.7269999999999996E-2</v>
      </c>
      <c r="D333" s="2">
        <v>326.58999999999997</v>
      </c>
      <c r="E333" s="1">
        <f>Tabela1[[#This Row],[Força (N)]]/$I$5</f>
        <v>7707684.3198338524</v>
      </c>
      <c r="F333" s="1">
        <f>Tabela1[[#This Row],[Tensão (Pa)]]/1000000</f>
        <v>7.7076843198338523</v>
      </c>
    </row>
    <row r="334" spans="1:6" x14ac:dyDescent="0.3">
      <c r="A334" s="2">
        <v>40.549999999999997</v>
      </c>
      <c r="B334" s="2">
        <v>3.3717999999999999</v>
      </c>
      <c r="C334" s="1">
        <f>Tabela1[[#This Row],[Alongamento (mm/mm)]]/$I$2</f>
        <v>6.7435999999999996E-2</v>
      </c>
      <c r="D334" s="2">
        <v>329.31</v>
      </c>
      <c r="E334" s="1">
        <f>Tabela1[[#This Row],[Força (N)]]/$I$5</f>
        <v>7771877.6550552249</v>
      </c>
      <c r="F334" s="1">
        <f>Tabela1[[#This Row],[Tensão (Pa)]]/1000000</f>
        <v>7.7718776550552251</v>
      </c>
    </row>
    <row r="335" spans="1:6" x14ac:dyDescent="0.3">
      <c r="A335" s="2">
        <v>40.65</v>
      </c>
      <c r="B335" s="2">
        <v>3.3801000000000001</v>
      </c>
      <c r="C335" s="1">
        <f>Tabela1[[#This Row],[Alongamento (mm/mm)]]/$I$2</f>
        <v>6.7601999999999995E-2</v>
      </c>
      <c r="D335" s="2">
        <v>332.03</v>
      </c>
      <c r="E335" s="1">
        <f>Tabela1[[#This Row],[Força (N)]]/$I$5</f>
        <v>7836070.9902765974</v>
      </c>
      <c r="F335" s="1">
        <f>Tabela1[[#This Row],[Tensão (Pa)]]/1000000</f>
        <v>7.836070990276597</v>
      </c>
    </row>
    <row r="336" spans="1:6" x14ac:dyDescent="0.3">
      <c r="A336" s="2">
        <v>40.732999999999997</v>
      </c>
      <c r="B336" s="2">
        <v>3.3871000000000002</v>
      </c>
      <c r="C336" s="1">
        <f>Tabela1[[#This Row],[Alongamento (mm/mm)]]/$I$2</f>
        <v>6.7742000000000011E-2</v>
      </c>
      <c r="D336" s="2">
        <v>334.41</v>
      </c>
      <c r="E336" s="1">
        <f>Tabela1[[#This Row],[Força (N)]]/$I$5</f>
        <v>7892240.1585952993</v>
      </c>
      <c r="F336" s="1">
        <f>Tabela1[[#This Row],[Tensão (Pa)]]/1000000</f>
        <v>7.8922401585952997</v>
      </c>
    </row>
    <row r="337" spans="1:6" x14ac:dyDescent="0.3">
      <c r="A337" s="2">
        <v>40.832999999999998</v>
      </c>
      <c r="B337" s="2">
        <v>3.3954</v>
      </c>
      <c r="C337" s="1">
        <f>Tabela1[[#This Row],[Alongamento (mm/mm)]]/$I$2</f>
        <v>6.7907999999999996E-2</v>
      </c>
      <c r="D337" s="2">
        <v>337.14</v>
      </c>
      <c r="E337" s="1">
        <f>Tabela1[[#This Row],[Força (N)]]/$I$5</f>
        <v>7956669.4987255735</v>
      </c>
      <c r="F337" s="1">
        <f>Tabela1[[#This Row],[Tensão (Pa)]]/1000000</f>
        <v>7.9566694987255735</v>
      </c>
    </row>
    <row r="338" spans="1:6" x14ac:dyDescent="0.3">
      <c r="A338" s="2">
        <v>40.917000000000002</v>
      </c>
      <c r="B338" s="2">
        <v>3.4024999999999999</v>
      </c>
      <c r="C338" s="1">
        <f>Tabela1[[#This Row],[Alongamento (mm/mm)]]/$I$2</f>
        <v>6.8049999999999999E-2</v>
      </c>
      <c r="D338" s="2">
        <v>339.52</v>
      </c>
      <c r="E338" s="1">
        <f>Tabela1[[#This Row],[Força (N)]]/$I$5</f>
        <v>8012838.6670442745</v>
      </c>
      <c r="F338" s="1">
        <f>Tabela1[[#This Row],[Tensão (Pa)]]/1000000</f>
        <v>8.0128386670442744</v>
      </c>
    </row>
    <row r="339" spans="1:6" x14ac:dyDescent="0.3">
      <c r="A339" s="2">
        <v>41.017000000000003</v>
      </c>
      <c r="B339" s="2">
        <v>3.4108000000000001</v>
      </c>
      <c r="C339" s="1">
        <f>Tabela1[[#This Row],[Alongamento (mm/mm)]]/$I$2</f>
        <v>6.8215999999999999E-2</v>
      </c>
      <c r="D339" s="2">
        <v>342.24</v>
      </c>
      <c r="E339" s="1">
        <f>Tabela1[[#This Row],[Força (N)]]/$I$5</f>
        <v>8077032.0022656471</v>
      </c>
      <c r="F339" s="1">
        <f>Tabela1[[#This Row],[Tensão (Pa)]]/1000000</f>
        <v>8.0770320022656463</v>
      </c>
    </row>
    <row r="340" spans="1:6" x14ac:dyDescent="0.3">
      <c r="A340" s="2">
        <v>41.1</v>
      </c>
      <c r="B340" s="2">
        <v>3.4176000000000002</v>
      </c>
      <c r="C340" s="1">
        <f>Tabela1[[#This Row],[Alongamento (mm/mm)]]/$I$2</f>
        <v>6.835200000000001E-2</v>
      </c>
      <c r="D340" s="2">
        <v>344.62</v>
      </c>
      <c r="E340" s="1">
        <f>Tabela1[[#This Row],[Força (N)]]/$I$5</f>
        <v>8133201.170584348</v>
      </c>
      <c r="F340" s="1">
        <f>Tabela1[[#This Row],[Tensão (Pa)]]/1000000</f>
        <v>8.1332011705843481</v>
      </c>
    </row>
    <row r="341" spans="1:6" x14ac:dyDescent="0.3">
      <c r="A341" s="2">
        <v>41.2</v>
      </c>
      <c r="B341" s="2">
        <v>3.4258999999999999</v>
      </c>
      <c r="C341" s="1">
        <f>Tabela1[[#This Row],[Alongamento (mm/mm)]]/$I$2</f>
        <v>6.8517999999999996E-2</v>
      </c>
      <c r="D341" s="2">
        <v>347.34</v>
      </c>
      <c r="E341" s="1">
        <f>Tabela1[[#This Row],[Força (N)]]/$I$5</f>
        <v>8197394.5058057206</v>
      </c>
      <c r="F341" s="1">
        <f>Tabela1[[#This Row],[Tensão (Pa)]]/1000000</f>
        <v>8.19739450580572</v>
      </c>
    </row>
    <row r="342" spans="1:6" x14ac:dyDescent="0.3">
      <c r="A342" s="2">
        <v>41.283000000000001</v>
      </c>
      <c r="B342" s="2">
        <v>3.4329000000000001</v>
      </c>
      <c r="C342" s="1">
        <f>Tabela1[[#This Row],[Alongamento (mm/mm)]]/$I$2</f>
        <v>6.8657999999999997E-2</v>
      </c>
      <c r="D342" s="2">
        <v>349.72</v>
      </c>
      <c r="E342" s="1">
        <f>Tabela1[[#This Row],[Força (N)]]/$I$5</f>
        <v>8253563.6741244225</v>
      </c>
      <c r="F342" s="1">
        <f>Tabela1[[#This Row],[Tensão (Pa)]]/1000000</f>
        <v>8.2535636741244218</v>
      </c>
    </row>
    <row r="343" spans="1:6" x14ac:dyDescent="0.3">
      <c r="A343" s="2">
        <v>41.383000000000003</v>
      </c>
      <c r="B343" s="2">
        <v>3.4411999999999998</v>
      </c>
      <c r="C343" s="1">
        <f>Tabela1[[#This Row],[Alongamento (mm/mm)]]/$I$2</f>
        <v>6.8823999999999996E-2</v>
      </c>
      <c r="D343" s="2">
        <v>352.61</v>
      </c>
      <c r="E343" s="1">
        <f>Tabela1[[#This Row],[Força (N)]]/$I$5</f>
        <v>8321769.0927971303</v>
      </c>
      <c r="F343" s="1">
        <f>Tabela1[[#This Row],[Tensão (Pa)]]/1000000</f>
        <v>8.3217690927971297</v>
      </c>
    </row>
    <row r="344" spans="1:6" x14ac:dyDescent="0.3">
      <c r="A344" s="2">
        <v>41.482999999999997</v>
      </c>
      <c r="B344" s="2">
        <v>3.4496000000000002</v>
      </c>
      <c r="C344" s="1">
        <f>Tabela1[[#This Row],[Alongamento (mm/mm)]]/$I$2</f>
        <v>6.8991999999999998E-2</v>
      </c>
      <c r="D344" s="2">
        <v>355.51</v>
      </c>
      <c r="E344" s="1">
        <f>Tabela1[[#This Row],[Força (N)]]/$I$5</f>
        <v>8390210.5163787398</v>
      </c>
      <c r="F344" s="1">
        <f>Tabela1[[#This Row],[Tensão (Pa)]]/1000000</f>
        <v>8.3902105163787404</v>
      </c>
    </row>
    <row r="345" spans="1:6" x14ac:dyDescent="0.3">
      <c r="A345" s="2">
        <v>41.582999999999998</v>
      </c>
      <c r="B345" s="2">
        <v>3.4579</v>
      </c>
      <c r="C345" s="1">
        <f>Tabela1[[#This Row],[Alongamento (mm/mm)]]/$I$2</f>
        <v>6.9157999999999997E-2</v>
      </c>
      <c r="D345" s="2">
        <v>358.4</v>
      </c>
      <c r="E345" s="1">
        <f>Tabela1[[#This Row],[Força (N)]]/$I$5</f>
        <v>8458415.9350514486</v>
      </c>
      <c r="F345" s="1">
        <f>Tabela1[[#This Row],[Tensão (Pa)]]/1000000</f>
        <v>8.4584159350514483</v>
      </c>
    </row>
    <row r="346" spans="1:6" x14ac:dyDescent="0.3">
      <c r="A346" s="2">
        <v>41.683</v>
      </c>
      <c r="B346" s="2">
        <v>3.4662000000000002</v>
      </c>
      <c r="C346" s="1">
        <f>Tabela1[[#This Row],[Alongamento (mm/mm)]]/$I$2</f>
        <v>6.9323999999999997E-2</v>
      </c>
      <c r="D346" s="2">
        <v>361.29</v>
      </c>
      <c r="E346" s="1">
        <f>Tabela1[[#This Row],[Força (N)]]/$I$5</f>
        <v>8526621.3537241574</v>
      </c>
      <c r="F346" s="1">
        <f>Tabela1[[#This Row],[Tensão (Pa)]]/1000000</f>
        <v>8.526621353724158</v>
      </c>
    </row>
    <row r="347" spans="1:6" x14ac:dyDescent="0.3">
      <c r="A347" s="2">
        <v>41.783000000000001</v>
      </c>
      <c r="B347" s="2">
        <v>3.4746999999999999</v>
      </c>
      <c r="C347" s="1">
        <f>Tabela1[[#This Row],[Alongamento (mm/mm)]]/$I$2</f>
        <v>6.9494E-2</v>
      </c>
      <c r="D347" s="2">
        <v>364.01</v>
      </c>
      <c r="E347" s="1">
        <f>Tabela1[[#This Row],[Força (N)]]/$I$5</f>
        <v>8590814.68894553</v>
      </c>
      <c r="F347" s="1">
        <f>Tabela1[[#This Row],[Tensão (Pa)]]/1000000</f>
        <v>8.5908146889455299</v>
      </c>
    </row>
    <row r="348" spans="1:6" x14ac:dyDescent="0.3">
      <c r="A348" s="2">
        <v>41.883000000000003</v>
      </c>
      <c r="B348" s="2">
        <v>3.4830000000000001</v>
      </c>
      <c r="C348" s="1">
        <f>Tabela1[[#This Row],[Alongamento (mm/mm)]]/$I$2</f>
        <v>6.966E-2</v>
      </c>
      <c r="D348" s="2">
        <v>366.9</v>
      </c>
      <c r="E348" s="1">
        <f>Tabela1[[#This Row],[Força (N)]]/$I$5</f>
        <v>8659020.1076182388</v>
      </c>
      <c r="F348" s="1">
        <f>Tabela1[[#This Row],[Tensão (Pa)]]/1000000</f>
        <v>8.6590201076182396</v>
      </c>
    </row>
    <row r="349" spans="1:6" x14ac:dyDescent="0.3">
      <c r="A349" s="2">
        <v>41.982999999999997</v>
      </c>
      <c r="B349" s="2">
        <v>3.4912999999999998</v>
      </c>
      <c r="C349" s="1">
        <f>Tabela1[[#This Row],[Alongamento (mm/mm)]]/$I$2</f>
        <v>6.9825999999999999E-2</v>
      </c>
      <c r="D349" s="2">
        <v>369.79</v>
      </c>
      <c r="E349" s="1">
        <f>Tabela1[[#This Row],[Força (N)]]/$I$5</f>
        <v>8727225.5262909476</v>
      </c>
      <c r="F349" s="1">
        <f>Tabela1[[#This Row],[Tensão (Pa)]]/1000000</f>
        <v>8.7272255262909475</v>
      </c>
    </row>
    <row r="350" spans="1:6" x14ac:dyDescent="0.3">
      <c r="A350" s="2">
        <v>42.082999999999998</v>
      </c>
      <c r="B350" s="2">
        <v>3.4996</v>
      </c>
      <c r="C350" s="1">
        <f>Tabela1[[#This Row],[Alongamento (mm/mm)]]/$I$2</f>
        <v>6.9991999999999999E-2</v>
      </c>
      <c r="D350" s="2">
        <v>372.69</v>
      </c>
      <c r="E350" s="1">
        <f>Tabela1[[#This Row],[Força (N)]]/$I$5</f>
        <v>8795666.9498725571</v>
      </c>
      <c r="F350" s="1">
        <f>Tabela1[[#This Row],[Tensão (Pa)]]/1000000</f>
        <v>8.7956669498725564</v>
      </c>
    </row>
    <row r="351" spans="1:6" x14ac:dyDescent="0.3">
      <c r="A351" s="2">
        <v>42.183</v>
      </c>
      <c r="B351" s="2">
        <v>3.5078999999999998</v>
      </c>
      <c r="C351" s="1">
        <f>Tabela1[[#This Row],[Alongamento (mm/mm)]]/$I$2</f>
        <v>7.0157999999999998E-2</v>
      </c>
      <c r="D351" s="2">
        <v>375.58</v>
      </c>
      <c r="E351" s="1">
        <f>Tabela1[[#This Row],[Força (N)]]/$I$5</f>
        <v>8863872.3685452659</v>
      </c>
      <c r="F351" s="1">
        <f>Tabela1[[#This Row],[Tensão (Pa)]]/1000000</f>
        <v>8.8638723685452661</v>
      </c>
    </row>
    <row r="352" spans="1:6" x14ac:dyDescent="0.3">
      <c r="A352" s="2">
        <v>42.283000000000001</v>
      </c>
      <c r="B352" s="2">
        <v>3.5163000000000002</v>
      </c>
      <c r="C352" s="1">
        <f>Tabela1[[#This Row],[Alongamento (mm/mm)]]/$I$2</f>
        <v>7.0326E-2</v>
      </c>
      <c r="D352" s="2">
        <v>378.47</v>
      </c>
      <c r="E352" s="1">
        <f>Tabela1[[#This Row],[Força (N)]]/$I$5</f>
        <v>8932077.7872179747</v>
      </c>
      <c r="F352" s="1">
        <f>Tabela1[[#This Row],[Tensão (Pa)]]/1000000</f>
        <v>8.932077787217974</v>
      </c>
    </row>
    <row r="353" spans="1:6" x14ac:dyDescent="0.3">
      <c r="A353" s="2">
        <v>42.383000000000003</v>
      </c>
      <c r="B353" s="2">
        <v>3.5246</v>
      </c>
      <c r="C353" s="1">
        <f>Tabela1[[#This Row],[Alongamento (mm/mm)]]/$I$2</f>
        <v>7.0491999999999999E-2</v>
      </c>
      <c r="D353" s="2">
        <v>381.36</v>
      </c>
      <c r="E353" s="1">
        <f>Tabela1[[#This Row],[Força (N)]]/$I$5</f>
        <v>9000283.2058906835</v>
      </c>
      <c r="F353" s="1">
        <f>Tabela1[[#This Row],[Tensão (Pa)]]/1000000</f>
        <v>9.0002832058906836</v>
      </c>
    </row>
    <row r="354" spans="1:6" x14ac:dyDescent="0.3">
      <c r="A354" s="2">
        <v>42.482999999999997</v>
      </c>
      <c r="B354" s="2">
        <v>3.5329000000000002</v>
      </c>
      <c r="C354" s="1">
        <f>Tabela1[[#This Row],[Alongamento (mm/mm)]]/$I$2</f>
        <v>7.0657999999999999E-2</v>
      </c>
      <c r="D354" s="2">
        <v>384.25</v>
      </c>
      <c r="E354" s="1">
        <f>Tabela1[[#This Row],[Força (N)]]/$I$5</f>
        <v>9068488.6245633904</v>
      </c>
      <c r="F354" s="1">
        <f>Tabela1[[#This Row],[Tensão (Pa)]]/1000000</f>
        <v>9.0684886245633898</v>
      </c>
    </row>
    <row r="355" spans="1:6" x14ac:dyDescent="0.3">
      <c r="A355" s="2">
        <v>42.582999999999998</v>
      </c>
      <c r="B355" s="2">
        <v>3.5411999999999999</v>
      </c>
      <c r="C355" s="1">
        <f>Tabela1[[#This Row],[Alongamento (mm/mm)]]/$I$2</f>
        <v>7.0823999999999998E-2</v>
      </c>
      <c r="D355" s="2">
        <v>387.14</v>
      </c>
      <c r="E355" s="1">
        <f>Tabela1[[#This Row],[Força (N)]]/$I$5</f>
        <v>9136694.0432360992</v>
      </c>
      <c r="F355" s="1">
        <f>Tabela1[[#This Row],[Tensão (Pa)]]/1000000</f>
        <v>9.1366940432360995</v>
      </c>
    </row>
    <row r="356" spans="1:6" x14ac:dyDescent="0.3">
      <c r="A356" s="2">
        <v>42.683</v>
      </c>
      <c r="B356" s="2">
        <v>3.5495999999999999</v>
      </c>
      <c r="C356" s="1">
        <f>Tabela1[[#This Row],[Alongamento (mm/mm)]]/$I$2</f>
        <v>7.0992E-2</v>
      </c>
      <c r="D356" s="2">
        <v>390.21</v>
      </c>
      <c r="E356" s="1">
        <f>Tabela1[[#This Row],[Força (N)]]/$I$5</f>
        <v>9209147.5502690449</v>
      </c>
      <c r="F356" s="1">
        <f>Tabela1[[#This Row],[Tensão (Pa)]]/1000000</f>
        <v>9.2091475502690443</v>
      </c>
    </row>
    <row r="357" spans="1:6" x14ac:dyDescent="0.3">
      <c r="A357" s="2">
        <v>42.783000000000001</v>
      </c>
      <c r="B357" s="2">
        <v>3.5579000000000001</v>
      </c>
      <c r="C357" s="1">
        <f>Tabela1[[#This Row],[Alongamento (mm/mm)]]/$I$2</f>
        <v>7.1157999999999999E-2</v>
      </c>
      <c r="D357" s="2">
        <v>393.1</v>
      </c>
      <c r="E357" s="1">
        <f>Tabela1[[#This Row],[Força (N)]]/$I$5</f>
        <v>9277352.9689417537</v>
      </c>
      <c r="F357" s="1">
        <f>Tabela1[[#This Row],[Tensão (Pa)]]/1000000</f>
        <v>9.277352968941754</v>
      </c>
    </row>
    <row r="358" spans="1:6" x14ac:dyDescent="0.3">
      <c r="A358" s="2">
        <v>42.883000000000003</v>
      </c>
      <c r="B358" s="2">
        <v>3.5663</v>
      </c>
      <c r="C358" s="1">
        <f>Tabela1[[#This Row],[Alongamento (mm/mm)]]/$I$2</f>
        <v>7.1326000000000001E-2</v>
      </c>
      <c r="D358" s="2">
        <v>396.16</v>
      </c>
      <c r="E358" s="1">
        <f>Tabela1[[#This Row],[Força (N)]]/$I$5</f>
        <v>9349570.4710657988</v>
      </c>
      <c r="F358" s="1">
        <f>Tabela1[[#This Row],[Tensão (Pa)]]/1000000</f>
        <v>9.3495704710657996</v>
      </c>
    </row>
    <row r="359" spans="1:6" x14ac:dyDescent="0.3">
      <c r="A359" s="2">
        <v>42.982999999999997</v>
      </c>
      <c r="B359" s="2">
        <v>3.5745</v>
      </c>
      <c r="C359" s="1">
        <f>Tabela1[[#This Row],[Alongamento (mm/mm)]]/$I$2</f>
        <v>7.1489999999999998E-2</v>
      </c>
      <c r="D359" s="2">
        <v>399.22</v>
      </c>
      <c r="E359" s="1">
        <f>Tabela1[[#This Row],[Força (N)]]/$I$5</f>
        <v>9421787.9731898438</v>
      </c>
      <c r="F359" s="1">
        <f>Tabela1[[#This Row],[Tensão (Pa)]]/1000000</f>
        <v>9.4217879731898435</v>
      </c>
    </row>
    <row r="360" spans="1:6" x14ac:dyDescent="0.3">
      <c r="A360" s="2">
        <v>43.082999999999998</v>
      </c>
      <c r="B360" s="2">
        <v>3.5830000000000002</v>
      </c>
      <c r="C360" s="1">
        <f>Tabela1[[#This Row],[Alongamento (mm/mm)]]/$I$2</f>
        <v>7.1660000000000001E-2</v>
      </c>
      <c r="D360" s="2">
        <v>402.28</v>
      </c>
      <c r="E360" s="1">
        <f>Tabela1[[#This Row],[Força (N)]]/$I$5</f>
        <v>9494005.4753138851</v>
      </c>
      <c r="F360" s="1">
        <f>Tabela1[[#This Row],[Tensão (Pa)]]/1000000</f>
        <v>9.4940054753138856</v>
      </c>
    </row>
    <row r="361" spans="1:6" x14ac:dyDescent="0.3">
      <c r="A361" s="2">
        <v>43.2</v>
      </c>
      <c r="B361" s="2">
        <v>3.5926999999999998</v>
      </c>
      <c r="C361" s="1">
        <f>Tabela1[[#This Row],[Alongamento (mm/mm)]]/$I$2</f>
        <v>7.1854000000000001E-2</v>
      </c>
      <c r="D361" s="2">
        <v>405.69</v>
      </c>
      <c r="E361" s="1">
        <f>Tabela1[[#This Row],[Força (N)]]/$I$5</f>
        <v>9574483.1492495034</v>
      </c>
      <c r="F361" s="1">
        <f>Tabela1[[#This Row],[Tensão (Pa)]]/1000000</f>
        <v>9.5744831492495042</v>
      </c>
    </row>
    <row r="362" spans="1:6" x14ac:dyDescent="0.3">
      <c r="A362" s="2">
        <v>43.3</v>
      </c>
      <c r="B362" s="2">
        <v>3.601</v>
      </c>
      <c r="C362" s="1">
        <f>Tabela1[[#This Row],[Alongamento (mm/mm)]]/$I$2</f>
        <v>7.2020000000000001E-2</v>
      </c>
      <c r="D362" s="2">
        <v>408.92</v>
      </c>
      <c r="E362" s="1">
        <f>Tabela1[[#This Row],[Força (N)]]/$I$5</f>
        <v>9650712.7348248847</v>
      </c>
      <c r="F362" s="1">
        <f>Tabela1[[#This Row],[Tensão (Pa)]]/1000000</f>
        <v>9.650712734824884</v>
      </c>
    </row>
    <row r="363" spans="1:6" x14ac:dyDescent="0.3">
      <c r="A363" s="2">
        <v>43.417000000000002</v>
      </c>
      <c r="B363" s="2">
        <v>3.6107</v>
      </c>
      <c r="C363" s="1">
        <f>Tabela1[[#This Row],[Alongamento (mm/mm)]]/$I$2</f>
        <v>7.2214E-2</v>
      </c>
      <c r="D363" s="2">
        <v>412.32</v>
      </c>
      <c r="E363" s="1">
        <f>Tabela1[[#This Row],[Força (N)]]/$I$5</f>
        <v>9730954.4038516004</v>
      </c>
      <c r="F363" s="1">
        <f>Tabela1[[#This Row],[Tensão (Pa)]]/1000000</f>
        <v>9.7309544038515998</v>
      </c>
    </row>
    <row r="364" spans="1:6" x14ac:dyDescent="0.3">
      <c r="A364" s="2">
        <v>43.517000000000003</v>
      </c>
      <c r="B364" s="2">
        <v>3.6190000000000002</v>
      </c>
      <c r="C364" s="1">
        <f>Tabela1[[#This Row],[Alongamento (mm/mm)]]/$I$2</f>
        <v>7.238E-2</v>
      </c>
      <c r="D364" s="2">
        <v>415.55</v>
      </c>
      <c r="E364" s="1">
        <f>Tabela1[[#This Row],[Força (N)]]/$I$5</f>
        <v>9807183.9894269798</v>
      </c>
      <c r="F364" s="1">
        <f>Tabela1[[#This Row],[Tensão (Pa)]]/1000000</f>
        <v>9.8071839894269797</v>
      </c>
    </row>
    <row r="365" spans="1:6" x14ac:dyDescent="0.3">
      <c r="A365" s="2">
        <v>43.616999999999997</v>
      </c>
      <c r="B365" s="2">
        <v>3.6273</v>
      </c>
      <c r="C365" s="1">
        <f>Tabela1[[#This Row],[Alongamento (mm/mm)]]/$I$2</f>
        <v>7.2545999999999999E-2</v>
      </c>
      <c r="D365" s="2">
        <v>418.61</v>
      </c>
      <c r="E365" s="1">
        <f>Tabela1[[#This Row],[Força (N)]]/$I$5</f>
        <v>9879401.4915510248</v>
      </c>
      <c r="F365" s="1">
        <f>Tabela1[[#This Row],[Tensão (Pa)]]/1000000</f>
        <v>9.8794014915510253</v>
      </c>
    </row>
    <row r="366" spans="1:6" x14ac:dyDescent="0.3">
      <c r="A366" s="2">
        <v>43.716999999999999</v>
      </c>
      <c r="B366" s="2">
        <v>3.6356999999999999</v>
      </c>
      <c r="C366" s="1">
        <f>Tabela1[[#This Row],[Alongamento (mm/mm)]]/$I$2</f>
        <v>7.2714000000000001E-2</v>
      </c>
      <c r="D366" s="2">
        <v>421.85</v>
      </c>
      <c r="E366" s="1">
        <f>Tabela1[[#This Row],[Força (N)]]/$I$5</f>
        <v>9955867.0820353068</v>
      </c>
      <c r="F366" s="1">
        <f>Tabela1[[#This Row],[Tensão (Pa)]]/1000000</f>
        <v>9.9558670820353061</v>
      </c>
    </row>
    <row r="367" spans="1:6" x14ac:dyDescent="0.3">
      <c r="A367" s="2">
        <v>43.817</v>
      </c>
      <c r="B367" s="2">
        <v>3.6440999999999999</v>
      </c>
      <c r="C367" s="1">
        <f>Tabela1[[#This Row],[Alongamento (mm/mm)]]/$I$2</f>
        <v>7.2882000000000002E-2</v>
      </c>
      <c r="D367" s="2">
        <v>425.08</v>
      </c>
      <c r="E367" s="1">
        <f>Tabela1[[#This Row],[Força (N)]]/$I$5</f>
        <v>10032096.667610686</v>
      </c>
      <c r="F367" s="1">
        <f>Tabela1[[#This Row],[Tensão (Pa)]]/1000000</f>
        <v>10.032096667610686</v>
      </c>
    </row>
    <row r="368" spans="1:6" x14ac:dyDescent="0.3">
      <c r="A368" s="2">
        <v>43.917000000000002</v>
      </c>
      <c r="B368" s="2">
        <v>3.6522999999999999</v>
      </c>
      <c r="C368" s="1">
        <f>Tabela1[[#This Row],[Alongamento (mm/mm)]]/$I$2</f>
        <v>7.3046E-2</v>
      </c>
      <c r="D368" s="2">
        <v>428.14</v>
      </c>
      <c r="E368" s="1">
        <f>Tabela1[[#This Row],[Força (N)]]/$I$5</f>
        <v>10104314.169734729</v>
      </c>
      <c r="F368" s="1">
        <f>Tabela1[[#This Row],[Tensão (Pa)]]/1000000</f>
        <v>10.10431416973473</v>
      </c>
    </row>
    <row r="369" spans="1:6" x14ac:dyDescent="0.3">
      <c r="A369" s="2">
        <v>44.017000000000003</v>
      </c>
      <c r="B369" s="2">
        <v>3.6606999999999998</v>
      </c>
      <c r="C369" s="1">
        <f>Tabela1[[#This Row],[Alongamento (mm/mm)]]/$I$2</f>
        <v>7.3214000000000001E-2</v>
      </c>
      <c r="D369" s="2">
        <v>431.37</v>
      </c>
      <c r="E369" s="1">
        <f>Tabela1[[#This Row],[Força (N)]]/$I$5</f>
        <v>10180543.755310111</v>
      </c>
      <c r="F369" s="1">
        <f>Tabela1[[#This Row],[Tensão (Pa)]]/1000000</f>
        <v>10.180543755310111</v>
      </c>
    </row>
    <row r="370" spans="1:6" x14ac:dyDescent="0.3">
      <c r="A370" s="2">
        <v>44.116999999999997</v>
      </c>
      <c r="B370" s="2">
        <v>3.669</v>
      </c>
      <c r="C370" s="1">
        <f>Tabela1[[#This Row],[Alongamento (mm/mm)]]/$I$2</f>
        <v>7.3380000000000001E-2</v>
      </c>
      <c r="D370" s="2">
        <v>434.6</v>
      </c>
      <c r="E370" s="1">
        <f>Tabela1[[#This Row],[Força (N)]]/$I$5</f>
        <v>10256773.34088549</v>
      </c>
      <c r="F370" s="1">
        <f>Tabela1[[#This Row],[Tensão (Pa)]]/1000000</f>
        <v>10.25677334088549</v>
      </c>
    </row>
    <row r="371" spans="1:6" x14ac:dyDescent="0.3">
      <c r="A371" s="2">
        <v>44.216999999999999</v>
      </c>
      <c r="B371" s="2">
        <v>3.6774</v>
      </c>
      <c r="C371" s="1">
        <f>Tabela1[[#This Row],[Alongamento (mm/mm)]]/$I$2</f>
        <v>7.3548000000000002E-2</v>
      </c>
      <c r="D371" s="2">
        <v>437.83</v>
      </c>
      <c r="E371" s="1">
        <f>Tabela1[[#This Row],[Força (N)]]/$I$5</f>
        <v>10333002.92646087</v>
      </c>
      <c r="F371" s="1">
        <f>Tabela1[[#This Row],[Tensão (Pa)]]/1000000</f>
        <v>10.333002926460869</v>
      </c>
    </row>
    <row r="372" spans="1:6" x14ac:dyDescent="0.3">
      <c r="A372" s="2">
        <v>44.332999999999998</v>
      </c>
      <c r="B372" s="2">
        <v>3.6871</v>
      </c>
      <c r="C372" s="1">
        <f>Tabela1[[#This Row],[Alongamento (mm/mm)]]/$I$2</f>
        <v>7.3742000000000002E-2</v>
      </c>
      <c r="D372" s="2">
        <v>441.41</v>
      </c>
      <c r="E372" s="1">
        <f>Tabela1[[#This Row],[Força (N)]]/$I$5</f>
        <v>10417492.683847824</v>
      </c>
      <c r="F372" s="1">
        <f>Tabela1[[#This Row],[Tensão (Pa)]]/1000000</f>
        <v>10.417492683847824</v>
      </c>
    </row>
    <row r="373" spans="1:6" x14ac:dyDescent="0.3">
      <c r="A373" s="2">
        <v>44.45</v>
      </c>
      <c r="B373" s="2">
        <v>3.6968000000000001</v>
      </c>
      <c r="C373" s="1">
        <f>Tabela1[[#This Row],[Alongamento (mm/mm)]]/$I$2</f>
        <v>7.3936000000000002E-2</v>
      </c>
      <c r="D373" s="2">
        <v>445.32</v>
      </c>
      <c r="E373" s="1">
        <f>Tabela1[[#This Row],[Força (N)]]/$I$5</f>
        <v>10509770.603228547</v>
      </c>
      <c r="F373" s="1">
        <f>Tabela1[[#This Row],[Tensão (Pa)]]/1000000</f>
        <v>10.509770603228546</v>
      </c>
    </row>
    <row r="374" spans="1:6" x14ac:dyDescent="0.3">
      <c r="A374" s="2">
        <v>44.567</v>
      </c>
      <c r="B374" s="2">
        <v>3.7065999999999999</v>
      </c>
      <c r="C374" s="1">
        <f>Tabela1[[#This Row],[Alongamento (mm/mm)]]/$I$2</f>
        <v>7.4132000000000003E-2</v>
      </c>
      <c r="D374" s="2">
        <v>449.06</v>
      </c>
      <c r="E374" s="1">
        <f>Tabela1[[#This Row],[Força (N)]]/$I$5</f>
        <v>10598036.439157935</v>
      </c>
      <c r="F374" s="1">
        <f>Tabela1[[#This Row],[Tensão (Pa)]]/1000000</f>
        <v>10.598036439157935</v>
      </c>
    </row>
    <row r="375" spans="1:6" x14ac:dyDescent="0.3">
      <c r="A375" s="2">
        <v>44.683</v>
      </c>
      <c r="B375" s="2">
        <v>3.7162999999999999</v>
      </c>
      <c r="C375" s="1">
        <f>Tabela1[[#This Row],[Alongamento (mm/mm)]]/$I$2</f>
        <v>7.4326000000000003E-2</v>
      </c>
      <c r="D375" s="2">
        <v>452.8</v>
      </c>
      <c r="E375" s="1">
        <f>Tabela1[[#This Row],[Força (N)]]/$I$5</f>
        <v>10686302.275087321</v>
      </c>
      <c r="F375" s="1">
        <f>Tabela1[[#This Row],[Tensão (Pa)]]/1000000</f>
        <v>10.686302275087321</v>
      </c>
    </row>
    <row r="376" spans="1:6" x14ac:dyDescent="0.3">
      <c r="A376" s="2">
        <v>44.8</v>
      </c>
      <c r="B376" s="2">
        <v>3.7259000000000002</v>
      </c>
      <c r="C376" s="1">
        <f>Tabela1[[#This Row],[Alongamento (mm/mm)]]/$I$2</f>
        <v>7.4518000000000001E-2</v>
      </c>
      <c r="D376" s="2">
        <v>456.55</v>
      </c>
      <c r="E376" s="1">
        <f>Tabela1[[#This Row],[Força (N)]]/$I$5</f>
        <v>10774804.115925612</v>
      </c>
      <c r="F376" s="1">
        <f>Tabela1[[#This Row],[Tensão (Pa)]]/1000000</f>
        <v>10.774804115925612</v>
      </c>
    </row>
    <row r="377" spans="1:6" x14ac:dyDescent="0.3">
      <c r="A377" s="2">
        <v>44.917000000000002</v>
      </c>
      <c r="B377" s="2">
        <v>3.7357</v>
      </c>
      <c r="C377" s="1">
        <f>Tabela1[[#This Row],[Alongamento (mm/mm)]]/$I$2</f>
        <v>7.4714000000000003E-2</v>
      </c>
      <c r="D377" s="2">
        <v>460.29</v>
      </c>
      <c r="E377" s="1">
        <f>Tabela1[[#This Row],[Força (N)]]/$I$5</f>
        <v>10863069.951854998</v>
      </c>
      <c r="F377" s="1">
        <f>Tabela1[[#This Row],[Tensão (Pa)]]/1000000</f>
        <v>10.863069951854998</v>
      </c>
    </row>
    <row r="378" spans="1:6" x14ac:dyDescent="0.3">
      <c r="A378" s="2">
        <v>45.017000000000003</v>
      </c>
      <c r="B378" s="2">
        <v>3.7440000000000002</v>
      </c>
      <c r="C378" s="1">
        <f>Tabela1[[#This Row],[Alongamento (mm/mm)]]/$I$2</f>
        <v>7.4880000000000002E-2</v>
      </c>
      <c r="D378" s="2">
        <v>463.69</v>
      </c>
      <c r="E378" s="1">
        <f>Tabela1[[#This Row],[Força (N)]]/$I$5</f>
        <v>10943311.620881714</v>
      </c>
      <c r="F378" s="1">
        <f>Tabela1[[#This Row],[Tensão (Pa)]]/1000000</f>
        <v>10.943311620881714</v>
      </c>
    </row>
    <row r="379" spans="1:6" x14ac:dyDescent="0.3">
      <c r="A379" s="2">
        <v>45.133000000000003</v>
      </c>
      <c r="B379" s="2">
        <v>3.7538</v>
      </c>
      <c r="C379" s="1">
        <f>Tabela1[[#This Row],[Alongamento (mm/mm)]]/$I$2</f>
        <v>7.5076000000000004E-2</v>
      </c>
      <c r="D379" s="2">
        <v>467.43</v>
      </c>
      <c r="E379" s="1">
        <f>Tabela1[[#This Row],[Força (N)]]/$I$5</f>
        <v>11031577.456811102</v>
      </c>
      <c r="F379" s="1">
        <f>Tabela1[[#This Row],[Tensão (Pa)]]/1000000</f>
        <v>11.031577456811101</v>
      </c>
    </row>
    <row r="380" spans="1:6" x14ac:dyDescent="0.3">
      <c r="A380" s="2">
        <v>45.232999999999997</v>
      </c>
      <c r="B380" s="2">
        <v>3.7621000000000002</v>
      </c>
      <c r="C380" s="1">
        <f>Tabela1[[#This Row],[Alongamento (mm/mm)]]/$I$2</f>
        <v>7.5242000000000003E-2</v>
      </c>
      <c r="D380" s="2">
        <v>470.83</v>
      </c>
      <c r="E380" s="1">
        <f>Tabela1[[#This Row],[Força (N)]]/$I$5</f>
        <v>11111819.125837818</v>
      </c>
      <c r="F380" s="1">
        <f>Tabela1[[#This Row],[Tensão (Pa)]]/1000000</f>
        <v>11.111819125837817</v>
      </c>
    </row>
    <row r="381" spans="1:6" x14ac:dyDescent="0.3">
      <c r="A381" s="2">
        <v>45.35</v>
      </c>
      <c r="B381" s="2">
        <v>3.7717999999999998</v>
      </c>
      <c r="C381" s="1">
        <f>Tabela1[[#This Row],[Alongamento (mm/mm)]]/$I$2</f>
        <v>7.5436000000000003E-2</v>
      </c>
      <c r="D381" s="2">
        <v>474.58</v>
      </c>
      <c r="E381" s="1">
        <f>Tabela1[[#This Row],[Força (N)]]/$I$5</f>
        <v>11200320.966676107</v>
      </c>
      <c r="F381" s="1">
        <f>Tabela1[[#This Row],[Tensão (Pa)]]/1000000</f>
        <v>11.200320966676106</v>
      </c>
    </row>
    <row r="382" spans="1:6" x14ac:dyDescent="0.3">
      <c r="A382" s="2">
        <v>45.45</v>
      </c>
      <c r="B382" s="2">
        <v>3.7801999999999998</v>
      </c>
      <c r="C382" s="1">
        <f>Tabela1[[#This Row],[Alongamento (mm/mm)]]/$I$2</f>
        <v>7.5603999999999991E-2</v>
      </c>
      <c r="D382" s="2">
        <v>477.98</v>
      </c>
      <c r="E382" s="1">
        <f>Tabela1[[#This Row],[Força (N)]]/$I$5</f>
        <v>11280562.635702822</v>
      </c>
      <c r="F382" s="1">
        <f>Tabela1[[#This Row],[Tensão (Pa)]]/1000000</f>
        <v>11.280562635702822</v>
      </c>
    </row>
    <row r="383" spans="1:6" x14ac:dyDescent="0.3">
      <c r="A383" s="2">
        <v>45.567</v>
      </c>
      <c r="B383" s="2">
        <v>3.7898999999999998</v>
      </c>
      <c r="C383" s="1">
        <f>Tabela1[[#This Row],[Alongamento (mm/mm)]]/$I$2</f>
        <v>7.579799999999999E-2</v>
      </c>
      <c r="D383" s="2">
        <v>481.72</v>
      </c>
      <c r="E383" s="1">
        <f>Tabela1[[#This Row],[Força (N)]]/$I$5</f>
        <v>11368828.471632211</v>
      </c>
      <c r="F383" s="1">
        <f>Tabela1[[#This Row],[Tensão (Pa)]]/1000000</f>
        <v>11.368828471632211</v>
      </c>
    </row>
    <row r="384" spans="1:6" x14ac:dyDescent="0.3">
      <c r="A384" s="2">
        <v>45.683</v>
      </c>
      <c r="B384" s="2">
        <v>3.7997000000000001</v>
      </c>
      <c r="C384" s="1">
        <f>Tabela1[[#This Row],[Alongamento (mm/mm)]]/$I$2</f>
        <v>7.5994000000000006E-2</v>
      </c>
      <c r="D384" s="2">
        <v>485.63</v>
      </c>
      <c r="E384" s="1">
        <f>Tabela1[[#This Row],[Força (N)]]/$I$5</f>
        <v>11461106.391012933</v>
      </c>
      <c r="F384" s="1">
        <f>Tabela1[[#This Row],[Tensão (Pa)]]/1000000</f>
        <v>11.461106391012933</v>
      </c>
    </row>
    <row r="385" spans="1:6" x14ac:dyDescent="0.3">
      <c r="A385" s="2">
        <v>45.8</v>
      </c>
      <c r="B385" s="2">
        <v>3.8092999999999999</v>
      </c>
      <c r="C385" s="1">
        <f>Tabela1[[#This Row],[Alongamento (mm/mm)]]/$I$2</f>
        <v>7.6186000000000004E-2</v>
      </c>
      <c r="D385" s="2">
        <v>489.54</v>
      </c>
      <c r="E385" s="1">
        <f>Tabela1[[#This Row],[Força (N)]]/$I$5</f>
        <v>11553384.310393658</v>
      </c>
      <c r="F385" s="1">
        <f>Tabela1[[#This Row],[Tensão (Pa)]]/1000000</f>
        <v>11.553384310393657</v>
      </c>
    </row>
    <row r="386" spans="1:6" x14ac:dyDescent="0.3">
      <c r="A386" s="2">
        <v>45.917000000000002</v>
      </c>
      <c r="B386" s="2">
        <v>3.819</v>
      </c>
      <c r="C386" s="1">
        <f>Tabela1[[#This Row],[Alongamento (mm/mm)]]/$I$2</f>
        <v>7.6380000000000003E-2</v>
      </c>
      <c r="D386" s="2">
        <v>493.46</v>
      </c>
      <c r="E386" s="1">
        <f>Tabela1[[#This Row],[Força (N)]]/$I$5</f>
        <v>11645898.234683281</v>
      </c>
      <c r="F386" s="1">
        <f>Tabela1[[#This Row],[Tensão (Pa)]]/1000000</f>
        <v>11.645898234683282</v>
      </c>
    </row>
    <row r="387" spans="1:6" x14ac:dyDescent="0.3">
      <c r="A387" s="2">
        <v>46.033000000000001</v>
      </c>
      <c r="B387" s="2">
        <v>3.8287</v>
      </c>
      <c r="C387" s="1">
        <f>Tabela1[[#This Row],[Alongamento (mm/mm)]]/$I$2</f>
        <v>7.6574000000000003E-2</v>
      </c>
      <c r="D387" s="2">
        <v>497.37</v>
      </c>
      <c r="E387" s="1">
        <f>Tabela1[[#This Row],[Força (N)]]/$I$5</f>
        <v>11738176.154064005</v>
      </c>
      <c r="F387" s="1">
        <f>Tabela1[[#This Row],[Tensão (Pa)]]/1000000</f>
        <v>11.738176154064005</v>
      </c>
    </row>
    <row r="388" spans="1:6" x14ac:dyDescent="0.3">
      <c r="A388" s="2">
        <v>46.15</v>
      </c>
      <c r="B388" s="2">
        <v>3.8384999999999998</v>
      </c>
      <c r="C388" s="1">
        <f>Tabela1[[#This Row],[Alongamento (mm/mm)]]/$I$2</f>
        <v>7.6769999999999991E-2</v>
      </c>
      <c r="D388" s="2">
        <v>501.28</v>
      </c>
      <c r="E388" s="1">
        <f>Tabela1[[#This Row],[Força (N)]]/$I$5</f>
        <v>11830454.073444728</v>
      </c>
      <c r="F388" s="1">
        <f>Tabela1[[#This Row],[Tensão (Pa)]]/1000000</f>
        <v>11.830454073444727</v>
      </c>
    </row>
    <row r="389" spans="1:6" x14ac:dyDescent="0.3">
      <c r="A389" s="2">
        <v>46.267000000000003</v>
      </c>
      <c r="B389" s="2">
        <v>3.8481999999999998</v>
      </c>
      <c r="C389" s="1">
        <f>Tabela1[[#This Row],[Alongamento (mm/mm)]]/$I$2</f>
        <v>7.6963999999999991E-2</v>
      </c>
      <c r="D389" s="2">
        <v>505.19</v>
      </c>
      <c r="E389" s="1">
        <f>Tabela1[[#This Row],[Força (N)]]/$I$5</f>
        <v>11922731.99282545</v>
      </c>
      <c r="F389" s="1">
        <f>Tabela1[[#This Row],[Tensão (Pa)]]/1000000</f>
        <v>11.922731992825451</v>
      </c>
    </row>
    <row r="390" spans="1:6" x14ac:dyDescent="0.3">
      <c r="A390" s="2">
        <v>46.383000000000003</v>
      </c>
      <c r="B390" s="2">
        <v>3.8578999999999999</v>
      </c>
      <c r="C390" s="1">
        <f>Tabela1[[#This Row],[Alongamento (mm/mm)]]/$I$2</f>
        <v>7.7158000000000004E-2</v>
      </c>
      <c r="D390" s="2">
        <v>509.11</v>
      </c>
      <c r="E390" s="1">
        <f>Tabela1[[#This Row],[Força (N)]]/$I$5</f>
        <v>12015245.917115076</v>
      </c>
      <c r="F390" s="1">
        <f>Tabela1[[#This Row],[Tensão (Pa)]]/1000000</f>
        <v>12.015245917115076</v>
      </c>
    </row>
    <row r="391" spans="1:6" x14ac:dyDescent="0.3">
      <c r="A391" s="2">
        <v>46.5</v>
      </c>
      <c r="B391" s="2">
        <v>3.8677000000000001</v>
      </c>
      <c r="C391" s="1">
        <f>Tabela1[[#This Row],[Alongamento (mm/mm)]]/$I$2</f>
        <v>7.7354000000000006E-2</v>
      </c>
      <c r="D391" s="2">
        <v>513.02</v>
      </c>
      <c r="E391" s="1">
        <f>Tabela1[[#This Row],[Força (N)]]/$I$5</f>
        <v>12107523.836495798</v>
      </c>
      <c r="F391" s="1">
        <f>Tabela1[[#This Row],[Tensão (Pa)]]/1000000</f>
        <v>12.107523836495798</v>
      </c>
    </row>
    <row r="392" spans="1:6" x14ac:dyDescent="0.3">
      <c r="A392" s="2">
        <v>46.616999999999997</v>
      </c>
      <c r="B392" s="2">
        <v>3.8774000000000002</v>
      </c>
      <c r="C392" s="1">
        <f>Tabela1[[#This Row],[Alongamento (mm/mm)]]/$I$2</f>
        <v>7.7548000000000006E-2</v>
      </c>
      <c r="D392" s="2">
        <v>516.92999999999995</v>
      </c>
      <c r="E392" s="1">
        <f>Tabela1[[#This Row],[Força (N)]]/$I$5</f>
        <v>12199801.755876521</v>
      </c>
      <c r="F392" s="1">
        <f>Tabela1[[#This Row],[Tensão (Pa)]]/1000000</f>
        <v>12.199801755876521</v>
      </c>
    </row>
    <row r="393" spans="1:6" x14ac:dyDescent="0.3">
      <c r="A393" s="2">
        <v>46.732999999999997</v>
      </c>
      <c r="B393" s="2">
        <v>3.8871000000000002</v>
      </c>
      <c r="C393" s="1">
        <f>Tabela1[[#This Row],[Alongamento (mm/mm)]]/$I$2</f>
        <v>7.7742000000000006E-2</v>
      </c>
      <c r="D393" s="2">
        <v>520.66999999999996</v>
      </c>
      <c r="E393" s="1">
        <f>Tabela1[[#This Row],[Força (N)]]/$I$5</f>
        <v>12288067.591805909</v>
      </c>
      <c r="F393" s="1">
        <f>Tabela1[[#This Row],[Tensão (Pa)]]/1000000</f>
        <v>12.288067591805909</v>
      </c>
    </row>
    <row r="394" spans="1:6" x14ac:dyDescent="0.3">
      <c r="A394" s="2">
        <v>46.85</v>
      </c>
      <c r="B394" s="2">
        <v>3.8967999999999998</v>
      </c>
      <c r="C394" s="1">
        <f>Tabela1[[#This Row],[Alongamento (mm/mm)]]/$I$2</f>
        <v>7.7935999999999991E-2</v>
      </c>
      <c r="D394" s="2">
        <v>524.58000000000004</v>
      </c>
      <c r="E394" s="1">
        <f>Tabela1[[#This Row],[Força (N)]]/$I$5</f>
        <v>12380345.511186633</v>
      </c>
      <c r="F394" s="1">
        <f>Tabela1[[#This Row],[Tensão (Pa)]]/1000000</f>
        <v>12.380345511186633</v>
      </c>
    </row>
    <row r="395" spans="1:6" x14ac:dyDescent="0.3">
      <c r="A395" s="2">
        <v>46.982999999999997</v>
      </c>
      <c r="B395" s="2">
        <v>3.9079999999999999</v>
      </c>
      <c r="C395" s="1">
        <f>Tabela1[[#This Row],[Alongamento (mm/mm)]]/$I$2</f>
        <v>7.8159999999999993E-2</v>
      </c>
      <c r="D395" s="2">
        <v>528.84</v>
      </c>
      <c r="E395" s="1">
        <f>Tabela1[[#This Row],[Força (N)]]/$I$5</f>
        <v>12480883.602378931</v>
      </c>
      <c r="F395" s="1">
        <f>Tabela1[[#This Row],[Tensão (Pa)]]/1000000</f>
        <v>12.480883602378931</v>
      </c>
    </row>
    <row r="396" spans="1:6" x14ac:dyDescent="0.3">
      <c r="A396" s="2">
        <v>47.116999999999997</v>
      </c>
      <c r="B396" s="2">
        <v>3.919</v>
      </c>
      <c r="C396" s="1">
        <f>Tabela1[[#This Row],[Alongamento (mm/mm)]]/$I$2</f>
        <v>7.8380000000000005E-2</v>
      </c>
      <c r="D396" s="2">
        <v>533.26</v>
      </c>
      <c r="E396" s="1">
        <f>Tabela1[[#This Row],[Força (N)]]/$I$5</f>
        <v>12585197.77211366</v>
      </c>
      <c r="F396" s="1">
        <f>Tabela1[[#This Row],[Tensão (Pa)]]/1000000</f>
        <v>12.585197772113661</v>
      </c>
    </row>
    <row r="397" spans="1:6" x14ac:dyDescent="0.3">
      <c r="A397" s="2">
        <v>47.25</v>
      </c>
      <c r="B397" s="2">
        <v>3.9300999999999999</v>
      </c>
      <c r="C397" s="1">
        <f>Tabela1[[#This Row],[Alongamento (mm/mm)]]/$I$2</f>
        <v>7.8602000000000005E-2</v>
      </c>
      <c r="D397" s="2">
        <v>537.67999999999995</v>
      </c>
      <c r="E397" s="1">
        <f>Tabela1[[#This Row],[Força (N)]]/$I$5</f>
        <v>12689511.94184839</v>
      </c>
      <c r="F397" s="1">
        <f>Tabela1[[#This Row],[Tensão (Pa)]]/1000000</f>
        <v>12.689511941848389</v>
      </c>
    </row>
    <row r="398" spans="1:6" x14ac:dyDescent="0.3">
      <c r="A398" s="2">
        <v>47.383000000000003</v>
      </c>
      <c r="B398" s="2">
        <v>3.9413</v>
      </c>
      <c r="C398" s="1">
        <f>Tabela1[[#This Row],[Alongamento (mm/mm)]]/$I$2</f>
        <v>7.8826000000000007E-2</v>
      </c>
      <c r="D398" s="2">
        <v>542.28</v>
      </c>
      <c r="E398" s="1">
        <f>Tabela1[[#This Row],[Força (N)]]/$I$5</f>
        <v>12798074.199943358</v>
      </c>
      <c r="F398" s="1">
        <f>Tabela1[[#This Row],[Tensão (Pa)]]/1000000</f>
        <v>12.798074199943358</v>
      </c>
    </row>
    <row r="399" spans="1:6" x14ac:dyDescent="0.3">
      <c r="A399" s="2">
        <v>47.517000000000003</v>
      </c>
      <c r="B399" s="2">
        <v>3.9523000000000001</v>
      </c>
      <c r="C399" s="1">
        <f>Tabela1[[#This Row],[Alongamento (mm/mm)]]/$I$2</f>
        <v>7.9046000000000005E-2</v>
      </c>
      <c r="D399" s="2">
        <v>546.70000000000005</v>
      </c>
      <c r="E399" s="1">
        <f>Tabela1[[#This Row],[Força (N)]]/$I$5</f>
        <v>12902388.369678089</v>
      </c>
      <c r="F399" s="1">
        <f>Tabela1[[#This Row],[Tensão (Pa)]]/1000000</f>
        <v>12.902388369678089</v>
      </c>
    </row>
    <row r="400" spans="1:6" x14ac:dyDescent="0.3">
      <c r="A400" s="2">
        <v>47.65</v>
      </c>
      <c r="B400" s="2">
        <v>3.9634999999999998</v>
      </c>
      <c r="C400" s="1">
        <f>Tabela1[[#This Row],[Alongamento (mm/mm)]]/$I$2</f>
        <v>7.9269999999999993E-2</v>
      </c>
      <c r="D400" s="2">
        <v>551.12</v>
      </c>
      <c r="E400" s="1">
        <f>Tabela1[[#This Row],[Força (N)]]/$I$5</f>
        <v>13006702.539412821</v>
      </c>
      <c r="F400" s="1">
        <f>Tabela1[[#This Row],[Tensão (Pa)]]/1000000</f>
        <v>13.006702539412821</v>
      </c>
    </row>
    <row r="401" spans="1:6" x14ac:dyDescent="0.3">
      <c r="A401" s="2">
        <v>47.783000000000001</v>
      </c>
      <c r="B401" s="2">
        <v>3.9746000000000001</v>
      </c>
      <c r="C401" s="1">
        <f>Tabela1[[#This Row],[Alongamento (mm/mm)]]/$I$2</f>
        <v>7.9492000000000007E-2</v>
      </c>
      <c r="D401" s="2">
        <v>555.54</v>
      </c>
      <c r="E401" s="1">
        <f>Tabela1[[#This Row],[Força (N)]]/$I$5</f>
        <v>13111016.70914755</v>
      </c>
      <c r="F401" s="1">
        <f>Tabela1[[#This Row],[Tensão (Pa)]]/1000000</f>
        <v>13.111016709147551</v>
      </c>
    </row>
    <row r="402" spans="1:6" x14ac:dyDescent="0.3">
      <c r="A402" s="2">
        <v>47.917000000000002</v>
      </c>
      <c r="B402" s="2">
        <v>3.9857999999999998</v>
      </c>
      <c r="C402" s="1">
        <f>Tabela1[[#This Row],[Alongamento (mm/mm)]]/$I$2</f>
        <v>7.9715999999999995E-2</v>
      </c>
      <c r="D402" s="2">
        <v>560.14</v>
      </c>
      <c r="E402" s="1">
        <f>Tabela1[[#This Row],[Força (N)]]/$I$5</f>
        <v>13219578.967242518</v>
      </c>
      <c r="F402" s="1">
        <f>Tabela1[[#This Row],[Tensão (Pa)]]/1000000</f>
        <v>13.219578967242519</v>
      </c>
    </row>
    <row r="403" spans="1:6" x14ac:dyDescent="0.3">
      <c r="A403" s="2">
        <v>48.05</v>
      </c>
      <c r="B403" s="2">
        <v>3.9967999999999999</v>
      </c>
      <c r="C403" s="1">
        <f>Tabela1[[#This Row],[Alongamento (mm/mm)]]/$I$2</f>
        <v>7.9935999999999993E-2</v>
      </c>
      <c r="D403" s="2">
        <v>564.55999999999995</v>
      </c>
      <c r="E403" s="1">
        <f>Tabela1[[#This Row],[Força (N)]]/$I$5</f>
        <v>13323893.136977248</v>
      </c>
      <c r="F403" s="1">
        <f>Tabela1[[#This Row],[Tensão (Pa)]]/1000000</f>
        <v>13.323893136977247</v>
      </c>
    </row>
    <row r="404" spans="1:6" x14ac:dyDescent="0.3">
      <c r="A404" s="2">
        <v>48.183</v>
      </c>
      <c r="B404" s="2">
        <v>4.0079000000000002</v>
      </c>
      <c r="C404" s="1">
        <f>Tabela1[[#This Row],[Alongamento (mm/mm)]]/$I$2</f>
        <v>8.0158000000000007E-2</v>
      </c>
      <c r="D404" s="2">
        <v>568.98</v>
      </c>
      <c r="E404" s="1">
        <f>Tabela1[[#This Row],[Força (N)]]/$I$5</f>
        <v>13428207.306711979</v>
      </c>
      <c r="F404" s="1">
        <f>Tabela1[[#This Row],[Tensão (Pa)]]/1000000</f>
        <v>13.428207306711979</v>
      </c>
    </row>
    <row r="405" spans="1:6" x14ac:dyDescent="0.3">
      <c r="A405" s="2">
        <v>48.317</v>
      </c>
      <c r="B405" s="2">
        <v>4.0190000000000001</v>
      </c>
      <c r="C405" s="1">
        <f>Tabela1[[#This Row],[Alongamento (mm/mm)]]/$I$2</f>
        <v>8.0380000000000007E-2</v>
      </c>
      <c r="D405" s="2">
        <v>573.57000000000005</v>
      </c>
      <c r="E405" s="1">
        <f>Tabela1[[#This Row],[Força (N)]]/$I$5</f>
        <v>13536533.559898047</v>
      </c>
      <c r="F405" s="1">
        <f>Tabela1[[#This Row],[Tensão (Pa)]]/1000000</f>
        <v>13.536533559898047</v>
      </c>
    </row>
    <row r="406" spans="1:6" x14ac:dyDescent="0.3">
      <c r="A406" s="2">
        <v>48.45</v>
      </c>
      <c r="B406" s="2">
        <v>4.0301</v>
      </c>
      <c r="C406" s="1">
        <f>Tabela1[[#This Row],[Alongamento (mm/mm)]]/$I$2</f>
        <v>8.0602000000000007E-2</v>
      </c>
      <c r="D406" s="2">
        <v>578.16999999999996</v>
      </c>
      <c r="E406" s="1">
        <f>Tabela1[[#This Row],[Força (N)]]/$I$5</f>
        <v>13645095.817993013</v>
      </c>
      <c r="F406" s="1">
        <f>Tabela1[[#This Row],[Tensão (Pa)]]/1000000</f>
        <v>13.645095817993013</v>
      </c>
    </row>
    <row r="407" spans="1:6" x14ac:dyDescent="0.3">
      <c r="A407" s="2">
        <v>48.582999999999998</v>
      </c>
      <c r="B407" s="2">
        <v>4.0411999999999999</v>
      </c>
      <c r="C407" s="1">
        <f>Tabela1[[#This Row],[Alongamento (mm/mm)]]/$I$2</f>
        <v>8.0823999999999993E-2</v>
      </c>
      <c r="D407" s="2">
        <v>582.59</v>
      </c>
      <c r="E407" s="1">
        <f>Tabela1[[#This Row],[Força (N)]]/$I$5</f>
        <v>13749409.987727745</v>
      </c>
      <c r="F407" s="1">
        <f>Tabela1[[#This Row],[Tensão (Pa)]]/1000000</f>
        <v>13.749409987727745</v>
      </c>
    </row>
    <row r="408" spans="1:6" x14ac:dyDescent="0.3">
      <c r="A408" s="2">
        <v>48.716999999999999</v>
      </c>
      <c r="B408" s="2">
        <v>4.0523999999999996</v>
      </c>
      <c r="C408" s="1">
        <f>Tabela1[[#This Row],[Alongamento (mm/mm)]]/$I$2</f>
        <v>8.1047999999999995E-2</v>
      </c>
      <c r="D408" s="2">
        <v>587.17999999999995</v>
      </c>
      <c r="E408" s="1">
        <f>Tabela1[[#This Row],[Força (N)]]/$I$5</f>
        <v>13857736.24091381</v>
      </c>
      <c r="F408" s="1">
        <f>Tabela1[[#This Row],[Tensão (Pa)]]/1000000</f>
        <v>13.857736240913811</v>
      </c>
    </row>
    <row r="409" spans="1:6" x14ac:dyDescent="0.3">
      <c r="A409" s="2">
        <v>48.85</v>
      </c>
      <c r="B409" s="2">
        <v>4.0636000000000001</v>
      </c>
      <c r="C409" s="1">
        <f>Tabela1[[#This Row],[Alongamento (mm/mm)]]/$I$2</f>
        <v>8.1271999999999997E-2</v>
      </c>
      <c r="D409" s="2">
        <v>591.77</v>
      </c>
      <c r="E409" s="1">
        <f>Tabela1[[#This Row],[Força (N)]]/$I$5</f>
        <v>13966062.494099876</v>
      </c>
      <c r="F409" s="1">
        <f>Tabela1[[#This Row],[Tensão (Pa)]]/1000000</f>
        <v>13.966062494099877</v>
      </c>
    </row>
    <row r="410" spans="1:6" x14ac:dyDescent="0.3">
      <c r="A410" s="2">
        <v>48.982999999999997</v>
      </c>
      <c r="B410" s="2">
        <v>4.0746000000000002</v>
      </c>
      <c r="C410" s="1">
        <f>Tabela1[[#This Row],[Alongamento (mm/mm)]]/$I$2</f>
        <v>8.1492000000000009E-2</v>
      </c>
      <c r="D410" s="2">
        <v>596.37</v>
      </c>
      <c r="E410" s="1">
        <f>Tabela1[[#This Row],[Força (N)]]/$I$5</f>
        <v>14074624.752194846</v>
      </c>
      <c r="F410" s="1">
        <f>Tabela1[[#This Row],[Tensão (Pa)]]/1000000</f>
        <v>14.074624752194847</v>
      </c>
    </row>
    <row r="411" spans="1:6" x14ac:dyDescent="0.3">
      <c r="A411" s="2">
        <v>49.116999999999997</v>
      </c>
      <c r="B411" s="2">
        <v>4.0857000000000001</v>
      </c>
      <c r="C411" s="1">
        <f>Tabela1[[#This Row],[Alongamento (mm/mm)]]/$I$2</f>
        <v>8.1714000000000009E-2</v>
      </c>
      <c r="D411" s="2">
        <v>601.13</v>
      </c>
      <c r="E411" s="1">
        <f>Tabela1[[#This Row],[Força (N)]]/$I$5</f>
        <v>14186963.088832248</v>
      </c>
      <c r="F411" s="1">
        <f>Tabela1[[#This Row],[Tensão (Pa)]]/1000000</f>
        <v>14.186963088832249</v>
      </c>
    </row>
    <row r="412" spans="1:6" x14ac:dyDescent="0.3">
      <c r="A412" s="2">
        <v>49.25</v>
      </c>
      <c r="B412" s="2">
        <v>4.0968</v>
      </c>
      <c r="C412" s="1">
        <f>Tabela1[[#This Row],[Alongamento (mm/mm)]]/$I$2</f>
        <v>8.1935999999999995E-2</v>
      </c>
      <c r="D412" s="2">
        <v>605.89</v>
      </c>
      <c r="E412" s="1">
        <f>Tabela1[[#This Row],[Força (N)]]/$I$5</f>
        <v>14299301.42546965</v>
      </c>
      <c r="F412" s="1">
        <f>Tabela1[[#This Row],[Tensão (Pa)]]/1000000</f>
        <v>14.29930142546965</v>
      </c>
    </row>
    <row r="413" spans="1:6" x14ac:dyDescent="0.3">
      <c r="A413" s="2">
        <v>49.383000000000003</v>
      </c>
      <c r="B413" s="2">
        <v>4.1079999999999997</v>
      </c>
      <c r="C413" s="1">
        <f>Tabela1[[#This Row],[Alongamento (mm/mm)]]/$I$2</f>
        <v>8.2159999999999997E-2</v>
      </c>
      <c r="D413" s="2">
        <v>610.65</v>
      </c>
      <c r="E413" s="1">
        <f>Tabela1[[#This Row],[Força (N)]]/$I$5</f>
        <v>14411639.762107052</v>
      </c>
      <c r="F413" s="1">
        <f>Tabela1[[#This Row],[Tensão (Pa)]]/1000000</f>
        <v>14.411639762107052</v>
      </c>
    </row>
    <row r="414" spans="1:6" x14ac:dyDescent="0.3">
      <c r="A414" s="2">
        <v>49.533000000000001</v>
      </c>
      <c r="B414" s="2">
        <v>4.1204000000000001</v>
      </c>
      <c r="C414" s="1">
        <f>Tabela1[[#This Row],[Alongamento (mm/mm)]]/$I$2</f>
        <v>8.2407999999999995E-2</v>
      </c>
      <c r="D414" s="2">
        <v>615.92999999999995</v>
      </c>
      <c r="E414" s="1">
        <f>Tabela1[[#This Row],[Força (N)]]/$I$5</f>
        <v>14536250.354007361</v>
      </c>
      <c r="F414" s="1">
        <f>Tabela1[[#This Row],[Tensão (Pa)]]/1000000</f>
        <v>14.536250354007361</v>
      </c>
    </row>
    <row r="415" spans="1:6" x14ac:dyDescent="0.3">
      <c r="A415" s="2">
        <v>49.667000000000002</v>
      </c>
      <c r="B415" s="2">
        <v>4.1315999999999997</v>
      </c>
      <c r="C415" s="1">
        <f>Tabela1[[#This Row],[Alongamento (mm/mm)]]/$I$2</f>
        <v>8.2631999999999997E-2</v>
      </c>
      <c r="D415" s="2">
        <v>620.69000000000005</v>
      </c>
      <c r="E415" s="1">
        <f>Tabela1[[#This Row],[Força (N)]]/$I$5</f>
        <v>14648588.690644767</v>
      </c>
      <c r="F415" s="1">
        <f>Tabela1[[#This Row],[Tensão (Pa)]]/1000000</f>
        <v>14.648588690644766</v>
      </c>
    </row>
    <row r="416" spans="1:6" x14ac:dyDescent="0.3">
      <c r="A416" s="2">
        <v>49.8</v>
      </c>
      <c r="B416" s="2">
        <v>4.1426999999999996</v>
      </c>
      <c r="C416" s="1">
        <f>Tabela1[[#This Row],[Alongamento (mm/mm)]]/$I$2</f>
        <v>8.2853999999999997E-2</v>
      </c>
      <c r="D416" s="2">
        <v>625.45000000000005</v>
      </c>
      <c r="E416" s="1">
        <f>Tabela1[[#This Row],[Força (N)]]/$I$5</f>
        <v>14760927.027282169</v>
      </c>
      <c r="F416" s="1">
        <f>Tabela1[[#This Row],[Tensão (Pa)]]/1000000</f>
        <v>14.760927027282168</v>
      </c>
    </row>
    <row r="417" spans="1:6" x14ac:dyDescent="0.3">
      <c r="A417" s="2">
        <v>49.933</v>
      </c>
      <c r="B417" s="2">
        <v>4.1536999999999997</v>
      </c>
      <c r="C417" s="1">
        <f>Tabela1[[#This Row],[Alongamento (mm/mm)]]/$I$2</f>
        <v>8.3073999999999995E-2</v>
      </c>
      <c r="D417" s="2">
        <v>630.22</v>
      </c>
      <c r="E417" s="1">
        <f>Tabela1[[#This Row],[Força (N)]]/$I$5</f>
        <v>14873501.368828472</v>
      </c>
      <c r="F417" s="1">
        <f>Tabela1[[#This Row],[Tensão (Pa)]]/1000000</f>
        <v>14.873501368828471</v>
      </c>
    </row>
    <row r="418" spans="1:6" x14ac:dyDescent="0.3">
      <c r="A418" s="2">
        <v>50.067</v>
      </c>
      <c r="B418" s="2">
        <v>4.1647999999999996</v>
      </c>
      <c r="C418" s="1">
        <f>Tabela1[[#This Row],[Alongamento (mm/mm)]]/$I$2</f>
        <v>8.3295999999999995E-2</v>
      </c>
      <c r="D418" s="2">
        <v>635.32000000000005</v>
      </c>
      <c r="E418" s="1">
        <f>Tabela1[[#This Row],[Força (N)]]/$I$5</f>
        <v>14993863.872368546</v>
      </c>
      <c r="F418" s="1">
        <f>Tabela1[[#This Row],[Tensão (Pa)]]/1000000</f>
        <v>14.993863872368546</v>
      </c>
    </row>
    <row r="419" spans="1:6" x14ac:dyDescent="0.3">
      <c r="A419" s="2">
        <v>50.2</v>
      </c>
      <c r="B419" s="2">
        <v>4.1760000000000002</v>
      </c>
      <c r="C419" s="1">
        <f>Tabela1[[#This Row],[Alongamento (mm/mm)]]/$I$2</f>
        <v>8.3519999999999997E-2</v>
      </c>
      <c r="D419" s="2">
        <v>640.25</v>
      </c>
      <c r="E419" s="1">
        <f>Tabela1[[#This Row],[Força (N)]]/$I$5</f>
        <v>15110214.292457283</v>
      </c>
      <c r="F419" s="1">
        <f>Tabela1[[#This Row],[Tensão (Pa)]]/1000000</f>
        <v>15.110214292457282</v>
      </c>
    </row>
    <row r="420" spans="1:6" x14ac:dyDescent="0.3">
      <c r="A420" s="2">
        <v>50.332999999999998</v>
      </c>
      <c r="B420" s="2">
        <v>4.1871</v>
      </c>
      <c r="C420" s="1">
        <f>Tabela1[[#This Row],[Alongamento (mm/mm)]]/$I$2</f>
        <v>8.3741999999999997E-2</v>
      </c>
      <c r="D420" s="2">
        <v>645.17999999999995</v>
      </c>
      <c r="E420" s="1">
        <f>Tabela1[[#This Row],[Força (N)]]/$I$5</f>
        <v>15226564.712546019</v>
      </c>
      <c r="F420" s="1">
        <f>Tabela1[[#This Row],[Tensão (Pa)]]/1000000</f>
        <v>15.226564712546018</v>
      </c>
    </row>
    <row r="421" spans="1:6" x14ac:dyDescent="0.3">
      <c r="A421" s="2">
        <v>50.466999999999999</v>
      </c>
      <c r="B421" s="2">
        <v>4.1981999999999999</v>
      </c>
      <c r="C421" s="1">
        <f>Tabela1[[#This Row],[Alongamento (mm/mm)]]/$I$2</f>
        <v>8.3963999999999997E-2</v>
      </c>
      <c r="D421" s="2">
        <v>650.12</v>
      </c>
      <c r="E421" s="1">
        <f>Tabela1[[#This Row],[Força (N)]]/$I$5</f>
        <v>15343151.137543662</v>
      </c>
      <c r="F421" s="1">
        <f>Tabela1[[#This Row],[Tensão (Pa)]]/1000000</f>
        <v>15.343151137543661</v>
      </c>
    </row>
    <row r="422" spans="1:6" x14ac:dyDescent="0.3">
      <c r="A422" s="2">
        <v>50.6</v>
      </c>
      <c r="B422" s="2">
        <v>4.2092999999999998</v>
      </c>
      <c r="C422" s="1">
        <f>Tabela1[[#This Row],[Alongamento (mm/mm)]]/$I$2</f>
        <v>8.4185999999999997E-2</v>
      </c>
      <c r="D422" s="2">
        <v>655.04999999999995</v>
      </c>
      <c r="E422" s="1">
        <f>Tabela1[[#This Row],[Força (N)]]/$I$5</f>
        <v>15459501.557632398</v>
      </c>
      <c r="F422" s="1">
        <f>Tabela1[[#This Row],[Tensão (Pa)]]/1000000</f>
        <v>15.459501557632398</v>
      </c>
    </row>
    <row r="423" spans="1:6" x14ac:dyDescent="0.3">
      <c r="A423" s="2">
        <v>50.75</v>
      </c>
      <c r="B423" s="2">
        <v>4.2218</v>
      </c>
      <c r="C423" s="1">
        <f>Tabela1[[#This Row],[Alongamento (mm/mm)]]/$I$2</f>
        <v>8.4435999999999997E-2</v>
      </c>
      <c r="D423" s="2">
        <v>660.66</v>
      </c>
      <c r="E423" s="1">
        <f>Tabela1[[#This Row],[Força (N)]]/$I$5</f>
        <v>15591900.311526479</v>
      </c>
      <c r="F423" s="1">
        <f>Tabela1[[#This Row],[Tensão (Pa)]]/1000000</f>
        <v>15.59190031152648</v>
      </c>
    </row>
    <row r="424" spans="1:6" x14ac:dyDescent="0.3">
      <c r="A424" s="2">
        <v>50.883000000000003</v>
      </c>
      <c r="B424" s="2">
        <v>4.2328999999999999</v>
      </c>
      <c r="C424" s="1">
        <f>Tabela1[[#This Row],[Alongamento (mm/mm)]]/$I$2</f>
        <v>8.4657999999999997E-2</v>
      </c>
      <c r="D424" s="2">
        <v>665.77</v>
      </c>
      <c r="E424" s="1">
        <f>Tabela1[[#This Row],[Força (N)]]/$I$5</f>
        <v>15712498.819975454</v>
      </c>
      <c r="F424" s="1">
        <f>Tabela1[[#This Row],[Tensão (Pa)]]/1000000</f>
        <v>15.712498819975455</v>
      </c>
    </row>
    <row r="425" spans="1:6" x14ac:dyDescent="0.3">
      <c r="A425" s="2">
        <v>51.033000000000001</v>
      </c>
      <c r="B425" s="2">
        <v>4.2454000000000001</v>
      </c>
      <c r="C425" s="1">
        <f>Tabela1[[#This Row],[Alongamento (mm/mm)]]/$I$2</f>
        <v>8.4907999999999997E-2</v>
      </c>
      <c r="D425" s="2">
        <v>671.38</v>
      </c>
      <c r="E425" s="1">
        <f>Tabela1[[#This Row],[Força (N)]]/$I$5</f>
        <v>15844897.573869536</v>
      </c>
      <c r="F425" s="1">
        <f>Tabela1[[#This Row],[Tensão (Pa)]]/1000000</f>
        <v>15.844897573869536</v>
      </c>
    </row>
    <row r="426" spans="1:6" x14ac:dyDescent="0.3">
      <c r="A426" s="2">
        <v>51.183</v>
      </c>
      <c r="B426" s="2">
        <v>4.258</v>
      </c>
      <c r="C426" s="1">
        <f>Tabela1[[#This Row],[Alongamento (mm/mm)]]/$I$2</f>
        <v>8.516E-2</v>
      </c>
      <c r="D426" s="2">
        <v>676.99</v>
      </c>
      <c r="E426" s="1">
        <f>Tabela1[[#This Row],[Força (N)]]/$I$5</f>
        <v>15977296.327763617</v>
      </c>
      <c r="F426" s="1">
        <f>Tabela1[[#This Row],[Tensão (Pa)]]/1000000</f>
        <v>15.977296327763616</v>
      </c>
    </row>
    <row r="427" spans="1:6" x14ac:dyDescent="0.3">
      <c r="A427" s="2">
        <v>51.317</v>
      </c>
      <c r="B427" s="2">
        <v>4.2690000000000001</v>
      </c>
      <c r="C427" s="1">
        <f>Tabela1[[#This Row],[Alongamento (mm/mm)]]/$I$2</f>
        <v>8.5379999999999998E-2</v>
      </c>
      <c r="D427" s="2">
        <v>682.1</v>
      </c>
      <c r="E427" s="1">
        <f>Tabela1[[#This Row],[Força (N)]]/$I$5</f>
        <v>16097894.836212594</v>
      </c>
      <c r="F427" s="1">
        <f>Tabela1[[#This Row],[Tensão (Pa)]]/1000000</f>
        <v>16.097894836212593</v>
      </c>
    </row>
    <row r="428" spans="1:6" x14ac:dyDescent="0.3">
      <c r="A428" s="2">
        <v>51.45</v>
      </c>
      <c r="B428" s="2">
        <v>4.2801999999999998</v>
      </c>
      <c r="C428" s="1">
        <f>Tabela1[[#This Row],[Alongamento (mm/mm)]]/$I$2</f>
        <v>8.5604E-2</v>
      </c>
      <c r="D428" s="2">
        <v>687.2</v>
      </c>
      <c r="E428" s="1">
        <f>Tabela1[[#This Row],[Força (N)]]/$I$5</f>
        <v>16218257.339752669</v>
      </c>
      <c r="F428" s="1">
        <f>Tabela1[[#This Row],[Tensão (Pa)]]/1000000</f>
        <v>16.218257339752668</v>
      </c>
    </row>
    <row r="429" spans="1:6" x14ac:dyDescent="0.3">
      <c r="A429" s="2">
        <v>51.582999999999998</v>
      </c>
      <c r="B429" s="2">
        <v>4.2912999999999997</v>
      </c>
      <c r="C429" s="1">
        <f>Tabela1[[#This Row],[Alongamento (mm/mm)]]/$I$2</f>
        <v>8.5826E-2</v>
      </c>
      <c r="D429" s="2">
        <v>692.3</v>
      </c>
      <c r="E429" s="1">
        <f>Tabela1[[#This Row],[Força (N)]]/$I$5</f>
        <v>16338619.843292739</v>
      </c>
      <c r="F429" s="1">
        <f>Tabela1[[#This Row],[Tensão (Pa)]]/1000000</f>
        <v>16.33861984329274</v>
      </c>
    </row>
    <row r="430" spans="1:6" x14ac:dyDescent="0.3">
      <c r="A430" s="2">
        <v>51.716999999999999</v>
      </c>
      <c r="B430" s="2">
        <v>4.3023999999999996</v>
      </c>
      <c r="C430" s="1">
        <f>Tabela1[[#This Row],[Alongamento (mm/mm)]]/$I$2</f>
        <v>8.6047999999999986E-2</v>
      </c>
      <c r="D430" s="2">
        <v>697.41</v>
      </c>
      <c r="E430" s="1">
        <f>Tabela1[[#This Row],[Força (N)]]/$I$5</f>
        <v>16459218.351741716</v>
      </c>
      <c r="F430" s="1">
        <f>Tabela1[[#This Row],[Tensão (Pa)]]/1000000</f>
        <v>16.459218351741715</v>
      </c>
    </row>
    <row r="431" spans="1:6" x14ac:dyDescent="0.3">
      <c r="A431" s="2">
        <v>51.866999999999997</v>
      </c>
      <c r="B431" s="2">
        <v>4.3148</v>
      </c>
      <c r="C431" s="1">
        <f>Tabela1[[#This Row],[Alongamento (mm/mm)]]/$I$2</f>
        <v>8.6295999999999998E-2</v>
      </c>
      <c r="D431" s="2">
        <v>703.19</v>
      </c>
      <c r="E431" s="1">
        <f>Tabela1[[#This Row],[Força (N)]]/$I$5</f>
        <v>16595629.189087134</v>
      </c>
      <c r="F431" s="1">
        <f>Tabela1[[#This Row],[Tensão (Pa)]]/1000000</f>
        <v>16.595629189087134</v>
      </c>
    </row>
    <row r="432" spans="1:6" x14ac:dyDescent="0.3">
      <c r="A432" s="2">
        <v>52.017000000000003</v>
      </c>
      <c r="B432" s="2">
        <v>4.3273999999999999</v>
      </c>
      <c r="C432" s="1">
        <f>Tabela1[[#This Row],[Alongamento (mm/mm)]]/$I$2</f>
        <v>8.6548E-2</v>
      </c>
      <c r="D432" s="2">
        <v>708.97</v>
      </c>
      <c r="E432" s="1">
        <f>Tabela1[[#This Row],[Força (N)]]/$I$5</f>
        <v>16732040.02643255</v>
      </c>
      <c r="F432" s="1">
        <f>Tabela1[[#This Row],[Tensão (Pa)]]/1000000</f>
        <v>16.73204002643255</v>
      </c>
    </row>
    <row r="433" spans="1:6" x14ac:dyDescent="0.3">
      <c r="A433" s="2">
        <v>52.167000000000002</v>
      </c>
      <c r="B433" s="2">
        <v>4.3399000000000001</v>
      </c>
      <c r="C433" s="1">
        <f>Tabela1[[#This Row],[Alongamento (mm/mm)]]/$I$2</f>
        <v>8.6798E-2</v>
      </c>
      <c r="D433" s="2">
        <v>714.59</v>
      </c>
      <c r="E433" s="1">
        <f>Tabela1[[#This Row],[Força (N)]]/$I$5</f>
        <v>16864674.785235535</v>
      </c>
      <c r="F433" s="1">
        <f>Tabela1[[#This Row],[Tensão (Pa)]]/1000000</f>
        <v>16.864674785235536</v>
      </c>
    </row>
    <row r="434" spans="1:6" x14ac:dyDescent="0.3">
      <c r="A434" s="2">
        <v>52.317</v>
      </c>
      <c r="B434" s="2">
        <v>4.3524000000000003</v>
      </c>
      <c r="C434" s="1">
        <f>Tabela1[[#This Row],[Alongamento (mm/mm)]]/$I$2</f>
        <v>8.7048E-2</v>
      </c>
      <c r="D434" s="2">
        <v>720.37</v>
      </c>
      <c r="E434" s="1">
        <f>Tabela1[[#This Row],[Força (N)]]/$I$5</f>
        <v>17001085.622580949</v>
      </c>
      <c r="F434" s="1">
        <f>Tabela1[[#This Row],[Tensão (Pa)]]/1000000</f>
        <v>17.001085622580948</v>
      </c>
    </row>
    <row r="435" spans="1:6" x14ac:dyDescent="0.3">
      <c r="A435" s="2">
        <v>52.466999999999999</v>
      </c>
      <c r="B435" s="2">
        <v>4.3648999999999996</v>
      </c>
      <c r="C435" s="1">
        <f>Tabela1[[#This Row],[Alongamento (mm/mm)]]/$I$2</f>
        <v>8.7297999999999987E-2</v>
      </c>
      <c r="D435" s="2">
        <v>725.98</v>
      </c>
      <c r="E435" s="1">
        <f>Tabela1[[#This Row],[Força (N)]]/$I$5</f>
        <v>17133484.376475032</v>
      </c>
      <c r="F435" s="1">
        <f>Tabela1[[#This Row],[Tensão (Pa)]]/1000000</f>
        <v>17.133484376475032</v>
      </c>
    </row>
    <row r="436" spans="1:6" x14ac:dyDescent="0.3">
      <c r="A436" s="2">
        <v>52.616999999999997</v>
      </c>
      <c r="B436" s="2">
        <v>4.3773999999999997</v>
      </c>
      <c r="C436" s="1">
        <f>Tabela1[[#This Row],[Alongamento (mm/mm)]]/$I$2</f>
        <v>8.7548000000000001E-2</v>
      </c>
      <c r="D436" s="2">
        <v>731.77</v>
      </c>
      <c r="E436" s="1">
        <f>Tabela1[[#This Row],[Força (N)]]/$I$5</f>
        <v>17270131.218729351</v>
      </c>
      <c r="F436" s="1">
        <f>Tabela1[[#This Row],[Tensão (Pa)]]/1000000</f>
        <v>17.27013121872935</v>
      </c>
    </row>
    <row r="437" spans="1:6" x14ac:dyDescent="0.3">
      <c r="A437" s="2">
        <v>52.767000000000003</v>
      </c>
      <c r="B437" s="2">
        <v>4.3898999999999999</v>
      </c>
      <c r="C437" s="1">
        <f>Tabela1[[#This Row],[Alongamento (mm/mm)]]/$I$2</f>
        <v>8.7798000000000001E-2</v>
      </c>
      <c r="D437" s="2">
        <v>737.55</v>
      </c>
      <c r="E437" s="1">
        <f>Tabela1[[#This Row],[Força (N)]]/$I$5</f>
        <v>17406542.056074765</v>
      </c>
      <c r="F437" s="1">
        <f>Tabela1[[#This Row],[Tensão (Pa)]]/1000000</f>
        <v>17.406542056074766</v>
      </c>
    </row>
    <row r="438" spans="1:6" x14ac:dyDescent="0.3">
      <c r="A438" s="2">
        <v>52.917000000000002</v>
      </c>
      <c r="B438" s="2">
        <v>4.4023000000000003</v>
      </c>
      <c r="C438" s="1">
        <f>Tabela1[[#This Row],[Alongamento (mm/mm)]]/$I$2</f>
        <v>8.8046000000000013E-2</v>
      </c>
      <c r="D438" s="2">
        <v>743.33</v>
      </c>
      <c r="E438" s="1">
        <f>Tabela1[[#This Row],[Força (N)]]/$I$5</f>
        <v>17542952.893420182</v>
      </c>
      <c r="F438" s="1">
        <f>Tabela1[[#This Row],[Tensão (Pa)]]/1000000</f>
        <v>17.542952893420182</v>
      </c>
    </row>
    <row r="439" spans="1:6" x14ac:dyDescent="0.3">
      <c r="A439" s="2">
        <v>53.067</v>
      </c>
      <c r="B439" s="2">
        <v>4.4149000000000003</v>
      </c>
      <c r="C439" s="1">
        <f>Tabela1[[#This Row],[Alongamento (mm/mm)]]/$I$2</f>
        <v>8.8298000000000001E-2</v>
      </c>
      <c r="D439" s="2">
        <v>749.12</v>
      </c>
      <c r="E439" s="1">
        <f>Tabela1[[#This Row],[Força (N)]]/$I$5</f>
        <v>17679599.7356745</v>
      </c>
      <c r="F439" s="1">
        <f>Tabela1[[#This Row],[Tensão (Pa)]]/1000000</f>
        <v>17.6795997356745</v>
      </c>
    </row>
    <row r="440" spans="1:6" x14ac:dyDescent="0.3">
      <c r="A440" s="2">
        <v>53.216999999999999</v>
      </c>
      <c r="B440" s="2">
        <v>4.4272999999999998</v>
      </c>
      <c r="C440" s="1">
        <f>Tabela1[[#This Row],[Alongamento (mm/mm)]]/$I$2</f>
        <v>8.8546E-2</v>
      </c>
      <c r="D440" s="2">
        <v>754.9</v>
      </c>
      <c r="E440" s="1">
        <f>Tabela1[[#This Row],[Força (N)]]/$I$5</f>
        <v>17816010.573019918</v>
      </c>
      <c r="F440" s="1">
        <f>Tabela1[[#This Row],[Tensão (Pa)]]/1000000</f>
        <v>17.816010573019916</v>
      </c>
    </row>
    <row r="441" spans="1:6" x14ac:dyDescent="0.3">
      <c r="A441" s="2">
        <v>53.366999999999997</v>
      </c>
      <c r="B441" s="2">
        <v>4.4398999999999997</v>
      </c>
      <c r="C441" s="1">
        <f>Tabela1[[#This Row],[Alongamento (mm/mm)]]/$I$2</f>
        <v>8.8797999999999988E-2</v>
      </c>
      <c r="D441" s="2">
        <v>760.85</v>
      </c>
      <c r="E441" s="1">
        <f>Tabela1[[#This Row],[Força (N)]]/$I$5</f>
        <v>17956433.49381667</v>
      </c>
      <c r="F441" s="1">
        <f>Tabela1[[#This Row],[Tensão (Pa)]]/1000000</f>
        <v>17.956433493816672</v>
      </c>
    </row>
    <row r="442" spans="1:6" x14ac:dyDescent="0.3">
      <c r="A442" s="2">
        <v>53.517000000000003</v>
      </c>
      <c r="B442" s="2">
        <v>4.4523999999999999</v>
      </c>
      <c r="C442" s="1">
        <f>Tabela1[[#This Row],[Alongamento (mm/mm)]]/$I$2</f>
        <v>8.9048000000000002E-2</v>
      </c>
      <c r="D442" s="2">
        <v>766.64</v>
      </c>
      <c r="E442" s="1">
        <f>Tabela1[[#This Row],[Força (N)]]/$I$5</f>
        <v>18093080.336070988</v>
      </c>
      <c r="F442" s="1">
        <f>Tabela1[[#This Row],[Tensão (Pa)]]/1000000</f>
        <v>18.093080336070987</v>
      </c>
    </row>
    <row r="443" spans="1:6" x14ac:dyDescent="0.3">
      <c r="A443" s="2">
        <v>53.667000000000002</v>
      </c>
      <c r="B443" s="2">
        <v>4.4648000000000003</v>
      </c>
      <c r="C443" s="1">
        <f>Tabela1[[#This Row],[Alongamento (mm/mm)]]/$I$2</f>
        <v>8.9296E-2</v>
      </c>
      <c r="D443" s="2">
        <v>772.59</v>
      </c>
      <c r="E443" s="1">
        <f>Tabela1[[#This Row],[Força (N)]]/$I$5</f>
        <v>18233503.256867744</v>
      </c>
      <c r="F443" s="1">
        <f>Tabela1[[#This Row],[Tensão (Pa)]]/1000000</f>
        <v>18.233503256867746</v>
      </c>
    </row>
    <row r="444" spans="1:6" x14ac:dyDescent="0.3">
      <c r="A444" s="2">
        <v>53.817</v>
      </c>
      <c r="B444" s="2">
        <v>4.4774000000000003</v>
      </c>
      <c r="C444" s="1">
        <f>Tabela1[[#This Row],[Alongamento (mm/mm)]]/$I$2</f>
        <v>8.9548000000000003E-2</v>
      </c>
      <c r="D444" s="2">
        <v>778.37</v>
      </c>
      <c r="E444" s="1">
        <f>Tabela1[[#This Row],[Força (N)]]/$I$5</f>
        <v>18369914.094213158</v>
      </c>
      <c r="F444" s="1">
        <f>Tabela1[[#This Row],[Tensão (Pa)]]/1000000</f>
        <v>18.369914094213158</v>
      </c>
    </row>
    <row r="445" spans="1:6" x14ac:dyDescent="0.3">
      <c r="A445" s="2">
        <v>53.966999999999999</v>
      </c>
      <c r="B445" s="2">
        <v>4.4898999999999996</v>
      </c>
      <c r="C445" s="1">
        <f>Tabela1[[#This Row],[Alongamento (mm/mm)]]/$I$2</f>
        <v>8.9797999999999989E-2</v>
      </c>
      <c r="D445" s="2">
        <v>784.33</v>
      </c>
      <c r="E445" s="1">
        <f>Tabela1[[#This Row],[Força (N)]]/$I$5</f>
        <v>18510573.019918814</v>
      </c>
      <c r="F445" s="1">
        <f>Tabela1[[#This Row],[Tensão (Pa)]]/1000000</f>
        <v>18.510573019918816</v>
      </c>
    </row>
    <row r="446" spans="1:6" x14ac:dyDescent="0.3">
      <c r="A446" s="2">
        <v>54.133000000000003</v>
      </c>
      <c r="B446" s="2">
        <v>4.5037000000000003</v>
      </c>
      <c r="C446" s="1">
        <f>Tabela1[[#This Row],[Alongamento (mm/mm)]]/$I$2</f>
        <v>9.0074000000000001E-2</v>
      </c>
      <c r="D446" s="2">
        <v>790.96</v>
      </c>
      <c r="E446" s="1">
        <f>Tabela1[[#This Row],[Força (N)]]/$I$5</f>
        <v>18667044.274520911</v>
      </c>
      <c r="F446" s="1">
        <f>Tabela1[[#This Row],[Tensão (Pa)]]/1000000</f>
        <v>18.667044274520912</v>
      </c>
    </row>
    <row r="447" spans="1:6" x14ac:dyDescent="0.3">
      <c r="A447" s="2">
        <v>54.3</v>
      </c>
      <c r="B447" s="2">
        <v>4.5176999999999996</v>
      </c>
      <c r="C447" s="1">
        <f>Tabela1[[#This Row],[Alongamento (mm/mm)]]/$I$2</f>
        <v>9.035399999999999E-2</v>
      </c>
      <c r="D447" s="2">
        <v>797.42</v>
      </c>
      <c r="E447" s="1">
        <f>Tabela1[[#This Row],[Força (N)]]/$I$5</f>
        <v>18819503.44567167</v>
      </c>
      <c r="F447" s="1">
        <f>Tabela1[[#This Row],[Tensão (Pa)]]/1000000</f>
        <v>18.819503445671671</v>
      </c>
    </row>
    <row r="448" spans="1:6" x14ac:dyDescent="0.3">
      <c r="A448" s="2">
        <v>54.466999999999999</v>
      </c>
      <c r="B448" s="2">
        <v>4.5315000000000003</v>
      </c>
      <c r="C448" s="1">
        <f>Tabela1[[#This Row],[Alongamento (mm/mm)]]/$I$2</f>
        <v>9.0630000000000002E-2</v>
      </c>
      <c r="D448" s="2">
        <v>803.89</v>
      </c>
      <c r="E448" s="1">
        <f>Tabela1[[#This Row],[Força (N)]]/$I$5</f>
        <v>18972198.621731333</v>
      </c>
      <c r="F448" s="1">
        <f>Tabela1[[#This Row],[Tensão (Pa)]]/1000000</f>
        <v>18.972198621731334</v>
      </c>
    </row>
    <row r="449" spans="1:6" x14ac:dyDescent="0.3">
      <c r="A449" s="2">
        <v>54.633000000000003</v>
      </c>
      <c r="B449" s="2">
        <v>4.5453999999999999</v>
      </c>
      <c r="C449" s="1">
        <f>Tabela1[[#This Row],[Alongamento (mm/mm)]]/$I$2</f>
        <v>9.0908000000000003E-2</v>
      </c>
      <c r="D449" s="2">
        <v>810.35</v>
      </c>
      <c r="E449" s="1">
        <f>Tabela1[[#This Row],[Força (N)]]/$I$5</f>
        <v>19124657.792882092</v>
      </c>
      <c r="F449" s="1">
        <f>Tabela1[[#This Row],[Tensão (Pa)]]/1000000</f>
        <v>19.124657792882093</v>
      </c>
    </row>
    <row r="450" spans="1:6" x14ac:dyDescent="0.3">
      <c r="A450" s="2">
        <v>54.8</v>
      </c>
      <c r="B450" s="2">
        <v>4.5593000000000004</v>
      </c>
      <c r="C450" s="1">
        <f>Tabela1[[#This Row],[Alongamento (mm/mm)]]/$I$2</f>
        <v>9.1186000000000003E-2</v>
      </c>
      <c r="D450" s="2">
        <v>816.81</v>
      </c>
      <c r="E450" s="1">
        <f>Tabela1[[#This Row],[Força (N)]]/$I$5</f>
        <v>19277116.964032851</v>
      </c>
      <c r="F450" s="1">
        <f>Tabela1[[#This Row],[Tensão (Pa)]]/1000000</f>
        <v>19.277116964032849</v>
      </c>
    </row>
    <row r="451" spans="1:6" x14ac:dyDescent="0.3">
      <c r="A451" s="2">
        <v>54.966999999999999</v>
      </c>
      <c r="B451" s="2">
        <v>4.5731000000000002</v>
      </c>
      <c r="C451" s="1">
        <f>Tabela1[[#This Row],[Alongamento (mm/mm)]]/$I$2</f>
        <v>9.1462000000000002E-2</v>
      </c>
      <c r="D451" s="2">
        <v>823.28</v>
      </c>
      <c r="E451" s="1">
        <f>Tabela1[[#This Row],[Força (N)]]/$I$5</f>
        <v>19429812.140092514</v>
      </c>
      <c r="F451" s="1">
        <f>Tabela1[[#This Row],[Tensão (Pa)]]/1000000</f>
        <v>19.429812140092515</v>
      </c>
    </row>
    <row r="452" spans="1:6" x14ac:dyDescent="0.3">
      <c r="A452" s="2">
        <v>55.116999999999997</v>
      </c>
      <c r="B452" s="2">
        <v>4.5857000000000001</v>
      </c>
      <c r="C452" s="1">
        <f>Tabela1[[#This Row],[Alongamento (mm/mm)]]/$I$2</f>
        <v>9.1714000000000004E-2</v>
      </c>
      <c r="D452" s="2">
        <v>829.4</v>
      </c>
      <c r="E452" s="1">
        <f>Tabela1[[#This Row],[Força (N)]]/$I$5</f>
        <v>19574247.144340601</v>
      </c>
      <c r="F452" s="1">
        <f>Tabela1[[#This Row],[Tensão (Pa)]]/1000000</f>
        <v>19.5742471443406</v>
      </c>
    </row>
    <row r="453" spans="1:6" x14ac:dyDescent="0.3">
      <c r="A453" s="2">
        <v>55.283000000000001</v>
      </c>
      <c r="B453" s="2">
        <v>4.5995999999999997</v>
      </c>
      <c r="C453" s="1">
        <f>Tabela1[[#This Row],[Alongamento (mm/mm)]]/$I$2</f>
        <v>9.199199999999999E-2</v>
      </c>
      <c r="D453" s="2">
        <v>836.04</v>
      </c>
      <c r="E453" s="1">
        <f>Tabela1[[#This Row],[Força (N)]]/$I$5</f>
        <v>19730954.403851599</v>
      </c>
      <c r="F453" s="1">
        <f>Tabela1[[#This Row],[Tensão (Pa)]]/1000000</f>
        <v>19.730954403851598</v>
      </c>
    </row>
    <row r="454" spans="1:6" x14ac:dyDescent="0.3">
      <c r="A454" s="2">
        <v>55.45</v>
      </c>
      <c r="B454" s="2">
        <v>4.6134000000000004</v>
      </c>
      <c r="C454" s="1">
        <f>Tabela1[[#This Row],[Alongamento (mm/mm)]]/$I$2</f>
        <v>9.2268000000000003E-2</v>
      </c>
      <c r="D454" s="2">
        <v>842.67</v>
      </c>
      <c r="E454" s="1">
        <f>Tabela1[[#This Row],[Força (N)]]/$I$5</f>
        <v>19887425.658453695</v>
      </c>
      <c r="F454" s="1">
        <f>Tabela1[[#This Row],[Tensão (Pa)]]/1000000</f>
        <v>19.887425658453694</v>
      </c>
    </row>
    <row r="455" spans="1:6" x14ac:dyDescent="0.3">
      <c r="A455" s="2">
        <v>55.616999999999997</v>
      </c>
      <c r="B455" s="2">
        <v>4.6273999999999997</v>
      </c>
      <c r="C455" s="1">
        <f>Tabela1[[#This Row],[Alongamento (mm/mm)]]/$I$2</f>
        <v>9.2547999999999991E-2</v>
      </c>
      <c r="D455" s="2">
        <v>849.3</v>
      </c>
      <c r="E455" s="1">
        <f>Tabela1[[#This Row],[Força (N)]]/$I$5</f>
        <v>20043896.913055789</v>
      </c>
      <c r="F455" s="1">
        <f>Tabela1[[#This Row],[Tensão (Pa)]]/1000000</f>
        <v>20.043896913055789</v>
      </c>
    </row>
    <row r="456" spans="1:6" x14ac:dyDescent="0.3">
      <c r="A456" s="2">
        <v>55.783000000000001</v>
      </c>
      <c r="B456" s="2">
        <v>4.6413000000000002</v>
      </c>
      <c r="C456" s="1">
        <f>Tabela1[[#This Row],[Alongamento (mm/mm)]]/$I$2</f>
        <v>9.2826000000000006E-2</v>
      </c>
      <c r="D456" s="2">
        <v>856.11</v>
      </c>
      <c r="E456" s="1">
        <f>Tabela1[[#This Row],[Força (N)]]/$I$5</f>
        <v>20204616.256018125</v>
      </c>
      <c r="F456" s="1">
        <f>Tabela1[[#This Row],[Tensão (Pa)]]/1000000</f>
        <v>20.204616256018124</v>
      </c>
    </row>
    <row r="457" spans="1:6" x14ac:dyDescent="0.3">
      <c r="A457" s="2">
        <v>55.95</v>
      </c>
      <c r="B457" s="2">
        <v>4.6551</v>
      </c>
      <c r="C457" s="1">
        <f>Tabela1[[#This Row],[Alongamento (mm/mm)]]/$I$2</f>
        <v>9.3102000000000004E-2</v>
      </c>
      <c r="D457" s="2">
        <v>862.91</v>
      </c>
      <c r="E457" s="1">
        <f>Tabela1[[#This Row],[Força (N)]]/$I$5</f>
        <v>20365099.594071556</v>
      </c>
      <c r="F457" s="1">
        <f>Tabela1[[#This Row],[Tensão (Pa)]]/1000000</f>
        <v>20.365099594071555</v>
      </c>
    </row>
    <row r="458" spans="1:6" x14ac:dyDescent="0.3">
      <c r="A458" s="2">
        <v>56.116999999999997</v>
      </c>
      <c r="B458" s="2">
        <v>4.6691000000000003</v>
      </c>
      <c r="C458" s="1">
        <f>Tabela1[[#This Row],[Alongamento (mm/mm)]]/$I$2</f>
        <v>9.3382000000000007E-2</v>
      </c>
      <c r="D458" s="2">
        <v>869.72</v>
      </c>
      <c r="E458" s="1">
        <f>Tabela1[[#This Row],[Força (N)]]/$I$5</f>
        <v>20525818.937033892</v>
      </c>
      <c r="F458" s="1">
        <f>Tabela1[[#This Row],[Tensão (Pa)]]/1000000</f>
        <v>20.525818937033893</v>
      </c>
    </row>
    <row r="459" spans="1:6" x14ac:dyDescent="0.3">
      <c r="A459" s="2">
        <v>56.283000000000001</v>
      </c>
      <c r="B459" s="2">
        <v>4.6829999999999998</v>
      </c>
      <c r="C459" s="1">
        <f>Tabela1[[#This Row],[Alongamento (mm/mm)]]/$I$2</f>
        <v>9.3659999999999993E-2</v>
      </c>
      <c r="D459" s="2">
        <v>876.69</v>
      </c>
      <c r="E459" s="1">
        <f>Tabela1[[#This Row],[Força (N)]]/$I$5</f>
        <v>20690314.358538657</v>
      </c>
      <c r="F459" s="1">
        <f>Tabela1[[#This Row],[Tensão (Pa)]]/1000000</f>
        <v>20.690314358538657</v>
      </c>
    </row>
    <row r="460" spans="1:6" x14ac:dyDescent="0.3">
      <c r="A460" s="2">
        <v>56.45</v>
      </c>
      <c r="B460" s="2">
        <v>4.6966999999999999</v>
      </c>
      <c r="C460" s="1">
        <f>Tabela1[[#This Row],[Alongamento (mm/mm)]]/$I$2</f>
        <v>9.3934000000000004E-2</v>
      </c>
      <c r="D460" s="2">
        <v>883.49</v>
      </c>
      <c r="E460" s="1">
        <f>Tabela1[[#This Row],[Força (N)]]/$I$5</f>
        <v>20850797.696592089</v>
      </c>
      <c r="F460" s="1">
        <f>Tabela1[[#This Row],[Tensão (Pa)]]/1000000</f>
        <v>20.850797696592089</v>
      </c>
    </row>
    <row r="461" spans="1:6" x14ac:dyDescent="0.3">
      <c r="A461" s="2">
        <v>56.616999999999997</v>
      </c>
      <c r="B461" s="2">
        <v>4.7107000000000001</v>
      </c>
      <c r="C461" s="1">
        <f>Tabela1[[#This Row],[Alongamento (mm/mm)]]/$I$2</f>
        <v>9.4214000000000006E-2</v>
      </c>
      <c r="D461" s="2">
        <v>890.47</v>
      </c>
      <c r="E461" s="1">
        <f>Tabela1[[#This Row],[Força (N)]]/$I$5</f>
        <v>21015529.123005759</v>
      </c>
      <c r="F461" s="1">
        <f>Tabela1[[#This Row],[Tensão (Pa)]]/1000000</f>
        <v>21.015529123005759</v>
      </c>
    </row>
    <row r="462" spans="1:6" x14ac:dyDescent="0.3">
      <c r="A462" s="2">
        <v>56.783000000000001</v>
      </c>
      <c r="B462" s="2">
        <v>4.7245999999999997</v>
      </c>
      <c r="C462" s="1">
        <f>Tabela1[[#This Row],[Alongamento (mm/mm)]]/$I$2</f>
        <v>9.4491999999999993E-2</v>
      </c>
      <c r="D462" s="2">
        <v>897.44</v>
      </c>
      <c r="E462" s="1">
        <f>Tabela1[[#This Row],[Força (N)]]/$I$5</f>
        <v>21180024.544510528</v>
      </c>
      <c r="F462" s="1">
        <f>Tabela1[[#This Row],[Tensão (Pa)]]/1000000</f>
        <v>21.180024544510527</v>
      </c>
    </row>
    <row r="463" spans="1:6" x14ac:dyDescent="0.3">
      <c r="A463" s="2">
        <v>56.95</v>
      </c>
      <c r="B463" s="2">
        <v>4.7384000000000004</v>
      </c>
      <c r="C463" s="1">
        <f>Tabela1[[#This Row],[Alongamento (mm/mm)]]/$I$2</f>
        <v>9.4768000000000005E-2</v>
      </c>
      <c r="D463" s="2">
        <v>904.42</v>
      </c>
      <c r="E463" s="1">
        <f>Tabela1[[#This Row],[Força (N)]]/$I$5</f>
        <v>21344755.970924195</v>
      </c>
      <c r="F463" s="1">
        <f>Tabela1[[#This Row],[Tensão (Pa)]]/1000000</f>
        <v>21.344755970924194</v>
      </c>
    </row>
    <row r="464" spans="1:6" x14ac:dyDescent="0.3">
      <c r="A464" s="2">
        <v>57.116999999999997</v>
      </c>
      <c r="B464" s="2">
        <v>4.7523999999999997</v>
      </c>
      <c r="C464" s="1">
        <f>Tabela1[[#This Row],[Alongamento (mm/mm)]]/$I$2</f>
        <v>9.5047999999999994E-2</v>
      </c>
      <c r="D464" s="2">
        <v>911.39</v>
      </c>
      <c r="E464" s="1">
        <f>Tabela1[[#This Row],[Força (N)]]/$I$5</f>
        <v>21509251.392428961</v>
      </c>
      <c r="F464" s="1">
        <f>Tabela1[[#This Row],[Tensão (Pa)]]/1000000</f>
        <v>21.509251392428961</v>
      </c>
    </row>
    <row r="465" spans="1:6" x14ac:dyDescent="0.3">
      <c r="A465" s="2">
        <v>57.283000000000001</v>
      </c>
      <c r="B465" s="2">
        <v>4.7662000000000004</v>
      </c>
      <c r="C465" s="1">
        <f>Tabela1[[#This Row],[Alongamento (mm/mm)]]/$I$2</f>
        <v>9.5324000000000006E-2</v>
      </c>
      <c r="D465" s="2">
        <v>918.36</v>
      </c>
      <c r="E465" s="1">
        <f>Tabela1[[#This Row],[Força (N)]]/$I$5</f>
        <v>21673746.81393373</v>
      </c>
      <c r="F465" s="1">
        <f>Tabela1[[#This Row],[Tensão (Pa)]]/1000000</f>
        <v>21.673746813933729</v>
      </c>
    </row>
    <row r="466" spans="1:6" x14ac:dyDescent="0.3">
      <c r="A466" s="2">
        <v>57.466999999999999</v>
      </c>
      <c r="B466" s="2">
        <v>4.7815000000000003</v>
      </c>
      <c r="C466" s="1">
        <f>Tabela1[[#This Row],[Alongamento (mm/mm)]]/$I$2</f>
        <v>9.5630000000000007E-2</v>
      </c>
      <c r="D466" s="2">
        <v>926.02</v>
      </c>
      <c r="E466" s="1">
        <f>Tabela1[[#This Row],[Força (N)]]/$I$5</f>
        <v>21854526.574152742</v>
      </c>
      <c r="F466" s="1">
        <f>Tabela1[[#This Row],[Tensão (Pa)]]/1000000</f>
        <v>21.854526574152743</v>
      </c>
    </row>
    <row r="467" spans="1:6" x14ac:dyDescent="0.3">
      <c r="A467" s="2">
        <v>57.65</v>
      </c>
      <c r="B467" s="2">
        <v>4.7968000000000002</v>
      </c>
      <c r="C467" s="1">
        <f>Tabela1[[#This Row],[Alongamento (mm/mm)]]/$I$2</f>
        <v>9.5936000000000007E-2</v>
      </c>
      <c r="D467" s="2">
        <v>933.5</v>
      </c>
      <c r="E467" s="1">
        <f>Tabela1[[#This Row],[Força (N)]]/$I$5</f>
        <v>22031058.246011518</v>
      </c>
      <c r="F467" s="1">
        <f>Tabela1[[#This Row],[Tensão (Pa)]]/1000000</f>
        <v>22.031058246011519</v>
      </c>
    </row>
    <row r="468" spans="1:6" x14ac:dyDescent="0.3">
      <c r="A468" s="2">
        <v>57.832999999999998</v>
      </c>
      <c r="B468" s="2">
        <v>4.8121</v>
      </c>
      <c r="C468" s="1">
        <f>Tabela1[[#This Row],[Alongamento (mm/mm)]]/$I$2</f>
        <v>9.6241999999999994E-2</v>
      </c>
      <c r="D468" s="2">
        <v>940.99</v>
      </c>
      <c r="E468" s="1">
        <f>Tabela1[[#This Row],[Força (N)]]/$I$5</f>
        <v>22207825.922779195</v>
      </c>
      <c r="F468" s="1">
        <f>Tabela1[[#This Row],[Tensão (Pa)]]/1000000</f>
        <v>22.207825922779197</v>
      </c>
    </row>
    <row r="469" spans="1:6" x14ac:dyDescent="0.3">
      <c r="A469" s="2">
        <v>58.017000000000003</v>
      </c>
      <c r="B469" s="2">
        <v>4.8273999999999999</v>
      </c>
      <c r="C469" s="1">
        <f>Tabela1[[#This Row],[Alongamento (mm/mm)]]/$I$2</f>
        <v>9.6547999999999995E-2</v>
      </c>
      <c r="D469" s="2">
        <v>948.47</v>
      </c>
      <c r="E469" s="1">
        <f>Tabela1[[#This Row],[Força (N)]]/$I$5</f>
        <v>22384357.594637968</v>
      </c>
      <c r="F469" s="1">
        <f>Tabela1[[#This Row],[Tensão (Pa)]]/1000000</f>
        <v>22.384357594637969</v>
      </c>
    </row>
    <row r="470" spans="1:6" x14ac:dyDescent="0.3">
      <c r="A470" s="2">
        <v>58.2</v>
      </c>
      <c r="B470" s="2">
        <v>4.8426</v>
      </c>
      <c r="C470" s="1">
        <f>Tabela1[[#This Row],[Alongamento (mm/mm)]]/$I$2</f>
        <v>9.6851999999999994E-2</v>
      </c>
      <c r="D470" s="2">
        <v>955.79</v>
      </c>
      <c r="E470" s="1">
        <f>Tabela1[[#This Row],[Força (N)]]/$I$5</f>
        <v>22557113.18795431</v>
      </c>
      <c r="F470" s="1">
        <f>Tabela1[[#This Row],[Tensão (Pa)]]/1000000</f>
        <v>22.557113187954311</v>
      </c>
    </row>
    <row r="471" spans="1:6" x14ac:dyDescent="0.3">
      <c r="A471" s="2">
        <v>58.383000000000003</v>
      </c>
      <c r="B471" s="2">
        <v>4.8578999999999999</v>
      </c>
      <c r="C471" s="1">
        <f>Tabela1[[#This Row],[Alongamento (mm/mm)]]/$I$2</f>
        <v>9.7157999999999994E-2</v>
      </c>
      <c r="D471" s="2">
        <v>963.27</v>
      </c>
      <c r="E471" s="1">
        <f>Tabela1[[#This Row],[Força (N)]]/$I$5</f>
        <v>22733644.859813083</v>
      </c>
      <c r="F471" s="1">
        <f>Tabela1[[#This Row],[Tensão (Pa)]]/1000000</f>
        <v>22.733644859813083</v>
      </c>
    </row>
    <row r="472" spans="1:6" x14ac:dyDescent="0.3">
      <c r="A472" s="2">
        <v>58.567</v>
      </c>
      <c r="B472" s="2">
        <v>4.8731999999999998</v>
      </c>
      <c r="C472" s="1">
        <f>Tabela1[[#This Row],[Alongamento (mm/mm)]]/$I$2</f>
        <v>9.7463999999999995E-2</v>
      </c>
      <c r="D472" s="2">
        <v>970.75</v>
      </c>
      <c r="E472" s="1">
        <f>Tabela1[[#This Row],[Força (N)]]/$I$5</f>
        <v>22910176.531671859</v>
      </c>
      <c r="F472" s="1">
        <f>Tabela1[[#This Row],[Tensão (Pa)]]/1000000</f>
        <v>22.910176531671858</v>
      </c>
    </row>
    <row r="473" spans="1:6" x14ac:dyDescent="0.3">
      <c r="A473" s="2">
        <v>58.75</v>
      </c>
      <c r="B473" s="2">
        <v>4.8884999999999996</v>
      </c>
      <c r="C473" s="1">
        <f>Tabela1[[#This Row],[Alongamento (mm/mm)]]/$I$2</f>
        <v>9.7769999999999996E-2</v>
      </c>
      <c r="D473" s="2">
        <v>978.24</v>
      </c>
      <c r="E473" s="1">
        <f>Tabela1[[#This Row],[Força (N)]]/$I$5</f>
        <v>23086944.208439536</v>
      </c>
      <c r="F473" s="1">
        <f>Tabela1[[#This Row],[Tensão (Pa)]]/1000000</f>
        <v>23.086944208439537</v>
      </c>
    </row>
    <row r="474" spans="1:6" x14ac:dyDescent="0.3">
      <c r="A474" s="2">
        <v>58.933</v>
      </c>
      <c r="B474" s="2">
        <v>4.9036999999999997</v>
      </c>
      <c r="C474" s="1">
        <f>Tabela1[[#This Row],[Alongamento (mm/mm)]]/$I$2</f>
        <v>9.8073999999999995E-2</v>
      </c>
      <c r="D474" s="2">
        <v>985.72</v>
      </c>
      <c r="E474" s="1">
        <f>Tabela1[[#This Row],[Força (N)]]/$I$5</f>
        <v>23263475.880298309</v>
      </c>
      <c r="F474" s="1">
        <f>Tabela1[[#This Row],[Tensão (Pa)]]/1000000</f>
        <v>23.263475880298309</v>
      </c>
    </row>
    <row r="475" spans="1:6" x14ac:dyDescent="0.3">
      <c r="A475" s="2">
        <v>59.116999999999997</v>
      </c>
      <c r="B475" s="2">
        <v>4.9189999999999996</v>
      </c>
      <c r="C475" s="1">
        <f>Tabela1[[#This Row],[Alongamento (mm/mm)]]/$I$2</f>
        <v>9.8379999999999995E-2</v>
      </c>
      <c r="D475" s="2">
        <v>993.21</v>
      </c>
      <c r="E475" s="1">
        <f>Tabela1[[#This Row],[Força (N)]]/$I$5</f>
        <v>23440243.557065986</v>
      </c>
      <c r="F475" s="1">
        <f>Tabela1[[#This Row],[Tensão (Pa)]]/1000000</f>
        <v>23.440243557065987</v>
      </c>
    </row>
    <row r="476" spans="1:6" x14ac:dyDescent="0.3">
      <c r="A476" s="2">
        <v>59.3</v>
      </c>
      <c r="B476" s="2">
        <v>4.9343000000000004</v>
      </c>
      <c r="C476" s="1">
        <f>Tabela1[[#This Row],[Alongamento (mm/mm)]]/$I$2</f>
        <v>9.868600000000001E-2</v>
      </c>
      <c r="D476" s="2">
        <v>1000.7</v>
      </c>
      <c r="E476" s="1">
        <f>Tabela1[[#This Row],[Força (N)]]/$I$5</f>
        <v>23617011.233833663</v>
      </c>
      <c r="F476" s="1">
        <f>Tabela1[[#This Row],[Tensão (Pa)]]/1000000</f>
        <v>23.617011233833662</v>
      </c>
    </row>
    <row r="477" spans="1:6" x14ac:dyDescent="0.3">
      <c r="A477" s="2">
        <v>59.482999999999997</v>
      </c>
      <c r="B477" s="2">
        <v>4.9496000000000002</v>
      </c>
      <c r="C477" s="1">
        <f>Tabela1[[#This Row],[Alongamento (mm/mm)]]/$I$2</f>
        <v>9.8992000000000011E-2</v>
      </c>
      <c r="D477" s="2">
        <v>1008.3</v>
      </c>
      <c r="E477" s="1">
        <f>Tabela1[[#This Row],[Força (N)]]/$I$5</f>
        <v>23796374.964599263</v>
      </c>
      <c r="F477" s="1">
        <f>Tabela1[[#This Row],[Tensão (Pa)]]/1000000</f>
        <v>23.796374964599263</v>
      </c>
    </row>
    <row r="478" spans="1:6" x14ac:dyDescent="0.3">
      <c r="A478" s="2">
        <v>59.683</v>
      </c>
      <c r="B478" s="2">
        <v>4.9661999999999997</v>
      </c>
      <c r="C478" s="1">
        <f>Tabela1[[#This Row],[Alongamento (mm/mm)]]/$I$2</f>
        <v>9.9323999999999996E-2</v>
      </c>
      <c r="D478" s="2">
        <v>1016.7</v>
      </c>
      <c r="E478" s="1">
        <f>Tabela1[[#This Row],[Força (N)]]/$I$5</f>
        <v>23994619.088077035</v>
      </c>
      <c r="F478" s="1">
        <f>Tabela1[[#This Row],[Tensão (Pa)]]/1000000</f>
        <v>23.994619088077034</v>
      </c>
    </row>
    <row r="479" spans="1:6" x14ac:dyDescent="0.3">
      <c r="A479" s="2">
        <v>59.883000000000003</v>
      </c>
      <c r="B479" s="2">
        <v>4.9828999999999999</v>
      </c>
      <c r="C479" s="1">
        <f>Tabela1[[#This Row],[Alongamento (mm/mm)]]/$I$2</f>
        <v>9.9657999999999997E-2</v>
      </c>
      <c r="D479" s="2">
        <v>1025</v>
      </c>
      <c r="E479" s="1">
        <f>Tabela1[[#This Row],[Força (N)]]/$I$5</f>
        <v>24190503.162465781</v>
      </c>
      <c r="F479" s="1">
        <f>Tabela1[[#This Row],[Tensão (Pa)]]/1000000</f>
        <v>24.190503162465781</v>
      </c>
    </row>
    <row r="480" spans="1:6" x14ac:dyDescent="0.3">
      <c r="A480" s="2">
        <v>60.082999999999998</v>
      </c>
      <c r="B480" s="2">
        <v>4.9995000000000003</v>
      </c>
      <c r="C480" s="1">
        <f>Tabela1[[#This Row],[Alongamento (mm/mm)]]/$I$2</f>
        <v>9.9990000000000009E-2</v>
      </c>
      <c r="D480" s="2">
        <v>1033.4000000000001</v>
      </c>
      <c r="E480" s="1">
        <f>Tabela1[[#This Row],[Força (N)]]/$I$5</f>
        <v>24388747.285943549</v>
      </c>
      <c r="F480" s="1">
        <f>Tabela1[[#This Row],[Tensão (Pa)]]/1000000</f>
        <v>24.388747285943548</v>
      </c>
    </row>
    <row r="481" spans="1:6" x14ac:dyDescent="0.3">
      <c r="A481" s="2">
        <v>60.283000000000001</v>
      </c>
      <c r="B481" s="2">
        <v>5.0163000000000002</v>
      </c>
      <c r="C481" s="1">
        <f>Tabela1[[#This Row],[Alongamento (mm/mm)]]/$I$2</f>
        <v>0.100326</v>
      </c>
      <c r="D481" s="2">
        <v>1041.7</v>
      </c>
      <c r="E481" s="1">
        <f>Tabela1[[#This Row],[Força (N)]]/$I$5</f>
        <v>24584631.360332295</v>
      </c>
      <c r="F481" s="1">
        <f>Tabela1[[#This Row],[Tensão (Pa)]]/1000000</f>
        <v>24.584631360332295</v>
      </c>
    </row>
    <row r="482" spans="1:6" x14ac:dyDescent="0.3">
      <c r="A482" s="2">
        <v>60.482999999999997</v>
      </c>
      <c r="B482" s="2">
        <v>5.0328999999999997</v>
      </c>
      <c r="C482" s="1">
        <f>Tabela1[[#This Row],[Alongamento (mm/mm)]]/$I$2</f>
        <v>0.100658</v>
      </c>
      <c r="D482" s="2">
        <v>1050</v>
      </c>
      <c r="E482" s="1">
        <f>Tabela1[[#This Row],[Força (N)]]/$I$5</f>
        <v>24780515.434721041</v>
      </c>
      <c r="F482" s="1">
        <f>Tabela1[[#This Row],[Tensão (Pa)]]/1000000</f>
        <v>24.780515434721043</v>
      </c>
    </row>
    <row r="483" spans="1:6" x14ac:dyDescent="0.3">
      <c r="A483" s="2">
        <v>60.683</v>
      </c>
      <c r="B483" s="2">
        <v>5.0495999999999999</v>
      </c>
      <c r="C483" s="1">
        <f>Tabela1[[#This Row],[Alongamento (mm/mm)]]/$I$2</f>
        <v>0.100992</v>
      </c>
      <c r="D483" s="2">
        <v>1058.5</v>
      </c>
      <c r="E483" s="1">
        <f>Tabela1[[#This Row],[Força (N)]]/$I$5</f>
        <v>24981119.607287832</v>
      </c>
      <c r="F483" s="1">
        <f>Tabela1[[#This Row],[Tensão (Pa)]]/1000000</f>
        <v>24.98111960728783</v>
      </c>
    </row>
    <row r="484" spans="1:6" x14ac:dyDescent="0.3">
      <c r="A484" s="2">
        <v>60.883000000000003</v>
      </c>
      <c r="B484" s="2">
        <v>5.0663</v>
      </c>
      <c r="C484" s="1">
        <f>Tabela1[[#This Row],[Alongamento (mm/mm)]]/$I$2</f>
        <v>0.101326</v>
      </c>
      <c r="D484" s="2">
        <v>1067.2</v>
      </c>
      <c r="E484" s="1">
        <f>Tabela1[[#This Row],[Força (N)]]/$I$5</f>
        <v>25186443.878032666</v>
      </c>
      <c r="F484" s="1">
        <f>Tabela1[[#This Row],[Tensão (Pa)]]/1000000</f>
        <v>25.186443878032666</v>
      </c>
    </row>
    <row r="485" spans="1:6" x14ac:dyDescent="0.3">
      <c r="A485" s="2">
        <v>61.082999999999998</v>
      </c>
      <c r="B485" s="2">
        <v>5.0829000000000004</v>
      </c>
      <c r="C485" s="1">
        <f>Tabela1[[#This Row],[Alongamento (mm/mm)]]/$I$2</f>
        <v>0.10165800000000001</v>
      </c>
      <c r="D485" s="2">
        <v>1075.7</v>
      </c>
      <c r="E485" s="1">
        <f>Tabela1[[#This Row],[Força (N)]]/$I$5</f>
        <v>25387048.050599452</v>
      </c>
      <c r="F485" s="1">
        <f>Tabela1[[#This Row],[Tensão (Pa)]]/1000000</f>
        <v>25.387048050599454</v>
      </c>
    </row>
    <row r="486" spans="1:6" x14ac:dyDescent="0.3">
      <c r="A486" s="2">
        <v>61.283000000000001</v>
      </c>
      <c r="B486" s="2">
        <v>5.0994999999999999</v>
      </c>
      <c r="C486" s="1">
        <f>Tabela1[[#This Row],[Alongamento (mm/mm)]]/$I$2</f>
        <v>0.10199</v>
      </c>
      <c r="D486" s="2">
        <v>1084</v>
      </c>
      <c r="E486" s="1">
        <f>Tabela1[[#This Row],[Força (N)]]/$I$5</f>
        <v>25582932.124988198</v>
      </c>
      <c r="F486" s="1">
        <f>Tabela1[[#This Row],[Tensão (Pa)]]/1000000</f>
        <v>25.582932124988197</v>
      </c>
    </row>
    <row r="487" spans="1:6" x14ac:dyDescent="0.3">
      <c r="A487" s="2">
        <v>61.482999999999997</v>
      </c>
      <c r="B487" s="2">
        <v>5.1162000000000001</v>
      </c>
      <c r="C487" s="1">
        <f>Tabela1[[#This Row],[Alongamento (mm/mm)]]/$I$2</f>
        <v>0.102324</v>
      </c>
      <c r="D487" s="2">
        <v>1092.7</v>
      </c>
      <c r="E487" s="1">
        <f>Tabela1[[#This Row],[Força (N)]]/$I$5</f>
        <v>25788256.395733032</v>
      </c>
      <c r="F487" s="1">
        <f>Tabela1[[#This Row],[Tensão (Pa)]]/1000000</f>
        <v>25.788256395733033</v>
      </c>
    </row>
    <row r="488" spans="1:6" x14ac:dyDescent="0.3">
      <c r="A488" s="2">
        <v>61.683</v>
      </c>
      <c r="B488" s="2">
        <v>5.133</v>
      </c>
      <c r="C488" s="1">
        <f>Tabela1[[#This Row],[Alongamento (mm/mm)]]/$I$2</f>
        <v>0.10266</v>
      </c>
      <c r="D488" s="2">
        <v>1101.4000000000001</v>
      </c>
      <c r="E488" s="1">
        <f>Tabela1[[#This Row],[Força (N)]]/$I$5</f>
        <v>25993580.666477866</v>
      </c>
      <c r="F488" s="1">
        <f>Tabela1[[#This Row],[Tensão (Pa)]]/1000000</f>
        <v>25.993580666477868</v>
      </c>
    </row>
    <row r="489" spans="1:6" x14ac:dyDescent="0.3">
      <c r="A489" s="2">
        <v>61.883000000000003</v>
      </c>
      <c r="B489" s="2">
        <v>5.1496000000000004</v>
      </c>
      <c r="C489" s="1">
        <f>Tabela1[[#This Row],[Alongamento (mm/mm)]]/$I$2</f>
        <v>0.10299200000000001</v>
      </c>
      <c r="D489" s="2">
        <v>1110.2</v>
      </c>
      <c r="E489" s="1">
        <f>Tabela1[[#This Row],[Força (N)]]/$I$5</f>
        <v>26201264.986311715</v>
      </c>
      <c r="F489" s="1">
        <f>Tabela1[[#This Row],[Tensão (Pa)]]/1000000</f>
        <v>26.201264986311717</v>
      </c>
    </row>
    <row r="490" spans="1:6" x14ac:dyDescent="0.3">
      <c r="A490" s="2">
        <v>62.082999999999998</v>
      </c>
      <c r="B490" s="2">
        <v>5.1661999999999999</v>
      </c>
      <c r="C490" s="1">
        <f>Tabela1[[#This Row],[Alongamento (mm/mm)]]/$I$2</f>
        <v>0.103324</v>
      </c>
      <c r="D490" s="2">
        <v>1119.0999999999999</v>
      </c>
      <c r="E490" s="1">
        <f>Tabela1[[#This Row],[Força (N)]]/$I$5</f>
        <v>26411309.355234586</v>
      </c>
      <c r="F490" s="1">
        <f>Tabela1[[#This Row],[Tensão (Pa)]]/1000000</f>
        <v>26.411309355234586</v>
      </c>
    </row>
    <row r="491" spans="1:6" x14ac:dyDescent="0.3">
      <c r="A491" s="2">
        <v>62.283000000000001</v>
      </c>
      <c r="B491" s="2">
        <v>5.1829000000000001</v>
      </c>
      <c r="C491" s="1">
        <f>Tabela1[[#This Row],[Alongamento (mm/mm)]]/$I$2</f>
        <v>0.103658</v>
      </c>
      <c r="D491" s="2">
        <v>1127.9000000000001</v>
      </c>
      <c r="E491" s="1">
        <f>Tabela1[[#This Row],[Força (N)]]/$I$5</f>
        <v>26618993.675068442</v>
      </c>
      <c r="F491" s="1">
        <f>Tabela1[[#This Row],[Tensão (Pa)]]/1000000</f>
        <v>26.618993675068442</v>
      </c>
    </row>
    <row r="492" spans="1:6" x14ac:dyDescent="0.3">
      <c r="A492" s="2">
        <v>62.482999999999997</v>
      </c>
      <c r="B492" s="2">
        <v>5.1996000000000002</v>
      </c>
      <c r="C492" s="1">
        <f>Tabela1[[#This Row],[Alongamento (mm/mm)]]/$I$2</f>
        <v>0.103992</v>
      </c>
      <c r="D492" s="2">
        <v>1136.9000000000001</v>
      </c>
      <c r="E492" s="1">
        <f>Tabela1[[#This Row],[Força (N)]]/$I$5</f>
        <v>26831398.093080338</v>
      </c>
      <c r="F492" s="1">
        <f>Tabela1[[#This Row],[Tensão (Pa)]]/1000000</f>
        <v>26.831398093080338</v>
      </c>
    </row>
    <row r="493" spans="1:6" x14ac:dyDescent="0.3">
      <c r="A493" s="2">
        <v>62.683</v>
      </c>
      <c r="B493" s="2">
        <v>5.2163000000000004</v>
      </c>
      <c r="C493" s="1">
        <f>Tabela1[[#This Row],[Alongamento (mm/mm)]]/$I$2</f>
        <v>0.104326</v>
      </c>
      <c r="D493" s="2">
        <v>1145.8</v>
      </c>
      <c r="E493" s="1">
        <f>Tabela1[[#This Row],[Força (N)]]/$I$5</f>
        <v>27041442.462003209</v>
      </c>
      <c r="F493" s="1">
        <f>Tabela1[[#This Row],[Tensão (Pa)]]/1000000</f>
        <v>27.041442462003207</v>
      </c>
    </row>
    <row r="494" spans="1:6" x14ac:dyDescent="0.3">
      <c r="A494" s="2">
        <v>62.883000000000003</v>
      </c>
      <c r="B494" s="2">
        <v>5.2328999999999999</v>
      </c>
      <c r="C494" s="1">
        <f>Tabela1[[#This Row],[Alongamento (mm/mm)]]/$I$2</f>
        <v>0.104658</v>
      </c>
      <c r="D494" s="2">
        <v>1154.8</v>
      </c>
      <c r="E494" s="1">
        <f>Tabela1[[#This Row],[Força (N)]]/$I$5</f>
        <v>27253846.880015101</v>
      </c>
      <c r="F494" s="1">
        <f>Tabela1[[#This Row],[Tensão (Pa)]]/1000000</f>
        <v>27.2538468800151</v>
      </c>
    </row>
    <row r="495" spans="1:6" x14ac:dyDescent="0.3">
      <c r="A495" s="2">
        <v>63.082999999999998</v>
      </c>
      <c r="B495" s="2">
        <v>5.2496</v>
      </c>
      <c r="C495" s="1">
        <f>Tabela1[[#This Row],[Alongamento (mm/mm)]]/$I$2</f>
        <v>0.104992</v>
      </c>
      <c r="D495" s="2">
        <v>1163.5999999999999</v>
      </c>
      <c r="E495" s="1">
        <f>Tabela1[[#This Row],[Força (N)]]/$I$5</f>
        <v>27461531.199848954</v>
      </c>
      <c r="F495" s="1">
        <f>Tabela1[[#This Row],[Tensão (Pa)]]/1000000</f>
        <v>27.461531199848952</v>
      </c>
    </row>
    <row r="496" spans="1:6" x14ac:dyDescent="0.3">
      <c r="A496" s="2">
        <v>63.283000000000001</v>
      </c>
      <c r="B496" s="2">
        <v>5.2663000000000002</v>
      </c>
      <c r="C496" s="1">
        <f>Tabela1[[#This Row],[Alongamento (mm/mm)]]/$I$2</f>
        <v>0.105326</v>
      </c>
      <c r="D496" s="2">
        <v>1172.7</v>
      </c>
      <c r="E496" s="1">
        <f>Tabela1[[#This Row],[Força (N)]]/$I$5</f>
        <v>27676295.666949872</v>
      </c>
      <c r="F496" s="1">
        <f>Tabela1[[#This Row],[Tensão (Pa)]]/1000000</f>
        <v>27.676295666949873</v>
      </c>
    </row>
    <row r="497" spans="1:6" x14ac:dyDescent="0.3">
      <c r="A497" s="2">
        <v>63.5</v>
      </c>
      <c r="B497" s="2">
        <v>5.2843</v>
      </c>
      <c r="C497" s="1">
        <f>Tabela1[[#This Row],[Alongamento (mm/mm)]]/$I$2</f>
        <v>0.105686</v>
      </c>
      <c r="D497" s="2">
        <v>1182</v>
      </c>
      <c r="E497" s="1">
        <f>Tabela1[[#This Row],[Força (N)]]/$I$5</f>
        <v>27895780.23222883</v>
      </c>
      <c r="F497" s="1">
        <f>Tabela1[[#This Row],[Tensão (Pa)]]/1000000</f>
        <v>27.89578023222883</v>
      </c>
    </row>
    <row r="498" spans="1:6" x14ac:dyDescent="0.3">
      <c r="A498" s="2">
        <v>63.716999999999999</v>
      </c>
      <c r="B498" s="2">
        <v>5.3023999999999996</v>
      </c>
      <c r="C498" s="1">
        <f>Tabela1[[#This Row],[Alongamento (mm/mm)]]/$I$2</f>
        <v>0.10604799999999999</v>
      </c>
      <c r="D498" s="2">
        <v>1191.5</v>
      </c>
      <c r="E498" s="1">
        <f>Tabela1[[#This Row],[Força (N)]]/$I$5</f>
        <v>28119984.895685829</v>
      </c>
      <c r="F498" s="1">
        <f>Tabela1[[#This Row],[Tensão (Pa)]]/1000000</f>
        <v>28.119984895685828</v>
      </c>
    </row>
    <row r="499" spans="1:6" x14ac:dyDescent="0.3">
      <c r="A499" s="2">
        <v>63.933</v>
      </c>
      <c r="B499" s="2">
        <v>5.3205</v>
      </c>
      <c r="C499" s="1">
        <f>Tabela1[[#This Row],[Alongamento (mm/mm)]]/$I$2</f>
        <v>0.10641</v>
      </c>
      <c r="D499" s="2">
        <v>1201.2</v>
      </c>
      <c r="E499" s="1">
        <f>Tabela1[[#This Row],[Força (N)]]/$I$5</f>
        <v>28348909.657320872</v>
      </c>
      <c r="F499" s="1">
        <f>Tabela1[[#This Row],[Tensão (Pa)]]/1000000</f>
        <v>28.348909657320871</v>
      </c>
    </row>
    <row r="500" spans="1:6" x14ac:dyDescent="0.3">
      <c r="A500" s="2">
        <v>64.150000000000006</v>
      </c>
      <c r="B500" s="2">
        <v>5.3384999999999998</v>
      </c>
      <c r="C500" s="1">
        <f>Tabela1[[#This Row],[Alongamento (mm/mm)]]/$I$2</f>
        <v>0.10676999999999999</v>
      </c>
      <c r="D500" s="2">
        <v>1210.8</v>
      </c>
      <c r="E500" s="1">
        <f>Tabela1[[#This Row],[Força (N)]]/$I$5</f>
        <v>28575474.369866893</v>
      </c>
      <c r="F500" s="1">
        <f>Tabela1[[#This Row],[Tensão (Pa)]]/1000000</f>
        <v>28.575474369866892</v>
      </c>
    </row>
    <row r="501" spans="1:6" x14ac:dyDescent="0.3">
      <c r="A501" s="2">
        <v>64.367000000000004</v>
      </c>
      <c r="B501" s="2">
        <v>5.3564999999999996</v>
      </c>
      <c r="C501" s="1">
        <f>Tabela1[[#This Row],[Alongamento (mm/mm)]]/$I$2</f>
        <v>0.10712999999999999</v>
      </c>
      <c r="D501" s="2">
        <v>1220.5</v>
      </c>
      <c r="E501" s="1">
        <f>Tabela1[[#This Row],[Força (N)]]/$I$5</f>
        <v>28804399.131501935</v>
      </c>
      <c r="F501" s="1">
        <f>Tabela1[[#This Row],[Tensão (Pa)]]/1000000</f>
        <v>28.804399131501935</v>
      </c>
    </row>
    <row r="502" spans="1:6" x14ac:dyDescent="0.3">
      <c r="A502" s="2">
        <v>64.582999999999998</v>
      </c>
      <c r="B502" s="2">
        <v>5.3746</v>
      </c>
      <c r="C502" s="1">
        <f>Tabela1[[#This Row],[Alongamento (mm/mm)]]/$I$2</f>
        <v>0.107492</v>
      </c>
      <c r="D502" s="2">
        <v>1230</v>
      </c>
      <c r="E502" s="1">
        <f>Tabela1[[#This Row],[Força (N)]]/$I$5</f>
        <v>29028603.794958934</v>
      </c>
      <c r="F502" s="1">
        <f>Tabela1[[#This Row],[Tensão (Pa)]]/1000000</f>
        <v>29.028603794958933</v>
      </c>
    </row>
    <row r="503" spans="1:6" x14ac:dyDescent="0.3">
      <c r="A503" s="2">
        <v>64.8</v>
      </c>
      <c r="B503" s="2">
        <v>5.3925999999999998</v>
      </c>
      <c r="C503" s="1">
        <f>Tabela1[[#This Row],[Alongamento (mm/mm)]]/$I$2</f>
        <v>0.107852</v>
      </c>
      <c r="D503" s="2">
        <v>1239.5</v>
      </c>
      <c r="E503" s="1">
        <f>Tabela1[[#This Row],[Força (N)]]/$I$5</f>
        <v>29252808.458415937</v>
      </c>
      <c r="F503" s="1">
        <f>Tabela1[[#This Row],[Tensão (Pa)]]/1000000</f>
        <v>29.252808458415938</v>
      </c>
    </row>
    <row r="504" spans="1:6" x14ac:dyDescent="0.3">
      <c r="A504" s="2">
        <v>65.016999999999996</v>
      </c>
      <c r="B504" s="2">
        <v>5.4107000000000003</v>
      </c>
      <c r="C504" s="1">
        <f>Tabela1[[#This Row],[Alongamento (mm/mm)]]/$I$2</f>
        <v>0.108214</v>
      </c>
      <c r="D504" s="2">
        <v>1249</v>
      </c>
      <c r="E504" s="1">
        <f>Tabela1[[#This Row],[Força (N)]]/$I$5</f>
        <v>29477013.121872935</v>
      </c>
      <c r="F504" s="1">
        <f>Tabela1[[#This Row],[Tensão (Pa)]]/1000000</f>
        <v>29.477013121872936</v>
      </c>
    </row>
    <row r="505" spans="1:6" x14ac:dyDescent="0.3">
      <c r="A505" s="2">
        <v>65.233000000000004</v>
      </c>
      <c r="B505" s="2">
        <v>5.4287999999999998</v>
      </c>
      <c r="C505" s="1">
        <f>Tabela1[[#This Row],[Alongamento (mm/mm)]]/$I$2</f>
        <v>0.10857599999999999</v>
      </c>
      <c r="D505" s="2">
        <v>1258.5999999999999</v>
      </c>
      <c r="E505" s="1">
        <f>Tabela1[[#This Row],[Força (N)]]/$I$5</f>
        <v>29703577.834418952</v>
      </c>
      <c r="F505" s="1">
        <f>Tabela1[[#This Row],[Tensão (Pa)]]/1000000</f>
        <v>29.703577834418951</v>
      </c>
    </row>
    <row r="506" spans="1:6" x14ac:dyDescent="0.3">
      <c r="A506" s="2">
        <v>65.45</v>
      </c>
      <c r="B506" s="2">
        <v>5.4469000000000003</v>
      </c>
      <c r="C506" s="1">
        <f>Tabela1[[#This Row],[Alongamento (mm/mm)]]/$I$2</f>
        <v>0.10893800000000001</v>
      </c>
      <c r="D506" s="2">
        <v>1268.3</v>
      </c>
      <c r="E506" s="1">
        <f>Tabela1[[#This Row],[Força (N)]]/$I$5</f>
        <v>29932502.596053995</v>
      </c>
      <c r="F506" s="1">
        <f>Tabela1[[#This Row],[Tensão (Pa)]]/1000000</f>
        <v>29.932502596053997</v>
      </c>
    </row>
    <row r="507" spans="1:6" x14ac:dyDescent="0.3">
      <c r="A507" s="2">
        <v>65.683000000000007</v>
      </c>
      <c r="B507" s="2">
        <v>5.4661999999999997</v>
      </c>
      <c r="C507" s="1">
        <f>Tabela1[[#This Row],[Alongamento (mm/mm)]]/$I$2</f>
        <v>0.10932399999999999</v>
      </c>
      <c r="D507" s="2">
        <v>1278.5</v>
      </c>
      <c r="E507" s="1">
        <f>Tabela1[[#This Row],[Força (N)]]/$I$5</f>
        <v>30173227.603134144</v>
      </c>
      <c r="F507" s="1">
        <f>Tabela1[[#This Row],[Tensão (Pa)]]/1000000</f>
        <v>30.173227603134144</v>
      </c>
    </row>
    <row r="508" spans="1:6" x14ac:dyDescent="0.3">
      <c r="A508" s="2">
        <v>65.917000000000002</v>
      </c>
      <c r="B508" s="2">
        <v>5.4856999999999996</v>
      </c>
      <c r="C508" s="1">
        <f>Tabela1[[#This Row],[Alongamento (mm/mm)]]/$I$2</f>
        <v>0.10971399999999999</v>
      </c>
      <c r="D508" s="2">
        <v>1288.8</v>
      </c>
      <c r="E508" s="1">
        <f>Tabela1[[#This Row],[Força (N)]]/$I$5</f>
        <v>30416312.659303311</v>
      </c>
      <c r="F508" s="1">
        <f>Tabela1[[#This Row],[Tensão (Pa)]]/1000000</f>
        <v>30.416312659303312</v>
      </c>
    </row>
    <row r="509" spans="1:6" x14ac:dyDescent="0.3">
      <c r="A509" s="2">
        <v>66.150000000000006</v>
      </c>
      <c r="B509" s="2">
        <v>5.5052000000000003</v>
      </c>
      <c r="C509" s="1">
        <f>Tabela1[[#This Row],[Alongamento (mm/mm)]]/$I$2</f>
        <v>0.11010400000000001</v>
      </c>
      <c r="D509" s="2">
        <v>1299</v>
      </c>
      <c r="E509" s="1">
        <f>Tabela1[[#This Row],[Força (N)]]/$I$5</f>
        <v>30657037.66638346</v>
      </c>
      <c r="F509" s="1">
        <f>Tabela1[[#This Row],[Tensão (Pa)]]/1000000</f>
        <v>30.657037666383459</v>
      </c>
    </row>
    <row r="510" spans="1:6" x14ac:dyDescent="0.3">
      <c r="A510" s="2">
        <v>66.382999999999996</v>
      </c>
      <c r="B510" s="2">
        <v>5.5246000000000004</v>
      </c>
      <c r="C510" s="1">
        <f>Tabela1[[#This Row],[Alongamento (mm/mm)]]/$I$2</f>
        <v>0.11049200000000001</v>
      </c>
      <c r="D510" s="2">
        <v>1309.3</v>
      </c>
      <c r="E510" s="1">
        <f>Tabela1[[#This Row],[Força (N)]]/$I$5</f>
        <v>30900122.722552627</v>
      </c>
      <c r="F510" s="1">
        <f>Tabela1[[#This Row],[Tensão (Pa)]]/1000000</f>
        <v>30.900122722552627</v>
      </c>
    </row>
    <row r="511" spans="1:6" x14ac:dyDescent="0.3">
      <c r="A511" s="2">
        <v>66.617000000000004</v>
      </c>
      <c r="B511" s="2">
        <v>5.5439999999999996</v>
      </c>
      <c r="C511" s="1">
        <f>Tabela1[[#This Row],[Alongamento (mm/mm)]]/$I$2</f>
        <v>0.11087999999999999</v>
      </c>
      <c r="D511" s="2">
        <v>1319.6</v>
      </c>
      <c r="E511" s="1">
        <f>Tabela1[[#This Row],[Força (N)]]/$I$5</f>
        <v>31143207.778721794</v>
      </c>
      <c r="F511" s="1">
        <f>Tabela1[[#This Row],[Tensão (Pa)]]/1000000</f>
        <v>31.143207778721795</v>
      </c>
    </row>
    <row r="512" spans="1:6" x14ac:dyDescent="0.3">
      <c r="A512" s="2">
        <v>66.849999999999994</v>
      </c>
      <c r="B512" s="2">
        <v>5.5635000000000003</v>
      </c>
      <c r="C512" s="1">
        <f>Tabela1[[#This Row],[Alongamento (mm/mm)]]/$I$2</f>
        <v>0.11127000000000001</v>
      </c>
      <c r="D512" s="2">
        <v>1329.8</v>
      </c>
      <c r="E512" s="1">
        <f>Tabela1[[#This Row],[Força (N)]]/$I$5</f>
        <v>31383932.785801943</v>
      </c>
      <c r="F512" s="1">
        <f>Tabela1[[#This Row],[Tensão (Pa)]]/1000000</f>
        <v>31.383932785801942</v>
      </c>
    </row>
    <row r="513" spans="1:6" x14ac:dyDescent="0.3">
      <c r="A513" s="2">
        <v>67.082999999999998</v>
      </c>
      <c r="B513" s="2">
        <v>5.5829000000000004</v>
      </c>
      <c r="C513" s="1">
        <f>Tabela1[[#This Row],[Alongamento (mm/mm)]]/$I$2</f>
        <v>0.11165800000000001</v>
      </c>
      <c r="D513" s="2">
        <v>1340.2</v>
      </c>
      <c r="E513" s="1">
        <f>Tabela1[[#This Row],[Força (N)]]/$I$5</f>
        <v>31629377.891060136</v>
      </c>
      <c r="F513" s="1">
        <f>Tabela1[[#This Row],[Tensão (Pa)]]/1000000</f>
        <v>31.629377891060138</v>
      </c>
    </row>
    <row r="514" spans="1:6" x14ac:dyDescent="0.3">
      <c r="A514" s="2">
        <v>67.316999999999993</v>
      </c>
      <c r="B514" s="2">
        <v>5.6024000000000003</v>
      </c>
      <c r="C514" s="1">
        <f>Tabela1[[#This Row],[Alongamento (mm/mm)]]/$I$2</f>
        <v>0.11204800000000001</v>
      </c>
      <c r="D514" s="2">
        <v>1350.6</v>
      </c>
      <c r="E514" s="1">
        <f>Tabela1[[#This Row],[Força (N)]]/$I$5</f>
        <v>31874822.996318322</v>
      </c>
      <c r="F514" s="1">
        <f>Tabela1[[#This Row],[Tensão (Pa)]]/1000000</f>
        <v>31.874822996318322</v>
      </c>
    </row>
    <row r="515" spans="1:6" x14ac:dyDescent="0.3">
      <c r="A515" s="2">
        <v>67.566999999999993</v>
      </c>
      <c r="B515" s="2">
        <v>5.6231999999999998</v>
      </c>
      <c r="C515" s="1">
        <f>Tabela1[[#This Row],[Alongamento (mm/mm)]]/$I$2</f>
        <v>0.11246399999999999</v>
      </c>
      <c r="D515" s="2">
        <v>1361.6</v>
      </c>
      <c r="E515" s="1">
        <f>Tabela1[[#This Row],[Força (N)]]/$I$5</f>
        <v>32134428.396110635</v>
      </c>
      <c r="F515" s="1">
        <f>Tabela1[[#This Row],[Tensão (Pa)]]/1000000</f>
        <v>32.134428396110636</v>
      </c>
    </row>
    <row r="516" spans="1:6" x14ac:dyDescent="0.3">
      <c r="A516" s="2">
        <v>67.816999999999993</v>
      </c>
      <c r="B516" s="2">
        <v>5.6440999999999999</v>
      </c>
      <c r="C516" s="1">
        <f>Tabela1[[#This Row],[Alongamento (mm/mm)]]/$I$2</f>
        <v>0.112882</v>
      </c>
      <c r="D516" s="2">
        <v>1372.7</v>
      </c>
      <c r="E516" s="1">
        <f>Tabela1[[#This Row],[Força (N)]]/$I$5</f>
        <v>32396393.844991978</v>
      </c>
      <c r="F516" s="1">
        <f>Tabela1[[#This Row],[Tensão (Pa)]]/1000000</f>
        <v>32.396393844991977</v>
      </c>
    </row>
    <row r="517" spans="1:6" x14ac:dyDescent="0.3">
      <c r="A517" s="2">
        <v>68.05</v>
      </c>
      <c r="B517" s="2">
        <v>5.6634000000000002</v>
      </c>
      <c r="C517" s="1">
        <f>Tabela1[[#This Row],[Alongamento (mm/mm)]]/$I$2</f>
        <v>0.11326800000000001</v>
      </c>
      <c r="D517" s="2">
        <v>1383.2</v>
      </c>
      <c r="E517" s="1">
        <f>Tabela1[[#This Row],[Força (N)]]/$I$5</f>
        <v>32644198.999339186</v>
      </c>
      <c r="F517" s="1">
        <f>Tabela1[[#This Row],[Tensão (Pa)]]/1000000</f>
        <v>32.644198999339189</v>
      </c>
    </row>
    <row r="518" spans="1:6" x14ac:dyDescent="0.3">
      <c r="A518" s="2">
        <v>68.283000000000001</v>
      </c>
      <c r="B518" s="2">
        <v>5.6829999999999998</v>
      </c>
      <c r="C518" s="1">
        <f>Tabela1[[#This Row],[Alongamento (mm/mm)]]/$I$2</f>
        <v>0.11366</v>
      </c>
      <c r="D518" s="2">
        <v>1394</v>
      </c>
      <c r="E518" s="1">
        <f>Tabela1[[#This Row],[Força (N)]]/$I$5</f>
        <v>32899084.300953459</v>
      </c>
      <c r="F518" s="1">
        <f>Tabela1[[#This Row],[Tensão (Pa)]]/1000000</f>
        <v>32.899084300953461</v>
      </c>
    </row>
    <row r="519" spans="1:6" x14ac:dyDescent="0.3">
      <c r="A519" s="2">
        <v>68.533000000000001</v>
      </c>
      <c r="B519" s="2">
        <v>5.7037000000000004</v>
      </c>
      <c r="C519" s="1">
        <f>Tabela1[[#This Row],[Alongamento (mm/mm)]]/$I$2</f>
        <v>0.11407400000000001</v>
      </c>
      <c r="D519" s="2">
        <v>1405.5</v>
      </c>
      <c r="E519" s="1">
        <f>Tabela1[[#This Row],[Força (N)]]/$I$5</f>
        <v>33170489.946190879</v>
      </c>
      <c r="F519" s="1">
        <f>Tabela1[[#This Row],[Tensão (Pa)]]/1000000</f>
        <v>33.170489946190877</v>
      </c>
    </row>
    <row r="520" spans="1:6" x14ac:dyDescent="0.3">
      <c r="A520" s="2">
        <v>68.783000000000001</v>
      </c>
      <c r="B520" s="2">
        <v>5.7245999999999997</v>
      </c>
      <c r="C520" s="1">
        <f>Tabela1[[#This Row],[Alongamento (mm/mm)]]/$I$2</f>
        <v>0.114492</v>
      </c>
      <c r="D520" s="2">
        <v>1417.1</v>
      </c>
      <c r="E520" s="1">
        <f>Tabela1[[#This Row],[Força (N)]]/$I$5</f>
        <v>33444255.64051732</v>
      </c>
      <c r="F520" s="1">
        <f>Tabela1[[#This Row],[Tensão (Pa)]]/1000000</f>
        <v>33.444255640517319</v>
      </c>
    </row>
    <row r="521" spans="1:6" x14ac:dyDescent="0.3">
      <c r="A521" s="2">
        <v>69.033000000000001</v>
      </c>
      <c r="B521" s="2">
        <v>5.7454000000000001</v>
      </c>
      <c r="C521" s="1">
        <f>Tabela1[[#This Row],[Alongamento (mm/mm)]]/$I$2</f>
        <v>0.114908</v>
      </c>
      <c r="D521" s="2">
        <v>1428.5</v>
      </c>
      <c r="E521" s="1">
        <f>Tabela1[[#This Row],[Força (N)]]/$I$5</f>
        <v>33713301.236665726</v>
      </c>
      <c r="F521" s="1">
        <f>Tabela1[[#This Row],[Tensão (Pa)]]/1000000</f>
        <v>33.713301236665728</v>
      </c>
    </row>
    <row r="522" spans="1:6" x14ac:dyDescent="0.3">
      <c r="A522" s="2">
        <v>69.266999999999996</v>
      </c>
      <c r="B522" s="2">
        <v>5.7648999999999999</v>
      </c>
      <c r="C522" s="1">
        <f>Tabela1[[#This Row],[Alongamento (mm/mm)]]/$I$2</f>
        <v>0.115298</v>
      </c>
      <c r="D522" s="2">
        <v>1439.4</v>
      </c>
      <c r="E522" s="1">
        <f>Tabela1[[#This Row],[Força (N)]]/$I$5</f>
        <v>33970546.587369017</v>
      </c>
      <c r="F522" s="1">
        <f>Tabela1[[#This Row],[Tensão (Pa)]]/1000000</f>
        <v>33.970546587369014</v>
      </c>
    </row>
    <row r="523" spans="1:6" x14ac:dyDescent="0.3">
      <c r="A523" s="2">
        <v>69.516999999999996</v>
      </c>
      <c r="B523" s="2">
        <v>5.7858000000000001</v>
      </c>
      <c r="C523" s="1">
        <f>Tabela1[[#This Row],[Alongamento (mm/mm)]]/$I$2</f>
        <v>0.115716</v>
      </c>
      <c r="D523" s="2">
        <v>1450.9</v>
      </c>
      <c r="E523" s="1">
        <f>Tabela1[[#This Row],[Força (N)]]/$I$5</f>
        <v>34241952.232606441</v>
      </c>
      <c r="F523" s="1">
        <f>Tabela1[[#This Row],[Tensão (Pa)]]/1000000</f>
        <v>34.241952232606444</v>
      </c>
    </row>
    <row r="524" spans="1:6" x14ac:dyDescent="0.3">
      <c r="A524" s="2">
        <v>69.766999999999996</v>
      </c>
      <c r="B524" s="2">
        <v>5.8064999999999998</v>
      </c>
      <c r="C524" s="1">
        <f>Tabela1[[#This Row],[Alongamento (mm/mm)]]/$I$2</f>
        <v>0.11613</v>
      </c>
      <c r="D524" s="2">
        <v>1462.3</v>
      </c>
      <c r="E524" s="1">
        <f>Tabela1[[#This Row],[Força (N)]]/$I$5</f>
        <v>34510997.828754835</v>
      </c>
      <c r="F524" s="1">
        <f>Tabela1[[#This Row],[Tensão (Pa)]]/1000000</f>
        <v>34.510997828754832</v>
      </c>
    </row>
    <row r="525" spans="1:6" x14ac:dyDescent="0.3">
      <c r="A525" s="2">
        <v>70.016999999999996</v>
      </c>
      <c r="B525" s="2">
        <v>5.8273999999999999</v>
      </c>
      <c r="C525" s="1">
        <f>Tabela1[[#This Row],[Alongamento (mm/mm)]]/$I$2</f>
        <v>0.116548</v>
      </c>
      <c r="D525" s="2">
        <v>1473.7</v>
      </c>
      <c r="E525" s="1">
        <f>Tabela1[[#This Row],[Força (N)]]/$I$5</f>
        <v>34780043.424903236</v>
      </c>
      <c r="F525" s="1">
        <f>Tabela1[[#This Row],[Tensão (Pa)]]/1000000</f>
        <v>34.780043424903234</v>
      </c>
    </row>
    <row r="526" spans="1:6" x14ac:dyDescent="0.3">
      <c r="A526" s="2">
        <v>70.283000000000001</v>
      </c>
      <c r="B526" s="2">
        <v>5.8494999999999999</v>
      </c>
      <c r="C526" s="1">
        <f>Tabela1[[#This Row],[Alongamento (mm/mm)]]/$I$2</f>
        <v>0.11699</v>
      </c>
      <c r="D526" s="2">
        <v>1485.6</v>
      </c>
      <c r="E526" s="1">
        <f>Tabela1[[#This Row],[Força (N)]]/$I$5</f>
        <v>35060889.26649674</v>
      </c>
      <c r="F526" s="1">
        <f>Tabela1[[#This Row],[Tensão (Pa)]]/1000000</f>
        <v>35.060889266496737</v>
      </c>
    </row>
    <row r="527" spans="1:6" x14ac:dyDescent="0.3">
      <c r="A527" s="2">
        <v>70.55</v>
      </c>
      <c r="B527" s="2">
        <v>5.8719000000000001</v>
      </c>
      <c r="C527" s="1">
        <f>Tabela1[[#This Row],[Alongamento (mm/mm)]]/$I$2</f>
        <v>0.117438</v>
      </c>
      <c r="D527" s="2">
        <v>1497.5</v>
      </c>
      <c r="E527" s="1">
        <f>Tabela1[[#This Row],[Força (N)]]/$I$5</f>
        <v>35341735.108090252</v>
      </c>
      <c r="F527" s="1">
        <f>Tabela1[[#This Row],[Tensão (Pa)]]/1000000</f>
        <v>35.341735108090255</v>
      </c>
    </row>
    <row r="528" spans="1:6" x14ac:dyDescent="0.3">
      <c r="A528" s="2">
        <v>70.816999999999993</v>
      </c>
      <c r="B528" s="2">
        <v>5.8940999999999999</v>
      </c>
      <c r="C528" s="1">
        <f>Tabela1[[#This Row],[Alongamento (mm/mm)]]/$I$2</f>
        <v>0.117882</v>
      </c>
      <c r="D528" s="2">
        <v>1509.1</v>
      </c>
      <c r="E528" s="1">
        <f>Tabela1[[#This Row],[Força (N)]]/$I$5</f>
        <v>35615500.80241669</v>
      </c>
      <c r="F528" s="1">
        <f>Tabela1[[#This Row],[Tensão (Pa)]]/1000000</f>
        <v>35.61550080241669</v>
      </c>
    </row>
    <row r="529" spans="1:6" x14ac:dyDescent="0.3">
      <c r="A529" s="2">
        <v>71.082999999999998</v>
      </c>
      <c r="B529" s="2">
        <v>5.9162999999999997</v>
      </c>
      <c r="C529" s="1">
        <f>Tabela1[[#This Row],[Alongamento (mm/mm)]]/$I$2</f>
        <v>0.11832599999999999</v>
      </c>
      <c r="D529" s="2">
        <v>1521</v>
      </c>
      <c r="E529" s="1">
        <f>Tabela1[[#This Row],[Força (N)]]/$I$5</f>
        <v>35896346.644010194</v>
      </c>
      <c r="F529" s="1">
        <f>Tabela1[[#This Row],[Tensão (Pa)]]/1000000</f>
        <v>35.896346644010194</v>
      </c>
    </row>
    <row r="530" spans="1:6" x14ac:dyDescent="0.3">
      <c r="A530" s="2">
        <v>71.349999999999994</v>
      </c>
      <c r="B530" s="2">
        <v>5.9383999999999997</v>
      </c>
      <c r="C530" s="1">
        <f>Tabela1[[#This Row],[Alongamento (mm/mm)]]/$I$2</f>
        <v>0.118768</v>
      </c>
      <c r="D530" s="2">
        <v>1532.8</v>
      </c>
      <c r="E530" s="1">
        <f>Tabela1[[#This Row],[Força (N)]]/$I$5</f>
        <v>36174832.436514676</v>
      </c>
      <c r="F530" s="1">
        <f>Tabela1[[#This Row],[Tensão (Pa)]]/1000000</f>
        <v>36.174832436514677</v>
      </c>
    </row>
    <row r="531" spans="1:6" x14ac:dyDescent="0.3">
      <c r="A531" s="2">
        <v>71.617000000000004</v>
      </c>
      <c r="B531" s="2">
        <v>5.9607000000000001</v>
      </c>
      <c r="C531" s="1">
        <f>Tabela1[[#This Row],[Alongamento (mm/mm)]]/$I$2</f>
        <v>0.119214</v>
      </c>
      <c r="D531" s="2">
        <v>1544.7</v>
      </c>
      <c r="E531" s="1">
        <f>Tabela1[[#This Row],[Força (N)]]/$I$5</f>
        <v>36455678.278108187</v>
      </c>
      <c r="F531" s="1">
        <f>Tabela1[[#This Row],[Tensão (Pa)]]/1000000</f>
        <v>36.455678278108188</v>
      </c>
    </row>
    <row r="532" spans="1:6" x14ac:dyDescent="0.3">
      <c r="A532" s="2">
        <v>71.900000000000006</v>
      </c>
      <c r="B532" s="2">
        <v>5.9843000000000002</v>
      </c>
      <c r="C532" s="1">
        <f>Tabela1[[#This Row],[Alongamento (mm/mm)]]/$I$2</f>
        <v>0.119686</v>
      </c>
      <c r="D532" s="2">
        <v>1557.3</v>
      </c>
      <c r="E532" s="1">
        <f>Tabela1[[#This Row],[Força (N)]]/$I$5</f>
        <v>36753044.463324837</v>
      </c>
      <c r="F532" s="1">
        <f>Tabela1[[#This Row],[Tensão (Pa)]]/1000000</f>
        <v>36.753044463324841</v>
      </c>
    </row>
    <row r="533" spans="1:6" x14ac:dyDescent="0.3">
      <c r="A533" s="2">
        <v>72.183000000000007</v>
      </c>
      <c r="B533" s="2">
        <v>6.008</v>
      </c>
      <c r="C533" s="1">
        <f>Tabela1[[#This Row],[Alongamento (mm/mm)]]/$I$2</f>
        <v>0.12016</v>
      </c>
      <c r="D533" s="2">
        <v>1569.7</v>
      </c>
      <c r="E533" s="1">
        <f>Tabela1[[#This Row],[Força (N)]]/$I$5</f>
        <v>37045690.550363451</v>
      </c>
      <c r="F533" s="1">
        <f>Tabela1[[#This Row],[Tensão (Pa)]]/1000000</f>
        <v>37.045690550363453</v>
      </c>
    </row>
    <row r="534" spans="1:6" x14ac:dyDescent="0.3">
      <c r="A534" s="2">
        <v>72.466999999999999</v>
      </c>
      <c r="B534" s="2">
        <v>6.0315000000000003</v>
      </c>
      <c r="C534" s="1">
        <f>Tabela1[[#This Row],[Alongamento (mm/mm)]]/$I$2</f>
        <v>0.12063</v>
      </c>
      <c r="D534" s="2">
        <v>1582.1</v>
      </c>
      <c r="E534" s="1">
        <f>Tabela1[[#This Row],[Força (N)]]/$I$5</f>
        <v>37338336.637402058</v>
      </c>
      <c r="F534" s="1">
        <f>Tabela1[[#This Row],[Tensão (Pa)]]/1000000</f>
        <v>37.338336637402058</v>
      </c>
    </row>
    <row r="535" spans="1:6" x14ac:dyDescent="0.3">
      <c r="A535" s="2">
        <v>72.75</v>
      </c>
      <c r="B535" s="2">
        <v>6.0552000000000001</v>
      </c>
      <c r="C535" s="1">
        <f>Tabela1[[#This Row],[Alongamento (mm/mm)]]/$I$2</f>
        <v>0.121104</v>
      </c>
      <c r="D535" s="2">
        <v>1594.7</v>
      </c>
      <c r="E535" s="1">
        <f>Tabela1[[#This Row],[Força (N)]]/$I$5</f>
        <v>37635702.822618708</v>
      </c>
      <c r="F535" s="1">
        <f>Tabela1[[#This Row],[Tensão (Pa)]]/1000000</f>
        <v>37.635702822618711</v>
      </c>
    </row>
    <row r="536" spans="1:6" x14ac:dyDescent="0.3">
      <c r="A536" s="2">
        <v>73.033000000000001</v>
      </c>
      <c r="B536" s="2">
        <v>6.0787000000000004</v>
      </c>
      <c r="C536" s="1">
        <f>Tabela1[[#This Row],[Alongamento (mm/mm)]]/$I$2</f>
        <v>0.12157400000000002</v>
      </c>
      <c r="D536" s="2">
        <v>1607.4</v>
      </c>
      <c r="E536" s="1">
        <f>Tabela1[[#This Row],[Força (N)]]/$I$5</f>
        <v>37935429.056924388</v>
      </c>
      <c r="F536" s="1">
        <f>Tabela1[[#This Row],[Tensão (Pa)]]/1000000</f>
        <v>37.935429056924384</v>
      </c>
    </row>
    <row r="537" spans="1:6" x14ac:dyDescent="0.3">
      <c r="A537" s="2">
        <v>73.316999999999993</v>
      </c>
      <c r="B537" s="2">
        <v>6.1024000000000003</v>
      </c>
      <c r="C537" s="1">
        <f>Tabela1[[#This Row],[Alongamento (mm/mm)]]/$I$2</f>
        <v>0.122048</v>
      </c>
      <c r="D537" s="2">
        <v>1620.2</v>
      </c>
      <c r="E537" s="1">
        <f>Tabela1[[#This Row],[Força (N)]]/$I$5</f>
        <v>38237515.340319082</v>
      </c>
      <c r="F537" s="1">
        <f>Tabela1[[#This Row],[Tensão (Pa)]]/1000000</f>
        <v>38.237515340319085</v>
      </c>
    </row>
    <row r="538" spans="1:6" x14ac:dyDescent="0.3">
      <c r="A538" s="2">
        <v>73.617000000000004</v>
      </c>
      <c r="B538" s="2">
        <v>6.1273999999999997</v>
      </c>
      <c r="C538" s="1">
        <f>Tabela1[[#This Row],[Alongamento (mm/mm)]]/$I$2</f>
        <v>0.12254799999999999</v>
      </c>
      <c r="D538" s="2">
        <v>1633.3</v>
      </c>
      <c r="E538" s="1">
        <f>Tabela1[[#This Row],[Força (N)]]/$I$5</f>
        <v>38546681.770980835</v>
      </c>
      <c r="F538" s="1">
        <f>Tabela1[[#This Row],[Tensão (Pa)]]/1000000</f>
        <v>38.546681770980832</v>
      </c>
    </row>
    <row r="539" spans="1:6" x14ac:dyDescent="0.3">
      <c r="A539" s="2">
        <v>73.900000000000006</v>
      </c>
      <c r="B539" s="2">
        <v>6.1509999999999998</v>
      </c>
      <c r="C539" s="1">
        <f>Tabela1[[#This Row],[Alongamento (mm/mm)]]/$I$2</f>
        <v>0.12301999999999999</v>
      </c>
      <c r="D539" s="2">
        <v>1646.2</v>
      </c>
      <c r="E539" s="1">
        <f>Tabela1[[#This Row],[Força (N)]]/$I$5</f>
        <v>38851128.103464551</v>
      </c>
      <c r="F539" s="1">
        <f>Tabela1[[#This Row],[Tensão (Pa)]]/1000000</f>
        <v>38.851128103464553</v>
      </c>
    </row>
    <row r="540" spans="1:6" x14ac:dyDescent="0.3">
      <c r="A540" s="2">
        <v>74.183000000000007</v>
      </c>
      <c r="B540" s="2">
        <v>6.1745999999999999</v>
      </c>
      <c r="C540" s="1">
        <f>Tabela1[[#This Row],[Alongamento (mm/mm)]]/$I$2</f>
        <v>0.12349199999999999</v>
      </c>
      <c r="D540" s="2">
        <v>1659.3</v>
      </c>
      <c r="E540" s="1">
        <f>Tabela1[[#This Row],[Força (N)]]/$I$5</f>
        <v>39160294.534126312</v>
      </c>
      <c r="F540" s="1">
        <f>Tabela1[[#This Row],[Tensão (Pa)]]/1000000</f>
        <v>39.160294534126308</v>
      </c>
    </row>
    <row r="541" spans="1:6" x14ac:dyDescent="0.3">
      <c r="A541" s="2">
        <v>74.466999999999999</v>
      </c>
      <c r="B541" s="2">
        <v>6.1982999999999997</v>
      </c>
      <c r="C541" s="1">
        <f>Tabela1[[#This Row],[Alongamento (mm/mm)]]/$I$2</f>
        <v>0.12396599999999999</v>
      </c>
      <c r="D541" s="2">
        <v>1672.4</v>
      </c>
      <c r="E541" s="1">
        <f>Tabela1[[#This Row],[Força (N)]]/$I$5</f>
        <v>39469460.964788072</v>
      </c>
      <c r="F541" s="1">
        <f>Tabela1[[#This Row],[Tensão (Pa)]]/1000000</f>
        <v>39.46946096478807</v>
      </c>
    </row>
    <row r="542" spans="1:6" x14ac:dyDescent="0.3">
      <c r="A542" s="2">
        <v>74.766999999999996</v>
      </c>
      <c r="B542" s="2">
        <v>6.2232000000000003</v>
      </c>
      <c r="C542" s="1">
        <f>Tabela1[[#This Row],[Alongamento (mm/mm)]]/$I$2</f>
        <v>0.12446400000000001</v>
      </c>
      <c r="D542" s="2">
        <v>1685.8</v>
      </c>
      <c r="E542" s="1">
        <f>Tabela1[[#This Row],[Força (N)]]/$I$5</f>
        <v>39785707.542716891</v>
      </c>
      <c r="F542" s="1">
        <f>Tabela1[[#This Row],[Tensão (Pa)]]/1000000</f>
        <v>39.785707542716892</v>
      </c>
    </row>
    <row r="543" spans="1:6" x14ac:dyDescent="0.3">
      <c r="A543" s="2">
        <v>75.05</v>
      </c>
      <c r="B543" s="2">
        <v>6.2468000000000004</v>
      </c>
      <c r="C543" s="1">
        <f>Tabela1[[#This Row],[Alongamento (mm/mm)]]/$I$2</f>
        <v>0.12493600000000001</v>
      </c>
      <c r="D543" s="2">
        <v>1698.8</v>
      </c>
      <c r="E543" s="1">
        <f>Tabela1[[#This Row],[Força (N)]]/$I$5</f>
        <v>40092513.924289621</v>
      </c>
      <c r="F543" s="1">
        <f>Tabela1[[#This Row],[Tensão (Pa)]]/1000000</f>
        <v>40.092513924289619</v>
      </c>
    </row>
    <row r="544" spans="1:6" x14ac:dyDescent="0.3">
      <c r="A544" s="2">
        <v>75.349999999999994</v>
      </c>
      <c r="B544" s="2">
        <v>6.2717999999999998</v>
      </c>
      <c r="C544" s="1">
        <f>Tabela1[[#This Row],[Alongamento (mm/mm)]]/$I$2</f>
        <v>0.12543599999999999</v>
      </c>
      <c r="D544" s="2">
        <v>1712.6</v>
      </c>
      <c r="E544" s="1">
        <f>Tabela1[[#This Row],[Força (N)]]/$I$5</f>
        <v>40418200.698574528</v>
      </c>
      <c r="F544" s="1">
        <f>Tabela1[[#This Row],[Tensão (Pa)]]/1000000</f>
        <v>40.41820069857453</v>
      </c>
    </row>
    <row r="545" spans="1:6" x14ac:dyDescent="0.3">
      <c r="A545" s="2">
        <v>75.650000000000006</v>
      </c>
      <c r="B545" s="2">
        <v>6.2968999999999999</v>
      </c>
      <c r="C545" s="1">
        <f>Tabela1[[#This Row],[Alongamento (mm/mm)]]/$I$2</f>
        <v>0.12593799999999999</v>
      </c>
      <c r="D545" s="2">
        <v>1726</v>
      </c>
      <c r="E545" s="1">
        <f>Tabela1[[#This Row],[Força (N)]]/$I$5</f>
        <v>40734447.276503354</v>
      </c>
      <c r="F545" s="1">
        <f>Tabela1[[#This Row],[Tensão (Pa)]]/1000000</f>
        <v>40.734447276503353</v>
      </c>
    </row>
    <row r="546" spans="1:6" x14ac:dyDescent="0.3">
      <c r="A546" s="2">
        <v>75.95</v>
      </c>
      <c r="B546" s="2">
        <v>6.3217999999999996</v>
      </c>
      <c r="C546" s="1">
        <f>Tabela1[[#This Row],[Alongamento (mm/mm)]]/$I$2</f>
        <v>0.12643599999999999</v>
      </c>
      <c r="D546" s="2">
        <v>1739.3</v>
      </c>
      <c r="E546" s="1">
        <f>Tabela1[[#This Row],[Força (N)]]/$I$5</f>
        <v>41048333.805343151</v>
      </c>
      <c r="F546" s="1">
        <f>Tabela1[[#This Row],[Tensão (Pa)]]/1000000</f>
        <v>41.048333805343148</v>
      </c>
    </row>
    <row r="547" spans="1:6" x14ac:dyDescent="0.3">
      <c r="A547" s="2">
        <v>76.25</v>
      </c>
      <c r="B547" s="2">
        <v>6.3467000000000002</v>
      </c>
      <c r="C547" s="1">
        <f>Tabela1[[#This Row],[Alongamento (mm/mm)]]/$I$2</f>
        <v>0.12693399999999999</v>
      </c>
      <c r="D547" s="2">
        <v>1752.7</v>
      </c>
      <c r="E547" s="1">
        <f>Tabela1[[#This Row],[Força (N)]]/$I$5</f>
        <v>41364580.38327197</v>
      </c>
      <c r="F547" s="1">
        <f>Tabela1[[#This Row],[Tensão (Pa)]]/1000000</f>
        <v>41.364580383271971</v>
      </c>
    </row>
    <row r="548" spans="1:6" x14ac:dyDescent="0.3">
      <c r="A548" s="2">
        <v>76.566999999999993</v>
      </c>
      <c r="B548" s="2">
        <v>6.3731999999999998</v>
      </c>
      <c r="C548" s="1">
        <f>Tabela1[[#This Row],[Alongamento (mm/mm)]]/$I$2</f>
        <v>0.12746399999999999</v>
      </c>
      <c r="D548" s="2">
        <v>1766.6</v>
      </c>
      <c r="E548" s="1">
        <f>Tabela1[[#This Row],[Força (N)]]/$I$5</f>
        <v>41692627.206645899</v>
      </c>
      <c r="F548" s="1">
        <f>Tabela1[[#This Row],[Tensão (Pa)]]/1000000</f>
        <v>41.692627206645902</v>
      </c>
    </row>
    <row r="549" spans="1:6" x14ac:dyDescent="0.3">
      <c r="A549" s="2">
        <v>76.882999999999996</v>
      </c>
      <c r="B549" s="2">
        <v>6.3996000000000004</v>
      </c>
      <c r="C549" s="1">
        <f>Tabela1[[#This Row],[Alongamento (mm/mm)]]/$I$2</f>
        <v>0.12799199999999999</v>
      </c>
      <c r="D549" s="2">
        <v>1780.6</v>
      </c>
      <c r="E549" s="1">
        <f>Tabela1[[#This Row],[Força (N)]]/$I$5</f>
        <v>42023034.079108842</v>
      </c>
      <c r="F549" s="1">
        <f>Tabela1[[#This Row],[Tensão (Pa)]]/1000000</f>
        <v>42.023034079108839</v>
      </c>
    </row>
    <row r="550" spans="1:6" x14ac:dyDescent="0.3">
      <c r="A550" s="2">
        <v>77.2</v>
      </c>
      <c r="B550" s="2">
        <v>6.4260000000000002</v>
      </c>
      <c r="C550" s="1">
        <f>Tabela1[[#This Row],[Alongamento (mm/mm)]]/$I$2</f>
        <v>0.12852</v>
      </c>
      <c r="D550" s="2">
        <v>1794.4</v>
      </c>
      <c r="E550" s="1">
        <f>Tabela1[[#This Row],[Força (N)]]/$I$5</f>
        <v>42348720.853393756</v>
      </c>
      <c r="F550" s="1">
        <f>Tabela1[[#This Row],[Tensão (Pa)]]/1000000</f>
        <v>42.348720853393758</v>
      </c>
    </row>
    <row r="551" spans="1:6" x14ac:dyDescent="0.3">
      <c r="A551" s="2">
        <v>77.516999999999996</v>
      </c>
      <c r="B551" s="2">
        <v>6.4524999999999997</v>
      </c>
      <c r="C551" s="1">
        <f>Tabela1[[#This Row],[Alongamento (mm/mm)]]/$I$2</f>
        <v>0.12905</v>
      </c>
      <c r="D551" s="2">
        <v>1808.3</v>
      </c>
      <c r="E551" s="1">
        <f>Tabela1[[#This Row],[Força (N)]]/$I$5</f>
        <v>42676767.676767677</v>
      </c>
      <c r="F551" s="1">
        <f>Tabela1[[#This Row],[Tensão (Pa)]]/1000000</f>
        <v>42.676767676767675</v>
      </c>
    </row>
    <row r="552" spans="1:6" x14ac:dyDescent="0.3">
      <c r="A552" s="2">
        <v>77.849999999999994</v>
      </c>
      <c r="B552" s="2">
        <v>6.4801000000000002</v>
      </c>
      <c r="C552" s="1">
        <f>Tabela1[[#This Row],[Alongamento (mm/mm)]]/$I$2</f>
        <v>0.12960199999999999</v>
      </c>
      <c r="D552" s="2">
        <v>1822.9</v>
      </c>
      <c r="E552" s="1">
        <f>Tabela1[[#This Row],[Força (N)]]/$I$5</f>
        <v>43021334.843764752</v>
      </c>
      <c r="F552" s="1">
        <f>Tabela1[[#This Row],[Tensão (Pa)]]/1000000</f>
        <v>43.021334843764755</v>
      </c>
    </row>
    <row r="553" spans="1:6" x14ac:dyDescent="0.3">
      <c r="A553" s="2">
        <v>78.183000000000007</v>
      </c>
      <c r="B553" s="2">
        <v>6.5079000000000002</v>
      </c>
      <c r="C553" s="1">
        <f>Tabela1[[#This Row],[Alongamento (mm/mm)]]/$I$2</f>
        <v>0.130158</v>
      </c>
      <c r="D553" s="2">
        <v>1837.4</v>
      </c>
      <c r="E553" s="1">
        <f>Tabela1[[#This Row],[Força (N)]]/$I$5</f>
        <v>43363541.961672805</v>
      </c>
      <c r="F553" s="1">
        <f>Tabela1[[#This Row],[Tensão (Pa)]]/1000000</f>
        <v>43.363541961672809</v>
      </c>
    </row>
    <row r="554" spans="1:6" x14ac:dyDescent="0.3">
      <c r="A554" s="2">
        <v>78.516999999999996</v>
      </c>
      <c r="B554" s="2">
        <v>6.5355999999999996</v>
      </c>
      <c r="C554" s="1">
        <f>Tabela1[[#This Row],[Alongamento (mm/mm)]]/$I$2</f>
        <v>0.13071199999999999</v>
      </c>
      <c r="D554" s="2">
        <v>1851.9</v>
      </c>
      <c r="E554" s="1">
        <f>Tabela1[[#This Row],[Força (N)]]/$I$5</f>
        <v>43705749.079580858</v>
      </c>
      <c r="F554" s="1">
        <f>Tabela1[[#This Row],[Tensão (Pa)]]/1000000</f>
        <v>43.705749079580862</v>
      </c>
    </row>
    <row r="555" spans="1:6" x14ac:dyDescent="0.3">
      <c r="A555" s="2">
        <v>78.849999999999994</v>
      </c>
      <c r="B555" s="2">
        <v>6.5635000000000003</v>
      </c>
      <c r="C555" s="1">
        <f>Tabela1[[#This Row],[Alongamento (mm/mm)]]/$I$2</f>
        <v>0.13127</v>
      </c>
      <c r="D555" s="2">
        <v>1866.2</v>
      </c>
      <c r="E555" s="1">
        <f>Tabela1[[#This Row],[Força (N)]]/$I$5</f>
        <v>44043236.099310867</v>
      </c>
      <c r="F555" s="1">
        <f>Tabela1[[#This Row],[Tensão (Pa)]]/1000000</f>
        <v>44.043236099310867</v>
      </c>
    </row>
    <row r="556" spans="1:6" x14ac:dyDescent="0.3">
      <c r="A556" s="2">
        <v>79.2</v>
      </c>
      <c r="B556" s="2">
        <v>6.5926999999999998</v>
      </c>
      <c r="C556" s="1">
        <f>Tabela1[[#This Row],[Alongamento (mm/mm)]]/$I$2</f>
        <v>0.131854</v>
      </c>
      <c r="D556" s="2">
        <v>1881</v>
      </c>
      <c r="E556" s="1">
        <f>Tabela1[[#This Row],[Força (N)]]/$I$5</f>
        <v>44392523.364485979</v>
      </c>
      <c r="F556" s="1">
        <f>Tabela1[[#This Row],[Tensão (Pa)]]/1000000</f>
        <v>44.392523364485982</v>
      </c>
    </row>
    <row r="557" spans="1:6" x14ac:dyDescent="0.3">
      <c r="A557" s="2">
        <v>79.55</v>
      </c>
      <c r="B557" s="2">
        <v>6.6218000000000004</v>
      </c>
      <c r="C557" s="1">
        <f>Tabela1[[#This Row],[Alongamento (mm/mm)]]/$I$2</f>
        <v>0.132436</v>
      </c>
      <c r="D557" s="2">
        <v>1896.1</v>
      </c>
      <c r="E557" s="1">
        <f>Tabela1[[#This Row],[Força (N)]]/$I$5</f>
        <v>44748890.776928157</v>
      </c>
      <c r="F557" s="1">
        <f>Tabela1[[#This Row],[Tensão (Pa)]]/1000000</f>
        <v>44.748890776928157</v>
      </c>
    </row>
    <row r="558" spans="1:6" x14ac:dyDescent="0.3">
      <c r="A558" s="2">
        <v>79.900000000000006</v>
      </c>
      <c r="B558" s="2">
        <v>6.6509</v>
      </c>
      <c r="C558" s="1">
        <f>Tabela1[[#This Row],[Alongamento (mm/mm)]]/$I$2</f>
        <v>0.133018</v>
      </c>
      <c r="D558" s="2">
        <v>1911.2</v>
      </c>
      <c r="E558" s="1">
        <f>Tabela1[[#This Row],[Força (N)]]/$I$5</f>
        <v>45105258.189370342</v>
      </c>
      <c r="F558" s="1">
        <f>Tabela1[[#This Row],[Tensão (Pa)]]/1000000</f>
        <v>45.105258189370339</v>
      </c>
    </row>
    <row r="559" spans="1:6" x14ac:dyDescent="0.3">
      <c r="A559" s="2">
        <v>80.25</v>
      </c>
      <c r="B559" s="2">
        <v>6.6802000000000001</v>
      </c>
      <c r="C559" s="1">
        <f>Tabela1[[#This Row],[Alongamento (mm/mm)]]/$I$2</f>
        <v>0.133604</v>
      </c>
      <c r="D559" s="2">
        <v>1926.2</v>
      </c>
      <c r="E559" s="1">
        <f>Tabela1[[#This Row],[Força (N)]]/$I$5</f>
        <v>45459265.552723497</v>
      </c>
      <c r="F559" s="1">
        <f>Tabela1[[#This Row],[Tensão (Pa)]]/1000000</f>
        <v>45.459265552723494</v>
      </c>
    </row>
    <row r="560" spans="1:6" x14ac:dyDescent="0.3">
      <c r="A560" s="2">
        <v>80.599999999999994</v>
      </c>
      <c r="B560" s="2">
        <v>6.7093999999999996</v>
      </c>
      <c r="C560" s="1">
        <f>Tabela1[[#This Row],[Alongamento (mm/mm)]]/$I$2</f>
        <v>0.134188</v>
      </c>
      <c r="D560" s="2">
        <v>1941.3</v>
      </c>
      <c r="E560" s="1">
        <f>Tabela1[[#This Row],[Força (N)]]/$I$5</f>
        <v>45815632.965165675</v>
      </c>
      <c r="F560" s="1">
        <f>Tabela1[[#This Row],[Tensão (Pa)]]/1000000</f>
        <v>45.815632965165676</v>
      </c>
    </row>
    <row r="561" spans="1:6" x14ac:dyDescent="0.3">
      <c r="A561" s="2">
        <v>80.966999999999999</v>
      </c>
      <c r="B561" s="2">
        <v>6.7398999999999996</v>
      </c>
      <c r="C561" s="1">
        <f>Tabela1[[#This Row],[Alongamento (mm/mm)]]/$I$2</f>
        <v>0.134798</v>
      </c>
      <c r="D561" s="2">
        <v>1957</v>
      </c>
      <c r="E561" s="1">
        <f>Tabela1[[#This Row],[Força (N)]]/$I$5</f>
        <v>46186160.672141977</v>
      </c>
      <c r="F561" s="1">
        <f>Tabela1[[#This Row],[Tensão (Pa)]]/1000000</f>
        <v>46.186160672141973</v>
      </c>
    </row>
    <row r="562" spans="1:6" x14ac:dyDescent="0.3">
      <c r="A562" s="2">
        <v>81.332999999999998</v>
      </c>
      <c r="B562" s="2">
        <v>6.7704000000000004</v>
      </c>
      <c r="C562" s="1">
        <f>Tabela1[[#This Row],[Alongamento (mm/mm)]]/$I$2</f>
        <v>0.135408</v>
      </c>
      <c r="D562" s="2">
        <v>1972.1</v>
      </c>
      <c r="E562" s="1">
        <f>Tabela1[[#This Row],[Força (N)]]/$I$5</f>
        <v>46542528.084584154</v>
      </c>
      <c r="F562" s="1">
        <f>Tabela1[[#This Row],[Tensão (Pa)]]/1000000</f>
        <v>46.542528084584156</v>
      </c>
    </row>
    <row r="563" spans="1:6" x14ac:dyDescent="0.3">
      <c r="A563" s="2">
        <v>81.716999999999999</v>
      </c>
      <c r="B563" s="2">
        <v>6.8023999999999996</v>
      </c>
      <c r="C563" s="1">
        <f>Tabela1[[#This Row],[Alongamento (mm/mm)]]/$I$2</f>
        <v>0.136048</v>
      </c>
      <c r="D563" s="2">
        <v>1987.8</v>
      </c>
      <c r="E563" s="1">
        <f>Tabela1[[#This Row],[Força (N)]]/$I$5</f>
        <v>46913055.791560464</v>
      </c>
      <c r="F563" s="1">
        <f>Tabela1[[#This Row],[Tensão (Pa)]]/1000000</f>
        <v>46.913055791560467</v>
      </c>
    </row>
    <row r="564" spans="1:6" x14ac:dyDescent="0.3">
      <c r="A564" s="2">
        <v>82.117000000000004</v>
      </c>
      <c r="B564" s="2">
        <v>6.8357000000000001</v>
      </c>
      <c r="C564" s="1">
        <f>Tabela1[[#This Row],[Alongamento (mm/mm)]]/$I$2</f>
        <v>0.136714</v>
      </c>
      <c r="D564" s="2">
        <v>2003.3</v>
      </c>
      <c r="E564" s="1">
        <f>Tabela1[[#This Row],[Força (N)]]/$I$5</f>
        <v>47278863.400358729</v>
      </c>
      <c r="F564" s="1">
        <f>Tabela1[[#This Row],[Tensão (Pa)]]/1000000</f>
        <v>47.27886340035873</v>
      </c>
    </row>
    <row r="565" spans="1:6" x14ac:dyDescent="0.3">
      <c r="A565" s="2">
        <v>82.533000000000001</v>
      </c>
      <c r="B565" s="2">
        <v>6.8704999999999998</v>
      </c>
      <c r="C565" s="1">
        <f>Tabela1[[#This Row],[Alongamento (mm/mm)]]/$I$2</f>
        <v>0.13741</v>
      </c>
      <c r="D565" s="2">
        <v>2018.9</v>
      </c>
      <c r="E565" s="1">
        <f>Tabela1[[#This Row],[Força (N)]]/$I$5</f>
        <v>47647031.058246017</v>
      </c>
      <c r="F565" s="1">
        <f>Tabela1[[#This Row],[Tensão (Pa)]]/1000000</f>
        <v>47.647031058246014</v>
      </c>
    </row>
    <row r="566" spans="1:6" x14ac:dyDescent="0.3">
      <c r="A566" s="2">
        <v>82.966999999999999</v>
      </c>
      <c r="B566" s="2">
        <v>6.9065000000000003</v>
      </c>
      <c r="C566" s="1">
        <f>Tabela1[[#This Row],[Alongamento (mm/mm)]]/$I$2</f>
        <v>0.13813</v>
      </c>
      <c r="D566" s="2">
        <v>2034.9</v>
      </c>
      <c r="E566" s="1">
        <f>Tabela1[[#This Row],[Força (N)]]/$I$5</f>
        <v>48024638.912489384</v>
      </c>
      <c r="F566" s="1">
        <f>Tabela1[[#This Row],[Tensão (Pa)]]/1000000</f>
        <v>48.024638912489387</v>
      </c>
    </row>
    <row r="567" spans="1:6" x14ac:dyDescent="0.3">
      <c r="A567" s="2">
        <v>83.417000000000002</v>
      </c>
      <c r="B567" s="2">
        <v>6.9440999999999997</v>
      </c>
      <c r="C567" s="1">
        <f>Tabela1[[#This Row],[Alongamento (mm/mm)]]/$I$2</f>
        <v>0.13888200000000001</v>
      </c>
      <c r="D567" s="2">
        <v>2050.9</v>
      </c>
      <c r="E567" s="1">
        <f>Tabela1[[#This Row],[Força (N)]]/$I$5</f>
        <v>48402246.766732752</v>
      </c>
      <c r="F567" s="1">
        <f>Tabela1[[#This Row],[Tensão (Pa)]]/1000000</f>
        <v>48.402246766732752</v>
      </c>
    </row>
    <row r="568" spans="1:6" x14ac:dyDescent="0.3">
      <c r="A568" s="2">
        <v>83.9</v>
      </c>
      <c r="B568" s="2">
        <v>6.9843000000000002</v>
      </c>
      <c r="C568" s="1">
        <f>Tabela1[[#This Row],[Alongamento (mm/mm)]]/$I$2</f>
        <v>0.139686</v>
      </c>
      <c r="D568" s="2">
        <v>2067.1999999999998</v>
      </c>
      <c r="E568" s="1">
        <f>Tabela1[[#This Row],[Força (N)]]/$I$5</f>
        <v>48786934.768243171</v>
      </c>
      <c r="F568" s="1">
        <f>Tabela1[[#This Row],[Tensão (Pa)]]/1000000</f>
        <v>48.786934768243171</v>
      </c>
    </row>
    <row r="569" spans="1:6" x14ac:dyDescent="0.3">
      <c r="A569" s="2">
        <v>84.4</v>
      </c>
      <c r="B569" s="2">
        <v>7.0259999999999998</v>
      </c>
      <c r="C569" s="1">
        <f>Tabela1[[#This Row],[Alongamento (mm/mm)]]/$I$2</f>
        <v>0.14052000000000001</v>
      </c>
      <c r="D569" s="2">
        <v>2083.1999999999998</v>
      </c>
      <c r="E569" s="1">
        <f>Tabela1[[#This Row],[Força (N)]]/$I$5</f>
        <v>49164542.622486547</v>
      </c>
      <c r="F569" s="1">
        <f>Tabela1[[#This Row],[Tensão (Pa)]]/1000000</f>
        <v>49.164542622486543</v>
      </c>
    </row>
    <row r="570" spans="1:6" x14ac:dyDescent="0.3">
      <c r="A570" s="2">
        <v>84.9</v>
      </c>
      <c r="B570" s="2">
        <v>7.0677000000000003</v>
      </c>
      <c r="C570" s="1">
        <f>Tabela1[[#This Row],[Alongamento (mm/mm)]]/$I$2</f>
        <v>0.14135400000000001</v>
      </c>
      <c r="D570" s="2">
        <v>2098</v>
      </c>
      <c r="E570" s="1">
        <f>Tabela1[[#This Row],[Força (N)]]/$I$5</f>
        <v>49513829.887661666</v>
      </c>
      <c r="F570" s="1">
        <f>Tabela1[[#This Row],[Tensão (Pa)]]/1000000</f>
        <v>49.513829887661664</v>
      </c>
    </row>
    <row r="571" spans="1:6" x14ac:dyDescent="0.3">
      <c r="A571" s="2">
        <v>85.4</v>
      </c>
      <c r="B571" s="2">
        <v>7.1093999999999999</v>
      </c>
      <c r="C571" s="1">
        <f>Tabela1[[#This Row],[Alongamento (mm/mm)]]/$I$2</f>
        <v>0.14218800000000001</v>
      </c>
      <c r="D571" s="2">
        <v>2111.1</v>
      </c>
      <c r="E571" s="1">
        <f>Tabela1[[#This Row],[Força (N)]]/$I$5</f>
        <v>49822996.318323418</v>
      </c>
      <c r="F571" s="1">
        <f>Tabela1[[#This Row],[Tensão (Pa)]]/1000000</f>
        <v>49.822996318323419</v>
      </c>
    </row>
    <row r="572" spans="1:6" x14ac:dyDescent="0.3">
      <c r="A572" s="2">
        <v>85.9</v>
      </c>
      <c r="B572" s="2">
        <v>7.1509999999999998</v>
      </c>
      <c r="C572" s="1">
        <f>Tabela1[[#This Row],[Alongamento (mm/mm)]]/$I$2</f>
        <v>0.14302000000000001</v>
      </c>
      <c r="D572" s="2">
        <v>2123.1999999999998</v>
      </c>
      <c r="E572" s="1">
        <f>Tabela1[[#This Row],[Força (N)]]/$I$5</f>
        <v>50108562.258094966</v>
      </c>
      <c r="F572" s="1">
        <f>Tabela1[[#This Row],[Tensão (Pa)]]/1000000</f>
        <v>50.108562258094963</v>
      </c>
    </row>
    <row r="573" spans="1:6" x14ac:dyDescent="0.3">
      <c r="A573" s="2">
        <v>86.4</v>
      </c>
      <c r="B573" s="2">
        <v>7.1925999999999997</v>
      </c>
      <c r="C573" s="1">
        <f>Tabela1[[#This Row],[Alongamento (mm/mm)]]/$I$2</f>
        <v>0.14385199999999998</v>
      </c>
      <c r="D573" s="2">
        <v>2133.1999999999998</v>
      </c>
      <c r="E573" s="1">
        <f>Tabela1[[#This Row],[Força (N)]]/$I$5</f>
        <v>50344567.166997068</v>
      </c>
      <c r="F573" s="1">
        <f>Tabela1[[#This Row],[Tensão (Pa)]]/1000000</f>
        <v>50.344567166997066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9A44-F89D-4C01-9D50-EFBCDBACF3CF}">
  <dimension ref="F24:H25"/>
  <sheetViews>
    <sheetView tabSelected="1" topLeftCell="C4" workbookViewId="0">
      <selection activeCell="S13" sqref="S13"/>
    </sheetView>
  </sheetViews>
  <sheetFormatPr defaultRowHeight="14.4" x14ac:dyDescent="0.3"/>
  <cols>
    <col min="6" max="6" width="16.33203125" bestFit="1" customWidth="1"/>
  </cols>
  <sheetData>
    <row r="24" spans="6:8" x14ac:dyDescent="0.3">
      <c r="F24" t="s">
        <v>14</v>
      </c>
      <c r="G24" t="s">
        <v>15</v>
      </c>
      <c r="H24" t="s">
        <v>16</v>
      </c>
    </row>
    <row r="25" spans="6:8" x14ac:dyDescent="0.3">
      <c r="F25">
        <f>STDEV('A22-1'!F584,'A22-2'!F596,'A22-3'!F600,'A22-4'!F589,'A22-5'!F573)</f>
        <v>3.5200521596565704</v>
      </c>
      <c r="G25" s="2">
        <f>AVERAGE('A22-1'!F584,'A22-2'!F596,'A22-3'!F600,'A22-4'!F589,'A22-5'!F573)</f>
        <v>46.94769144438385</v>
      </c>
      <c r="H25" s="2">
        <f>AVERAGE('A22-1'!D584,'A22-2'!D596,'A22-3'!D600,'A22-4'!D589,'A22-5'!D573)</f>
        <v>1989.2599999999998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A22-1</vt:lpstr>
      <vt:lpstr>A22-2</vt:lpstr>
      <vt:lpstr>A22-3</vt:lpstr>
      <vt:lpstr>A22-4</vt:lpstr>
      <vt:lpstr>A22-5</vt:lpstr>
      <vt:lpstr>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 Silva</dc:creator>
  <cp:keywords/>
  <dc:description/>
  <cp:lastModifiedBy>Davi Silva</cp:lastModifiedBy>
  <cp:revision/>
  <dcterms:created xsi:type="dcterms:W3CDTF">2015-06-05T18:19:34Z</dcterms:created>
  <dcterms:modified xsi:type="dcterms:W3CDTF">2024-10-23T21:51:40Z</dcterms:modified>
  <cp:category/>
  <cp:contentStatus/>
</cp:coreProperties>
</file>