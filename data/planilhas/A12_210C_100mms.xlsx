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ifspedubr-my.sharepoint.com/personal/felipe_davi_aluno_ifsp_edu_br/Documents/ic - resistecia dos materiais/DAVI FELIPE/Planilhas - IC (Davi)/"/>
    </mc:Choice>
  </mc:AlternateContent>
  <xr:revisionPtr revIDLastSave="251" documentId="11_AD4D361C20488DEA4E38A0D6F4DB6FB25ADEDD82" xr6:coauthVersionLast="47" xr6:coauthVersionMax="47" xr10:uidLastSave="{7CD92E2F-337F-4102-A4AC-4069AF9D10B5}"/>
  <bookViews>
    <workbookView xWindow="-108" yWindow="-108" windowWidth="23256" windowHeight="12456" activeTab="4" xr2:uid="{00000000-000D-0000-FFFF-FFFF00000000}"/>
  </bookViews>
  <sheets>
    <sheet name="A12-1" sheetId="1" r:id="rId1"/>
    <sheet name="A12-2" sheetId="2" r:id="rId2"/>
    <sheet name="A12-3" sheetId="3" r:id="rId3"/>
    <sheet name="A12-4" sheetId="4" r:id="rId4"/>
    <sheet name="A12-5" sheetId="5" r:id="rId5"/>
    <sheet name="graf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6" l="1"/>
  <c r="F23" i="6"/>
  <c r="E23" i="6"/>
  <c r="F309" i="5"/>
  <c r="E2" i="5"/>
  <c r="F2" i="5" s="1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 s="1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F104" i="5" s="1"/>
  <c r="E105" i="5"/>
  <c r="F105" i="5" s="1"/>
  <c r="E106" i="5"/>
  <c r="F106" i="5" s="1"/>
  <c r="E107" i="5"/>
  <c r="F107" i="5" s="1"/>
  <c r="E108" i="5"/>
  <c r="F108" i="5" s="1"/>
  <c r="E109" i="5"/>
  <c r="F109" i="5" s="1"/>
  <c r="E110" i="5"/>
  <c r="F110" i="5" s="1"/>
  <c r="E111" i="5"/>
  <c r="F111" i="5" s="1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E118" i="5"/>
  <c r="F118" i="5" s="1"/>
  <c r="E119" i="5"/>
  <c r="F119" i="5" s="1"/>
  <c r="E120" i="5"/>
  <c r="F120" i="5" s="1"/>
  <c r="E121" i="5"/>
  <c r="F121" i="5" s="1"/>
  <c r="E122" i="5"/>
  <c r="F122" i="5" s="1"/>
  <c r="E123" i="5"/>
  <c r="F123" i="5" s="1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F132" i="5" s="1"/>
  <c r="E133" i="5"/>
  <c r="F133" i="5" s="1"/>
  <c r="E134" i="5"/>
  <c r="F134" i="5" s="1"/>
  <c r="E135" i="5"/>
  <c r="F135" i="5" s="1"/>
  <c r="E136" i="5"/>
  <c r="F136" i="5" s="1"/>
  <c r="E137" i="5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E147" i="5"/>
  <c r="F147" i="5" s="1"/>
  <c r="E148" i="5"/>
  <c r="F148" i="5" s="1"/>
  <c r="E149" i="5"/>
  <c r="F149" i="5" s="1"/>
  <c r="E150" i="5"/>
  <c r="F150" i="5" s="1"/>
  <c r="E151" i="5"/>
  <c r="F151" i="5" s="1"/>
  <c r="E152" i="5"/>
  <c r="F152" i="5" s="1"/>
  <c r="E153" i="5"/>
  <c r="F153" i="5" s="1"/>
  <c r="E154" i="5"/>
  <c r="F154" i="5" s="1"/>
  <c r="E155" i="5"/>
  <c r="F155" i="5" s="1"/>
  <c r="E156" i="5"/>
  <c r="F156" i="5" s="1"/>
  <c r="E157" i="5"/>
  <c r="F157" i="5" s="1"/>
  <c r="E158" i="5"/>
  <c r="F158" i="5" s="1"/>
  <c r="E159" i="5"/>
  <c r="F159" i="5" s="1"/>
  <c r="E160" i="5"/>
  <c r="F160" i="5" s="1"/>
  <c r="E161" i="5"/>
  <c r="F161" i="5" s="1"/>
  <c r="E162" i="5"/>
  <c r="F162" i="5" s="1"/>
  <c r="E163" i="5"/>
  <c r="F163" i="5" s="1"/>
  <c r="E164" i="5"/>
  <c r="F164" i="5" s="1"/>
  <c r="E165" i="5"/>
  <c r="F165" i="5" s="1"/>
  <c r="E166" i="5"/>
  <c r="F166" i="5" s="1"/>
  <c r="E167" i="5"/>
  <c r="F167" i="5" s="1"/>
  <c r="E168" i="5"/>
  <c r="F168" i="5" s="1"/>
  <c r="E169" i="5"/>
  <c r="F169" i="5" s="1"/>
  <c r="E170" i="5"/>
  <c r="F170" i="5" s="1"/>
  <c r="E171" i="5"/>
  <c r="F171" i="5" s="1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F180" i="5" s="1"/>
  <c r="E181" i="5"/>
  <c r="F181" i="5" s="1"/>
  <c r="E182" i="5"/>
  <c r="F182" i="5" s="1"/>
  <c r="E183" i="5"/>
  <c r="F183" i="5" s="1"/>
  <c r="E184" i="5"/>
  <c r="F184" i="5" s="1"/>
  <c r="E185" i="5"/>
  <c r="F185" i="5" s="1"/>
  <c r="E186" i="5"/>
  <c r="F186" i="5" s="1"/>
  <c r="E187" i="5"/>
  <c r="F187" i="5" s="1"/>
  <c r="E188" i="5"/>
  <c r="F188" i="5" s="1"/>
  <c r="E189" i="5"/>
  <c r="F189" i="5" s="1"/>
  <c r="E190" i="5"/>
  <c r="F190" i="5" s="1"/>
  <c r="E191" i="5"/>
  <c r="F191" i="5" s="1"/>
  <c r="E192" i="5"/>
  <c r="F192" i="5" s="1"/>
  <c r="E193" i="5"/>
  <c r="F193" i="5" s="1"/>
  <c r="E194" i="5"/>
  <c r="F194" i="5" s="1"/>
  <c r="E195" i="5"/>
  <c r="F195" i="5" s="1"/>
  <c r="E196" i="5"/>
  <c r="F196" i="5" s="1"/>
  <c r="E197" i="5"/>
  <c r="F197" i="5" s="1"/>
  <c r="E198" i="5"/>
  <c r="F198" i="5" s="1"/>
  <c r="E199" i="5"/>
  <c r="F199" i="5" s="1"/>
  <c r="E200" i="5"/>
  <c r="F200" i="5" s="1"/>
  <c r="E201" i="5"/>
  <c r="F201" i="5" s="1"/>
  <c r="E202" i="5"/>
  <c r="F202" i="5" s="1"/>
  <c r="E203" i="5"/>
  <c r="F203" i="5" s="1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 s="1"/>
  <c r="E210" i="5"/>
  <c r="F210" i="5" s="1"/>
  <c r="E211" i="5"/>
  <c r="F211" i="5" s="1"/>
  <c r="E212" i="5"/>
  <c r="F212" i="5" s="1"/>
  <c r="E213" i="5"/>
  <c r="F213" i="5" s="1"/>
  <c r="E214" i="5"/>
  <c r="F214" i="5" s="1"/>
  <c r="E215" i="5"/>
  <c r="F215" i="5" s="1"/>
  <c r="E216" i="5"/>
  <c r="F216" i="5" s="1"/>
  <c r="E217" i="5"/>
  <c r="F217" i="5" s="1"/>
  <c r="E218" i="5"/>
  <c r="F218" i="5" s="1"/>
  <c r="E219" i="5"/>
  <c r="F219" i="5" s="1"/>
  <c r="E220" i="5"/>
  <c r="F220" i="5" s="1"/>
  <c r="E221" i="5"/>
  <c r="F221" i="5" s="1"/>
  <c r="E222" i="5"/>
  <c r="F222" i="5" s="1"/>
  <c r="E223" i="5"/>
  <c r="F223" i="5" s="1"/>
  <c r="E224" i="5"/>
  <c r="F224" i="5" s="1"/>
  <c r="E225" i="5"/>
  <c r="F225" i="5" s="1"/>
  <c r="E226" i="5"/>
  <c r="F226" i="5" s="1"/>
  <c r="E227" i="5"/>
  <c r="F227" i="5" s="1"/>
  <c r="E228" i="5"/>
  <c r="F228" i="5" s="1"/>
  <c r="E229" i="5"/>
  <c r="F229" i="5" s="1"/>
  <c r="E230" i="5"/>
  <c r="F230" i="5" s="1"/>
  <c r="E231" i="5"/>
  <c r="F231" i="5" s="1"/>
  <c r="E232" i="5"/>
  <c r="F232" i="5" s="1"/>
  <c r="E233" i="5"/>
  <c r="F233" i="5" s="1"/>
  <c r="E234" i="5"/>
  <c r="F234" i="5" s="1"/>
  <c r="E235" i="5"/>
  <c r="F235" i="5" s="1"/>
  <c r="E236" i="5"/>
  <c r="F236" i="5" s="1"/>
  <c r="E237" i="5"/>
  <c r="F237" i="5" s="1"/>
  <c r="E238" i="5"/>
  <c r="F238" i="5" s="1"/>
  <c r="E239" i="5"/>
  <c r="F239" i="5" s="1"/>
  <c r="E240" i="5"/>
  <c r="F240" i="5" s="1"/>
  <c r="E241" i="5"/>
  <c r="F241" i="5" s="1"/>
  <c r="E242" i="5"/>
  <c r="F242" i="5" s="1"/>
  <c r="E243" i="5"/>
  <c r="F243" i="5" s="1"/>
  <c r="E244" i="5"/>
  <c r="F244" i="5" s="1"/>
  <c r="E245" i="5"/>
  <c r="F245" i="5" s="1"/>
  <c r="E246" i="5"/>
  <c r="F246" i="5" s="1"/>
  <c r="E247" i="5"/>
  <c r="F247" i="5" s="1"/>
  <c r="E248" i="5"/>
  <c r="F248" i="5" s="1"/>
  <c r="E249" i="5"/>
  <c r="F249" i="5" s="1"/>
  <c r="E250" i="5"/>
  <c r="F250" i="5" s="1"/>
  <c r="E251" i="5"/>
  <c r="F251" i="5" s="1"/>
  <c r="E252" i="5"/>
  <c r="F252" i="5" s="1"/>
  <c r="E253" i="5"/>
  <c r="F253" i="5" s="1"/>
  <c r="E254" i="5"/>
  <c r="F254" i="5" s="1"/>
  <c r="E255" i="5"/>
  <c r="F255" i="5" s="1"/>
  <c r="E256" i="5"/>
  <c r="F256" i="5" s="1"/>
  <c r="E257" i="5"/>
  <c r="F257" i="5" s="1"/>
  <c r="E258" i="5"/>
  <c r="F258" i="5" s="1"/>
  <c r="E259" i="5"/>
  <c r="F259" i="5" s="1"/>
  <c r="E260" i="5"/>
  <c r="F260" i="5" s="1"/>
  <c r="E261" i="5"/>
  <c r="F261" i="5" s="1"/>
  <c r="E262" i="5"/>
  <c r="F262" i="5" s="1"/>
  <c r="E263" i="5"/>
  <c r="F263" i="5" s="1"/>
  <c r="E264" i="5"/>
  <c r="F264" i="5" s="1"/>
  <c r="E265" i="5"/>
  <c r="F265" i="5" s="1"/>
  <c r="E266" i="5"/>
  <c r="F266" i="5" s="1"/>
  <c r="E267" i="5"/>
  <c r="F267" i="5" s="1"/>
  <c r="E268" i="5"/>
  <c r="F268" i="5" s="1"/>
  <c r="E269" i="5"/>
  <c r="F269" i="5" s="1"/>
  <c r="E270" i="5"/>
  <c r="F270" i="5" s="1"/>
  <c r="E271" i="5"/>
  <c r="F271" i="5" s="1"/>
  <c r="E272" i="5"/>
  <c r="F272" i="5" s="1"/>
  <c r="E273" i="5"/>
  <c r="F273" i="5" s="1"/>
  <c r="E274" i="5"/>
  <c r="F274" i="5" s="1"/>
  <c r="E275" i="5"/>
  <c r="F275" i="5" s="1"/>
  <c r="E276" i="5"/>
  <c r="F276" i="5" s="1"/>
  <c r="E277" i="5"/>
  <c r="F277" i="5" s="1"/>
  <c r="E278" i="5"/>
  <c r="F278" i="5" s="1"/>
  <c r="E279" i="5"/>
  <c r="F279" i="5" s="1"/>
  <c r="E280" i="5"/>
  <c r="F280" i="5" s="1"/>
  <c r="E281" i="5"/>
  <c r="F281" i="5" s="1"/>
  <c r="E282" i="5"/>
  <c r="F282" i="5" s="1"/>
  <c r="E283" i="5"/>
  <c r="F283" i="5" s="1"/>
  <c r="E284" i="5"/>
  <c r="F284" i="5" s="1"/>
  <c r="E285" i="5"/>
  <c r="F285" i="5" s="1"/>
  <c r="E286" i="5"/>
  <c r="F286" i="5" s="1"/>
  <c r="E287" i="5"/>
  <c r="F287" i="5" s="1"/>
  <c r="E288" i="5"/>
  <c r="F288" i="5" s="1"/>
  <c r="E289" i="5"/>
  <c r="F289" i="5" s="1"/>
  <c r="E290" i="5"/>
  <c r="F290" i="5" s="1"/>
  <c r="E291" i="5"/>
  <c r="F291" i="5" s="1"/>
  <c r="E292" i="5"/>
  <c r="F292" i="5" s="1"/>
  <c r="E293" i="5"/>
  <c r="F293" i="5" s="1"/>
  <c r="E294" i="5"/>
  <c r="F294" i="5" s="1"/>
  <c r="E295" i="5"/>
  <c r="F295" i="5" s="1"/>
  <c r="E296" i="5"/>
  <c r="F296" i="5" s="1"/>
  <c r="E297" i="5"/>
  <c r="F297" i="5" s="1"/>
  <c r="E298" i="5"/>
  <c r="F298" i="5" s="1"/>
  <c r="E299" i="5"/>
  <c r="F299" i="5" s="1"/>
  <c r="E300" i="5"/>
  <c r="F300" i="5" s="1"/>
  <c r="E301" i="5"/>
  <c r="F301" i="5" s="1"/>
  <c r="E302" i="5"/>
  <c r="F302" i="5" s="1"/>
  <c r="E303" i="5"/>
  <c r="F303" i="5" s="1"/>
  <c r="E304" i="5"/>
  <c r="F304" i="5" s="1"/>
  <c r="E305" i="5"/>
  <c r="F305" i="5" s="1"/>
  <c r="E306" i="5"/>
  <c r="F306" i="5" s="1"/>
  <c r="E307" i="5"/>
  <c r="F307" i="5" s="1"/>
  <c r="E308" i="5"/>
  <c r="F308" i="5" s="1"/>
  <c r="E309" i="5"/>
  <c r="E310" i="5"/>
  <c r="F310" i="5" s="1"/>
  <c r="E311" i="5"/>
  <c r="F311" i="5" s="1"/>
  <c r="E312" i="5"/>
  <c r="F312" i="5" s="1"/>
  <c r="E313" i="5"/>
  <c r="F313" i="5" s="1"/>
  <c r="E314" i="5"/>
  <c r="F314" i="5" s="1"/>
  <c r="E315" i="5"/>
  <c r="F315" i="5" s="1"/>
  <c r="E316" i="5"/>
  <c r="F316" i="5" s="1"/>
  <c r="E317" i="5"/>
  <c r="F317" i="5" s="1"/>
  <c r="E318" i="5"/>
  <c r="F318" i="5" s="1"/>
  <c r="E319" i="5"/>
  <c r="F319" i="5" s="1"/>
  <c r="E320" i="5"/>
  <c r="F320" i="5" s="1"/>
  <c r="E321" i="5"/>
  <c r="F321" i="5" s="1"/>
  <c r="E322" i="5"/>
  <c r="F322" i="5" s="1"/>
  <c r="E323" i="5"/>
  <c r="F323" i="5" s="1"/>
  <c r="E324" i="5"/>
  <c r="F324" i="5" s="1"/>
  <c r="E325" i="5"/>
  <c r="F325" i="5" s="1"/>
  <c r="E326" i="5"/>
  <c r="F326" i="5" s="1"/>
  <c r="E327" i="5"/>
  <c r="F327" i="5" s="1"/>
  <c r="E328" i="5"/>
  <c r="F328" i="5" s="1"/>
  <c r="E329" i="5"/>
  <c r="F329" i="5" s="1"/>
  <c r="E330" i="5"/>
  <c r="F330" i="5" s="1"/>
  <c r="E331" i="5"/>
  <c r="F331" i="5" s="1"/>
  <c r="E332" i="5"/>
  <c r="F332" i="5" s="1"/>
  <c r="E333" i="5"/>
  <c r="F333" i="5" s="1"/>
  <c r="E334" i="5"/>
  <c r="F334" i="5" s="1"/>
  <c r="E335" i="5"/>
  <c r="F335" i="5" s="1"/>
  <c r="E336" i="5"/>
  <c r="F336" i="5" s="1"/>
  <c r="E337" i="5"/>
  <c r="F337" i="5" s="1"/>
  <c r="E338" i="5"/>
  <c r="F338" i="5" s="1"/>
  <c r="E339" i="5"/>
  <c r="F339" i="5" s="1"/>
  <c r="E340" i="5"/>
  <c r="F340" i="5" s="1"/>
  <c r="E341" i="5"/>
  <c r="F341" i="5" s="1"/>
  <c r="E342" i="5"/>
  <c r="F342" i="5" s="1"/>
  <c r="E343" i="5"/>
  <c r="F343" i="5" s="1"/>
  <c r="E344" i="5"/>
  <c r="F344" i="5" s="1"/>
  <c r="E345" i="5"/>
  <c r="F345" i="5" s="1"/>
  <c r="E346" i="5"/>
  <c r="F346" i="5" s="1"/>
  <c r="E347" i="5"/>
  <c r="F347" i="5" s="1"/>
  <c r="E348" i="5"/>
  <c r="F348" i="5" s="1"/>
  <c r="E349" i="5"/>
  <c r="F349" i="5" s="1"/>
  <c r="E350" i="5"/>
  <c r="F350" i="5" s="1"/>
  <c r="E351" i="5"/>
  <c r="F351" i="5" s="1"/>
  <c r="E352" i="5"/>
  <c r="F352" i="5" s="1"/>
  <c r="E353" i="5"/>
  <c r="F353" i="5" s="1"/>
  <c r="E354" i="5"/>
  <c r="F354" i="5" s="1"/>
  <c r="E355" i="5"/>
  <c r="F355" i="5" s="1"/>
  <c r="E356" i="5"/>
  <c r="F356" i="5" s="1"/>
  <c r="E357" i="5"/>
  <c r="F357" i="5" s="1"/>
  <c r="E358" i="5"/>
  <c r="F358" i="5" s="1"/>
  <c r="E359" i="5"/>
  <c r="F359" i="5" s="1"/>
  <c r="E360" i="5"/>
  <c r="F360" i="5" s="1"/>
  <c r="E361" i="5"/>
  <c r="F361" i="5" s="1"/>
  <c r="E362" i="5"/>
  <c r="F362" i="5" s="1"/>
  <c r="E363" i="5"/>
  <c r="F363" i="5" s="1"/>
  <c r="E364" i="5"/>
  <c r="F364" i="5" s="1"/>
  <c r="E365" i="5"/>
  <c r="F365" i="5" s="1"/>
  <c r="E366" i="5"/>
  <c r="F366" i="5" s="1"/>
  <c r="E367" i="5"/>
  <c r="F367" i="5" s="1"/>
  <c r="E368" i="5"/>
  <c r="F368" i="5" s="1"/>
  <c r="E369" i="5"/>
  <c r="F369" i="5" s="1"/>
  <c r="E370" i="5"/>
  <c r="F370" i="5" s="1"/>
  <c r="E371" i="5"/>
  <c r="F371" i="5" s="1"/>
  <c r="E372" i="5"/>
  <c r="F372" i="5" s="1"/>
  <c r="E373" i="5"/>
  <c r="F373" i="5" s="1"/>
  <c r="E374" i="5"/>
  <c r="F374" i="5" s="1"/>
  <c r="E375" i="5"/>
  <c r="F375" i="5" s="1"/>
  <c r="E376" i="5"/>
  <c r="F376" i="5" s="1"/>
  <c r="E377" i="5"/>
  <c r="F377" i="5" s="1"/>
  <c r="E378" i="5"/>
  <c r="F378" i="5" s="1"/>
  <c r="E379" i="5"/>
  <c r="F379" i="5" s="1"/>
  <c r="E380" i="5"/>
  <c r="F380" i="5" s="1"/>
  <c r="E381" i="5"/>
  <c r="F381" i="5" s="1"/>
  <c r="E382" i="5"/>
  <c r="F382" i="5" s="1"/>
  <c r="E383" i="5"/>
  <c r="F383" i="5" s="1"/>
  <c r="E384" i="5"/>
  <c r="F384" i="5" s="1"/>
  <c r="E385" i="5"/>
  <c r="F385" i="5" s="1"/>
  <c r="E386" i="5"/>
  <c r="F386" i="5" s="1"/>
  <c r="E387" i="5"/>
  <c r="F387" i="5" s="1"/>
  <c r="E388" i="5"/>
  <c r="F388" i="5" s="1"/>
  <c r="E389" i="5"/>
  <c r="F389" i="5" s="1"/>
  <c r="E390" i="5"/>
  <c r="F390" i="5" s="1"/>
  <c r="E391" i="5"/>
  <c r="F391" i="5" s="1"/>
  <c r="E392" i="5"/>
  <c r="F392" i="5" s="1"/>
  <c r="E393" i="5"/>
  <c r="F393" i="5" s="1"/>
  <c r="E394" i="5"/>
  <c r="F394" i="5" s="1"/>
  <c r="E395" i="5"/>
  <c r="F395" i="5" s="1"/>
  <c r="E396" i="5"/>
  <c r="F396" i="5" s="1"/>
  <c r="E397" i="5"/>
  <c r="F397" i="5" s="1"/>
  <c r="E398" i="5"/>
  <c r="F398" i="5" s="1"/>
  <c r="E399" i="5"/>
  <c r="F399" i="5" s="1"/>
  <c r="E400" i="5"/>
  <c r="F400" i="5" s="1"/>
  <c r="E401" i="5"/>
  <c r="F401" i="5" s="1"/>
  <c r="E402" i="5"/>
  <c r="F402" i="5" s="1"/>
  <c r="E403" i="5"/>
  <c r="F403" i="5" s="1"/>
  <c r="E404" i="5"/>
  <c r="F404" i="5" s="1"/>
  <c r="E405" i="5"/>
  <c r="F405" i="5" s="1"/>
  <c r="E406" i="5"/>
  <c r="F406" i="5" s="1"/>
  <c r="E407" i="5"/>
  <c r="F407" i="5" s="1"/>
  <c r="E408" i="5"/>
  <c r="F408" i="5" s="1"/>
  <c r="E409" i="5"/>
  <c r="F409" i="5" s="1"/>
  <c r="E410" i="5"/>
  <c r="F410" i="5" s="1"/>
  <c r="E411" i="5"/>
  <c r="F411" i="5" s="1"/>
  <c r="E412" i="5"/>
  <c r="F412" i="5" s="1"/>
  <c r="E413" i="5"/>
  <c r="F413" i="5" s="1"/>
  <c r="E414" i="5"/>
  <c r="F414" i="5" s="1"/>
  <c r="E415" i="5"/>
  <c r="F415" i="5" s="1"/>
  <c r="E416" i="5"/>
  <c r="F416" i="5" s="1"/>
  <c r="E417" i="5"/>
  <c r="F417" i="5" s="1"/>
  <c r="E418" i="5"/>
  <c r="F418" i="5" s="1"/>
  <c r="E419" i="5"/>
  <c r="F419" i="5" s="1"/>
  <c r="E420" i="5"/>
  <c r="F420" i="5" s="1"/>
  <c r="E421" i="5"/>
  <c r="F421" i="5" s="1"/>
  <c r="E422" i="5"/>
  <c r="F422" i="5" s="1"/>
  <c r="E423" i="5"/>
  <c r="F423" i="5" s="1"/>
  <c r="E424" i="5"/>
  <c r="F424" i="5" s="1"/>
  <c r="E425" i="5"/>
  <c r="F425" i="5" s="1"/>
  <c r="E426" i="5"/>
  <c r="F426" i="5" s="1"/>
  <c r="E427" i="5"/>
  <c r="F427" i="5" s="1"/>
  <c r="E428" i="5"/>
  <c r="F428" i="5" s="1"/>
  <c r="E429" i="5"/>
  <c r="F429" i="5" s="1"/>
  <c r="E430" i="5"/>
  <c r="F430" i="5" s="1"/>
  <c r="E431" i="5"/>
  <c r="F431" i="5" s="1"/>
  <c r="E432" i="5"/>
  <c r="F432" i="5" s="1"/>
  <c r="E433" i="5"/>
  <c r="F433" i="5" s="1"/>
  <c r="E434" i="5"/>
  <c r="F434" i="5" s="1"/>
  <c r="E435" i="5"/>
  <c r="F435" i="5" s="1"/>
  <c r="E436" i="5"/>
  <c r="F436" i="5" s="1"/>
  <c r="E437" i="5"/>
  <c r="F437" i="5" s="1"/>
  <c r="E438" i="5"/>
  <c r="F438" i="5" s="1"/>
  <c r="E439" i="5"/>
  <c r="F439" i="5" s="1"/>
  <c r="E440" i="5"/>
  <c r="F440" i="5" s="1"/>
  <c r="E441" i="5"/>
  <c r="F441" i="5" s="1"/>
  <c r="E442" i="5"/>
  <c r="F442" i="5" s="1"/>
  <c r="E443" i="5"/>
  <c r="F443" i="5" s="1"/>
  <c r="E444" i="5"/>
  <c r="F444" i="5" s="1"/>
  <c r="E445" i="5"/>
  <c r="F445" i="5" s="1"/>
  <c r="E446" i="5"/>
  <c r="F446" i="5" s="1"/>
  <c r="E447" i="5"/>
  <c r="F447" i="5" s="1"/>
  <c r="E448" i="5"/>
  <c r="F448" i="5" s="1"/>
  <c r="E449" i="5"/>
  <c r="F449" i="5" s="1"/>
  <c r="E450" i="5"/>
  <c r="F450" i="5" s="1"/>
  <c r="E451" i="5"/>
  <c r="F451" i="5" s="1"/>
  <c r="E452" i="5"/>
  <c r="F452" i="5" s="1"/>
  <c r="E453" i="5"/>
  <c r="F453" i="5" s="1"/>
  <c r="E454" i="5"/>
  <c r="F454" i="5" s="1"/>
  <c r="E455" i="5"/>
  <c r="F455" i="5" s="1"/>
  <c r="E456" i="5"/>
  <c r="F456" i="5" s="1"/>
  <c r="E457" i="5"/>
  <c r="F457" i="5" s="1"/>
  <c r="E458" i="5"/>
  <c r="F458" i="5" s="1"/>
  <c r="E459" i="5"/>
  <c r="F459" i="5" s="1"/>
  <c r="E460" i="5"/>
  <c r="F460" i="5" s="1"/>
  <c r="E461" i="5"/>
  <c r="F461" i="5" s="1"/>
  <c r="E462" i="5"/>
  <c r="F462" i="5" s="1"/>
  <c r="E463" i="5"/>
  <c r="F463" i="5" s="1"/>
  <c r="E464" i="5"/>
  <c r="F464" i="5" s="1"/>
  <c r="E465" i="5"/>
  <c r="F465" i="5" s="1"/>
  <c r="E466" i="5"/>
  <c r="F466" i="5" s="1"/>
  <c r="E467" i="5"/>
  <c r="F467" i="5" s="1"/>
  <c r="E468" i="5"/>
  <c r="F468" i="5" s="1"/>
  <c r="E469" i="5"/>
  <c r="F469" i="5" s="1"/>
  <c r="E470" i="5"/>
  <c r="F470" i="5" s="1"/>
  <c r="E471" i="5"/>
  <c r="F471" i="5" s="1"/>
  <c r="E472" i="5"/>
  <c r="F472" i="5" s="1"/>
  <c r="E473" i="5"/>
  <c r="F473" i="5" s="1"/>
  <c r="E474" i="5"/>
  <c r="F474" i="5" s="1"/>
  <c r="E475" i="5"/>
  <c r="F475" i="5" s="1"/>
  <c r="E476" i="5"/>
  <c r="F476" i="5" s="1"/>
  <c r="E477" i="5"/>
  <c r="F477" i="5" s="1"/>
  <c r="E478" i="5"/>
  <c r="F478" i="5" s="1"/>
  <c r="E479" i="5"/>
  <c r="F479" i="5" s="1"/>
  <c r="E480" i="5"/>
  <c r="F480" i="5" s="1"/>
  <c r="E481" i="5"/>
  <c r="F481" i="5" s="1"/>
  <c r="E482" i="5"/>
  <c r="F482" i="5" s="1"/>
  <c r="E483" i="5"/>
  <c r="F483" i="5" s="1"/>
  <c r="E484" i="5"/>
  <c r="F484" i="5" s="1"/>
  <c r="E485" i="5"/>
  <c r="F485" i="5" s="1"/>
  <c r="E486" i="5"/>
  <c r="F486" i="5" s="1"/>
  <c r="E487" i="5"/>
  <c r="F487" i="5" s="1"/>
  <c r="E488" i="5"/>
  <c r="F488" i="5" s="1"/>
  <c r="E489" i="5"/>
  <c r="F489" i="5" s="1"/>
  <c r="E490" i="5"/>
  <c r="F490" i="5" s="1"/>
  <c r="E491" i="5"/>
  <c r="F491" i="5" s="1"/>
  <c r="E492" i="5"/>
  <c r="F492" i="5" s="1"/>
  <c r="E493" i="5"/>
  <c r="F493" i="5" s="1"/>
  <c r="E494" i="5"/>
  <c r="F494" i="5" s="1"/>
  <c r="E495" i="5"/>
  <c r="F495" i="5" s="1"/>
  <c r="E496" i="5"/>
  <c r="F496" i="5" s="1"/>
  <c r="E497" i="5"/>
  <c r="F497" i="5" s="1"/>
  <c r="E498" i="5"/>
  <c r="F498" i="5" s="1"/>
  <c r="E499" i="5"/>
  <c r="F499" i="5" s="1"/>
  <c r="E500" i="5"/>
  <c r="F500" i="5" s="1"/>
  <c r="E501" i="5"/>
  <c r="F501" i="5" s="1"/>
  <c r="E502" i="5"/>
  <c r="F502" i="5" s="1"/>
  <c r="E503" i="5"/>
  <c r="F503" i="5" s="1"/>
  <c r="E504" i="5"/>
  <c r="F504" i="5" s="1"/>
  <c r="E505" i="5"/>
  <c r="F505" i="5" s="1"/>
  <c r="E506" i="5"/>
  <c r="F506" i="5" s="1"/>
  <c r="E507" i="5"/>
  <c r="F507" i="5" s="1"/>
  <c r="E508" i="5"/>
  <c r="F508" i="5" s="1"/>
  <c r="E509" i="5"/>
  <c r="F509" i="5" s="1"/>
  <c r="E510" i="5"/>
  <c r="F510" i="5" s="1"/>
  <c r="E511" i="5"/>
  <c r="F511" i="5" s="1"/>
  <c r="E512" i="5"/>
  <c r="F512" i="5" s="1"/>
  <c r="E513" i="5"/>
  <c r="F513" i="5" s="1"/>
  <c r="E514" i="5"/>
  <c r="F514" i="5" s="1"/>
  <c r="E515" i="5"/>
  <c r="F515" i="5" s="1"/>
  <c r="E516" i="5"/>
  <c r="F516" i="5" s="1"/>
  <c r="E517" i="5"/>
  <c r="F517" i="5" s="1"/>
  <c r="E518" i="5"/>
  <c r="F518" i="5" s="1"/>
  <c r="E519" i="5"/>
  <c r="F519" i="5" s="1"/>
  <c r="E520" i="5"/>
  <c r="F520" i="5" s="1"/>
  <c r="E521" i="5"/>
  <c r="F521" i="5" s="1"/>
  <c r="E522" i="5"/>
  <c r="F522" i="5" s="1"/>
  <c r="E523" i="5"/>
  <c r="F523" i="5" s="1"/>
  <c r="E524" i="5"/>
  <c r="F524" i="5" s="1"/>
  <c r="E525" i="5"/>
  <c r="F525" i="5" s="1"/>
  <c r="E526" i="5"/>
  <c r="F526" i="5" s="1"/>
  <c r="E527" i="5"/>
  <c r="F527" i="5" s="1"/>
  <c r="E528" i="5"/>
  <c r="F528" i="5" s="1"/>
  <c r="E529" i="5"/>
  <c r="F529" i="5" s="1"/>
  <c r="E530" i="5"/>
  <c r="F530" i="5" s="1"/>
  <c r="E531" i="5"/>
  <c r="F531" i="5" s="1"/>
  <c r="E532" i="5"/>
  <c r="F532" i="5" s="1"/>
  <c r="E533" i="5"/>
  <c r="F533" i="5" s="1"/>
  <c r="E534" i="5"/>
  <c r="F534" i="5" s="1"/>
  <c r="E535" i="5"/>
  <c r="F535" i="5" s="1"/>
  <c r="E536" i="5"/>
  <c r="F536" i="5" s="1"/>
  <c r="E537" i="5"/>
  <c r="F537" i="5" s="1"/>
  <c r="E538" i="5"/>
  <c r="F538" i="5" s="1"/>
  <c r="E539" i="5"/>
  <c r="F539" i="5" s="1"/>
  <c r="E540" i="5"/>
  <c r="F540" i="5" s="1"/>
  <c r="E541" i="5"/>
  <c r="F541" i="5" s="1"/>
  <c r="E542" i="5"/>
  <c r="F542" i="5" s="1"/>
  <c r="E543" i="5"/>
  <c r="F543" i="5" s="1"/>
  <c r="E544" i="5"/>
  <c r="F544" i="5" s="1"/>
  <c r="E545" i="5"/>
  <c r="F545" i="5" s="1"/>
  <c r="E546" i="5"/>
  <c r="F546" i="5" s="1"/>
  <c r="E547" i="5"/>
  <c r="F547" i="5" s="1"/>
  <c r="E548" i="5"/>
  <c r="F548" i="5" s="1"/>
  <c r="E549" i="5"/>
  <c r="F549" i="5" s="1"/>
  <c r="E550" i="5"/>
  <c r="F550" i="5" s="1"/>
  <c r="E551" i="5"/>
  <c r="F551" i="5" s="1"/>
  <c r="E552" i="5"/>
  <c r="F552" i="5" s="1"/>
  <c r="E553" i="5"/>
  <c r="F553" i="5" s="1"/>
  <c r="E554" i="5"/>
  <c r="F554" i="5" s="1"/>
  <c r="E555" i="5"/>
  <c r="F555" i="5" s="1"/>
  <c r="E556" i="5"/>
  <c r="F556" i="5" s="1"/>
  <c r="E557" i="5"/>
  <c r="F557" i="5" s="1"/>
  <c r="E558" i="5"/>
  <c r="F558" i="5" s="1"/>
  <c r="E559" i="5"/>
  <c r="F559" i="5" s="1"/>
  <c r="E560" i="5"/>
  <c r="F560" i="5" s="1"/>
  <c r="E561" i="5"/>
  <c r="F561" i="5" s="1"/>
  <c r="E562" i="5"/>
  <c r="F562" i="5" s="1"/>
  <c r="E563" i="5"/>
  <c r="F563" i="5" s="1"/>
  <c r="E564" i="5"/>
  <c r="F564" i="5" s="1"/>
  <c r="E565" i="5"/>
  <c r="F565" i="5" s="1"/>
  <c r="E566" i="5"/>
  <c r="F566" i="5" s="1"/>
  <c r="E567" i="5"/>
  <c r="F567" i="5" s="1"/>
  <c r="E568" i="5"/>
  <c r="F568" i="5" s="1"/>
  <c r="E569" i="5"/>
  <c r="F569" i="5" s="1"/>
  <c r="E570" i="5"/>
  <c r="F570" i="5" s="1"/>
  <c r="E571" i="5"/>
  <c r="F571" i="5" s="1"/>
  <c r="E572" i="5"/>
  <c r="F572" i="5" s="1"/>
  <c r="E573" i="5"/>
  <c r="F573" i="5" s="1"/>
  <c r="E574" i="5"/>
  <c r="F574" i="5" s="1"/>
  <c r="E575" i="5"/>
  <c r="F575" i="5" s="1"/>
  <c r="E576" i="5"/>
  <c r="F576" i="5" s="1"/>
  <c r="E577" i="5"/>
  <c r="F577" i="5" s="1"/>
  <c r="E578" i="5"/>
  <c r="F578" i="5" s="1"/>
  <c r="E579" i="5"/>
  <c r="F579" i="5" s="1"/>
  <c r="E580" i="5"/>
  <c r="F580" i="5" s="1"/>
  <c r="E581" i="5"/>
  <c r="F581" i="5" s="1"/>
  <c r="E582" i="5"/>
  <c r="F582" i="5" s="1"/>
  <c r="E583" i="5"/>
  <c r="F583" i="5" s="1"/>
  <c r="E584" i="5"/>
  <c r="F584" i="5" s="1"/>
  <c r="E585" i="5"/>
  <c r="F585" i="5" s="1"/>
  <c r="E586" i="5"/>
  <c r="F586" i="5" s="1"/>
  <c r="E587" i="5"/>
  <c r="F587" i="5" s="1"/>
  <c r="E588" i="5"/>
  <c r="F588" i="5" s="1"/>
  <c r="E589" i="5"/>
  <c r="F589" i="5" s="1"/>
  <c r="E590" i="5"/>
  <c r="F590" i="5" s="1"/>
  <c r="E591" i="5"/>
  <c r="F591" i="5" s="1"/>
  <c r="E592" i="5"/>
  <c r="F592" i="5" s="1"/>
  <c r="E593" i="5"/>
  <c r="F593" i="5" s="1"/>
  <c r="E594" i="5"/>
  <c r="F594" i="5" s="1"/>
  <c r="E595" i="5"/>
  <c r="F595" i="5" s="1"/>
  <c r="E596" i="5"/>
  <c r="F596" i="5" s="1"/>
  <c r="E597" i="5"/>
  <c r="F597" i="5" s="1"/>
  <c r="E598" i="5"/>
  <c r="F598" i="5" s="1"/>
  <c r="E599" i="5"/>
  <c r="F599" i="5" s="1"/>
  <c r="E600" i="5"/>
  <c r="F600" i="5" s="1"/>
  <c r="E601" i="5"/>
  <c r="F601" i="5" s="1"/>
  <c r="E602" i="5"/>
  <c r="F602" i="5" s="1"/>
  <c r="E603" i="5"/>
  <c r="F603" i="5" s="1"/>
  <c r="E604" i="5"/>
  <c r="F604" i="5" s="1"/>
  <c r="E605" i="5"/>
  <c r="F605" i="5" s="1"/>
  <c r="E606" i="5"/>
  <c r="F606" i="5" s="1"/>
  <c r="E607" i="5"/>
  <c r="F607" i="5" s="1"/>
  <c r="E608" i="5"/>
  <c r="F608" i="5" s="1"/>
  <c r="E609" i="5"/>
  <c r="F609" i="5" s="1"/>
  <c r="E610" i="5"/>
  <c r="F610" i="5" s="1"/>
  <c r="E611" i="5"/>
  <c r="F611" i="5" s="1"/>
  <c r="E612" i="5"/>
  <c r="F612" i="5" s="1"/>
  <c r="E613" i="5"/>
  <c r="F613" i="5" s="1"/>
  <c r="E614" i="5"/>
  <c r="F614" i="5" s="1"/>
  <c r="E615" i="5"/>
  <c r="F615" i="5" s="1"/>
  <c r="E616" i="5"/>
  <c r="F616" i="5" s="1"/>
  <c r="E617" i="5"/>
  <c r="F617" i="5" s="1"/>
  <c r="E618" i="5"/>
  <c r="F618" i="5" s="1"/>
  <c r="E619" i="5"/>
  <c r="F619" i="5" s="1"/>
  <c r="E620" i="5"/>
  <c r="F620" i="5" s="1"/>
  <c r="E621" i="5"/>
  <c r="F621" i="5" s="1"/>
  <c r="E622" i="5"/>
  <c r="F622" i="5" s="1"/>
  <c r="E623" i="5"/>
  <c r="F623" i="5" s="1"/>
  <c r="E624" i="5"/>
  <c r="F624" i="5" s="1"/>
  <c r="E625" i="5"/>
  <c r="F625" i="5" s="1"/>
  <c r="E626" i="5"/>
  <c r="F626" i="5" s="1"/>
  <c r="E627" i="5"/>
  <c r="F627" i="5" s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E2" i="4"/>
  <c r="F2" i="4" s="1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F172" i="4" s="1"/>
  <c r="E173" i="4"/>
  <c r="F173" i="4" s="1"/>
  <c r="E174" i="4"/>
  <c r="F174" i="4" s="1"/>
  <c r="E175" i="4"/>
  <c r="F175" i="4" s="1"/>
  <c r="E176" i="4"/>
  <c r="F176" i="4" s="1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F219" i="4" s="1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F228" i="4" s="1"/>
  <c r="E229" i="4"/>
  <c r="F229" i="4" s="1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6" i="4"/>
  <c r="F246" i="4" s="1"/>
  <c r="E247" i="4"/>
  <c r="F247" i="4" s="1"/>
  <c r="E248" i="4"/>
  <c r="F248" i="4" s="1"/>
  <c r="E249" i="4"/>
  <c r="F249" i="4" s="1"/>
  <c r="E250" i="4"/>
  <c r="F250" i="4" s="1"/>
  <c r="E251" i="4"/>
  <c r="F251" i="4" s="1"/>
  <c r="E252" i="4"/>
  <c r="F252" i="4" s="1"/>
  <c r="E253" i="4"/>
  <c r="F253" i="4" s="1"/>
  <c r="E254" i="4"/>
  <c r="F254" i="4" s="1"/>
  <c r="E255" i="4"/>
  <c r="F255" i="4" s="1"/>
  <c r="E256" i="4"/>
  <c r="F256" i="4" s="1"/>
  <c r="E257" i="4"/>
  <c r="F257" i="4" s="1"/>
  <c r="E258" i="4"/>
  <c r="F258" i="4" s="1"/>
  <c r="E259" i="4"/>
  <c r="F259" i="4" s="1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F273" i="4" s="1"/>
  <c r="E274" i="4"/>
  <c r="F274" i="4" s="1"/>
  <c r="E275" i="4"/>
  <c r="F275" i="4" s="1"/>
  <c r="E276" i="4"/>
  <c r="F276" i="4" s="1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E291" i="4"/>
  <c r="F291" i="4" s="1"/>
  <c r="E292" i="4"/>
  <c r="F292" i="4" s="1"/>
  <c r="E293" i="4"/>
  <c r="F293" i="4" s="1"/>
  <c r="E294" i="4"/>
  <c r="F294" i="4" s="1"/>
  <c r="E295" i="4"/>
  <c r="F295" i="4" s="1"/>
  <c r="E296" i="4"/>
  <c r="F296" i="4" s="1"/>
  <c r="E297" i="4"/>
  <c r="F297" i="4" s="1"/>
  <c r="E298" i="4"/>
  <c r="F298" i="4" s="1"/>
  <c r="E299" i="4"/>
  <c r="F299" i="4" s="1"/>
  <c r="E300" i="4"/>
  <c r="F300" i="4" s="1"/>
  <c r="E301" i="4"/>
  <c r="F301" i="4" s="1"/>
  <c r="E302" i="4"/>
  <c r="F302" i="4" s="1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F308" i="4" s="1"/>
  <c r="E309" i="4"/>
  <c r="F309" i="4" s="1"/>
  <c r="E310" i="4"/>
  <c r="F310" i="4" s="1"/>
  <c r="E311" i="4"/>
  <c r="F311" i="4" s="1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E331" i="4"/>
  <c r="F331" i="4" s="1"/>
  <c r="E332" i="4"/>
  <c r="F332" i="4" s="1"/>
  <c r="E333" i="4"/>
  <c r="F333" i="4" s="1"/>
  <c r="E334" i="4"/>
  <c r="F334" i="4" s="1"/>
  <c r="E335" i="4"/>
  <c r="F335" i="4" s="1"/>
  <c r="E336" i="4"/>
  <c r="F336" i="4" s="1"/>
  <c r="E337" i="4"/>
  <c r="F337" i="4" s="1"/>
  <c r="E338" i="4"/>
  <c r="F338" i="4" s="1"/>
  <c r="E339" i="4"/>
  <c r="F339" i="4" s="1"/>
  <c r="E340" i="4"/>
  <c r="F340" i="4" s="1"/>
  <c r="E341" i="4"/>
  <c r="F341" i="4" s="1"/>
  <c r="E342" i="4"/>
  <c r="F342" i="4" s="1"/>
  <c r="E343" i="4"/>
  <c r="F343" i="4" s="1"/>
  <c r="E344" i="4"/>
  <c r="F344" i="4" s="1"/>
  <c r="E345" i="4"/>
  <c r="F345" i="4" s="1"/>
  <c r="E346" i="4"/>
  <c r="F346" i="4" s="1"/>
  <c r="E347" i="4"/>
  <c r="F347" i="4" s="1"/>
  <c r="E348" i="4"/>
  <c r="F348" i="4" s="1"/>
  <c r="E349" i="4"/>
  <c r="F349" i="4" s="1"/>
  <c r="E350" i="4"/>
  <c r="F350" i="4" s="1"/>
  <c r="E351" i="4"/>
  <c r="F351" i="4" s="1"/>
  <c r="E352" i="4"/>
  <c r="F352" i="4" s="1"/>
  <c r="E353" i="4"/>
  <c r="F353" i="4" s="1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F377" i="4" s="1"/>
  <c r="E378" i="4"/>
  <c r="F378" i="4" s="1"/>
  <c r="E379" i="4"/>
  <c r="F379" i="4" s="1"/>
  <c r="E380" i="4"/>
  <c r="F380" i="4" s="1"/>
  <c r="E381" i="4"/>
  <c r="F381" i="4" s="1"/>
  <c r="E382" i="4"/>
  <c r="F382" i="4" s="1"/>
  <c r="E383" i="4"/>
  <c r="F383" i="4" s="1"/>
  <c r="E384" i="4"/>
  <c r="F384" i="4" s="1"/>
  <c r="E385" i="4"/>
  <c r="F385" i="4" s="1"/>
  <c r="E386" i="4"/>
  <c r="F386" i="4" s="1"/>
  <c r="E387" i="4"/>
  <c r="F387" i="4" s="1"/>
  <c r="E388" i="4"/>
  <c r="F388" i="4" s="1"/>
  <c r="E389" i="4"/>
  <c r="F389" i="4" s="1"/>
  <c r="E390" i="4"/>
  <c r="F390" i="4" s="1"/>
  <c r="E391" i="4"/>
  <c r="F391" i="4" s="1"/>
  <c r="E392" i="4"/>
  <c r="F392" i="4" s="1"/>
  <c r="E393" i="4"/>
  <c r="F393" i="4" s="1"/>
  <c r="E394" i="4"/>
  <c r="F394" i="4" s="1"/>
  <c r="E395" i="4"/>
  <c r="F395" i="4" s="1"/>
  <c r="E396" i="4"/>
  <c r="F396" i="4" s="1"/>
  <c r="E397" i="4"/>
  <c r="F397" i="4" s="1"/>
  <c r="E398" i="4"/>
  <c r="F398" i="4" s="1"/>
  <c r="E399" i="4"/>
  <c r="F399" i="4" s="1"/>
  <c r="E400" i="4"/>
  <c r="F400" i="4" s="1"/>
  <c r="E401" i="4"/>
  <c r="F401" i="4" s="1"/>
  <c r="E402" i="4"/>
  <c r="F402" i="4" s="1"/>
  <c r="E403" i="4"/>
  <c r="F403" i="4" s="1"/>
  <c r="E404" i="4"/>
  <c r="F404" i="4" s="1"/>
  <c r="E405" i="4"/>
  <c r="F405" i="4" s="1"/>
  <c r="E406" i="4"/>
  <c r="F406" i="4" s="1"/>
  <c r="E407" i="4"/>
  <c r="F407" i="4" s="1"/>
  <c r="E408" i="4"/>
  <c r="F408" i="4" s="1"/>
  <c r="E409" i="4"/>
  <c r="F409" i="4" s="1"/>
  <c r="E410" i="4"/>
  <c r="F410" i="4" s="1"/>
  <c r="E411" i="4"/>
  <c r="F411" i="4" s="1"/>
  <c r="E412" i="4"/>
  <c r="F412" i="4" s="1"/>
  <c r="E413" i="4"/>
  <c r="F413" i="4" s="1"/>
  <c r="E414" i="4"/>
  <c r="F414" i="4" s="1"/>
  <c r="E415" i="4"/>
  <c r="F415" i="4" s="1"/>
  <c r="E416" i="4"/>
  <c r="F416" i="4" s="1"/>
  <c r="E417" i="4"/>
  <c r="F417" i="4" s="1"/>
  <c r="E418" i="4"/>
  <c r="F418" i="4" s="1"/>
  <c r="E419" i="4"/>
  <c r="F419" i="4" s="1"/>
  <c r="E420" i="4"/>
  <c r="F420" i="4" s="1"/>
  <c r="E421" i="4"/>
  <c r="F421" i="4" s="1"/>
  <c r="E422" i="4"/>
  <c r="F422" i="4" s="1"/>
  <c r="E423" i="4"/>
  <c r="F423" i="4" s="1"/>
  <c r="E424" i="4"/>
  <c r="F424" i="4" s="1"/>
  <c r="E425" i="4"/>
  <c r="F425" i="4" s="1"/>
  <c r="E426" i="4"/>
  <c r="F426" i="4" s="1"/>
  <c r="E427" i="4"/>
  <c r="F427" i="4" s="1"/>
  <c r="E428" i="4"/>
  <c r="F428" i="4" s="1"/>
  <c r="E429" i="4"/>
  <c r="F429" i="4" s="1"/>
  <c r="E430" i="4"/>
  <c r="F430" i="4" s="1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F437" i="4" s="1"/>
  <c r="E438" i="4"/>
  <c r="F438" i="4" s="1"/>
  <c r="E439" i="4"/>
  <c r="F439" i="4" s="1"/>
  <c r="E440" i="4"/>
  <c r="F440" i="4" s="1"/>
  <c r="E441" i="4"/>
  <c r="F441" i="4" s="1"/>
  <c r="E442" i="4"/>
  <c r="F442" i="4" s="1"/>
  <c r="E443" i="4"/>
  <c r="F443" i="4" s="1"/>
  <c r="E444" i="4"/>
  <c r="F444" i="4" s="1"/>
  <c r="E445" i="4"/>
  <c r="F445" i="4" s="1"/>
  <c r="E446" i="4"/>
  <c r="F446" i="4" s="1"/>
  <c r="E447" i="4"/>
  <c r="F447" i="4" s="1"/>
  <c r="E448" i="4"/>
  <c r="F448" i="4" s="1"/>
  <c r="E449" i="4"/>
  <c r="F449" i="4" s="1"/>
  <c r="E450" i="4"/>
  <c r="F450" i="4" s="1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F457" i="4" s="1"/>
  <c r="E458" i="4"/>
  <c r="F458" i="4" s="1"/>
  <c r="E459" i="4"/>
  <c r="F459" i="4" s="1"/>
  <c r="E460" i="4"/>
  <c r="F460" i="4" s="1"/>
  <c r="E461" i="4"/>
  <c r="F461" i="4" s="1"/>
  <c r="E462" i="4"/>
  <c r="F462" i="4" s="1"/>
  <c r="E463" i="4"/>
  <c r="F463" i="4" s="1"/>
  <c r="E464" i="4"/>
  <c r="F464" i="4" s="1"/>
  <c r="E465" i="4"/>
  <c r="F465" i="4" s="1"/>
  <c r="E466" i="4"/>
  <c r="F466" i="4" s="1"/>
  <c r="E467" i="4"/>
  <c r="F467" i="4" s="1"/>
  <c r="E468" i="4"/>
  <c r="F468" i="4" s="1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F474" i="4" s="1"/>
  <c r="E475" i="4"/>
  <c r="F475" i="4" s="1"/>
  <c r="E476" i="4"/>
  <c r="F476" i="4" s="1"/>
  <c r="E477" i="4"/>
  <c r="F477" i="4" s="1"/>
  <c r="E478" i="4"/>
  <c r="F478" i="4" s="1"/>
  <c r="E479" i="4"/>
  <c r="F479" i="4" s="1"/>
  <c r="E480" i="4"/>
  <c r="F480" i="4" s="1"/>
  <c r="E481" i="4"/>
  <c r="F481" i="4" s="1"/>
  <c r="E482" i="4"/>
  <c r="F482" i="4" s="1"/>
  <c r="E483" i="4"/>
  <c r="F483" i="4" s="1"/>
  <c r="E484" i="4"/>
  <c r="F484" i="4" s="1"/>
  <c r="E485" i="4"/>
  <c r="F485" i="4" s="1"/>
  <c r="E486" i="4"/>
  <c r="F486" i="4" s="1"/>
  <c r="E487" i="4"/>
  <c r="F487" i="4" s="1"/>
  <c r="E488" i="4"/>
  <c r="F488" i="4" s="1"/>
  <c r="E489" i="4"/>
  <c r="F489" i="4" s="1"/>
  <c r="E490" i="4"/>
  <c r="F490" i="4" s="1"/>
  <c r="E491" i="4"/>
  <c r="F491" i="4" s="1"/>
  <c r="E492" i="4"/>
  <c r="F492" i="4" s="1"/>
  <c r="E493" i="4"/>
  <c r="F493" i="4" s="1"/>
  <c r="E494" i="4"/>
  <c r="F494" i="4" s="1"/>
  <c r="E495" i="4"/>
  <c r="F495" i="4" s="1"/>
  <c r="E496" i="4"/>
  <c r="F496" i="4" s="1"/>
  <c r="E497" i="4"/>
  <c r="F497" i="4" s="1"/>
  <c r="E498" i="4"/>
  <c r="F498" i="4" s="1"/>
  <c r="E499" i="4"/>
  <c r="F499" i="4" s="1"/>
  <c r="E500" i="4"/>
  <c r="F500" i="4" s="1"/>
  <c r="E501" i="4"/>
  <c r="F501" i="4" s="1"/>
  <c r="E502" i="4"/>
  <c r="F502" i="4" s="1"/>
  <c r="E503" i="4"/>
  <c r="F503" i="4" s="1"/>
  <c r="E504" i="4"/>
  <c r="F504" i="4" s="1"/>
  <c r="E505" i="4"/>
  <c r="F505" i="4" s="1"/>
  <c r="E506" i="4"/>
  <c r="F506" i="4" s="1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F513" i="4" s="1"/>
  <c r="E514" i="4"/>
  <c r="F514" i="4" s="1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F521" i="4" s="1"/>
  <c r="E522" i="4"/>
  <c r="F522" i="4" s="1"/>
  <c r="E523" i="4"/>
  <c r="F523" i="4" s="1"/>
  <c r="E524" i="4"/>
  <c r="F524" i="4" s="1"/>
  <c r="E525" i="4"/>
  <c r="F525" i="4" s="1"/>
  <c r="E526" i="4"/>
  <c r="F526" i="4" s="1"/>
  <c r="E527" i="4"/>
  <c r="F527" i="4" s="1"/>
  <c r="E528" i="4"/>
  <c r="F528" i="4" s="1"/>
  <c r="E529" i="4"/>
  <c r="F529" i="4" s="1"/>
  <c r="E530" i="4"/>
  <c r="F530" i="4" s="1"/>
  <c r="E531" i="4"/>
  <c r="F531" i="4" s="1"/>
  <c r="E532" i="4"/>
  <c r="F532" i="4" s="1"/>
  <c r="E533" i="4"/>
  <c r="F533" i="4" s="1"/>
  <c r="E534" i="4"/>
  <c r="F534" i="4" s="1"/>
  <c r="E535" i="4"/>
  <c r="F535" i="4" s="1"/>
  <c r="E536" i="4"/>
  <c r="F536" i="4" s="1"/>
  <c r="E537" i="4"/>
  <c r="F537" i="4" s="1"/>
  <c r="E538" i="4"/>
  <c r="F538" i="4" s="1"/>
  <c r="E539" i="4"/>
  <c r="F539" i="4" s="1"/>
  <c r="E540" i="4"/>
  <c r="F540" i="4" s="1"/>
  <c r="E541" i="4"/>
  <c r="F541" i="4" s="1"/>
  <c r="E542" i="4"/>
  <c r="F542" i="4" s="1"/>
  <c r="E543" i="4"/>
  <c r="F543" i="4" s="1"/>
  <c r="E544" i="4"/>
  <c r="F544" i="4" s="1"/>
  <c r="E545" i="4"/>
  <c r="F545" i="4" s="1"/>
  <c r="E546" i="4"/>
  <c r="F546" i="4" s="1"/>
  <c r="E547" i="4"/>
  <c r="F547" i="4" s="1"/>
  <c r="E548" i="4"/>
  <c r="F548" i="4" s="1"/>
  <c r="E549" i="4"/>
  <c r="F549" i="4" s="1"/>
  <c r="E550" i="4"/>
  <c r="F550" i="4" s="1"/>
  <c r="E551" i="4"/>
  <c r="F551" i="4" s="1"/>
  <c r="E552" i="4"/>
  <c r="F552" i="4" s="1"/>
  <c r="E553" i="4"/>
  <c r="F553" i="4" s="1"/>
  <c r="E554" i="4"/>
  <c r="F554" i="4" s="1"/>
  <c r="E555" i="4"/>
  <c r="F555" i="4" s="1"/>
  <c r="E556" i="4"/>
  <c r="F556" i="4" s="1"/>
  <c r="E557" i="4"/>
  <c r="F557" i="4" s="1"/>
  <c r="E558" i="4"/>
  <c r="F558" i="4" s="1"/>
  <c r="E559" i="4"/>
  <c r="F559" i="4" s="1"/>
  <c r="E560" i="4"/>
  <c r="F560" i="4" s="1"/>
  <c r="E561" i="4"/>
  <c r="F561" i="4" s="1"/>
  <c r="E562" i="4"/>
  <c r="F562" i="4" s="1"/>
  <c r="E563" i="4"/>
  <c r="F563" i="4" s="1"/>
  <c r="E564" i="4"/>
  <c r="F564" i="4" s="1"/>
  <c r="E565" i="4"/>
  <c r="F565" i="4" s="1"/>
  <c r="E566" i="4"/>
  <c r="F566" i="4" s="1"/>
  <c r="E567" i="4"/>
  <c r="F567" i="4" s="1"/>
  <c r="E568" i="4"/>
  <c r="F568" i="4" s="1"/>
  <c r="E569" i="4"/>
  <c r="F569" i="4" s="1"/>
  <c r="E570" i="4"/>
  <c r="F570" i="4" s="1"/>
  <c r="E571" i="4"/>
  <c r="F571" i="4" s="1"/>
  <c r="E572" i="4"/>
  <c r="F572" i="4" s="1"/>
  <c r="E573" i="4"/>
  <c r="F573" i="4" s="1"/>
  <c r="E574" i="4"/>
  <c r="F574" i="4" s="1"/>
  <c r="E575" i="4"/>
  <c r="F575" i="4" s="1"/>
  <c r="E576" i="4"/>
  <c r="F576" i="4" s="1"/>
  <c r="E577" i="4"/>
  <c r="F577" i="4" s="1"/>
  <c r="E578" i="4"/>
  <c r="F578" i="4" s="1"/>
  <c r="E579" i="4"/>
  <c r="F579" i="4" s="1"/>
  <c r="E580" i="4"/>
  <c r="F580" i="4" s="1"/>
  <c r="E581" i="4"/>
  <c r="F581" i="4" s="1"/>
  <c r="E582" i="4"/>
  <c r="F582" i="4" s="1"/>
  <c r="E583" i="4"/>
  <c r="F583" i="4" s="1"/>
  <c r="E584" i="4"/>
  <c r="F584" i="4" s="1"/>
  <c r="E585" i="4"/>
  <c r="F585" i="4" s="1"/>
  <c r="E586" i="4"/>
  <c r="F586" i="4" s="1"/>
  <c r="E587" i="4"/>
  <c r="F587" i="4" s="1"/>
  <c r="E588" i="4"/>
  <c r="F588" i="4" s="1"/>
  <c r="E589" i="4"/>
  <c r="F589" i="4" s="1"/>
  <c r="E590" i="4"/>
  <c r="F590" i="4" s="1"/>
  <c r="E591" i="4"/>
  <c r="F591" i="4" s="1"/>
  <c r="E592" i="4"/>
  <c r="F592" i="4" s="1"/>
  <c r="E593" i="4"/>
  <c r="F593" i="4" s="1"/>
  <c r="E594" i="4"/>
  <c r="F594" i="4" s="1"/>
  <c r="E595" i="4"/>
  <c r="F595" i="4" s="1"/>
  <c r="E596" i="4"/>
  <c r="F596" i="4" s="1"/>
  <c r="E597" i="4"/>
  <c r="F597" i="4" s="1"/>
  <c r="E598" i="4"/>
  <c r="F598" i="4" s="1"/>
  <c r="E599" i="4"/>
  <c r="F599" i="4" s="1"/>
  <c r="E600" i="4"/>
  <c r="F600" i="4" s="1"/>
  <c r="E601" i="4"/>
  <c r="F601" i="4" s="1"/>
  <c r="E602" i="4"/>
  <c r="F602" i="4" s="1"/>
  <c r="E603" i="4"/>
  <c r="F603" i="4" s="1"/>
  <c r="E604" i="4"/>
  <c r="F604" i="4" s="1"/>
  <c r="E605" i="4"/>
  <c r="F605" i="4" s="1"/>
  <c r="E606" i="4"/>
  <c r="F606" i="4" s="1"/>
  <c r="E607" i="4"/>
  <c r="F607" i="4" s="1"/>
  <c r="E608" i="4"/>
  <c r="F608" i="4" s="1"/>
  <c r="E609" i="4"/>
  <c r="F609" i="4" s="1"/>
  <c r="E610" i="4"/>
  <c r="F610" i="4" s="1"/>
  <c r="E611" i="4"/>
  <c r="F611" i="4" s="1"/>
  <c r="E612" i="4"/>
  <c r="F612" i="4" s="1"/>
  <c r="E613" i="4"/>
  <c r="F613" i="4" s="1"/>
  <c r="E614" i="4"/>
  <c r="F614" i="4" s="1"/>
  <c r="E615" i="4"/>
  <c r="F615" i="4" s="1"/>
  <c r="E616" i="4"/>
  <c r="F616" i="4" s="1"/>
  <c r="E617" i="4"/>
  <c r="F617" i="4" s="1"/>
  <c r="E618" i="4"/>
  <c r="F618" i="4" s="1"/>
  <c r="E619" i="4"/>
  <c r="F619" i="4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E2" i="3"/>
  <c r="F2" i="3" s="1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E59" i="3"/>
  <c r="F59" i="3" s="1"/>
  <c r="E60" i="3"/>
  <c r="F60" i="3" s="1"/>
  <c r="E61" i="3"/>
  <c r="F61" i="3" s="1"/>
  <c r="E62" i="3"/>
  <c r="F62" i="3" s="1"/>
  <c r="E63" i="3"/>
  <c r="F63" i="3" s="1"/>
  <c r="E64" i="3"/>
  <c r="F64" i="3" s="1"/>
  <c r="E65" i="3"/>
  <c r="F65" i="3" s="1"/>
  <c r="E66" i="3"/>
  <c r="F66" i="3" s="1"/>
  <c r="E67" i="3"/>
  <c r="F67" i="3" s="1"/>
  <c r="E68" i="3"/>
  <c r="F68" i="3" s="1"/>
  <c r="E69" i="3"/>
  <c r="F69" i="3" s="1"/>
  <c r="E70" i="3"/>
  <c r="F70" i="3" s="1"/>
  <c r="E71" i="3"/>
  <c r="F71" i="3" s="1"/>
  <c r="E72" i="3"/>
  <c r="F72" i="3" s="1"/>
  <c r="E73" i="3"/>
  <c r="F73" i="3" s="1"/>
  <c r="E74" i="3"/>
  <c r="F74" i="3" s="1"/>
  <c r="E75" i="3"/>
  <c r="F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E82" i="3"/>
  <c r="F82" i="3" s="1"/>
  <c r="E83" i="3"/>
  <c r="F83" i="3" s="1"/>
  <c r="E84" i="3"/>
  <c r="F84" i="3" s="1"/>
  <c r="E85" i="3"/>
  <c r="F85" i="3" s="1"/>
  <c r="E86" i="3"/>
  <c r="F86" i="3" s="1"/>
  <c r="E87" i="3"/>
  <c r="F87" i="3" s="1"/>
  <c r="E88" i="3"/>
  <c r="F88" i="3" s="1"/>
  <c r="E89" i="3"/>
  <c r="F89" i="3" s="1"/>
  <c r="E90" i="3"/>
  <c r="F90" i="3" s="1"/>
  <c r="E91" i="3"/>
  <c r="F91" i="3" s="1"/>
  <c r="E92" i="3"/>
  <c r="F92" i="3" s="1"/>
  <c r="E93" i="3"/>
  <c r="F93" i="3" s="1"/>
  <c r="E94" i="3"/>
  <c r="F94" i="3" s="1"/>
  <c r="E95" i="3"/>
  <c r="F95" i="3" s="1"/>
  <c r="E96" i="3"/>
  <c r="F96" i="3" s="1"/>
  <c r="E97" i="3"/>
  <c r="F97" i="3" s="1"/>
  <c r="E98" i="3"/>
  <c r="F98" i="3" s="1"/>
  <c r="E99" i="3"/>
  <c r="F99" i="3" s="1"/>
  <c r="E100" i="3"/>
  <c r="F100" i="3" s="1"/>
  <c r="E101" i="3"/>
  <c r="F101" i="3" s="1"/>
  <c r="E102" i="3"/>
  <c r="F102" i="3" s="1"/>
  <c r="E103" i="3"/>
  <c r="F103" i="3" s="1"/>
  <c r="E104" i="3"/>
  <c r="F104" i="3" s="1"/>
  <c r="E105" i="3"/>
  <c r="F105" i="3" s="1"/>
  <c r="E106" i="3"/>
  <c r="F106" i="3" s="1"/>
  <c r="E107" i="3"/>
  <c r="F107" i="3" s="1"/>
  <c r="E108" i="3"/>
  <c r="F108" i="3" s="1"/>
  <c r="E109" i="3"/>
  <c r="F109" i="3" s="1"/>
  <c r="E110" i="3"/>
  <c r="F110" i="3" s="1"/>
  <c r="E111" i="3"/>
  <c r="F111" i="3" s="1"/>
  <c r="E112" i="3"/>
  <c r="F112" i="3" s="1"/>
  <c r="E113" i="3"/>
  <c r="F113" i="3" s="1"/>
  <c r="E114" i="3"/>
  <c r="F114" i="3" s="1"/>
  <c r="E115" i="3"/>
  <c r="F115" i="3" s="1"/>
  <c r="E116" i="3"/>
  <c r="F116" i="3" s="1"/>
  <c r="E117" i="3"/>
  <c r="F117" i="3" s="1"/>
  <c r="E118" i="3"/>
  <c r="F118" i="3" s="1"/>
  <c r="E119" i="3"/>
  <c r="F119" i="3" s="1"/>
  <c r="E120" i="3"/>
  <c r="F120" i="3" s="1"/>
  <c r="E121" i="3"/>
  <c r="F121" i="3" s="1"/>
  <c r="E122" i="3"/>
  <c r="F122" i="3" s="1"/>
  <c r="E123" i="3"/>
  <c r="F123" i="3" s="1"/>
  <c r="E124" i="3"/>
  <c r="F124" i="3" s="1"/>
  <c r="E125" i="3"/>
  <c r="F125" i="3" s="1"/>
  <c r="E126" i="3"/>
  <c r="F126" i="3" s="1"/>
  <c r="E127" i="3"/>
  <c r="F127" i="3" s="1"/>
  <c r="E128" i="3"/>
  <c r="F128" i="3" s="1"/>
  <c r="E129" i="3"/>
  <c r="F129" i="3" s="1"/>
  <c r="E130" i="3"/>
  <c r="F130" i="3" s="1"/>
  <c r="E131" i="3"/>
  <c r="F131" i="3" s="1"/>
  <c r="E132" i="3"/>
  <c r="F132" i="3" s="1"/>
  <c r="E133" i="3"/>
  <c r="F133" i="3" s="1"/>
  <c r="E134" i="3"/>
  <c r="F134" i="3" s="1"/>
  <c r="E135" i="3"/>
  <c r="F135" i="3" s="1"/>
  <c r="E136" i="3"/>
  <c r="F136" i="3" s="1"/>
  <c r="E137" i="3"/>
  <c r="F137" i="3" s="1"/>
  <c r="E138" i="3"/>
  <c r="F138" i="3" s="1"/>
  <c r="E139" i="3"/>
  <c r="F139" i="3" s="1"/>
  <c r="E140" i="3"/>
  <c r="F140" i="3" s="1"/>
  <c r="E141" i="3"/>
  <c r="F141" i="3" s="1"/>
  <c r="E142" i="3"/>
  <c r="F142" i="3" s="1"/>
  <c r="E143" i="3"/>
  <c r="F143" i="3" s="1"/>
  <c r="E144" i="3"/>
  <c r="F144" i="3" s="1"/>
  <c r="E145" i="3"/>
  <c r="F145" i="3" s="1"/>
  <c r="E146" i="3"/>
  <c r="F146" i="3" s="1"/>
  <c r="E147" i="3"/>
  <c r="F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E155" i="3"/>
  <c r="F155" i="3" s="1"/>
  <c r="E156" i="3"/>
  <c r="F156" i="3" s="1"/>
  <c r="E157" i="3"/>
  <c r="F157" i="3" s="1"/>
  <c r="E158" i="3"/>
  <c r="F158" i="3" s="1"/>
  <c r="E159" i="3"/>
  <c r="F159" i="3" s="1"/>
  <c r="E160" i="3"/>
  <c r="F160" i="3" s="1"/>
  <c r="E161" i="3"/>
  <c r="F161" i="3" s="1"/>
  <c r="E162" i="3"/>
  <c r="F162" i="3" s="1"/>
  <c r="E163" i="3"/>
  <c r="F163" i="3" s="1"/>
  <c r="E164" i="3"/>
  <c r="F164" i="3" s="1"/>
  <c r="E165" i="3"/>
  <c r="F165" i="3" s="1"/>
  <c r="E166" i="3"/>
  <c r="F166" i="3" s="1"/>
  <c r="E167" i="3"/>
  <c r="F167" i="3" s="1"/>
  <c r="E168" i="3"/>
  <c r="F168" i="3" s="1"/>
  <c r="E169" i="3"/>
  <c r="F169" i="3" s="1"/>
  <c r="E170" i="3"/>
  <c r="F170" i="3" s="1"/>
  <c r="E171" i="3"/>
  <c r="F171" i="3" s="1"/>
  <c r="E172" i="3"/>
  <c r="F172" i="3" s="1"/>
  <c r="E173" i="3"/>
  <c r="F173" i="3" s="1"/>
  <c r="E174" i="3"/>
  <c r="F174" i="3" s="1"/>
  <c r="E175" i="3"/>
  <c r="F175" i="3" s="1"/>
  <c r="E176" i="3"/>
  <c r="F176" i="3" s="1"/>
  <c r="E177" i="3"/>
  <c r="F177" i="3" s="1"/>
  <c r="E178" i="3"/>
  <c r="F178" i="3" s="1"/>
  <c r="E179" i="3"/>
  <c r="F179" i="3" s="1"/>
  <c r="E180" i="3"/>
  <c r="F180" i="3" s="1"/>
  <c r="E181" i="3"/>
  <c r="F181" i="3" s="1"/>
  <c r="E182" i="3"/>
  <c r="F182" i="3" s="1"/>
  <c r="E183" i="3"/>
  <c r="F183" i="3" s="1"/>
  <c r="E184" i="3"/>
  <c r="F184" i="3" s="1"/>
  <c r="E185" i="3"/>
  <c r="F185" i="3" s="1"/>
  <c r="E186" i="3"/>
  <c r="F186" i="3" s="1"/>
  <c r="E187" i="3"/>
  <c r="F187" i="3" s="1"/>
  <c r="E188" i="3"/>
  <c r="F188" i="3" s="1"/>
  <c r="E189" i="3"/>
  <c r="F189" i="3" s="1"/>
  <c r="E190" i="3"/>
  <c r="F190" i="3" s="1"/>
  <c r="E191" i="3"/>
  <c r="F191" i="3" s="1"/>
  <c r="E192" i="3"/>
  <c r="F192" i="3" s="1"/>
  <c r="E193" i="3"/>
  <c r="F193" i="3" s="1"/>
  <c r="E194" i="3"/>
  <c r="F194" i="3" s="1"/>
  <c r="E195" i="3"/>
  <c r="F195" i="3" s="1"/>
  <c r="E196" i="3"/>
  <c r="F196" i="3" s="1"/>
  <c r="E197" i="3"/>
  <c r="F197" i="3" s="1"/>
  <c r="E198" i="3"/>
  <c r="F198" i="3" s="1"/>
  <c r="E199" i="3"/>
  <c r="F199" i="3" s="1"/>
  <c r="E200" i="3"/>
  <c r="F200" i="3" s="1"/>
  <c r="E201" i="3"/>
  <c r="F201" i="3" s="1"/>
  <c r="E202" i="3"/>
  <c r="F202" i="3" s="1"/>
  <c r="E203" i="3"/>
  <c r="F203" i="3" s="1"/>
  <c r="E204" i="3"/>
  <c r="F204" i="3" s="1"/>
  <c r="E205" i="3"/>
  <c r="F205" i="3" s="1"/>
  <c r="E206" i="3"/>
  <c r="F206" i="3" s="1"/>
  <c r="E207" i="3"/>
  <c r="F207" i="3" s="1"/>
  <c r="E208" i="3"/>
  <c r="F208" i="3" s="1"/>
  <c r="E209" i="3"/>
  <c r="F209" i="3" s="1"/>
  <c r="E210" i="3"/>
  <c r="F210" i="3" s="1"/>
  <c r="E211" i="3"/>
  <c r="F211" i="3" s="1"/>
  <c r="E212" i="3"/>
  <c r="F212" i="3" s="1"/>
  <c r="E213" i="3"/>
  <c r="F213" i="3" s="1"/>
  <c r="E214" i="3"/>
  <c r="F214" i="3" s="1"/>
  <c r="E215" i="3"/>
  <c r="F215" i="3" s="1"/>
  <c r="E216" i="3"/>
  <c r="F216" i="3" s="1"/>
  <c r="E217" i="3"/>
  <c r="F217" i="3" s="1"/>
  <c r="E218" i="3"/>
  <c r="F218" i="3" s="1"/>
  <c r="E219" i="3"/>
  <c r="F219" i="3" s="1"/>
  <c r="E220" i="3"/>
  <c r="F220" i="3" s="1"/>
  <c r="E221" i="3"/>
  <c r="F221" i="3" s="1"/>
  <c r="E222" i="3"/>
  <c r="F222" i="3" s="1"/>
  <c r="E223" i="3"/>
  <c r="F223" i="3" s="1"/>
  <c r="E224" i="3"/>
  <c r="F224" i="3" s="1"/>
  <c r="E225" i="3"/>
  <c r="F225" i="3" s="1"/>
  <c r="E226" i="3"/>
  <c r="F226" i="3" s="1"/>
  <c r="E227" i="3"/>
  <c r="F227" i="3" s="1"/>
  <c r="E228" i="3"/>
  <c r="F228" i="3" s="1"/>
  <c r="E229" i="3"/>
  <c r="F229" i="3" s="1"/>
  <c r="E230" i="3"/>
  <c r="F230" i="3" s="1"/>
  <c r="E231" i="3"/>
  <c r="F231" i="3" s="1"/>
  <c r="E232" i="3"/>
  <c r="F232" i="3" s="1"/>
  <c r="E233" i="3"/>
  <c r="F233" i="3" s="1"/>
  <c r="E234" i="3"/>
  <c r="F234" i="3" s="1"/>
  <c r="E235" i="3"/>
  <c r="F235" i="3" s="1"/>
  <c r="E236" i="3"/>
  <c r="F236" i="3" s="1"/>
  <c r="E237" i="3"/>
  <c r="F237" i="3" s="1"/>
  <c r="E238" i="3"/>
  <c r="F238" i="3" s="1"/>
  <c r="E239" i="3"/>
  <c r="F239" i="3" s="1"/>
  <c r="E240" i="3"/>
  <c r="F240" i="3" s="1"/>
  <c r="E241" i="3"/>
  <c r="F241" i="3" s="1"/>
  <c r="E242" i="3"/>
  <c r="F242" i="3" s="1"/>
  <c r="E243" i="3"/>
  <c r="F243" i="3" s="1"/>
  <c r="E244" i="3"/>
  <c r="F244" i="3" s="1"/>
  <c r="E245" i="3"/>
  <c r="F245" i="3" s="1"/>
  <c r="E246" i="3"/>
  <c r="F246" i="3" s="1"/>
  <c r="E247" i="3"/>
  <c r="F247" i="3" s="1"/>
  <c r="E248" i="3"/>
  <c r="F248" i="3" s="1"/>
  <c r="E249" i="3"/>
  <c r="F249" i="3" s="1"/>
  <c r="E250" i="3"/>
  <c r="F250" i="3" s="1"/>
  <c r="E251" i="3"/>
  <c r="F251" i="3" s="1"/>
  <c r="E252" i="3"/>
  <c r="F252" i="3" s="1"/>
  <c r="E253" i="3"/>
  <c r="F253" i="3" s="1"/>
  <c r="E254" i="3"/>
  <c r="F254" i="3" s="1"/>
  <c r="E255" i="3"/>
  <c r="F255" i="3" s="1"/>
  <c r="E256" i="3"/>
  <c r="F256" i="3" s="1"/>
  <c r="E257" i="3"/>
  <c r="F257" i="3" s="1"/>
  <c r="E258" i="3"/>
  <c r="F258" i="3" s="1"/>
  <c r="E259" i="3"/>
  <c r="F259" i="3" s="1"/>
  <c r="E260" i="3"/>
  <c r="F260" i="3" s="1"/>
  <c r="E261" i="3"/>
  <c r="F261" i="3" s="1"/>
  <c r="E262" i="3"/>
  <c r="F262" i="3" s="1"/>
  <c r="E263" i="3"/>
  <c r="F263" i="3" s="1"/>
  <c r="E264" i="3"/>
  <c r="F264" i="3" s="1"/>
  <c r="E265" i="3"/>
  <c r="F265" i="3" s="1"/>
  <c r="E266" i="3"/>
  <c r="F266" i="3" s="1"/>
  <c r="E267" i="3"/>
  <c r="F267" i="3" s="1"/>
  <c r="E268" i="3"/>
  <c r="F268" i="3" s="1"/>
  <c r="E269" i="3"/>
  <c r="F269" i="3" s="1"/>
  <c r="E270" i="3"/>
  <c r="F270" i="3" s="1"/>
  <c r="E271" i="3"/>
  <c r="F271" i="3" s="1"/>
  <c r="E272" i="3"/>
  <c r="F272" i="3" s="1"/>
  <c r="E273" i="3"/>
  <c r="F273" i="3" s="1"/>
  <c r="E274" i="3"/>
  <c r="F274" i="3" s="1"/>
  <c r="E275" i="3"/>
  <c r="F275" i="3" s="1"/>
  <c r="E276" i="3"/>
  <c r="F276" i="3" s="1"/>
  <c r="E277" i="3"/>
  <c r="F277" i="3" s="1"/>
  <c r="E278" i="3"/>
  <c r="F278" i="3" s="1"/>
  <c r="E279" i="3"/>
  <c r="F279" i="3" s="1"/>
  <c r="E280" i="3"/>
  <c r="F280" i="3" s="1"/>
  <c r="E281" i="3"/>
  <c r="F281" i="3" s="1"/>
  <c r="E282" i="3"/>
  <c r="F282" i="3" s="1"/>
  <c r="E283" i="3"/>
  <c r="F283" i="3" s="1"/>
  <c r="E284" i="3"/>
  <c r="F284" i="3" s="1"/>
  <c r="E285" i="3"/>
  <c r="F285" i="3" s="1"/>
  <c r="E286" i="3"/>
  <c r="F286" i="3" s="1"/>
  <c r="E287" i="3"/>
  <c r="F287" i="3" s="1"/>
  <c r="E288" i="3"/>
  <c r="F288" i="3" s="1"/>
  <c r="E289" i="3"/>
  <c r="F289" i="3" s="1"/>
  <c r="E290" i="3"/>
  <c r="F290" i="3" s="1"/>
  <c r="E291" i="3"/>
  <c r="F291" i="3" s="1"/>
  <c r="E292" i="3"/>
  <c r="F292" i="3" s="1"/>
  <c r="E293" i="3"/>
  <c r="F293" i="3" s="1"/>
  <c r="E294" i="3"/>
  <c r="F294" i="3" s="1"/>
  <c r="E295" i="3"/>
  <c r="F295" i="3" s="1"/>
  <c r="E296" i="3"/>
  <c r="F296" i="3" s="1"/>
  <c r="E297" i="3"/>
  <c r="F297" i="3" s="1"/>
  <c r="E298" i="3"/>
  <c r="F298" i="3" s="1"/>
  <c r="E299" i="3"/>
  <c r="F299" i="3" s="1"/>
  <c r="E300" i="3"/>
  <c r="F300" i="3" s="1"/>
  <c r="E301" i="3"/>
  <c r="F301" i="3" s="1"/>
  <c r="E302" i="3"/>
  <c r="F302" i="3" s="1"/>
  <c r="E303" i="3"/>
  <c r="F303" i="3" s="1"/>
  <c r="E304" i="3"/>
  <c r="F304" i="3" s="1"/>
  <c r="E305" i="3"/>
  <c r="F305" i="3" s="1"/>
  <c r="E306" i="3"/>
  <c r="F306" i="3" s="1"/>
  <c r="E307" i="3"/>
  <c r="F307" i="3" s="1"/>
  <c r="E308" i="3"/>
  <c r="F308" i="3" s="1"/>
  <c r="E309" i="3"/>
  <c r="F309" i="3" s="1"/>
  <c r="E310" i="3"/>
  <c r="F310" i="3" s="1"/>
  <c r="E311" i="3"/>
  <c r="F311" i="3" s="1"/>
  <c r="E312" i="3"/>
  <c r="F312" i="3" s="1"/>
  <c r="E313" i="3"/>
  <c r="F313" i="3" s="1"/>
  <c r="E314" i="3"/>
  <c r="F314" i="3" s="1"/>
  <c r="E315" i="3"/>
  <c r="F315" i="3" s="1"/>
  <c r="E316" i="3"/>
  <c r="F316" i="3" s="1"/>
  <c r="E317" i="3"/>
  <c r="F317" i="3" s="1"/>
  <c r="E318" i="3"/>
  <c r="F318" i="3" s="1"/>
  <c r="E319" i="3"/>
  <c r="F319" i="3" s="1"/>
  <c r="E320" i="3"/>
  <c r="F320" i="3" s="1"/>
  <c r="E321" i="3"/>
  <c r="F321" i="3" s="1"/>
  <c r="E322" i="3"/>
  <c r="F322" i="3" s="1"/>
  <c r="E323" i="3"/>
  <c r="F323" i="3" s="1"/>
  <c r="E324" i="3"/>
  <c r="F324" i="3" s="1"/>
  <c r="E325" i="3"/>
  <c r="F325" i="3" s="1"/>
  <c r="E326" i="3"/>
  <c r="F326" i="3" s="1"/>
  <c r="E327" i="3"/>
  <c r="F327" i="3" s="1"/>
  <c r="E328" i="3"/>
  <c r="F328" i="3" s="1"/>
  <c r="E329" i="3"/>
  <c r="F329" i="3" s="1"/>
  <c r="E330" i="3"/>
  <c r="F330" i="3" s="1"/>
  <c r="E331" i="3"/>
  <c r="F331" i="3" s="1"/>
  <c r="E332" i="3"/>
  <c r="F332" i="3" s="1"/>
  <c r="E333" i="3"/>
  <c r="F333" i="3" s="1"/>
  <c r="E334" i="3"/>
  <c r="F334" i="3" s="1"/>
  <c r="E335" i="3"/>
  <c r="F335" i="3" s="1"/>
  <c r="E336" i="3"/>
  <c r="F336" i="3" s="1"/>
  <c r="E337" i="3"/>
  <c r="F337" i="3" s="1"/>
  <c r="E338" i="3"/>
  <c r="F338" i="3" s="1"/>
  <c r="E339" i="3"/>
  <c r="F339" i="3" s="1"/>
  <c r="E340" i="3"/>
  <c r="F340" i="3" s="1"/>
  <c r="E341" i="3"/>
  <c r="F341" i="3" s="1"/>
  <c r="E342" i="3"/>
  <c r="F342" i="3" s="1"/>
  <c r="E343" i="3"/>
  <c r="F343" i="3" s="1"/>
  <c r="E344" i="3"/>
  <c r="F344" i="3" s="1"/>
  <c r="E345" i="3"/>
  <c r="F345" i="3" s="1"/>
  <c r="E346" i="3"/>
  <c r="F346" i="3" s="1"/>
  <c r="E347" i="3"/>
  <c r="F347" i="3" s="1"/>
  <c r="E348" i="3"/>
  <c r="F348" i="3" s="1"/>
  <c r="E349" i="3"/>
  <c r="F349" i="3" s="1"/>
  <c r="E350" i="3"/>
  <c r="F350" i="3" s="1"/>
  <c r="E351" i="3"/>
  <c r="F351" i="3" s="1"/>
  <c r="E352" i="3"/>
  <c r="F352" i="3" s="1"/>
  <c r="E353" i="3"/>
  <c r="F353" i="3" s="1"/>
  <c r="E354" i="3"/>
  <c r="F354" i="3" s="1"/>
  <c r="E355" i="3"/>
  <c r="F355" i="3" s="1"/>
  <c r="E356" i="3"/>
  <c r="F356" i="3" s="1"/>
  <c r="E357" i="3"/>
  <c r="F357" i="3" s="1"/>
  <c r="E358" i="3"/>
  <c r="F358" i="3" s="1"/>
  <c r="E359" i="3"/>
  <c r="F359" i="3" s="1"/>
  <c r="E360" i="3"/>
  <c r="F360" i="3" s="1"/>
  <c r="E361" i="3"/>
  <c r="F361" i="3" s="1"/>
  <c r="E362" i="3"/>
  <c r="F362" i="3" s="1"/>
  <c r="E363" i="3"/>
  <c r="F363" i="3" s="1"/>
  <c r="E364" i="3"/>
  <c r="F364" i="3" s="1"/>
  <c r="E365" i="3"/>
  <c r="F365" i="3" s="1"/>
  <c r="E366" i="3"/>
  <c r="F366" i="3" s="1"/>
  <c r="E367" i="3"/>
  <c r="F367" i="3" s="1"/>
  <c r="E368" i="3"/>
  <c r="F368" i="3" s="1"/>
  <c r="E369" i="3"/>
  <c r="F369" i="3" s="1"/>
  <c r="E370" i="3"/>
  <c r="F370" i="3" s="1"/>
  <c r="E371" i="3"/>
  <c r="F371" i="3" s="1"/>
  <c r="E372" i="3"/>
  <c r="F372" i="3" s="1"/>
  <c r="E373" i="3"/>
  <c r="F373" i="3" s="1"/>
  <c r="E374" i="3"/>
  <c r="F374" i="3" s="1"/>
  <c r="E375" i="3"/>
  <c r="F375" i="3" s="1"/>
  <c r="E376" i="3"/>
  <c r="F376" i="3" s="1"/>
  <c r="E377" i="3"/>
  <c r="F377" i="3" s="1"/>
  <c r="E378" i="3"/>
  <c r="F378" i="3" s="1"/>
  <c r="E379" i="3"/>
  <c r="F379" i="3" s="1"/>
  <c r="E380" i="3"/>
  <c r="F380" i="3" s="1"/>
  <c r="E381" i="3"/>
  <c r="F381" i="3" s="1"/>
  <c r="E382" i="3"/>
  <c r="F382" i="3" s="1"/>
  <c r="E383" i="3"/>
  <c r="F383" i="3" s="1"/>
  <c r="E384" i="3"/>
  <c r="F384" i="3" s="1"/>
  <c r="E385" i="3"/>
  <c r="F385" i="3" s="1"/>
  <c r="E386" i="3"/>
  <c r="F386" i="3" s="1"/>
  <c r="E387" i="3"/>
  <c r="F387" i="3" s="1"/>
  <c r="E388" i="3"/>
  <c r="F388" i="3" s="1"/>
  <c r="E389" i="3"/>
  <c r="F389" i="3" s="1"/>
  <c r="E390" i="3"/>
  <c r="F390" i="3" s="1"/>
  <c r="E391" i="3"/>
  <c r="F391" i="3" s="1"/>
  <c r="E392" i="3"/>
  <c r="F392" i="3" s="1"/>
  <c r="E393" i="3"/>
  <c r="F393" i="3" s="1"/>
  <c r="E394" i="3"/>
  <c r="F394" i="3" s="1"/>
  <c r="E395" i="3"/>
  <c r="F395" i="3" s="1"/>
  <c r="E396" i="3"/>
  <c r="F396" i="3" s="1"/>
  <c r="E397" i="3"/>
  <c r="F397" i="3" s="1"/>
  <c r="E398" i="3"/>
  <c r="F398" i="3" s="1"/>
  <c r="E399" i="3"/>
  <c r="F399" i="3" s="1"/>
  <c r="E400" i="3"/>
  <c r="F400" i="3" s="1"/>
  <c r="E401" i="3"/>
  <c r="F401" i="3" s="1"/>
  <c r="E402" i="3"/>
  <c r="F402" i="3" s="1"/>
  <c r="E403" i="3"/>
  <c r="F403" i="3" s="1"/>
  <c r="E404" i="3"/>
  <c r="F404" i="3" s="1"/>
  <c r="E405" i="3"/>
  <c r="F405" i="3" s="1"/>
  <c r="E406" i="3"/>
  <c r="F406" i="3" s="1"/>
  <c r="E407" i="3"/>
  <c r="F407" i="3" s="1"/>
  <c r="E408" i="3"/>
  <c r="F408" i="3" s="1"/>
  <c r="E409" i="3"/>
  <c r="F409" i="3" s="1"/>
  <c r="E410" i="3"/>
  <c r="F410" i="3" s="1"/>
  <c r="E411" i="3"/>
  <c r="F411" i="3" s="1"/>
  <c r="E412" i="3"/>
  <c r="F412" i="3" s="1"/>
  <c r="E413" i="3"/>
  <c r="F413" i="3" s="1"/>
  <c r="E414" i="3"/>
  <c r="F414" i="3" s="1"/>
  <c r="E415" i="3"/>
  <c r="F415" i="3" s="1"/>
  <c r="E416" i="3"/>
  <c r="F416" i="3" s="1"/>
  <c r="E417" i="3"/>
  <c r="F417" i="3" s="1"/>
  <c r="E418" i="3"/>
  <c r="F418" i="3" s="1"/>
  <c r="E419" i="3"/>
  <c r="F419" i="3" s="1"/>
  <c r="E420" i="3"/>
  <c r="F420" i="3" s="1"/>
  <c r="E421" i="3"/>
  <c r="F421" i="3" s="1"/>
  <c r="E422" i="3"/>
  <c r="F422" i="3" s="1"/>
  <c r="E423" i="3"/>
  <c r="F423" i="3" s="1"/>
  <c r="E424" i="3"/>
  <c r="F424" i="3" s="1"/>
  <c r="E425" i="3"/>
  <c r="F425" i="3" s="1"/>
  <c r="E426" i="3"/>
  <c r="F426" i="3" s="1"/>
  <c r="E427" i="3"/>
  <c r="F427" i="3" s="1"/>
  <c r="E428" i="3"/>
  <c r="F428" i="3" s="1"/>
  <c r="E429" i="3"/>
  <c r="F429" i="3" s="1"/>
  <c r="E430" i="3"/>
  <c r="F430" i="3" s="1"/>
  <c r="E431" i="3"/>
  <c r="F431" i="3" s="1"/>
  <c r="E432" i="3"/>
  <c r="F432" i="3" s="1"/>
  <c r="E433" i="3"/>
  <c r="F433" i="3" s="1"/>
  <c r="E434" i="3"/>
  <c r="F434" i="3" s="1"/>
  <c r="E435" i="3"/>
  <c r="F435" i="3" s="1"/>
  <c r="E436" i="3"/>
  <c r="F436" i="3" s="1"/>
  <c r="E437" i="3"/>
  <c r="F437" i="3" s="1"/>
  <c r="E438" i="3"/>
  <c r="F438" i="3" s="1"/>
  <c r="E439" i="3"/>
  <c r="F439" i="3" s="1"/>
  <c r="E440" i="3"/>
  <c r="F440" i="3" s="1"/>
  <c r="E441" i="3"/>
  <c r="F441" i="3" s="1"/>
  <c r="E442" i="3"/>
  <c r="F442" i="3" s="1"/>
  <c r="E443" i="3"/>
  <c r="F443" i="3" s="1"/>
  <c r="E444" i="3"/>
  <c r="F444" i="3" s="1"/>
  <c r="E445" i="3"/>
  <c r="F445" i="3" s="1"/>
  <c r="E446" i="3"/>
  <c r="F446" i="3" s="1"/>
  <c r="E447" i="3"/>
  <c r="F447" i="3" s="1"/>
  <c r="E448" i="3"/>
  <c r="F448" i="3" s="1"/>
  <c r="E449" i="3"/>
  <c r="F449" i="3" s="1"/>
  <c r="E450" i="3"/>
  <c r="F450" i="3" s="1"/>
  <c r="E451" i="3"/>
  <c r="F451" i="3" s="1"/>
  <c r="E452" i="3"/>
  <c r="F452" i="3" s="1"/>
  <c r="E453" i="3"/>
  <c r="F453" i="3" s="1"/>
  <c r="E454" i="3"/>
  <c r="F454" i="3" s="1"/>
  <c r="E455" i="3"/>
  <c r="F455" i="3" s="1"/>
  <c r="E456" i="3"/>
  <c r="F456" i="3" s="1"/>
  <c r="E457" i="3"/>
  <c r="F457" i="3" s="1"/>
  <c r="E458" i="3"/>
  <c r="F458" i="3" s="1"/>
  <c r="E459" i="3"/>
  <c r="F459" i="3" s="1"/>
  <c r="E460" i="3"/>
  <c r="F460" i="3" s="1"/>
  <c r="E461" i="3"/>
  <c r="F461" i="3" s="1"/>
  <c r="E462" i="3"/>
  <c r="F462" i="3" s="1"/>
  <c r="E463" i="3"/>
  <c r="F463" i="3" s="1"/>
  <c r="E464" i="3"/>
  <c r="F464" i="3" s="1"/>
  <c r="E465" i="3"/>
  <c r="F465" i="3" s="1"/>
  <c r="E466" i="3"/>
  <c r="F466" i="3" s="1"/>
  <c r="E467" i="3"/>
  <c r="F467" i="3" s="1"/>
  <c r="E468" i="3"/>
  <c r="F468" i="3" s="1"/>
  <c r="E469" i="3"/>
  <c r="F469" i="3" s="1"/>
  <c r="E470" i="3"/>
  <c r="F470" i="3" s="1"/>
  <c r="E471" i="3"/>
  <c r="F471" i="3" s="1"/>
  <c r="E472" i="3"/>
  <c r="F472" i="3" s="1"/>
  <c r="E473" i="3"/>
  <c r="F473" i="3" s="1"/>
  <c r="E474" i="3"/>
  <c r="F474" i="3" s="1"/>
  <c r="E475" i="3"/>
  <c r="F475" i="3" s="1"/>
  <c r="E476" i="3"/>
  <c r="F476" i="3" s="1"/>
  <c r="E477" i="3"/>
  <c r="F477" i="3" s="1"/>
  <c r="E478" i="3"/>
  <c r="F478" i="3" s="1"/>
  <c r="E479" i="3"/>
  <c r="F479" i="3" s="1"/>
  <c r="E480" i="3"/>
  <c r="F480" i="3" s="1"/>
  <c r="E481" i="3"/>
  <c r="F481" i="3" s="1"/>
  <c r="E482" i="3"/>
  <c r="F482" i="3" s="1"/>
  <c r="E483" i="3"/>
  <c r="F483" i="3" s="1"/>
  <c r="E484" i="3"/>
  <c r="F484" i="3" s="1"/>
  <c r="E485" i="3"/>
  <c r="F485" i="3" s="1"/>
  <c r="E486" i="3"/>
  <c r="F486" i="3" s="1"/>
  <c r="E487" i="3"/>
  <c r="F487" i="3" s="1"/>
  <c r="E488" i="3"/>
  <c r="F488" i="3" s="1"/>
  <c r="E489" i="3"/>
  <c r="F489" i="3" s="1"/>
  <c r="E490" i="3"/>
  <c r="F490" i="3" s="1"/>
  <c r="E491" i="3"/>
  <c r="F491" i="3" s="1"/>
  <c r="E492" i="3"/>
  <c r="F492" i="3" s="1"/>
  <c r="E493" i="3"/>
  <c r="F493" i="3" s="1"/>
  <c r="E494" i="3"/>
  <c r="F494" i="3" s="1"/>
  <c r="E495" i="3"/>
  <c r="F495" i="3" s="1"/>
  <c r="E496" i="3"/>
  <c r="F496" i="3" s="1"/>
  <c r="E497" i="3"/>
  <c r="F497" i="3" s="1"/>
  <c r="E498" i="3"/>
  <c r="F498" i="3" s="1"/>
  <c r="E499" i="3"/>
  <c r="F499" i="3" s="1"/>
  <c r="E500" i="3"/>
  <c r="F500" i="3" s="1"/>
  <c r="E501" i="3"/>
  <c r="F501" i="3" s="1"/>
  <c r="E502" i="3"/>
  <c r="F502" i="3" s="1"/>
  <c r="E503" i="3"/>
  <c r="F503" i="3" s="1"/>
  <c r="E504" i="3"/>
  <c r="F504" i="3" s="1"/>
  <c r="E505" i="3"/>
  <c r="F505" i="3" s="1"/>
  <c r="E506" i="3"/>
  <c r="F506" i="3" s="1"/>
  <c r="E507" i="3"/>
  <c r="F507" i="3" s="1"/>
  <c r="E508" i="3"/>
  <c r="F508" i="3" s="1"/>
  <c r="E509" i="3"/>
  <c r="F509" i="3" s="1"/>
  <c r="E510" i="3"/>
  <c r="F510" i="3" s="1"/>
  <c r="E511" i="3"/>
  <c r="F511" i="3" s="1"/>
  <c r="E512" i="3"/>
  <c r="F512" i="3" s="1"/>
  <c r="E513" i="3"/>
  <c r="F513" i="3" s="1"/>
  <c r="E514" i="3"/>
  <c r="F514" i="3" s="1"/>
  <c r="E515" i="3"/>
  <c r="F515" i="3" s="1"/>
  <c r="E516" i="3"/>
  <c r="F516" i="3" s="1"/>
  <c r="E517" i="3"/>
  <c r="F517" i="3" s="1"/>
  <c r="E518" i="3"/>
  <c r="F518" i="3" s="1"/>
  <c r="E519" i="3"/>
  <c r="F519" i="3" s="1"/>
  <c r="E520" i="3"/>
  <c r="F520" i="3" s="1"/>
  <c r="E521" i="3"/>
  <c r="F521" i="3" s="1"/>
  <c r="E522" i="3"/>
  <c r="F522" i="3" s="1"/>
  <c r="E523" i="3"/>
  <c r="F523" i="3" s="1"/>
  <c r="E524" i="3"/>
  <c r="F524" i="3" s="1"/>
  <c r="E525" i="3"/>
  <c r="F525" i="3" s="1"/>
  <c r="E526" i="3"/>
  <c r="F526" i="3" s="1"/>
  <c r="E527" i="3"/>
  <c r="F527" i="3" s="1"/>
  <c r="E528" i="3"/>
  <c r="F528" i="3" s="1"/>
  <c r="E529" i="3"/>
  <c r="F529" i="3" s="1"/>
  <c r="E530" i="3"/>
  <c r="F530" i="3" s="1"/>
  <c r="E531" i="3"/>
  <c r="F531" i="3" s="1"/>
  <c r="E532" i="3"/>
  <c r="F532" i="3" s="1"/>
  <c r="E533" i="3"/>
  <c r="F533" i="3" s="1"/>
  <c r="E534" i="3"/>
  <c r="F534" i="3" s="1"/>
  <c r="E535" i="3"/>
  <c r="F535" i="3" s="1"/>
  <c r="E536" i="3"/>
  <c r="F536" i="3" s="1"/>
  <c r="E537" i="3"/>
  <c r="F537" i="3" s="1"/>
  <c r="E538" i="3"/>
  <c r="F538" i="3" s="1"/>
  <c r="E539" i="3"/>
  <c r="F539" i="3" s="1"/>
  <c r="E540" i="3"/>
  <c r="F540" i="3" s="1"/>
  <c r="E541" i="3"/>
  <c r="F541" i="3" s="1"/>
  <c r="E542" i="3"/>
  <c r="F542" i="3" s="1"/>
  <c r="E543" i="3"/>
  <c r="F543" i="3" s="1"/>
  <c r="E544" i="3"/>
  <c r="F544" i="3" s="1"/>
  <c r="E545" i="3"/>
  <c r="F545" i="3" s="1"/>
  <c r="E546" i="3"/>
  <c r="F546" i="3" s="1"/>
  <c r="E547" i="3"/>
  <c r="F547" i="3" s="1"/>
  <c r="E548" i="3"/>
  <c r="F548" i="3" s="1"/>
  <c r="E549" i="3"/>
  <c r="F549" i="3" s="1"/>
  <c r="E550" i="3"/>
  <c r="F550" i="3" s="1"/>
  <c r="E551" i="3"/>
  <c r="F551" i="3" s="1"/>
  <c r="E552" i="3"/>
  <c r="F552" i="3" s="1"/>
  <c r="E553" i="3"/>
  <c r="F553" i="3" s="1"/>
  <c r="E554" i="3"/>
  <c r="F554" i="3" s="1"/>
  <c r="E555" i="3"/>
  <c r="F555" i="3" s="1"/>
  <c r="E556" i="3"/>
  <c r="F556" i="3" s="1"/>
  <c r="E557" i="3"/>
  <c r="F557" i="3" s="1"/>
  <c r="E558" i="3"/>
  <c r="F558" i="3" s="1"/>
  <c r="E559" i="3"/>
  <c r="F559" i="3" s="1"/>
  <c r="E560" i="3"/>
  <c r="F560" i="3" s="1"/>
  <c r="E561" i="3"/>
  <c r="F561" i="3" s="1"/>
  <c r="E562" i="3"/>
  <c r="F562" i="3" s="1"/>
  <c r="E563" i="3"/>
  <c r="F563" i="3" s="1"/>
  <c r="E564" i="3"/>
  <c r="F564" i="3" s="1"/>
  <c r="E565" i="3"/>
  <c r="F565" i="3" s="1"/>
  <c r="E566" i="3"/>
  <c r="F566" i="3" s="1"/>
  <c r="E567" i="3"/>
  <c r="F567" i="3" s="1"/>
  <c r="E568" i="3"/>
  <c r="F568" i="3" s="1"/>
  <c r="E569" i="3"/>
  <c r="F569" i="3" s="1"/>
  <c r="E570" i="3"/>
  <c r="F570" i="3" s="1"/>
  <c r="E571" i="3"/>
  <c r="F571" i="3" s="1"/>
  <c r="E572" i="3"/>
  <c r="F572" i="3" s="1"/>
  <c r="E573" i="3"/>
  <c r="F573" i="3" s="1"/>
  <c r="E574" i="3"/>
  <c r="F574" i="3" s="1"/>
  <c r="E575" i="3"/>
  <c r="F575" i="3" s="1"/>
  <c r="E576" i="3"/>
  <c r="F576" i="3" s="1"/>
  <c r="E577" i="3"/>
  <c r="F577" i="3" s="1"/>
  <c r="E578" i="3"/>
  <c r="F578" i="3" s="1"/>
  <c r="E579" i="3"/>
  <c r="F579" i="3" s="1"/>
  <c r="E580" i="3"/>
  <c r="F580" i="3" s="1"/>
  <c r="E581" i="3"/>
  <c r="F581" i="3" s="1"/>
  <c r="E582" i="3"/>
  <c r="F582" i="3" s="1"/>
  <c r="E583" i="3"/>
  <c r="F583" i="3" s="1"/>
  <c r="E584" i="3"/>
  <c r="F584" i="3" s="1"/>
  <c r="E585" i="3"/>
  <c r="F585" i="3" s="1"/>
  <c r="E586" i="3"/>
  <c r="F586" i="3" s="1"/>
  <c r="E587" i="3"/>
  <c r="F587" i="3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2" i="1"/>
  <c r="F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2" i="1"/>
</calcChain>
</file>

<file path=xl/sharedStrings.xml><?xml version="1.0" encoding="utf-8"?>
<sst xmlns="http://schemas.openxmlformats.org/spreadsheetml/2006/main" count="68" uniqueCount="17">
  <si>
    <t>Tempo(s)</t>
  </si>
  <si>
    <t>Alongamento(mm/mm)</t>
  </si>
  <si>
    <t>Deformação(mm/mm)</t>
  </si>
  <si>
    <t>Força(N)</t>
  </si>
  <si>
    <t>Tensão(Pa)</t>
  </si>
  <si>
    <t>Tensão(Mpa)</t>
  </si>
  <si>
    <t>Unidade</t>
  </si>
  <si>
    <t>Comprimento</t>
  </si>
  <si>
    <t>Largura</t>
  </si>
  <si>
    <t>Espessura</t>
  </si>
  <si>
    <t>mm</t>
  </si>
  <si>
    <t>m</t>
  </si>
  <si>
    <t>Área (m^2)</t>
  </si>
  <si>
    <t>Forτa(N)</t>
  </si>
  <si>
    <t>Desvio Padrão</t>
  </si>
  <si>
    <t>Média</t>
  </si>
  <si>
    <t>media força 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</si>
</sst>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4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'A12-1'!$C$2:$C$649</c:f>
              <c:numCache>
                <c:formatCode>0.00</c:formatCode>
                <c:ptCount val="648"/>
                <c:pt idx="0">
                  <c:v>0</c:v>
                </c:pt>
                <c:pt idx="1">
                  <c:v>6.9310000000000005E-3</c:v>
                </c:pt>
                <c:pt idx="2">
                  <c:v>6.9849999999999999E-3</c:v>
                </c:pt>
                <c:pt idx="3">
                  <c:v>7.0408000000000007E-3</c:v>
                </c:pt>
                <c:pt idx="4">
                  <c:v>7.0965999999999998E-3</c:v>
                </c:pt>
                <c:pt idx="5">
                  <c:v>7.1506E-3</c:v>
                </c:pt>
                <c:pt idx="6">
                  <c:v>7.2063999999999991E-3</c:v>
                </c:pt>
                <c:pt idx="7">
                  <c:v>7.2621999999999999E-3</c:v>
                </c:pt>
                <c:pt idx="8">
                  <c:v>7.3179999999999999E-3</c:v>
                </c:pt>
                <c:pt idx="9">
                  <c:v>7.3740000000000003E-3</c:v>
                </c:pt>
                <c:pt idx="10">
                  <c:v>7.4297999999999994E-3</c:v>
                </c:pt>
                <c:pt idx="11">
                  <c:v>7.5116000000000002E-3</c:v>
                </c:pt>
                <c:pt idx="12">
                  <c:v>7.5953999999999995E-3</c:v>
                </c:pt>
                <c:pt idx="13">
                  <c:v>7.6792000000000006E-3</c:v>
                </c:pt>
                <c:pt idx="14">
                  <c:v>7.7627999999999994E-3</c:v>
                </c:pt>
                <c:pt idx="15">
                  <c:v>7.8466000000000004E-3</c:v>
                </c:pt>
                <c:pt idx="16">
                  <c:v>7.9286000000000009E-3</c:v>
                </c:pt>
                <c:pt idx="17">
                  <c:v>8.0122000000000006E-3</c:v>
                </c:pt>
                <c:pt idx="18">
                  <c:v>8.094200000000001E-3</c:v>
                </c:pt>
                <c:pt idx="19">
                  <c:v>8.179800000000001E-3</c:v>
                </c:pt>
                <c:pt idx="20">
                  <c:v>8.2616000000000009E-3</c:v>
                </c:pt>
                <c:pt idx="21">
                  <c:v>8.3453999999999993E-3</c:v>
                </c:pt>
                <c:pt idx="22">
                  <c:v>8.4291999999999995E-3</c:v>
                </c:pt>
                <c:pt idx="23">
                  <c:v>8.5109999999999995E-3</c:v>
                </c:pt>
                <c:pt idx="24">
                  <c:v>8.5965999999999994E-3</c:v>
                </c:pt>
                <c:pt idx="25">
                  <c:v>8.6803999999999996E-3</c:v>
                </c:pt>
                <c:pt idx="26">
                  <c:v>8.7624E-3</c:v>
                </c:pt>
                <c:pt idx="27">
                  <c:v>8.8459999999999997E-3</c:v>
                </c:pt>
                <c:pt idx="28">
                  <c:v>8.9280000000000002E-3</c:v>
                </c:pt>
                <c:pt idx="29">
                  <c:v>9.0118000000000004E-3</c:v>
                </c:pt>
                <c:pt idx="30">
                  <c:v>9.0974000000000003E-3</c:v>
                </c:pt>
                <c:pt idx="31">
                  <c:v>9.1792000000000002E-3</c:v>
                </c:pt>
                <c:pt idx="32">
                  <c:v>9.2630000000000004E-3</c:v>
                </c:pt>
                <c:pt idx="33">
                  <c:v>9.3448000000000003E-3</c:v>
                </c:pt>
                <c:pt idx="34">
                  <c:v>9.4286000000000005E-3</c:v>
                </c:pt>
                <c:pt idx="35">
                  <c:v>9.512399999999999E-3</c:v>
                </c:pt>
                <c:pt idx="36">
                  <c:v>9.5962000000000009E-3</c:v>
                </c:pt>
                <c:pt idx="37">
                  <c:v>9.6797999999999988E-3</c:v>
                </c:pt>
                <c:pt idx="38">
                  <c:v>9.761800000000001E-3</c:v>
                </c:pt>
                <c:pt idx="39">
                  <c:v>9.8455999999999995E-3</c:v>
                </c:pt>
                <c:pt idx="40">
                  <c:v>9.9292000000000009E-3</c:v>
                </c:pt>
                <c:pt idx="41">
                  <c:v>1.0013000000000001E-2</c:v>
                </c:pt>
                <c:pt idx="42">
                  <c:v>1.0095E-2</c:v>
                </c:pt>
                <c:pt idx="43">
                  <c:v>1.0178599999999999E-2</c:v>
                </c:pt>
                <c:pt idx="44">
                  <c:v>1.02606E-2</c:v>
                </c:pt>
                <c:pt idx="45">
                  <c:v>1.0346200000000002E-2</c:v>
                </c:pt>
                <c:pt idx="46">
                  <c:v>1.043E-2</c:v>
                </c:pt>
                <c:pt idx="47">
                  <c:v>1.0513600000000001E-2</c:v>
                </c:pt>
                <c:pt idx="48">
                  <c:v>1.05956E-2</c:v>
                </c:pt>
                <c:pt idx="49">
                  <c:v>1.0679399999999999E-2</c:v>
                </c:pt>
                <c:pt idx="50">
                  <c:v>1.0763E-2</c:v>
                </c:pt>
                <c:pt idx="51">
                  <c:v>1.08468E-2</c:v>
                </c:pt>
                <c:pt idx="52">
                  <c:v>1.0958600000000001E-2</c:v>
                </c:pt>
                <c:pt idx="53">
                  <c:v>1.1068400000000001E-2</c:v>
                </c:pt>
                <c:pt idx="54">
                  <c:v>1.1178200000000001E-2</c:v>
                </c:pt>
                <c:pt idx="55">
                  <c:v>1.1263799999999999E-2</c:v>
                </c:pt>
                <c:pt idx="56">
                  <c:v>1.1373599999999999E-2</c:v>
                </c:pt>
                <c:pt idx="57">
                  <c:v>1.1485199999999999E-2</c:v>
                </c:pt>
                <c:pt idx="58">
                  <c:v>1.1596800000000001E-2</c:v>
                </c:pt>
                <c:pt idx="59">
                  <c:v>1.1706600000000001E-2</c:v>
                </c:pt>
                <c:pt idx="60">
                  <c:v>1.18166E-2</c:v>
                </c:pt>
                <c:pt idx="61">
                  <c:v>1.19282E-2</c:v>
                </c:pt>
                <c:pt idx="62">
                  <c:v>1.20398E-2</c:v>
                </c:pt>
                <c:pt idx="63">
                  <c:v>1.21516E-2</c:v>
                </c:pt>
                <c:pt idx="64">
                  <c:v>1.22614E-2</c:v>
                </c:pt>
                <c:pt idx="65">
                  <c:v>1.2374799999999998E-2</c:v>
                </c:pt>
                <c:pt idx="66">
                  <c:v>1.24866E-2</c:v>
                </c:pt>
                <c:pt idx="67">
                  <c:v>1.2596400000000001E-2</c:v>
                </c:pt>
                <c:pt idx="68">
                  <c:v>1.2707999999999999E-2</c:v>
                </c:pt>
                <c:pt idx="69">
                  <c:v>1.28196E-2</c:v>
                </c:pt>
                <c:pt idx="70">
                  <c:v>1.2929400000000001E-2</c:v>
                </c:pt>
                <c:pt idx="71">
                  <c:v>1.3039199999999999E-2</c:v>
                </c:pt>
                <c:pt idx="72">
                  <c:v>1.3150999999999999E-2</c:v>
                </c:pt>
                <c:pt idx="73">
                  <c:v>1.3262599999999999E-2</c:v>
                </c:pt>
                <c:pt idx="74">
                  <c:v>1.33724E-2</c:v>
                </c:pt>
                <c:pt idx="75">
                  <c:v>1.34842E-2</c:v>
                </c:pt>
                <c:pt idx="76">
                  <c:v>1.35958E-2</c:v>
                </c:pt>
                <c:pt idx="77">
                  <c:v>1.37056E-2</c:v>
                </c:pt>
                <c:pt idx="78">
                  <c:v>1.38172E-2</c:v>
                </c:pt>
                <c:pt idx="79">
                  <c:v>1.3929E-2</c:v>
                </c:pt>
                <c:pt idx="80">
                  <c:v>1.40406E-2</c:v>
                </c:pt>
                <c:pt idx="81">
                  <c:v>1.4152199999999998E-2</c:v>
                </c:pt>
                <c:pt idx="82">
                  <c:v>1.4263999999999999E-2</c:v>
                </c:pt>
                <c:pt idx="83">
                  <c:v>1.4375599999999999E-2</c:v>
                </c:pt>
                <c:pt idx="84">
                  <c:v>1.4511400000000001E-2</c:v>
                </c:pt>
                <c:pt idx="85">
                  <c:v>1.4651000000000001E-2</c:v>
                </c:pt>
                <c:pt idx="86">
                  <c:v>1.4790600000000001E-2</c:v>
                </c:pt>
                <c:pt idx="87">
                  <c:v>1.49284E-2</c:v>
                </c:pt>
                <c:pt idx="88">
                  <c:v>1.5068E-2</c:v>
                </c:pt>
                <c:pt idx="89">
                  <c:v>1.5207599999999998E-2</c:v>
                </c:pt>
                <c:pt idx="90">
                  <c:v>1.5345200000000002E-2</c:v>
                </c:pt>
                <c:pt idx="91">
                  <c:v>1.54848E-2</c:v>
                </c:pt>
                <c:pt idx="92">
                  <c:v>1.56244E-2</c:v>
                </c:pt>
                <c:pt idx="93">
                  <c:v>1.5762200000000001E-2</c:v>
                </c:pt>
                <c:pt idx="94">
                  <c:v>1.5901800000000001E-2</c:v>
                </c:pt>
                <c:pt idx="95">
                  <c:v>1.6041399999999997E-2</c:v>
                </c:pt>
                <c:pt idx="96">
                  <c:v>1.6178999999999999E-2</c:v>
                </c:pt>
                <c:pt idx="97">
                  <c:v>1.6318600000000003E-2</c:v>
                </c:pt>
                <c:pt idx="98">
                  <c:v>1.64564E-2</c:v>
                </c:pt>
                <c:pt idx="99">
                  <c:v>1.6596E-2</c:v>
                </c:pt>
                <c:pt idx="100">
                  <c:v>1.67356E-2</c:v>
                </c:pt>
                <c:pt idx="101">
                  <c:v>1.6873199999999998E-2</c:v>
                </c:pt>
                <c:pt idx="102">
                  <c:v>1.7012799999999998E-2</c:v>
                </c:pt>
                <c:pt idx="103">
                  <c:v>1.7152400000000002E-2</c:v>
                </c:pt>
                <c:pt idx="104">
                  <c:v>1.7290199999999999E-2</c:v>
                </c:pt>
                <c:pt idx="105">
                  <c:v>1.7427999999999999E-2</c:v>
                </c:pt>
                <c:pt idx="106">
                  <c:v>1.75674E-2</c:v>
                </c:pt>
                <c:pt idx="107">
                  <c:v>1.7705200000000001E-2</c:v>
                </c:pt>
                <c:pt idx="108">
                  <c:v>1.7846600000000001E-2</c:v>
                </c:pt>
                <c:pt idx="109">
                  <c:v>1.7986200000000001E-2</c:v>
                </c:pt>
                <c:pt idx="110">
                  <c:v>1.8149999999999999E-2</c:v>
                </c:pt>
                <c:pt idx="111">
                  <c:v>1.8291399999999999E-2</c:v>
                </c:pt>
                <c:pt idx="112">
                  <c:v>1.84572E-2</c:v>
                </c:pt>
                <c:pt idx="113">
                  <c:v>1.8622799999999998E-2</c:v>
                </c:pt>
                <c:pt idx="114">
                  <c:v>1.87902E-2</c:v>
                </c:pt>
                <c:pt idx="115">
                  <c:v>1.8956000000000001E-2</c:v>
                </c:pt>
                <c:pt idx="116">
                  <c:v>1.9123399999999999E-2</c:v>
                </c:pt>
                <c:pt idx="117">
                  <c:v>1.9289000000000001E-2</c:v>
                </c:pt>
                <c:pt idx="118">
                  <c:v>1.9456600000000001E-2</c:v>
                </c:pt>
                <c:pt idx="119">
                  <c:v>1.9623999999999999E-2</c:v>
                </c:pt>
                <c:pt idx="120">
                  <c:v>1.97898E-2</c:v>
                </c:pt>
                <c:pt idx="121">
                  <c:v>1.9959000000000001E-2</c:v>
                </c:pt>
                <c:pt idx="122">
                  <c:v>2.0122000000000001E-2</c:v>
                </c:pt>
                <c:pt idx="123">
                  <c:v>2.0289999999999999E-2</c:v>
                </c:pt>
                <c:pt idx="124">
                  <c:v>2.0457999999999997E-2</c:v>
                </c:pt>
                <c:pt idx="125">
                  <c:v>2.0623999999999997E-2</c:v>
                </c:pt>
                <c:pt idx="126">
                  <c:v>2.0792000000000001E-2</c:v>
                </c:pt>
                <c:pt idx="127">
                  <c:v>2.0956000000000002E-2</c:v>
                </c:pt>
                <c:pt idx="128">
                  <c:v>2.1122000000000002E-2</c:v>
                </c:pt>
                <c:pt idx="129">
                  <c:v>2.129E-2</c:v>
                </c:pt>
                <c:pt idx="130">
                  <c:v>2.1455999999999999E-2</c:v>
                </c:pt>
                <c:pt idx="131">
                  <c:v>2.1623999999999997E-2</c:v>
                </c:pt>
                <c:pt idx="132">
                  <c:v>2.1791999999999999E-2</c:v>
                </c:pt>
                <c:pt idx="133">
                  <c:v>2.1984E-2</c:v>
                </c:pt>
                <c:pt idx="134">
                  <c:v>2.2179999999999998E-2</c:v>
                </c:pt>
                <c:pt idx="135">
                  <c:v>2.2374000000000002E-2</c:v>
                </c:pt>
                <c:pt idx="136">
                  <c:v>2.2568000000000001E-2</c:v>
                </c:pt>
                <c:pt idx="137">
                  <c:v>2.2761999999999998E-2</c:v>
                </c:pt>
                <c:pt idx="138">
                  <c:v>2.2930000000000002E-2</c:v>
                </c:pt>
                <c:pt idx="139">
                  <c:v>2.3123999999999999E-2</c:v>
                </c:pt>
                <c:pt idx="140">
                  <c:v>2.3316E-2</c:v>
                </c:pt>
                <c:pt idx="141">
                  <c:v>2.3485999999999996E-2</c:v>
                </c:pt>
                <c:pt idx="142">
                  <c:v>2.368E-2</c:v>
                </c:pt>
                <c:pt idx="143">
                  <c:v>2.3845999999999999E-2</c:v>
                </c:pt>
                <c:pt idx="144">
                  <c:v>2.4039999999999999E-2</c:v>
                </c:pt>
                <c:pt idx="145">
                  <c:v>2.4205999999999998E-2</c:v>
                </c:pt>
                <c:pt idx="146">
                  <c:v>2.4402E-2</c:v>
                </c:pt>
                <c:pt idx="147">
                  <c:v>2.4597999999999998E-2</c:v>
                </c:pt>
                <c:pt idx="148">
                  <c:v>2.4733999999999999E-2</c:v>
                </c:pt>
                <c:pt idx="149">
                  <c:v>2.4929999999999997E-2</c:v>
                </c:pt>
                <c:pt idx="150">
                  <c:v>2.5068E-2</c:v>
                </c:pt>
                <c:pt idx="151">
                  <c:v>2.5264000000000002E-2</c:v>
                </c:pt>
                <c:pt idx="152">
                  <c:v>2.5455999999999999E-2</c:v>
                </c:pt>
                <c:pt idx="153">
                  <c:v>2.5649999999999999E-2</c:v>
                </c:pt>
                <c:pt idx="154">
                  <c:v>2.5817999999999997E-2</c:v>
                </c:pt>
                <c:pt idx="155">
                  <c:v>2.6041999999999999E-2</c:v>
                </c:pt>
                <c:pt idx="156">
                  <c:v>2.6234E-2</c:v>
                </c:pt>
                <c:pt idx="157">
                  <c:v>2.6427999999999997E-2</c:v>
                </c:pt>
                <c:pt idx="158">
                  <c:v>2.6623999999999998E-2</c:v>
                </c:pt>
                <c:pt idx="159">
                  <c:v>2.6817999999999998E-2</c:v>
                </c:pt>
                <c:pt idx="160">
                  <c:v>2.6983999999999998E-2</c:v>
                </c:pt>
                <c:pt idx="161">
                  <c:v>2.7178000000000001E-2</c:v>
                </c:pt>
                <c:pt idx="162">
                  <c:v>2.7373999999999999E-2</c:v>
                </c:pt>
                <c:pt idx="163">
                  <c:v>2.7568000000000002E-2</c:v>
                </c:pt>
                <c:pt idx="164">
                  <c:v>2.7761999999999998E-2</c:v>
                </c:pt>
                <c:pt idx="165">
                  <c:v>2.7955999999999998E-2</c:v>
                </c:pt>
                <c:pt idx="166">
                  <c:v>2.8152E-2</c:v>
                </c:pt>
                <c:pt idx="167">
                  <c:v>2.8346E-2</c:v>
                </c:pt>
                <c:pt idx="168">
                  <c:v>2.8539999999999999E-2</c:v>
                </c:pt>
                <c:pt idx="169">
                  <c:v>2.8734000000000003E-2</c:v>
                </c:pt>
                <c:pt idx="170">
                  <c:v>2.8929999999999997E-2</c:v>
                </c:pt>
                <c:pt idx="171">
                  <c:v>2.9125999999999999E-2</c:v>
                </c:pt>
                <c:pt idx="172">
                  <c:v>2.9289999999999997E-2</c:v>
                </c:pt>
                <c:pt idx="173">
                  <c:v>2.9456000000000003E-2</c:v>
                </c:pt>
                <c:pt idx="174">
                  <c:v>2.9622000000000002E-2</c:v>
                </c:pt>
                <c:pt idx="175">
                  <c:v>2.9790000000000001E-2</c:v>
                </c:pt>
                <c:pt idx="176">
                  <c:v>2.9957999999999999E-2</c:v>
                </c:pt>
                <c:pt idx="177">
                  <c:v>3.0095999999999998E-2</c:v>
                </c:pt>
                <c:pt idx="178">
                  <c:v>3.0234E-2</c:v>
                </c:pt>
                <c:pt idx="179">
                  <c:v>3.0373999999999998E-2</c:v>
                </c:pt>
                <c:pt idx="180">
                  <c:v>3.0539999999999998E-2</c:v>
                </c:pt>
                <c:pt idx="181">
                  <c:v>3.0679999999999999E-2</c:v>
                </c:pt>
                <c:pt idx="182">
                  <c:v>3.0817999999999998E-2</c:v>
                </c:pt>
                <c:pt idx="183">
                  <c:v>3.0956000000000001E-2</c:v>
                </c:pt>
                <c:pt idx="184">
                  <c:v>3.1095999999999999E-2</c:v>
                </c:pt>
                <c:pt idx="185">
                  <c:v>3.1234000000000001E-2</c:v>
                </c:pt>
                <c:pt idx="186">
                  <c:v>3.1345999999999999E-2</c:v>
                </c:pt>
                <c:pt idx="187">
                  <c:v>3.1486E-2</c:v>
                </c:pt>
                <c:pt idx="188">
                  <c:v>3.1623999999999999E-2</c:v>
                </c:pt>
                <c:pt idx="189">
                  <c:v>3.1733999999999998E-2</c:v>
                </c:pt>
                <c:pt idx="190">
                  <c:v>3.1874E-2</c:v>
                </c:pt>
                <c:pt idx="191">
                  <c:v>3.1983999999999999E-2</c:v>
                </c:pt>
                <c:pt idx="192">
                  <c:v>3.2124E-2</c:v>
                </c:pt>
                <c:pt idx="193">
                  <c:v>3.2236000000000001E-2</c:v>
                </c:pt>
                <c:pt idx="194">
                  <c:v>3.2346E-2</c:v>
                </c:pt>
                <c:pt idx="195">
                  <c:v>3.2483999999999999E-2</c:v>
                </c:pt>
                <c:pt idx="196">
                  <c:v>3.2593999999999998E-2</c:v>
                </c:pt>
                <c:pt idx="197">
                  <c:v>3.2736000000000001E-2</c:v>
                </c:pt>
                <c:pt idx="198">
                  <c:v>3.2875999999999996E-2</c:v>
                </c:pt>
                <c:pt idx="199">
                  <c:v>3.2986000000000001E-2</c:v>
                </c:pt>
                <c:pt idx="200">
                  <c:v>3.3124000000000001E-2</c:v>
                </c:pt>
                <c:pt idx="201">
                  <c:v>3.3262E-2</c:v>
                </c:pt>
                <c:pt idx="202">
                  <c:v>3.3402000000000001E-2</c:v>
                </c:pt>
                <c:pt idx="203">
                  <c:v>3.3537999999999998E-2</c:v>
                </c:pt>
                <c:pt idx="204">
                  <c:v>3.3680000000000002E-2</c:v>
                </c:pt>
                <c:pt idx="205">
                  <c:v>3.3792000000000003E-2</c:v>
                </c:pt>
                <c:pt idx="206">
                  <c:v>3.3928E-2</c:v>
                </c:pt>
                <c:pt idx="207">
                  <c:v>3.4040000000000001E-2</c:v>
                </c:pt>
                <c:pt idx="208">
                  <c:v>3.4178E-2</c:v>
                </c:pt>
                <c:pt idx="209">
                  <c:v>3.4290000000000001E-2</c:v>
                </c:pt>
                <c:pt idx="210">
                  <c:v>3.4430000000000002E-2</c:v>
                </c:pt>
                <c:pt idx="211">
                  <c:v>3.4568000000000002E-2</c:v>
                </c:pt>
                <c:pt idx="212">
                  <c:v>3.4706000000000001E-2</c:v>
                </c:pt>
                <c:pt idx="213">
                  <c:v>3.4817999999999995E-2</c:v>
                </c:pt>
                <c:pt idx="214">
                  <c:v>3.4956000000000001E-2</c:v>
                </c:pt>
                <c:pt idx="215">
                  <c:v>3.5094E-2</c:v>
                </c:pt>
                <c:pt idx="216">
                  <c:v>3.5236000000000003E-2</c:v>
                </c:pt>
                <c:pt idx="217">
                  <c:v>3.5373999999999996E-2</c:v>
                </c:pt>
                <c:pt idx="218">
                  <c:v>3.5512000000000002E-2</c:v>
                </c:pt>
                <c:pt idx="219">
                  <c:v>3.5651999999999996E-2</c:v>
                </c:pt>
                <c:pt idx="220">
                  <c:v>3.5790000000000002E-2</c:v>
                </c:pt>
                <c:pt idx="221">
                  <c:v>3.5901999999999996E-2</c:v>
                </c:pt>
                <c:pt idx="222">
                  <c:v>3.6040000000000003E-2</c:v>
                </c:pt>
                <c:pt idx="223">
                  <c:v>3.6152000000000004E-2</c:v>
                </c:pt>
                <c:pt idx="224">
                  <c:v>3.6290000000000003E-2</c:v>
                </c:pt>
                <c:pt idx="225">
                  <c:v>3.6402000000000004E-2</c:v>
                </c:pt>
                <c:pt idx="226">
                  <c:v>3.6539999999999996E-2</c:v>
                </c:pt>
                <c:pt idx="227">
                  <c:v>3.6651999999999997E-2</c:v>
                </c:pt>
                <c:pt idx="228">
                  <c:v>3.6762000000000003E-2</c:v>
                </c:pt>
                <c:pt idx="229">
                  <c:v>3.6901999999999997E-2</c:v>
                </c:pt>
                <c:pt idx="230">
                  <c:v>3.7012000000000003E-2</c:v>
                </c:pt>
                <c:pt idx="231">
                  <c:v>3.7124000000000004E-2</c:v>
                </c:pt>
                <c:pt idx="232">
                  <c:v>3.7233999999999996E-2</c:v>
                </c:pt>
                <c:pt idx="233">
                  <c:v>3.7345999999999997E-2</c:v>
                </c:pt>
                <c:pt idx="234">
                  <c:v>3.7457999999999998E-2</c:v>
                </c:pt>
                <c:pt idx="235">
                  <c:v>3.7595999999999997E-2</c:v>
                </c:pt>
                <c:pt idx="236">
                  <c:v>3.7707999999999998E-2</c:v>
                </c:pt>
                <c:pt idx="237">
                  <c:v>3.7817999999999997E-2</c:v>
                </c:pt>
                <c:pt idx="238">
                  <c:v>3.7957999999999999E-2</c:v>
                </c:pt>
                <c:pt idx="239">
                  <c:v>3.8095999999999998E-2</c:v>
                </c:pt>
                <c:pt idx="240">
                  <c:v>3.8235999999999999E-2</c:v>
                </c:pt>
                <c:pt idx="241">
                  <c:v>3.8373999999999998E-2</c:v>
                </c:pt>
                <c:pt idx="242">
                  <c:v>3.8511999999999998E-2</c:v>
                </c:pt>
                <c:pt idx="243">
                  <c:v>3.8650000000000004E-2</c:v>
                </c:pt>
                <c:pt idx="244">
                  <c:v>3.8789999999999998E-2</c:v>
                </c:pt>
                <c:pt idx="245">
                  <c:v>3.8927999999999997E-2</c:v>
                </c:pt>
                <c:pt idx="246">
                  <c:v>3.9039999999999998E-2</c:v>
                </c:pt>
                <c:pt idx="247">
                  <c:v>3.918E-2</c:v>
                </c:pt>
                <c:pt idx="248">
                  <c:v>3.9289999999999999E-2</c:v>
                </c:pt>
                <c:pt idx="249">
                  <c:v>3.9427999999999998E-2</c:v>
                </c:pt>
                <c:pt idx="250">
                  <c:v>3.9567999999999999E-2</c:v>
                </c:pt>
                <c:pt idx="251">
                  <c:v>3.968E-2</c:v>
                </c:pt>
                <c:pt idx="252">
                  <c:v>3.9817999999999999E-2</c:v>
                </c:pt>
                <c:pt idx="253">
                  <c:v>3.993E-2</c:v>
                </c:pt>
                <c:pt idx="254">
                  <c:v>4.0067999999999999E-2</c:v>
                </c:pt>
                <c:pt idx="255">
                  <c:v>4.018E-2</c:v>
                </c:pt>
                <c:pt idx="256">
                  <c:v>4.0292000000000001E-2</c:v>
                </c:pt>
                <c:pt idx="257">
                  <c:v>4.0401999999999993E-2</c:v>
                </c:pt>
                <c:pt idx="258">
                  <c:v>4.0511999999999999E-2</c:v>
                </c:pt>
                <c:pt idx="259">
                  <c:v>4.0624E-2</c:v>
                </c:pt>
                <c:pt idx="260">
                  <c:v>4.0708000000000001E-2</c:v>
                </c:pt>
                <c:pt idx="261">
                  <c:v>4.0818E-2</c:v>
                </c:pt>
                <c:pt idx="262">
                  <c:v>4.0930000000000001E-2</c:v>
                </c:pt>
                <c:pt idx="263">
                  <c:v>4.1012000000000007E-2</c:v>
                </c:pt>
                <c:pt idx="264">
                  <c:v>4.1093999999999999E-2</c:v>
                </c:pt>
                <c:pt idx="265">
                  <c:v>4.1180000000000001E-2</c:v>
                </c:pt>
                <c:pt idx="266">
                  <c:v>4.1264000000000002E-2</c:v>
                </c:pt>
                <c:pt idx="267">
                  <c:v>4.1374000000000001E-2</c:v>
                </c:pt>
                <c:pt idx="268">
                  <c:v>4.1458000000000002E-2</c:v>
                </c:pt>
                <c:pt idx="269">
                  <c:v>4.1542000000000003E-2</c:v>
                </c:pt>
                <c:pt idx="270">
                  <c:v>4.1622000000000006E-2</c:v>
                </c:pt>
                <c:pt idx="271">
                  <c:v>4.1734E-2</c:v>
                </c:pt>
                <c:pt idx="272">
                  <c:v>4.1818000000000001E-2</c:v>
                </c:pt>
                <c:pt idx="273">
                  <c:v>4.1900000000000007E-2</c:v>
                </c:pt>
                <c:pt idx="274">
                  <c:v>4.1985999999999996E-2</c:v>
                </c:pt>
                <c:pt idx="275">
                  <c:v>4.2068000000000001E-2</c:v>
                </c:pt>
                <c:pt idx="276">
                  <c:v>4.2152000000000002E-2</c:v>
                </c:pt>
                <c:pt idx="277">
                  <c:v>4.2234000000000001E-2</c:v>
                </c:pt>
                <c:pt idx="278">
                  <c:v>4.2317999999999995E-2</c:v>
                </c:pt>
                <c:pt idx="279">
                  <c:v>4.2428E-2</c:v>
                </c:pt>
                <c:pt idx="280">
                  <c:v>4.2512000000000001E-2</c:v>
                </c:pt>
                <c:pt idx="281">
                  <c:v>4.2595999999999995E-2</c:v>
                </c:pt>
                <c:pt idx="282">
                  <c:v>4.2708000000000003E-2</c:v>
                </c:pt>
                <c:pt idx="283">
                  <c:v>4.2790000000000002E-2</c:v>
                </c:pt>
                <c:pt idx="284">
                  <c:v>4.2873999999999995E-2</c:v>
                </c:pt>
                <c:pt idx="285">
                  <c:v>4.2986000000000003E-2</c:v>
                </c:pt>
                <c:pt idx="286">
                  <c:v>4.3070000000000004E-2</c:v>
                </c:pt>
                <c:pt idx="287">
                  <c:v>4.3178000000000001E-2</c:v>
                </c:pt>
                <c:pt idx="288">
                  <c:v>4.3262000000000002E-2</c:v>
                </c:pt>
                <c:pt idx="289">
                  <c:v>4.3346000000000003E-2</c:v>
                </c:pt>
                <c:pt idx="290">
                  <c:v>4.3429999999999996E-2</c:v>
                </c:pt>
                <c:pt idx="291">
                  <c:v>4.3513999999999997E-2</c:v>
                </c:pt>
                <c:pt idx="292">
                  <c:v>4.3596000000000003E-2</c:v>
                </c:pt>
                <c:pt idx="293">
                  <c:v>4.3678000000000002E-2</c:v>
                </c:pt>
                <c:pt idx="294">
                  <c:v>4.3761999999999995E-2</c:v>
                </c:pt>
                <c:pt idx="295">
                  <c:v>4.3848000000000005E-2</c:v>
                </c:pt>
                <c:pt idx="296">
                  <c:v>4.3929999999999997E-2</c:v>
                </c:pt>
                <c:pt idx="297">
                  <c:v>4.4013999999999998E-2</c:v>
                </c:pt>
                <c:pt idx="298">
                  <c:v>4.4096000000000003E-2</c:v>
                </c:pt>
                <c:pt idx="299">
                  <c:v>4.4177999999999995E-2</c:v>
                </c:pt>
                <c:pt idx="300">
                  <c:v>4.4261999999999996E-2</c:v>
                </c:pt>
                <c:pt idx="301">
                  <c:v>4.4345999999999997E-2</c:v>
                </c:pt>
                <c:pt idx="302">
                  <c:v>4.4429999999999997E-2</c:v>
                </c:pt>
                <c:pt idx="303">
                  <c:v>4.4512000000000003E-2</c:v>
                </c:pt>
                <c:pt idx="304">
                  <c:v>4.4595999999999997E-2</c:v>
                </c:pt>
                <c:pt idx="305">
                  <c:v>4.4679999999999997E-2</c:v>
                </c:pt>
                <c:pt idx="306">
                  <c:v>4.4790000000000003E-2</c:v>
                </c:pt>
                <c:pt idx="307">
                  <c:v>4.4901999999999997E-2</c:v>
                </c:pt>
                <c:pt idx="308">
                  <c:v>4.5011999999999996E-2</c:v>
                </c:pt>
                <c:pt idx="309">
                  <c:v>4.5124000000000004E-2</c:v>
                </c:pt>
                <c:pt idx="310">
                  <c:v>4.5233999999999996E-2</c:v>
                </c:pt>
                <c:pt idx="311">
                  <c:v>4.5346000000000004E-2</c:v>
                </c:pt>
                <c:pt idx="312">
                  <c:v>4.5456000000000003E-2</c:v>
                </c:pt>
                <c:pt idx="313">
                  <c:v>4.5567999999999997E-2</c:v>
                </c:pt>
                <c:pt idx="314">
                  <c:v>4.5678000000000003E-2</c:v>
                </c:pt>
                <c:pt idx="315">
                  <c:v>4.5789999999999997E-2</c:v>
                </c:pt>
                <c:pt idx="316">
                  <c:v>4.5902000000000005E-2</c:v>
                </c:pt>
                <c:pt idx="317">
                  <c:v>4.6013999999999999E-2</c:v>
                </c:pt>
                <c:pt idx="318">
                  <c:v>4.6123999999999998E-2</c:v>
                </c:pt>
                <c:pt idx="319">
                  <c:v>4.6207999999999999E-2</c:v>
                </c:pt>
                <c:pt idx="320">
                  <c:v>4.6317999999999998E-2</c:v>
                </c:pt>
                <c:pt idx="321">
                  <c:v>4.6429999999999999E-2</c:v>
                </c:pt>
                <c:pt idx="322">
                  <c:v>4.6539999999999998E-2</c:v>
                </c:pt>
                <c:pt idx="323">
                  <c:v>4.6623999999999999E-2</c:v>
                </c:pt>
                <c:pt idx="324">
                  <c:v>4.6736000000000007E-2</c:v>
                </c:pt>
                <c:pt idx="325">
                  <c:v>4.6848000000000001E-2</c:v>
                </c:pt>
                <c:pt idx="326">
                  <c:v>4.6958E-2</c:v>
                </c:pt>
                <c:pt idx="327">
                  <c:v>4.7039999999999998E-2</c:v>
                </c:pt>
                <c:pt idx="328">
                  <c:v>4.7151999999999999E-2</c:v>
                </c:pt>
                <c:pt idx="329">
                  <c:v>4.7264E-2</c:v>
                </c:pt>
                <c:pt idx="330">
                  <c:v>4.7373999999999999E-2</c:v>
                </c:pt>
                <c:pt idx="331">
                  <c:v>4.7483999999999998E-2</c:v>
                </c:pt>
                <c:pt idx="332">
                  <c:v>4.7595999999999999E-2</c:v>
                </c:pt>
                <c:pt idx="333">
                  <c:v>4.7708E-2</c:v>
                </c:pt>
                <c:pt idx="334">
                  <c:v>4.7815999999999997E-2</c:v>
                </c:pt>
                <c:pt idx="335">
                  <c:v>4.7927999999999998E-2</c:v>
                </c:pt>
                <c:pt idx="336">
                  <c:v>4.8039999999999999E-2</c:v>
                </c:pt>
                <c:pt idx="337">
                  <c:v>4.8121999999999998E-2</c:v>
                </c:pt>
                <c:pt idx="338">
                  <c:v>4.8234000000000006E-2</c:v>
                </c:pt>
                <c:pt idx="339">
                  <c:v>4.8346E-2</c:v>
                </c:pt>
                <c:pt idx="340">
                  <c:v>4.8457999999999994E-2</c:v>
                </c:pt>
                <c:pt idx="341">
                  <c:v>4.854E-2</c:v>
                </c:pt>
                <c:pt idx="342">
                  <c:v>4.8652000000000001E-2</c:v>
                </c:pt>
                <c:pt idx="343">
                  <c:v>4.8734E-2</c:v>
                </c:pt>
                <c:pt idx="344">
                  <c:v>4.8844000000000005E-2</c:v>
                </c:pt>
                <c:pt idx="345">
                  <c:v>4.8986000000000002E-2</c:v>
                </c:pt>
                <c:pt idx="346">
                  <c:v>4.9124000000000001E-2</c:v>
                </c:pt>
                <c:pt idx="347">
                  <c:v>4.9236000000000002E-2</c:v>
                </c:pt>
                <c:pt idx="348">
                  <c:v>4.9371999999999999E-2</c:v>
                </c:pt>
                <c:pt idx="349">
                  <c:v>4.9512E-2</c:v>
                </c:pt>
                <c:pt idx="350">
                  <c:v>4.9623999999999995E-2</c:v>
                </c:pt>
                <c:pt idx="351">
                  <c:v>4.9762000000000001E-2</c:v>
                </c:pt>
                <c:pt idx="352">
                  <c:v>4.9901999999999995E-2</c:v>
                </c:pt>
                <c:pt idx="353">
                  <c:v>5.0014000000000003E-2</c:v>
                </c:pt>
                <c:pt idx="354">
                  <c:v>5.0122E-2</c:v>
                </c:pt>
                <c:pt idx="355">
                  <c:v>5.0262000000000001E-2</c:v>
                </c:pt>
                <c:pt idx="356">
                  <c:v>5.0374000000000002E-2</c:v>
                </c:pt>
                <c:pt idx="357">
                  <c:v>5.0484000000000001E-2</c:v>
                </c:pt>
                <c:pt idx="358">
                  <c:v>5.0595999999999995E-2</c:v>
                </c:pt>
                <c:pt idx="359">
                  <c:v>5.0708000000000003E-2</c:v>
                </c:pt>
                <c:pt idx="360">
                  <c:v>5.0846000000000002E-2</c:v>
                </c:pt>
                <c:pt idx="361">
                  <c:v>5.0957999999999996E-2</c:v>
                </c:pt>
                <c:pt idx="362">
                  <c:v>5.1067999999999995E-2</c:v>
                </c:pt>
                <c:pt idx="363">
                  <c:v>5.1180000000000003E-2</c:v>
                </c:pt>
                <c:pt idx="364">
                  <c:v>5.1291999999999997E-2</c:v>
                </c:pt>
                <c:pt idx="365">
                  <c:v>5.1403999999999998E-2</c:v>
                </c:pt>
                <c:pt idx="366">
                  <c:v>5.1513999999999997E-2</c:v>
                </c:pt>
                <c:pt idx="367">
                  <c:v>5.1622000000000001E-2</c:v>
                </c:pt>
                <c:pt idx="368">
                  <c:v>5.1734000000000002E-2</c:v>
                </c:pt>
                <c:pt idx="369">
                  <c:v>5.1844000000000001E-2</c:v>
                </c:pt>
                <c:pt idx="370">
                  <c:v>5.1955999999999995E-2</c:v>
                </c:pt>
                <c:pt idx="371">
                  <c:v>5.2068000000000003E-2</c:v>
                </c:pt>
                <c:pt idx="372">
                  <c:v>5.2179999999999997E-2</c:v>
                </c:pt>
                <c:pt idx="373">
                  <c:v>5.2291999999999998E-2</c:v>
                </c:pt>
                <c:pt idx="374">
                  <c:v>5.2401999999999997E-2</c:v>
                </c:pt>
                <c:pt idx="375">
                  <c:v>5.2511999999999996E-2</c:v>
                </c:pt>
                <c:pt idx="376">
                  <c:v>5.2649999999999995E-2</c:v>
                </c:pt>
                <c:pt idx="377">
                  <c:v>5.2789999999999997E-2</c:v>
                </c:pt>
                <c:pt idx="378">
                  <c:v>5.2930000000000005E-2</c:v>
                </c:pt>
                <c:pt idx="379">
                  <c:v>5.3067999999999997E-2</c:v>
                </c:pt>
                <c:pt idx="380">
                  <c:v>5.3205999999999996E-2</c:v>
                </c:pt>
                <c:pt idx="381">
                  <c:v>5.3345999999999998E-2</c:v>
                </c:pt>
                <c:pt idx="382">
                  <c:v>5.3483999999999997E-2</c:v>
                </c:pt>
                <c:pt idx="383">
                  <c:v>5.3623999999999998E-2</c:v>
                </c:pt>
                <c:pt idx="384">
                  <c:v>5.3764000000000006E-2</c:v>
                </c:pt>
                <c:pt idx="385">
                  <c:v>5.3901999999999999E-2</c:v>
                </c:pt>
                <c:pt idx="386">
                  <c:v>5.4039999999999998E-2</c:v>
                </c:pt>
                <c:pt idx="387">
                  <c:v>5.4179999999999999E-2</c:v>
                </c:pt>
                <c:pt idx="388">
                  <c:v>5.4317999999999998E-2</c:v>
                </c:pt>
                <c:pt idx="389">
                  <c:v>5.4457999999999999E-2</c:v>
                </c:pt>
                <c:pt idx="390">
                  <c:v>5.4595999999999999E-2</c:v>
                </c:pt>
                <c:pt idx="391">
                  <c:v>5.4733999999999998E-2</c:v>
                </c:pt>
                <c:pt idx="392">
                  <c:v>5.4873999999999999E-2</c:v>
                </c:pt>
                <c:pt idx="393">
                  <c:v>5.5014E-2</c:v>
                </c:pt>
                <c:pt idx="394">
                  <c:v>5.5152E-2</c:v>
                </c:pt>
                <c:pt idx="395">
                  <c:v>5.5292000000000001E-2</c:v>
                </c:pt>
                <c:pt idx="396">
                  <c:v>5.543E-2</c:v>
                </c:pt>
                <c:pt idx="397">
                  <c:v>5.5566000000000004E-2</c:v>
                </c:pt>
                <c:pt idx="398">
                  <c:v>5.5705999999999999E-2</c:v>
                </c:pt>
                <c:pt idx="399">
                  <c:v>5.5846E-2</c:v>
                </c:pt>
                <c:pt idx="400">
                  <c:v>5.6012000000000006E-2</c:v>
                </c:pt>
                <c:pt idx="401">
                  <c:v>5.6152000000000001E-2</c:v>
                </c:pt>
                <c:pt idx="402">
                  <c:v>5.6287999999999998E-2</c:v>
                </c:pt>
                <c:pt idx="403">
                  <c:v>5.6458000000000001E-2</c:v>
                </c:pt>
                <c:pt idx="404">
                  <c:v>5.6624000000000001E-2</c:v>
                </c:pt>
                <c:pt idx="405">
                  <c:v>5.6764000000000002E-2</c:v>
                </c:pt>
                <c:pt idx="406">
                  <c:v>5.6929999999999994E-2</c:v>
                </c:pt>
                <c:pt idx="407">
                  <c:v>5.7093999999999999E-2</c:v>
                </c:pt>
                <c:pt idx="408">
                  <c:v>5.7234E-2</c:v>
                </c:pt>
                <c:pt idx="409">
                  <c:v>5.7401999999999995E-2</c:v>
                </c:pt>
                <c:pt idx="410">
                  <c:v>5.7568000000000001E-2</c:v>
                </c:pt>
                <c:pt idx="411">
                  <c:v>5.7733999999999994E-2</c:v>
                </c:pt>
                <c:pt idx="412">
                  <c:v>5.7901999999999995E-2</c:v>
                </c:pt>
                <c:pt idx="413">
                  <c:v>5.8040000000000001E-2</c:v>
                </c:pt>
                <c:pt idx="414">
                  <c:v>5.8179999999999996E-2</c:v>
                </c:pt>
                <c:pt idx="415">
                  <c:v>5.8318000000000002E-2</c:v>
                </c:pt>
                <c:pt idx="416">
                  <c:v>5.8457999999999996E-2</c:v>
                </c:pt>
                <c:pt idx="417">
                  <c:v>5.8596000000000002E-2</c:v>
                </c:pt>
                <c:pt idx="418">
                  <c:v>5.8735999999999997E-2</c:v>
                </c:pt>
                <c:pt idx="419">
                  <c:v>5.8902000000000003E-2</c:v>
                </c:pt>
                <c:pt idx="420">
                  <c:v>5.9067999999999996E-2</c:v>
                </c:pt>
                <c:pt idx="421">
                  <c:v>5.9236000000000004E-2</c:v>
                </c:pt>
                <c:pt idx="422">
                  <c:v>5.9400000000000001E-2</c:v>
                </c:pt>
                <c:pt idx="423">
                  <c:v>5.9568000000000003E-2</c:v>
                </c:pt>
                <c:pt idx="424">
                  <c:v>5.9733999999999995E-2</c:v>
                </c:pt>
                <c:pt idx="425">
                  <c:v>5.9901999999999997E-2</c:v>
                </c:pt>
                <c:pt idx="426">
                  <c:v>6.0068000000000003E-2</c:v>
                </c:pt>
                <c:pt idx="427">
                  <c:v>6.0233999999999996E-2</c:v>
                </c:pt>
                <c:pt idx="428">
                  <c:v>6.0373999999999997E-2</c:v>
                </c:pt>
                <c:pt idx="429">
                  <c:v>6.0540000000000004E-2</c:v>
                </c:pt>
                <c:pt idx="430">
                  <c:v>6.0708000000000005E-2</c:v>
                </c:pt>
                <c:pt idx="431">
                  <c:v>6.0873999999999998E-2</c:v>
                </c:pt>
                <c:pt idx="432">
                  <c:v>6.1040000000000004E-2</c:v>
                </c:pt>
                <c:pt idx="433">
                  <c:v>6.1207999999999999E-2</c:v>
                </c:pt>
                <c:pt idx="434">
                  <c:v>6.1374000000000005E-2</c:v>
                </c:pt>
                <c:pt idx="435">
                  <c:v>6.1513999999999999E-2</c:v>
                </c:pt>
                <c:pt idx="436">
                  <c:v>6.1677999999999997E-2</c:v>
                </c:pt>
                <c:pt idx="437">
                  <c:v>6.1845999999999998E-2</c:v>
                </c:pt>
                <c:pt idx="438">
                  <c:v>6.2011999999999998E-2</c:v>
                </c:pt>
                <c:pt idx="439">
                  <c:v>6.2179999999999999E-2</c:v>
                </c:pt>
                <c:pt idx="440">
                  <c:v>6.2346000000000006E-2</c:v>
                </c:pt>
                <c:pt idx="441">
                  <c:v>6.2511999999999998E-2</c:v>
                </c:pt>
                <c:pt idx="442">
                  <c:v>6.2677999999999998E-2</c:v>
                </c:pt>
                <c:pt idx="443">
                  <c:v>6.2845999999999999E-2</c:v>
                </c:pt>
                <c:pt idx="444">
                  <c:v>6.3011999999999999E-2</c:v>
                </c:pt>
                <c:pt idx="445">
                  <c:v>6.3177999999999998E-2</c:v>
                </c:pt>
                <c:pt idx="446">
                  <c:v>6.3346E-2</c:v>
                </c:pt>
                <c:pt idx="447">
                  <c:v>6.3511999999999999E-2</c:v>
                </c:pt>
                <c:pt idx="448">
                  <c:v>6.368E-2</c:v>
                </c:pt>
                <c:pt idx="449">
                  <c:v>6.3846E-2</c:v>
                </c:pt>
                <c:pt idx="450">
                  <c:v>6.4011999999999999E-2</c:v>
                </c:pt>
                <c:pt idx="451">
                  <c:v>6.4208000000000001E-2</c:v>
                </c:pt>
                <c:pt idx="452">
                  <c:v>6.4374000000000001E-2</c:v>
                </c:pt>
                <c:pt idx="453">
                  <c:v>6.454E-2</c:v>
                </c:pt>
                <c:pt idx="454">
                  <c:v>6.4706E-2</c:v>
                </c:pt>
                <c:pt idx="455">
                  <c:v>6.4902000000000001E-2</c:v>
                </c:pt>
                <c:pt idx="456">
                  <c:v>6.5068000000000001E-2</c:v>
                </c:pt>
                <c:pt idx="457">
                  <c:v>6.5236000000000002E-2</c:v>
                </c:pt>
                <c:pt idx="458">
                  <c:v>6.5402000000000002E-2</c:v>
                </c:pt>
                <c:pt idx="459">
                  <c:v>6.5568000000000001E-2</c:v>
                </c:pt>
                <c:pt idx="460">
                  <c:v>6.5734000000000001E-2</c:v>
                </c:pt>
                <c:pt idx="461">
                  <c:v>6.5902000000000002E-2</c:v>
                </c:pt>
                <c:pt idx="462">
                  <c:v>6.6070000000000004E-2</c:v>
                </c:pt>
                <c:pt idx="463">
                  <c:v>6.6262000000000001E-2</c:v>
                </c:pt>
                <c:pt idx="464">
                  <c:v>6.6428000000000001E-2</c:v>
                </c:pt>
                <c:pt idx="465">
                  <c:v>6.6622000000000001E-2</c:v>
                </c:pt>
                <c:pt idx="466">
                  <c:v>6.6818000000000002E-2</c:v>
                </c:pt>
                <c:pt idx="467">
                  <c:v>6.7012000000000002E-2</c:v>
                </c:pt>
                <c:pt idx="468">
                  <c:v>6.7206000000000002E-2</c:v>
                </c:pt>
                <c:pt idx="469">
                  <c:v>6.7402000000000004E-2</c:v>
                </c:pt>
                <c:pt idx="470">
                  <c:v>6.7596000000000003E-2</c:v>
                </c:pt>
                <c:pt idx="471">
                  <c:v>6.7790000000000003E-2</c:v>
                </c:pt>
                <c:pt idx="472">
                  <c:v>6.7956000000000003E-2</c:v>
                </c:pt>
                <c:pt idx="473">
                  <c:v>6.8152000000000004E-2</c:v>
                </c:pt>
                <c:pt idx="474">
                  <c:v>6.8319999999999992E-2</c:v>
                </c:pt>
                <c:pt idx="475">
                  <c:v>6.8514000000000005E-2</c:v>
                </c:pt>
                <c:pt idx="476">
                  <c:v>6.8705999999999989E-2</c:v>
                </c:pt>
                <c:pt idx="477">
                  <c:v>6.8900000000000003E-2</c:v>
                </c:pt>
                <c:pt idx="478">
                  <c:v>6.9096000000000005E-2</c:v>
                </c:pt>
                <c:pt idx="479">
                  <c:v>6.9290000000000004E-2</c:v>
                </c:pt>
                <c:pt idx="480">
                  <c:v>6.9484000000000004E-2</c:v>
                </c:pt>
                <c:pt idx="481">
                  <c:v>6.9680000000000006E-2</c:v>
                </c:pt>
                <c:pt idx="482">
                  <c:v>6.9874000000000006E-2</c:v>
                </c:pt>
                <c:pt idx="483">
                  <c:v>7.0068000000000005E-2</c:v>
                </c:pt>
                <c:pt idx="484">
                  <c:v>7.0262000000000005E-2</c:v>
                </c:pt>
                <c:pt idx="485">
                  <c:v>7.0456000000000005E-2</c:v>
                </c:pt>
                <c:pt idx="486">
                  <c:v>7.0651999999999993E-2</c:v>
                </c:pt>
                <c:pt idx="487">
                  <c:v>7.0846000000000006E-2</c:v>
                </c:pt>
                <c:pt idx="488">
                  <c:v>7.1040000000000006E-2</c:v>
                </c:pt>
                <c:pt idx="489">
                  <c:v>7.1261999999999992E-2</c:v>
                </c:pt>
                <c:pt idx="490">
                  <c:v>7.1458000000000008E-2</c:v>
                </c:pt>
                <c:pt idx="491">
                  <c:v>7.1651999999999993E-2</c:v>
                </c:pt>
                <c:pt idx="492">
                  <c:v>7.1845999999999993E-2</c:v>
                </c:pt>
                <c:pt idx="493">
                  <c:v>7.2041999999999995E-2</c:v>
                </c:pt>
                <c:pt idx="494">
                  <c:v>7.2236000000000009E-2</c:v>
                </c:pt>
                <c:pt idx="495">
                  <c:v>7.2427999999999992E-2</c:v>
                </c:pt>
                <c:pt idx="496">
                  <c:v>7.2622000000000006E-2</c:v>
                </c:pt>
                <c:pt idx="497">
                  <c:v>7.2817999999999994E-2</c:v>
                </c:pt>
                <c:pt idx="498">
                  <c:v>7.3040000000000008E-2</c:v>
                </c:pt>
                <c:pt idx="499">
                  <c:v>7.3261999999999994E-2</c:v>
                </c:pt>
                <c:pt idx="500">
                  <c:v>7.3485999999999996E-2</c:v>
                </c:pt>
                <c:pt idx="501">
                  <c:v>7.3707999999999996E-2</c:v>
                </c:pt>
                <c:pt idx="502">
                  <c:v>7.3929999999999996E-2</c:v>
                </c:pt>
                <c:pt idx="503">
                  <c:v>7.4149999999999994E-2</c:v>
                </c:pt>
                <c:pt idx="504">
                  <c:v>7.4373999999999996E-2</c:v>
                </c:pt>
                <c:pt idx="505">
                  <c:v>7.4595999999999996E-2</c:v>
                </c:pt>
                <c:pt idx="506">
                  <c:v>7.4787999999999993E-2</c:v>
                </c:pt>
                <c:pt idx="507">
                  <c:v>7.5011999999999995E-2</c:v>
                </c:pt>
                <c:pt idx="508">
                  <c:v>7.5235999999999997E-2</c:v>
                </c:pt>
                <c:pt idx="509">
                  <c:v>7.5457999999999997E-2</c:v>
                </c:pt>
                <c:pt idx="510">
                  <c:v>7.5679999999999997E-2</c:v>
                </c:pt>
                <c:pt idx="511">
                  <c:v>7.5901999999999997E-2</c:v>
                </c:pt>
                <c:pt idx="512">
                  <c:v>7.6123999999999997E-2</c:v>
                </c:pt>
                <c:pt idx="513">
                  <c:v>7.6344000000000009E-2</c:v>
                </c:pt>
                <c:pt idx="514">
                  <c:v>7.6567999999999997E-2</c:v>
                </c:pt>
                <c:pt idx="515">
                  <c:v>7.6789999999999997E-2</c:v>
                </c:pt>
                <c:pt idx="516">
                  <c:v>7.7039999999999997E-2</c:v>
                </c:pt>
                <c:pt idx="517">
                  <c:v>7.7289999999999998E-2</c:v>
                </c:pt>
                <c:pt idx="518">
                  <c:v>7.7542E-2</c:v>
                </c:pt>
                <c:pt idx="519">
                  <c:v>7.7789999999999998E-2</c:v>
                </c:pt>
                <c:pt idx="520">
                  <c:v>7.8039999999999998E-2</c:v>
                </c:pt>
                <c:pt idx="521">
                  <c:v>7.8289999999999998E-2</c:v>
                </c:pt>
                <c:pt idx="522">
                  <c:v>7.8511999999999998E-2</c:v>
                </c:pt>
                <c:pt idx="523">
                  <c:v>7.8761999999999999E-2</c:v>
                </c:pt>
                <c:pt idx="524">
                  <c:v>7.9011999999999999E-2</c:v>
                </c:pt>
                <c:pt idx="525">
                  <c:v>7.9261999999999999E-2</c:v>
                </c:pt>
                <c:pt idx="526">
                  <c:v>7.9511999999999999E-2</c:v>
                </c:pt>
                <c:pt idx="527">
                  <c:v>7.9762E-2</c:v>
                </c:pt>
                <c:pt idx="528">
                  <c:v>8.0014000000000002E-2</c:v>
                </c:pt>
                <c:pt idx="529">
                  <c:v>8.0262E-2</c:v>
                </c:pt>
                <c:pt idx="530">
                  <c:v>8.0512E-2</c:v>
                </c:pt>
                <c:pt idx="531">
                  <c:v>8.0764000000000002E-2</c:v>
                </c:pt>
                <c:pt idx="532">
                  <c:v>8.1012000000000001E-2</c:v>
                </c:pt>
                <c:pt idx="533">
                  <c:v>8.1264000000000003E-2</c:v>
                </c:pt>
                <c:pt idx="534">
                  <c:v>8.1511999999999987E-2</c:v>
                </c:pt>
                <c:pt idx="535">
                  <c:v>8.1762000000000001E-2</c:v>
                </c:pt>
                <c:pt idx="536">
                  <c:v>8.2012000000000002E-2</c:v>
                </c:pt>
                <c:pt idx="537">
                  <c:v>8.2264000000000004E-2</c:v>
                </c:pt>
                <c:pt idx="538">
                  <c:v>8.2512000000000002E-2</c:v>
                </c:pt>
                <c:pt idx="539">
                  <c:v>8.2761999999999988E-2</c:v>
                </c:pt>
                <c:pt idx="540">
                  <c:v>8.3013999999999991E-2</c:v>
                </c:pt>
                <c:pt idx="541">
                  <c:v>8.3262000000000003E-2</c:v>
                </c:pt>
                <c:pt idx="542">
                  <c:v>8.3512000000000003E-2</c:v>
                </c:pt>
                <c:pt idx="543">
                  <c:v>8.3762000000000003E-2</c:v>
                </c:pt>
                <c:pt idx="544">
                  <c:v>8.4011999999999989E-2</c:v>
                </c:pt>
                <c:pt idx="545">
                  <c:v>8.4262000000000004E-2</c:v>
                </c:pt>
                <c:pt idx="546">
                  <c:v>8.4540000000000004E-2</c:v>
                </c:pt>
                <c:pt idx="547">
                  <c:v>8.4818000000000005E-2</c:v>
                </c:pt>
                <c:pt idx="548">
                  <c:v>8.5096000000000005E-2</c:v>
                </c:pt>
                <c:pt idx="549">
                  <c:v>8.5374000000000005E-2</c:v>
                </c:pt>
                <c:pt idx="550">
                  <c:v>8.5648000000000002E-2</c:v>
                </c:pt>
                <c:pt idx="551">
                  <c:v>8.5930000000000006E-2</c:v>
                </c:pt>
                <c:pt idx="552">
                  <c:v>8.6207999999999993E-2</c:v>
                </c:pt>
                <c:pt idx="553">
                  <c:v>8.6484000000000005E-2</c:v>
                </c:pt>
                <c:pt idx="554">
                  <c:v>8.6763999999999994E-2</c:v>
                </c:pt>
                <c:pt idx="555">
                  <c:v>8.7040000000000006E-2</c:v>
                </c:pt>
                <c:pt idx="556">
                  <c:v>8.7317999999999993E-2</c:v>
                </c:pt>
                <c:pt idx="557">
                  <c:v>8.7596000000000007E-2</c:v>
                </c:pt>
                <c:pt idx="558">
                  <c:v>8.7902000000000008E-2</c:v>
                </c:pt>
                <c:pt idx="559">
                  <c:v>8.8179999999999994E-2</c:v>
                </c:pt>
                <c:pt idx="560">
                  <c:v>8.8485999999999995E-2</c:v>
                </c:pt>
                <c:pt idx="561">
                  <c:v>8.8789999999999994E-2</c:v>
                </c:pt>
                <c:pt idx="562">
                  <c:v>8.9095999999999995E-2</c:v>
                </c:pt>
                <c:pt idx="563">
                  <c:v>8.9399999999999993E-2</c:v>
                </c:pt>
                <c:pt idx="564">
                  <c:v>8.970800000000001E-2</c:v>
                </c:pt>
                <c:pt idx="565">
                  <c:v>9.0012000000000009E-2</c:v>
                </c:pt>
                <c:pt idx="566">
                  <c:v>9.0315999999999994E-2</c:v>
                </c:pt>
                <c:pt idx="567">
                  <c:v>9.0623999999999996E-2</c:v>
                </c:pt>
                <c:pt idx="568">
                  <c:v>9.0928000000000009E-2</c:v>
                </c:pt>
                <c:pt idx="569">
                  <c:v>9.1233999999999996E-2</c:v>
                </c:pt>
                <c:pt idx="570">
                  <c:v>9.1539999999999996E-2</c:v>
                </c:pt>
                <c:pt idx="571">
                  <c:v>9.1843999999999995E-2</c:v>
                </c:pt>
                <c:pt idx="572">
                  <c:v>9.2149999999999996E-2</c:v>
                </c:pt>
                <c:pt idx="573">
                  <c:v>9.2455999999999997E-2</c:v>
                </c:pt>
                <c:pt idx="574">
                  <c:v>9.2761999999999997E-2</c:v>
                </c:pt>
                <c:pt idx="575">
                  <c:v>9.3095999999999998E-2</c:v>
                </c:pt>
                <c:pt idx="576">
                  <c:v>9.3429999999999999E-2</c:v>
                </c:pt>
                <c:pt idx="577">
                  <c:v>9.3764E-2</c:v>
                </c:pt>
                <c:pt idx="578">
                  <c:v>9.4095999999999999E-2</c:v>
                </c:pt>
                <c:pt idx="579">
                  <c:v>9.443E-2</c:v>
                </c:pt>
                <c:pt idx="580">
                  <c:v>9.4761999999999999E-2</c:v>
                </c:pt>
                <c:pt idx="581">
                  <c:v>9.5096000000000014E-2</c:v>
                </c:pt>
                <c:pt idx="582">
                  <c:v>9.5429999999999987E-2</c:v>
                </c:pt>
                <c:pt idx="583">
                  <c:v>9.5762E-2</c:v>
                </c:pt>
                <c:pt idx="584">
                  <c:v>9.6096000000000001E-2</c:v>
                </c:pt>
                <c:pt idx="585">
                  <c:v>9.6457999999999988E-2</c:v>
                </c:pt>
                <c:pt idx="586">
                  <c:v>9.6815999999999999E-2</c:v>
                </c:pt>
                <c:pt idx="587">
                  <c:v>9.7180000000000002E-2</c:v>
                </c:pt>
                <c:pt idx="588">
                  <c:v>9.7540000000000002E-2</c:v>
                </c:pt>
                <c:pt idx="589">
                  <c:v>9.7902000000000003E-2</c:v>
                </c:pt>
                <c:pt idx="590">
                  <c:v>9.8262000000000002E-2</c:v>
                </c:pt>
                <c:pt idx="591">
                  <c:v>9.8623999999999989E-2</c:v>
                </c:pt>
                <c:pt idx="592">
                  <c:v>9.8984000000000003E-2</c:v>
                </c:pt>
                <c:pt idx="593">
                  <c:v>9.934599999999999E-2</c:v>
                </c:pt>
                <c:pt idx="594">
                  <c:v>9.9708000000000005E-2</c:v>
                </c:pt>
                <c:pt idx="595">
                  <c:v>0.100068</c:v>
                </c:pt>
                <c:pt idx="596">
                  <c:v>0.100428</c:v>
                </c:pt>
                <c:pt idx="597">
                  <c:v>0.10079200000000001</c:v>
                </c:pt>
                <c:pt idx="598">
                  <c:v>0.10115</c:v>
                </c:pt>
                <c:pt idx="599">
                  <c:v>0.10154199999999999</c:v>
                </c:pt>
                <c:pt idx="600">
                  <c:v>0.101928</c:v>
                </c:pt>
                <c:pt idx="601">
                  <c:v>0.10231799999999999</c:v>
                </c:pt>
                <c:pt idx="602">
                  <c:v>0.10268000000000001</c:v>
                </c:pt>
                <c:pt idx="603">
                  <c:v>0.10307000000000001</c:v>
                </c:pt>
                <c:pt idx="604">
                  <c:v>0.10345800000000001</c:v>
                </c:pt>
                <c:pt idx="605">
                  <c:v>0.10384600000000001</c:v>
                </c:pt>
                <c:pt idx="606">
                  <c:v>0.10423400000000001</c:v>
                </c:pt>
                <c:pt idx="607">
                  <c:v>0.104626</c:v>
                </c:pt>
                <c:pt idx="608">
                  <c:v>0.10503999999999999</c:v>
                </c:pt>
                <c:pt idx="609">
                  <c:v>0.105458</c:v>
                </c:pt>
                <c:pt idx="610">
                  <c:v>0.10587400000000001</c:v>
                </c:pt>
                <c:pt idx="611">
                  <c:v>0.106318</c:v>
                </c:pt>
                <c:pt idx="612">
                  <c:v>0.106762</c:v>
                </c:pt>
                <c:pt idx="613">
                  <c:v>0.10718</c:v>
                </c:pt>
                <c:pt idx="614">
                  <c:v>0.107624</c:v>
                </c:pt>
                <c:pt idx="615">
                  <c:v>0.10806800000000001</c:v>
                </c:pt>
                <c:pt idx="616">
                  <c:v>0.108512</c:v>
                </c:pt>
                <c:pt idx="617">
                  <c:v>0.108958</c:v>
                </c:pt>
                <c:pt idx="618">
                  <c:v>0.1094</c:v>
                </c:pt>
                <c:pt idx="619">
                  <c:v>0.10984400000000001</c:v>
                </c:pt>
                <c:pt idx="620">
                  <c:v>0.11029</c:v>
                </c:pt>
                <c:pt idx="621">
                  <c:v>0.110736</c:v>
                </c:pt>
                <c:pt idx="622">
                  <c:v>0.11117800000000001</c:v>
                </c:pt>
                <c:pt idx="623">
                  <c:v>0.111624</c:v>
                </c:pt>
                <c:pt idx="624">
                  <c:v>0.11207</c:v>
                </c:pt>
                <c:pt idx="625">
                  <c:v>0.112512</c:v>
                </c:pt>
                <c:pt idx="626">
                  <c:v>0.112986</c:v>
                </c:pt>
                <c:pt idx="627">
                  <c:v>0.11345599999999999</c:v>
                </c:pt>
                <c:pt idx="628">
                  <c:v>0.11393</c:v>
                </c:pt>
                <c:pt idx="629">
                  <c:v>0.114402</c:v>
                </c:pt>
                <c:pt idx="630">
                  <c:v>0.114902</c:v>
                </c:pt>
                <c:pt idx="631">
                  <c:v>0.115402</c:v>
                </c:pt>
                <c:pt idx="632">
                  <c:v>0.11590199999999999</c:v>
                </c:pt>
                <c:pt idx="633">
                  <c:v>0.1164</c:v>
                </c:pt>
                <c:pt idx="634">
                  <c:v>0.11692999999999999</c:v>
                </c:pt>
                <c:pt idx="635">
                  <c:v>0.11745799999999999</c:v>
                </c:pt>
                <c:pt idx="636">
                  <c:v>0.11798600000000001</c:v>
                </c:pt>
                <c:pt idx="637">
                  <c:v>0.11851399999999999</c:v>
                </c:pt>
                <c:pt idx="638">
                  <c:v>0.11906800000000001</c:v>
                </c:pt>
                <c:pt idx="639">
                  <c:v>0.11962400000000001</c:v>
                </c:pt>
                <c:pt idx="640">
                  <c:v>0.12017799999999999</c:v>
                </c:pt>
                <c:pt idx="641">
                  <c:v>0.120764</c:v>
                </c:pt>
                <c:pt idx="642">
                  <c:v>0.121318</c:v>
                </c:pt>
                <c:pt idx="643">
                  <c:v>0.12190200000000001</c:v>
                </c:pt>
                <c:pt idx="644">
                  <c:v>0.122484</c:v>
                </c:pt>
                <c:pt idx="645">
                  <c:v>0.123096</c:v>
                </c:pt>
                <c:pt idx="646">
                  <c:v>0.123736</c:v>
                </c:pt>
                <c:pt idx="647">
                  <c:v>0.12454000000000001</c:v>
                </c:pt>
              </c:numCache>
            </c:numRef>
          </c:cat>
          <c:val>
            <c:numRef>
              <c:f>'A12-1'!$F$2:$F$649</c:f>
              <c:numCache>
                <c:formatCode>0.00</c:formatCode>
                <c:ptCount val="648"/>
                <c:pt idx="0">
                  <c:v>0</c:v>
                </c:pt>
                <c:pt idx="1">
                  <c:v>0.29820384094350144</c:v>
                </c:pt>
                <c:pt idx="2">
                  <c:v>0.30362578691529202</c:v>
                </c:pt>
                <c:pt idx="3">
                  <c:v>0.30362578691529202</c:v>
                </c:pt>
                <c:pt idx="4">
                  <c:v>0.30362578691529202</c:v>
                </c:pt>
                <c:pt idx="5">
                  <c:v>0.30904773288708265</c:v>
                </c:pt>
                <c:pt idx="6">
                  <c:v>0.30904773288708265</c:v>
                </c:pt>
                <c:pt idx="7">
                  <c:v>0.31446967885887328</c:v>
                </c:pt>
                <c:pt idx="8">
                  <c:v>0.31446967885887328</c:v>
                </c:pt>
                <c:pt idx="9">
                  <c:v>0.31989799984062472</c:v>
                </c:pt>
                <c:pt idx="10">
                  <c:v>0.31989799984062472</c:v>
                </c:pt>
                <c:pt idx="11">
                  <c:v>0.31989799984062472</c:v>
                </c:pt>
                <c:pt idx="12">
                  <c:v>0.32531675830743484</c:v>
                </c:pt>
                <c:pt idx="13">
                  <c:v>0.33073551677424495</c:v>
                </c:pt>
                <c:pt idx="14">
                  <c:v>0.33073551677424495</c:v>
                </c:pt>
                <c:pt idx="15">
                  <c:v>0.32531675830743484</c:v>
                </c:pt>
                <c:pt idx="16">
                  <c:v>0.30904773288708265</c:v>
                </c:pt>
                <c:pt idx="17">
                  <c:v>0.29278189497171092</c:v>
                </c:pt>
                <c:pt idx="18">
                  <c:v>0.27651605705633919</c:v>
                </c:pt>
                <c:pt idx="19">
                  <c:v>0.27109411108454856</c:v>
                </c:pt>
                <c:pt idx="20">
                  <c:v>0.27109411108454856</c:v>
                </c:pt>
                <c:pt idx="21">
                  <c:v>0.27109411108454856</c:v>
                </c:pt>
                <c:pt idx="22">
                  <c:v>0.27109411108454856</c:v>
                </c:pt>
                <c:pt idx="23">
                  <c:v>0.27109411108454856</c:v>
                </c:pt>
                <c:pt idx="24">
                  <c:v>0.27109411108454856</c:v>
                </c:pt>
                <c:pt idx="25">
                  <c:v>0.27109411108454856</c:v>
                </c:pt>
                <c:pt idx="26">
                  <c:v>0.27651605705633919</c:v>
                </c:pt>
                <c:pt idx="27">
                  <c:v>0.28193800302812977</c:v>
                </c:pt>
                <c:pt idx="28">
                  <c:v>0.28735994899992034</c:v>
                </c:pt>
                <c:pt idx="29">
                  <c:v>0.29278189497171092</c:v>
                </c:pt>
                <c:pt idx="30">
                  <c:v>0.30362578691529202</c:v>
                </c:pt>
                <c:pt idx="31">
                  <c:v>0.30904773288708265</c:v>
                </c:pt>
                <c:pt idx="32">
                  <c:v>0.31446967885887328</c:v>
                </c:pt>
                <c:pt idx="33">
                  <c:v>0.31989799984062472</c:v>
                </c:pt>
                <c:pt idx="34">
                  <c:v>0.32531675830743484</c:v>
                </c:pt>
                <c:pt idx="35">
                  <c:v>0.33073551677424495</c:v>
                </c:pt>
                <c:pt idx="36">
                  <c:v>0.33615427524105507</c:v>
                </c:pt>
                <c:pt idx="37">
                  <c:v>0.34157303370786518</c:v>
                </c:pt>
                <c:pt idx="38">
                  <c:v>0.34157303370786518</c:v>
                </c:pt>
                <c:pt idx="39">
                  <c:v>0.34157303370786518</c:v>
                </c:pt>
                <c:pt idx="40">
                  <c:v>0.34157303370786518</c:v>
                </c:pt>
                <c:pt idx="41">
                  <c:v>0.34157303370786518</c:v>
                </c:pt>
                <c:pt idx="42">
                  <c:v>0.34157303370786518</c:v>
                </c:pt>
                <c:pt idx="43">
                  <c:v>0.34157303370786518</c:v>
                </c:pt>
                <c:pt idx="44">
                  <c:v>0.34157303370786518</c:v>
                </c:pt>
                <c:pt idx="45">
                  <c:v>0.34157303370786518</c:v>
                </c:pt>
                <c:pt idx="46">
                  <c:v>0.34157303370786518</c:v>
                </c:pt>
                <c:pt idx="47">
                  <c:v>0.34157303370786518</c:v>
                </c:pt>
                <c:pt idx="48">
                  <c:v>0.34157303370786518</c:v>
                </c:pt>
                <c:pt idx="49">
                  <c:v>0.34157303370786518</c:v>
                </c:pt>
                <c:pt idx="50">
                  <c:v>0.34157303370786518</c:v>
                </c:pt>
                <c:pt idx="51">
                  <c:v>0.34157303370786518</c:v>
                </c:pt>
                <c:pt idx="52">
                  <c:v>0.34157303370786518</c:v>
                </c:pt>
                <c:pt idx="53">
                  <c:v>0.34157303370786518</c:v>
                </c:pt>
                <c:pt idx="54">
                  <c:v>0.34157303370786518</c:v>
                </c:pt>
                <c:pt idx="55">
                  <c:v>0.34157303370786518</c:v>
                </c:pt>
                <c:pt idx="56">
                  <c:v>0.34157303370786518</c:v>
                </c:pt>
                <c:pt idx="57">
                  <c:v>0.3469917921746753</c:v>
                </c:pt>
                <c:pt idx="58">
                  <c:v>0.3469917921746753</c:v>
                </c:pt>
                <c:pt idx="59">
                  <c:v>0.3469917921746753</c:v>
                </c:pt>
                <c:pt idx="60">
                  <c:v>0.3469917921746753</c:v>
                </c:pt>
                <c:pt idx="61">
                  <c:v>0.3469917921746753</c:v>
                </c:pt>
                <c:pt idx="62">
                  <c:v>0.35241055064148535</c:v>
                </c:pt>
                <c:pt idx="63">
                  <c:v>0.35241055064148535</c:v>
                </c:pt>
                <c:pt idx="64">
                  <c:v>0.35241055064148535</c:v>
                </c:pt>
                <c:pt idx="65">
                  <c:v>0.35241055064148535</c:v>
                </c:pt>
                <c:pt idx="66">
                  <c:v>0.35786118415810025</c:v>
                </c:pt>
                <c:pt idx="67">
                  <c:v>0.36869870109172048</c:v>
                </c:pt>
                <c:pt idx="68">
                  <c:v>0.3741174595585306</c:v>
                </c:pt>
                <c:pt idx="69">
                  <c:v>0.39037373495896088</c:v>
                </c:pt>
                <c:pt idx="70">
                  <c:v>0.395792493425771</c:v>
                </c:pt>
                <c:pt idx="71">
                  <c:v>0.40121125189258111</c:v>
                </c:pt>
                <c:pt idx="72">
                  <c:v>0.40663001035939123</c:v>
                </c:pt>
                <c:pt idx="73">
                  <c:v>0.40663001035939123</c:v>
                </c:pt>
                <c:pt idx="74">
                  <c:v>0.41208064387600613</c:v>
                </c:pt>
                <c:pt idx="75">
                  <c:v>0.41208064387600613</c:v>
                </c:pt>
                <c:pt idx="76">
                  <c:v>0.41208064387600613</c:v>
                </c:pt>
                <c:pt idx="77">
                  <c:v>0.41208064387600613</c:v>
                </c:pt>
                <c:pt idx="78">
                  <c:v>0.41208064387600613</c:v>
                </c:pt>
                <c:pt idx="79">
                  <c:v>0.41749940234281624</c:v>
                </c:pt>
                <c:pt idx="80">
                  <c:v>0.41749940234281624</c:v>
                </c:pt>
                <c:pt idx="81">
                  <c:v>0.41749940234281624</c:v>
                </c:pt>
                <c:pt idx="82">
                  <c:v>0.41749940234281624</c:v>
                </c:pt>
                <c:pt idx="83">
                  <c:v>0.41749940234281624</c:v>
                </c:pt>
                <c:pt idx="84">
                  <c:v>0.41749940234281624</c:v>
                </c:pt>
                <c:pt idx="85">
                  <c:v>0.41208064387600613</c:v>
                </c:pt>
                <c:pt idx="86">
                  <c:v>0.41749940234281624</c:v>
                </c:pt>
                <c:pt idx="87">
                  <c:v>0.41749940234281624</c:v>
                </c:pt>
                <c:pt idx="88">
                  <c:v>0.41749940234281624</c:v>
                </c:pt>
                <c:pt idx="89">
                  <c:v>0.41749940234281624</c:v>
                </c:pt>
                <c:pt idx="90">
                  <c:v>0.41749940234281624</c:v>
                </c:pt>
                <c:pt idx="91">
                  <c:v>0.41749940234281624</c:v>
                </c:pt>
                <c:pt idx="92">
                  <c:v>0.41749940234281624</c:v>
                </c:pt>
                <c:pt idx="93">
                  <c:v>0.41749940234281624</c:v>
                </c:pt>
                <c:pt idx="94">
                  <c:v>0.41749940234281624</c:v>
                </c:pt>
                <c:pt idx="95">
                  <c:v>0.41749940234281624</c:v>
                </c:pt>
                <c:pt idx="96">
                  <c:v>0.41749940234281624</c:v>
                </c:pt>
                <c:pt idx="97">
                  <c:v>0.41749940234281624</c:v>
                </c:pt>
                <c:pt idx="98">
                  <c:v>0.41749940234281624</c:v>
                </c:pt>
                <c:pt idx="99">
                  <c:v>0.41749940234281624</c:v>
                </c:pt>
                <c:pt idx="100">
                  <c:v>0.41749940234281624</c:v>
                </c:pt>
                <c:pt idx="101">
                  <c:v>0.41749940234281624</c:v>
                </c:pt>
                <c:pt idx="102">
                  <c:v>0.41749940234281624</c:v>
                </c:pt>
                <c:pt idx="103">
                  <c:v>0.41749940234281624</c:v>
                </c:pt>
                <c:pt idx="104">
                  <c:v>0.41749940234281624</c:v>
                </c:pt>
                <c:pt idx="105">
                  <c:v>0.41749940234281624</c:v>
                </c:pt>
                <c:pt idx="106">
                  <c:v>0.41749940234281624</c:v>
                </c:pt>
                <c:pt idx="107">
                  <c:v>0.42291816080962635</c:v>
                </c:pt>
                <c:pt idx="108">
                  <c:v>0.42291816080962635</c:v>
                </c:pt>
                <c:pt idx="109">
                  <c:v>0.42291816080962635</c:v>
                </c:pt>
                <c:pt idx="110">
                  <c:v>0.42291816080962635</c:v>
                </c:pt>
                <c:pt idx="111">
                  <c:v>0.42291816080962635</c:v>
                </c:pt>
                <c:pt idx="112">
                  <c:v>0.42291816080962635</c:v>
                </c:pt>
                <c:pt idx="113">
                  <c:v>0.42833691927643647</c:v>
                </c:pt>
                <c:pt idx="114">
                  <c:v>0.42833691927643647</c:v>
                </c:pt>
                <c:pt idx="115">
                  <c:v>0.42833691927643647</c:v>
                </c:pt>
                <c:pt idx="116">
                  <c:v>0.42833691927643647</c:v>
                </c:pt>
                <c:pt idx="117">
                  <c:v>0.42833691927643647</c:v>
                </c:pt>
                <c:pt idx="118">
                  <c:v>0.42833691927643647</c:v>
                </c:pt>
                <c:pt idx="119">
                  <c:v>0.42833691927643647</c:v>
                </c:pt>
                <c:pt idx="120">
                  <c:v>0.42291816080962635</c:v>
                </c:pt>
                <c:pt idx="121">
                  <c:v>0.42291816080962635</c:v>
                </c:pt>
                <c:pt idx="122">
                  <c:v>0.42833691927643647</c:v>
                </c:pt>
                <c:pt idx="123">
                  <c:v>0.42833691927643647</c:v>
                </c:pt>
                <c:pt idx="124">
                  <c:v>0.42833691927643647</c:v>
                </c:pt>
                <c:pt idx="125">
                  <c:v>0.42833691927643647</c:v>
                </c:pt>
                <c:pt idx="126">
                  <c:v>0.43375567774324647</c:v>
                </c:pt>
                <c:pt idx="127">
                  <c:v>0.43375567774324647</c:v>
                </c:pt>
                <c:pt idx="128">
                  <c:v>0.43917443621005658</c:v>
                </c:pt>
                <c:pt idx="129">
                  <c:v>0.4445931946768667</c:v>
                </c:pt>
                <c:pt idx="130">
                  <c:v>0.4445931946768667</c:v>
                </c:pt>
                <c:pt idx="131">
                  <c:v>0.45001195314367681</c:v>
                </c:pt>
                <c:pt idx="132">
                  <c:v>0.46084947007729699</c:v>
                </c:pt>
                <c:pt idx="133">
                  <c:v>0.4662682285441071</c:v>
                </c:pt>
                <c:pt idx="134">
                  <c:v>0.47713762052753206</c:v>
                </c:pt>
                <c:pt idx="135">
                  <c:v>0.4933938959279624</c:v>
                </c:pt>
                <c:pt idx="136">
                  <c:v>0.5150689297952028</c:v>
                </c:pt>
                <c:pt idx="137">
                  <c:v>0.53135708024543793</c:v>
                </c:pt>
                <c:pt idx="138">
                  <c:v>0.55303211411267839</c:v>
                </c:pt>
                <c:pt idx="139">
                  <c:v>0.57470714797991873</c:v>
                </c:pt>
                <c:pt idx="140">
                  <c:v>0.59099529843015386</c:v>
                </c:pt>
                <c:pt idx="141">
                  <c:v>0.61267033229739432</c:v>
                </c:pt>
                <c:pt idx="142">
                  <c:v>0.62350784923101454</c:v>
                </c:pt>
                <c:pt idx="143">
                  <c:v>0.64521475814805973</c:v>
                </c:pt>
                <c:pt idx="144">
                  <c:v>0.66147103354848991</c:v>
                </c:pt>
                <c:pt idx="145">
                  <c:v>0.68314606741573036</c:v>
                </c:pt>
                <c:pt idx="146">
                  <c:v>0.70485297633277555</c:v>
                </c:pt>
                <c:pt idx="147">
                  <c:v>0.71569049326639578</c:v>
                </c:pt>
                <c:pt idx="148">
                  <c:v>0.73736552713363612</c:v>
                </c:pt>
                <c:pt idx="149">
                  <c:v>0.75365367758387114</c:v>
                </c:pt>
                <c:pt idx="150">
                  <c:v>0.77532871145111171</c:v>
                </c:pt>
                <c:pt idx="151">
                  <c:v>0.79158498685154199</c:v>
                </c:pt>
                <c:pt idx="152">
                  <c:v>0.81329189576858729</c:v>
                </c:pt>
                <c:pt idx="153">
                  <c:v>0.83496692963582764</c:v>
                </c:pt>
                <c:pt idx="154">
                  <c:v>0.85667383855287293</c:v>
                </c:pt>
                <c:pt idx="155">
                  <c:v>0.87834887242011317</c:v>
                </c:pt>
                <c:pt idx="156">
                  <c:v>0.90002390628735363</c:v>
                </c:pt>
                <c:pt idx="157">
                  <c:v>0.92173081520439881</c:v>
                </c:pt>
                <c:pt idx="158">
                  <c:v>0.94340584907163927</c:v>
                </c:pt>
                <c:pt idx="159">
                  <c:v>0.96511275798868434</c:v>
                </c:pt>
                <c:pt idx="160">
                  <c:v>0.9867877918559248</c:v>
                </c:pt>
                <c:pt idx="161">
                  <c:v>1.0084628257231654</c:v>
                </c:pt>
                <c:pt idx="162">
                  <c:v>1.0301697346402106</c:v>
                </c:pt>
                <c:pt idx="163">
                  <c:v>1.0518447685074508</c:v>
                </c:pt>
                <c:pt idx="164">
                  <c:v>1.073551677424496</c:v>
                </c:pt>
                <c:pt idx="165">
                  <c:v>1.0952267112917364</c:v>
                </c:pt>
                <c:pt idx="166">
                  <c:v>1.1169017451589769</c:v>
                </c:pt>
                <c:pt idx="167">
                  <c:v>1.1386086540760219</c:v>
                </c:pt>
                <c:pt idx="168">
                  <c:v>1.1602836879432625</c:v>
                </c:pt>
                <c:pt idx="169">
                  <c:v>1.1819905968603077</c:v>
                </c:pt>
                <c:pt idx="170">
                  <c:v>1.2036656307275482</c:v>
                </c:pt>
                <c:pt idx="171">
                  <c:v>1.2253406645947886</c:v>
                </c:pt>
                <c:pt idx="172">
                  <c:v>1.2470475735118336</c:v>
                </c:pt>
                <c:pt idx="173">
                  <c:v>1.2687226073790741</c:v>
                </c:pt>
                <c:pt idx="174">
                  <c:v>1.2904295162961195</c:v>
                </c:pt>
                <c:pt idx="175">
                  <c:v>1.3121045501633599</c:v>
                </c:pt>
                <c:pt idx="176">
                  <c:v>1.3337795840306004</c:v>
                </c:pt>
                <c:pt idx="177">
                  <c:v>1.3554864929476453</c:v>
                </c:pt>
                <c:pt idx="178">
                  <c:v>1.3771615268148856</c:v>
                </c:pt>
                <c:pt idx="179">
                  <c:v>1.398836560682126</c:v>
                </c:pt>
                <c:pt idx="180">
                  <c:v>1.4205434695991712</c:v>
                </c:pt>
                <c:pt idx="181">
                  <c:v>1.4422185034664117</c:v>
                </c:pt>
                <c:pt idx="182">
                  <c:v>1.4639254123834569</c:v>
                </c:pt>
                <c:pt idx="183">
                  <c:v>1.4856004462506973</c:v>
                </c:pt>
                <c:pt idx="184">
                  <c:v>1.5072754801179378</c:v>
                </c:pt>
                <c:pt idx="185">
                  <c:v>1.528982389034983</c:v>
                </c:pt>
                <c:pt idx="186">
                  <c:v>1.5506574229022234</c:v>
                </c:pt>
                <c:pt idx="187">
                  <c:v>1.5723643318192686</c:v>
                </c:pt>
                <c:pt idx="188">
                  <c:v>1.5940393656865091</c:v>
                </c:pt>
                <c:pt idx="189">
                  <c:v>1.6157143995537495</c:v>
                </c:pt>
                <c:pt idx="190">
                  <c:v>1.6374213084707945</c:v>
                </c:pt>
                <c:pt idx="191">
                  <c:v>1.6590963423380349</c:v>
                </c:pt>
                <c:pt idx="192">
                  <c:v>1.6808032512550803</c:v>
                </c:pt>
                <c:pt idx="193">
                  <c:v>1.7024782851223208</c:v>
                </c:pt>
                <c:pt idx="194">
                  <c:v>1.724153318989561</c:v>
                </c:pt>
                <c:pt idx="195">
                  <c:v>1.7458602279066062</c:v>
                </c:pt>
                <c:pt idx="196">
                  <c:v>1.7675352617738467</c:v>
                </c:pt>
                <c:pt idx="197">
                  <c:v>1.7892421706908919</c:v>
                </c:pt>
                <c:pt idx="198">
                  <c:v>1.8109172045581323</c:v>
                </c:pt>
                <c:pt idx="199">
                  <c:v>1.8325922384253726</c:v>
                </c:pt>
                <c:pt idx="200">
                  <c:v>1.854299147342418</c:v>
                </c:pt>
                <c:pt idx="201">
                  <c:v>1.8759741812096582</c:v>
                </c:pt>
                <c:pt idx="202">
                  <c:v>1.8976810901267032</c:v>
                </c:pt>
                <c:pt idx="203">
                  <c:v>1.9193561239939438</c:v>
                </c:pt>
                <c:pt idx="204">
                  <c:v>1.9410311578611843</c:v>
                </c:pt>
                <c:pt idx="205">
                  <c:v>1.9627380667782295</c:v>
                </c:pt>
                <c:pt idx="206">
                  <c:v>1.9844131006454699</c:v>
                </c:pt>
                <c:pt idx="207">
                  <c:v>2.0061200095625149</c:v>
                </c:pt>
                <c:pt idx="208">
                  <c:v>2.0277950434297556</c:v>
                </c:pt>
                <c:pt idx="209">
                  <c:v>2.0494700772969958</c:v>
                </c:pt>
                <c:pt idx="210">
                  <c:v>2.071176986214041</c:v>
                </c:pt>
                <c:pt idx="211">
                  <c:v>2.0928520200812812</c:v>
                </c:pt>
                <c:pt idx="212">
                  <c:v>2.1145589289983264</c:v>
                </c:pt>
                <c:pt idx="213">
                  <c:v>2.1362339628655671</c:v>
                </c:pt>
                <c:pt idx="214">
                  <c:v>2.1579089967328073</c:v>
                </c:pt>
                <c:pt idx="215">
                  <c:v>2.1796159056498525</c:v>
                </c:pt>
                <c:pt idx="216">
                  <c:v>2.2012909395170932</c:v>
                </c:pt>
                <c:pt idx="217">
                  <c:v>2.2229978484341379</c:v>
                </c:pt>
                <c:pt idx="218">
                  <c:v>2.2446728823013791</c:v>
                </c:pt>
                <c:pt idx="219">
                  <c:v>2.2663479161686189</c:v>
                </c:pt>
                <c:pt idx="220">
                  <c:v>2.288054825085664</c:v>
                </c:pt>
                <c:pt idx="221">
                  <c:v>2.3097298589529052</c:v>
                </c:pt>
                <c:pt idx="222">
                  <c:v>2.331404892820145</c:v>
                </c:pt>
                <c:pt idx="223">
                  <c:v>2.3531118017371901</c:v>
                </c:pt>
                <c:pt idx="224">
                  <c:v>2.3747868356044308</c:v>
                </c:pt>
                <c:pt idx="225">
                  <c:v>2.396493744521476</c:v>
                </c:pt>
                <c:pt idx="226">
                  <c:v>2.4181687783887162</c:v>
                </c:pt>
                <c:pt idx="227">
                  <c:v>2.4398438122559565</c:v>
                </c:pt>
                <c:pt idx="228">
                  <c:v>2.4615507211730021</c:v>
                </c:pt>
                <c:pt idx="229">
                  <c:v>2.4832257550402423</c:v>
                </c:pt>
                <c:pt idx="230">
                  <c:v>2.5049326639572875</c:v>
                </c:pt>
                <c:pt idx="231">
                  <c:v>2.5266076978245278</c:v>
                </c:pt>
                <c:pt idx="232">
                  <c:v>2.5482827316917684</c:v>
                </c:pt>
                <c:pt idx="233">
                  <c:v>2.5699896406088136</c:v>
                </c:pt>
                <c:pt idx="234">
                  <c:v>2.5916646744760539</c:v>
                </c:pt>
                <c:pt idx="235">
                  <c:v>2.6133715833930991</c:v>
                </c:pt>
                <c:pt idx="236">
                  <c:v>2.6350466172603397</c:v>
                </c:pt>
                <c:pt idx="237">
                  <c:v>2.65672165112758</c:v>
                </c:pt>
                <c:pt idx="238">
                  <c:v>2.6784285600446252</c:v>
                </c:pt>
                <c:pt idx="239">
                  <c:v>2.7001035939118658</c:v>
                </c:pt>
                <c:pt idx="240">
                  <c:v>2.721810502828911</c:v>
                </c:pt>
                <c:pt idx="241">
                  <c:v>2.7434855366961508</c:v>
                </c:pt>
                <c:pt idx="242">
                  <c:v>2.7651605705633919</c:v>
                </c:pt>
                <c:pt idx="243">
                  <c:v>2.7868674794804367</c:v>
                </c:pt>
                <c:pt idx="244">
                  <c:v>2.8085425133476773</c:v>
                </c:pt>
                <c:pt idx="245">
                  <c:v>2.8302494222647225</c:v>
                </c:pt>
                <c:pt idx="246">
                  <c:v>2.8519244561319628</c:v>
                </c:pt>
                <c:pt idx="247">
                  <c:v>2.8735994899992034</c:v>
                </c:pt>
                <c:pt idx="248">
                  <c:v>2.8953063989162482</c:v>
                </c:pt>
                <c:pt idx="249">
                  <c:v>2.9169814327834893</c:v>
                </c:pt>
                <c:pt idx="250">
                  <c:v>2.9386883417005345</c:v>
                </c:pt>
                <c:pt idx="251">
                  <c:v>2.9603633755677743</c:v>
                </c:pt>
                <c:pt idx="252">
                  <c:v>2.982038409435015</c:v>
                </c:pt>
                <c:pt idx="253">
                  <c:v>3.0037453183520597</c:v>
                </c:pt>
                <c:pt idx="254">
                  <c:v>3.0254203522193008</c:v>
                </c:pt>
                <c:pt idx="255">
                  <c:v>3.047127261136346</c:v>
                </c:pt>
                <c:pt idx="256">
                  <c:v>3.0688022950035858</c:v>
                </c:pt>
                <c:pt idx="257">
                  <c:v>3.0904773288708269</c:v>
                </c:pt>
                <c:pt idx="258">
                  <c:v>3.1121842377878717</c:v>
                </c:pt>
                <c:pt idx="259">
                  <c:v>3.1338592716551119</c:v>
                </c:pt>
                <c:pt idx="260">
                  <c:v>3.1555661805721571</c:v>
                </c:pt>
                <c:pt idx="261">
                  <c:v>3.1826599729062077</c:v>
                </c:pt>
                <c:pt idx="262">
                  <c:v>3.2043987568730579</c:v>
                </c:pt>
                <c:pt idx="263">
                  <c:v>3.2260737907402981</c:v>
                </c:pt>
                <c:pt idx="264">
                  <c:v>3.2477488246075383</c:v>
                </c:pt>
                <c:pt idx="265">
                  <c:v>3.269423858474779</c:v>
                </c:pt>
                <c:pt idx="266">
                  <c:v>3.2910988923420192</c:v>
                </c:pt>
                <c:pt idx="267">
                  <c:v>3.3181926846760699</c:v>
                </c:pt>
                <c:pt idx="268">
                  <c:v>3.3398677185433105</c:v>
                </c:pt>
                <c:pt idx="269">
                  <c:v>3.3615427524105508</c:v>
                </c:pt>
                <c:pt idx="270">
                  <c:v>3.3832177862777915</c:v>
                </c:pt>
                <c:pt idx="271">
                  <c:v>3.4103115786118416</c:v>
                </c:pt>
                <c:pt idx="272">
                  <c:v>3.4319866124790823</c:v>
                </c:pt>
                <c:pt idx="273">
                  <c:v>3.4536616463463221</c:v>
                </c:pt>
                <c:pt idx="274">
                  <c:v>3.4753366802135632</c:v>
                </c:pt>
                <c:pt idx="275">
                  <c:v>3.497011714080803</c:v>
                </c:pt>
                <c:pt idx="276">
                  <c:v>3.5186867479480441</c:v>
                </c:pt>
                <c:pt idx="277">
                  <c:v>3.5403617818152839</c:v>
                </c:pt>
                <c:pt idx="278">
                  <c:v>3.5620368156825246</c:v>
                </c:pt>
                <c:pt idx="279">
                  <c:v>3.589449358514623</c:v>
                </c:pt>
                <c:pt idx="280">
                  <c:v>3.6111243923818637</c:v>
                </c:pt>
                <c:pt idx="281">
                  <c:v>3.6327994262491035</c:v>
                </c:pt>
                <c:pt idx="282">
                  <c:v>3.6598932185831541</c:v>
                </c:pt>
                <c:pt idx="283">
                  <c:v>3.6815682524503943</c:v>
                </c:pt>
                <c:pt idx="284">
                  <c:v>3.7032432863176354</c:v>
                </c:pt>
                <c:pt idx="285">
                  <c:v>3.7303370786516856</c:v>
                </c:pt>
                <c:pt idx="286">
                  <c:v>3.7520121125189259</c:v>
                </c:pt>
                <c:pt idx="287">
                  <c:v>3.7791059048529765</c:v>
                </c:pt>
                <c:pt idx="288">
                  <c:v>3.8007809387202172</c:v>
                </c:pt>
                <c:pt idx="289">
                  <c:v>3.8224559725874574</c:v>
                </c:pt>
                <c:pt idx="290">
                  <c:v>3.8441310064546976</c:v>
                </c:pt>
                <c:pt idx="291">
                  <c:v>3.8658060403219383</c:v>
                </c:pt>
                <c:pt idx="292">
                  <c:v>3.8874810741891785</c:v>
                </c:pt>
                <c:pt idx="293">
                  <c:v>3.9091561080564192</c:v>
                </c:pt>
                <c:pt idx="294">
                  <c:v>3.9308311419236595</c:v>
                </c:pt>
                <c:pt idx="295">
                  <c:v>3.9525061757908997</c:v>
                </c:pt>
                <c:pt idx="296">
                  <c:v>3.9741812096581404</c:v>
                </c:pt>
                <c:pt idx="297">
                  <c:v>3.9958562435253806</c:v>
                </c:pt>
                <c:pt idx="298">
                  <c:v>4.0175312773926208</c:v>
                </c:pt>
                <c:pt idx="299">
                  <c:v>4.0392063112598615</c:v>
                </c:pt>
                <c:pt idx="300">
                  <c:v>4.0608813451271022</c:v>
                </c:pt>
                <c:pt idx="301">
                  <c:v>4.0825563789943429</c:v>
                </c:pt>
                <c:pt idx="302">
                  <c:v>4.1042314128615827</c:v>
                </c:pt>
                <c:pt idx="303">
                  <c:v>4.1262251972268702</c:v>
                </c:pt>
                <c:pt idx="304">
                  <c:v>4.1479002310941109</c:v>
                </c:pt>
                <c:pt idx="305">
                  <c:v>4.1695752649613516</c:v>
                </c:pt>
                <c:pt idx="306">
                  <c:v>4.2020878157622121</c:v>
                </c:pt>
                <c:pt idx="307">
                  <c:v>4.2346003665630727</c:v>
                </c:pt>
                <c:pt idx="308">
                  <c:v>4.2671129173639342</c:v>
                </c:pt>
                <c:pt idx="309">
                  <c:v>4.2996254681647939</c:v>
                </c:pt>
                <c:pt idx="310">
                  <c:v>4.3321380189656553</c:v>
                </c:pt>
                <c:pt idx="311">
                  <c:v>4.3700693282333258</c:v>
                </c:pt>
                <c:pt idx="312">
                  <c:v>4.4025818790341864</c:v>
                </c:pt>
                <c:pt idx="313">
                  <c:v>4.435094429835047</c:v>
                </c:pt>
                <c:pt idx="314">
                  <c:v>4.4730257391027184</c:v>
                </c:pt>
                <c:pt idx="315">
                  <c:v>4.5055382899035781</c:v>
                </c:pt>
                <c:pt idx="316">
                  <c:v>4.5434695991712486</c:v>
                </c:pt>
                <c:pt idx="317">
                  <c:v>4.5814009084389191</c:v>
                </c:pt>
                <c:pt idx="318">
                  <c:v>4.6139134592397797</c:v>
                </c:pt>
                <c:pt idx="319">
                  <c:v>4.6464260100406412</c:v>
                </c:pt>
                <c:pt idx="320">
                  <c:v>4.6846760698063594</c:v>
                </c:pt>
                <c:pt idx="321">
                  <c:v>4.7226073790740299</c:v>
                </c:pt>
                <c:pt idx="322">
                  <c:v>4.7551199298748905</c:v>
                </c:pt>
                <c:pt idx="323">
                  <c:v>4.7876324806757511</c:v>
                </c:pt>
                <c:pt idx="324">
                  <c:v>4.8255637899434216</c:v>
                </c:pt>
                <c:pt idx="325">
                  <c:v>4.863495099211093</c:v>
                </c:pt>
                <c:pt idx="326">
                  <c:v>4.9014264084787635</c:v>
                </c:pt>
                <c:pt idx="327">
                  <c:v>4.9339389592796241</c:v>
                </c:pt>
                <c:pt idx="328">
                  <c:v>4.9718702685472946</c:v>
                </c:pt>
                <c:pt idx="329">
                  <c:v>5.0098015778149652</c:v>
                </c:pt>
                <c:pt idx="330">
                  <c:v>5.0477328870826366</c:v>
                </c:pt>
                <c:pt idx="331">
                  <c:v>5.0856641963503071</c:v>
                </c:pt>
                <c:pt idx="332">
                  <c:v>5.1235955056179776</c:v>
                </c:pt>
                <c:pt idx="333">
                  <c:v>5.161526814885649</c:v>
                </c:pt>
                <c:pt idx="334">
                  <c:v>5.1994581241533195</c:v>
                </c:pt>
                <c:pt idx="335">
                  <c:v>5.2377081839190378</c:v>
                </c:pt>
                <c:pt idx="336">
                  <c:v>5.2702207347198984</c:v>
                </c:pt>
                <c:pt idx="337">
                  <c:v>5.3027332855207598</c:v>
                </c:pt>
                <c:pt idx="338">
                  <c:v>5.3406645947884304</c:v>
                </c:pt>
                <c:pt idx="339">
                  <c:v>5.3785959040561009</c:v>
                </c:pt>
                <c:pt idx="340">
                  <c:v>5.4165272133237714</c:v>
                </c:pt>
                <c:pt idx="341">
                  <c:v>5.4490397641246311</c:v>
                </c:pt>
                <c:pt idx="342">
                  <c:v>5.4869710733923016</c:v>
                </c:pt>
                <c:pt idx="343">
                  <c:v>5.5194836241931631</c:v>
                </c:pt>
                <c:pt idx="344">
                  <c:v>5.5574149334608336</c:v>
                </c:pt>
                <c:pt idx="345">
                  <c:v>5.606183759662124</c:v>
                </c:pt>
                <c:pt idx="346">
                  <c:v>5.6549525858634162</c:v>
                </c:pt>
                <c:pt idx="347">
                  <c:v>5.6983026535978967</c:v>
                </c:pt>
                <c:pt idx="348">
                  <c:v>5.747071479799188</c:v>
                </c:pt>
                <c:pt idx="349">
                  <c:v>5.796159056498527</c:v>
                </c:pt>
                <c:pt idx="350">
                  <c:v>5.8395091242330066</c:v>
                </c:pt>
                <c:pt idx="351">
                  <c:v>5.888277950434297</c:v>
                </c:pt>
                <c:pt idx="352">
                  <c:v>5.9370467766355883</c:v>
                </c:pt>
                <c:pt idx="353">
                  <c:v>5.9803968443700697</c:v>
                </c:pt>
                <c:pt idx="354">
                  <c:v>6.0237469121045502</c:v>
                </c:pt>
                <c:pt idx="355">
                  <c:v>6.0725157383058415</c:v>
                </c:pt>
                <c:pt idx="356">
                  <c:v>6.1158658060403228</c:v>
                </c:pt>
                <c:pt idx="357">
                  <c:v>6.1592158737748033</c:v>
                </c:pt>
                <c:pt idx="358">
                  <c:v>6.2025659415092838</c:v>
                </c:pt>
                <c:pt idx="359">
                  <c:v>6.2513347677105751</c:v>
                </c:pt>
                <c:pt idx="360">
                  <c:v>6.3001035939118655</c:v>
                </c:pt>
                <c:pt idx="361">
                  <c:v>6.3437724121443946</c:v>
                </c:pt>
                <c:pt idx="362">
                  <c:v>6.387122479878875</c:v>
                </c:pt>
                <c:pt idx="363">
                  <c:v>6.4304725476133564</c:v>
                </c:pt>
                <c:pt idx="364">
                  <c:v>6.4738226153478369</c:v>
                </c:pt>
                <c:pt idx="365">
                  <c:v>6.5171726830823182</c:v>
                </c:pt>
                <c:pt idx="366">
                  <c:v>6.5605227508167987</c:v>
                </c:pt>
                <c:pt idx="367">
                  <c:v>6.60929157701809</c:v>
                </c:pt>
                <c:pt idx="368">
                  <c:v>6.6526416447525705</c:v>
                </c:pt>
                <c:pt idx="369">
                  <c:v>6.7014104709538609</c:v>
                </c:pt>
                <c:pt idx="370">
                  <c:v>6.7447605386883422</c:v>
                </c:pt>
                <c:pt idx="371">
                  <c:v>6.7881106064228227</c:v>
                </c:pt>
                <c:pt idx="372">
                  <c:v>6.836879432624114</c:v>
                </c:pt>
                <c:pt idx="373">
                  <c:v>6.8805482508566422</c:v>
                </c:pt>
                <c:pt idx="374">
                  <c:v>6.9293170770579327</c:v>
                </c:pt>
                <c:pt idx="375">
                  <c:v>6.972667144792414</c:v>
                </c:pt>
                <c:pt idx="376">
                  <c:v>7.0322734879273252</c:v>
                </c:pt>
                <c:pt idx="377">
                  <c:v>7.0864610725954256</c:v>
                </c:pt>
                <c:pt idx="378">
                  <c:v>7.1460674157303377</c:v>
                </c:pt>
                <c:pt idx="379">
                  <c:v>7.200255000398438</c:v>
                </c:pt>
                <c:pt idx="380">
                  <c:v>7.2598613435333492</c:v>
                </c:pt>
                <c:pt idx="381">
                  <c:v>7.3194676866682613</c:v>
                </c:pt>
                <c:pt idx="382">
                  <c:v>7.3790740298031716</c:v>
                </c:pt>
                <c:pt idx="383">
                  <c:v>7.4335803649693206</c:v>
                </c:pt>
                <c:pt idx="384">
                  <c:v>7.4931867081042327</c:v>
                </c:pt>
                <c:pt idx="385">
                  <c:v>7.5527930512391421</c:v>
                </c:pt>
                <c:pt idx="386">
                  <c:v>7.6123993943740542</c:v>
                </c:pt>
                <c:pt idx="387">
                  <c:v>7.6720057375089654</c:v>
                </c:pt>
                <c:pt idx="388">
                  <c:v>7.7316120806438766</c:v>
                </c:pt>
                <c:pt idx="389">
                  <c:v>7.7912184237787878</c:v>
                </c:pt>
                <c:pt idx="390">
                  <c:v>7.850824766913699</c:v>
                </c:pt>
                <c:pt idx="391">
                  <c:v>7.9104311100486102</c:v>
                </c:pt>
                <c:pt idx="392">
                  <c:v>7.9703562036815683</c:v>
                </c:pt>
                <c:pt idx="393">
                  <c:v>8.0299625468164795</c:v>
                </c:pt>
                <c:pt idx="394">
                  <c:v>8.0895688899513907</c:v>
                </c:pt>
                <c:pt idx="395">
                  <c:v>8.1437564746194919</c:v>
                </c:pt>
                <c:pt idx="396">
                  <c:v>8.2033628177544031</c:v>
                </c:pt>
                <c:pt idx="397">
                  <c:v>8.2629691608893143</c:v>
                </c:pt>
                <c:pt idx="398">
                  <c:v>8.3225755040242255</c:v>
                </c:pt>
                <c:pt idx="399">
                  <c:v>8.3821818471591385</c:v>
                </c:pt>
                <c:pt idx="400">
                  <c:v>8.4526257072276678</c:v>
                </c:pt>
                <c:pt idx="401">
                  <c:v>8.5179695593274367</c:v>
                </c:pt>
                <c:pt idx="402">
                  <c:v>8.5829946609291579</c:v>
                </c:pt>
                <c:pt idx="403">
                  <c:v>8.6588572794644989</c:v>
                </c:pt>
                <c:pt idx="404">
                  <c:v>8.7347198979998399</c:v>
                </c:pt>
                <c:pt idx="405">
                  <c:v>8.7997449996015611</c:v>
                </c:pt>
                <c:pt idx="406">
                  <c:v>8.8756076181369039</c:v>
                </c:pt>
                <c:pt idx="407">
                  <c:v>8.951470236672245</c:v>
                </c:pt>
                <c:pt idx="408">
                  <c:v>9.0164953382739661</c:v>
                </c:pt>
                <c:pt idx="409">
                  <c:v>9.0926767073073549</c:v>
                </c:pt>
                <c:pt idx="410">
                  <c:v>9.1685393258426977</c:v>
                </c:pt>
                <c:pt idx="411">
                  <c:v>9.2444019443780387</c:v>
                </c:pt>
                <c:pt idx="412">
                  <c:v>9.320264562913378</c:v>
                </c:pt>
                <c:pt idx="413">
                  <c:v>9.3852896645151009</c:v>
                </c:pt>
                <c:pt idx="414">
                  <c:v>9.4503147661168239</c:v>
                </c:pt>
                <c:pt idx="415">
                  <c:v>9.5153398677185432</c:v>
                </c:pt>
                <c:pt idx="416">
                  <c:v>9.5857837277870761</c:v>
                </c:pt>
                <c:pt idx="417">
                  <c:v>9.6511275798868432</c:v>
                </c:pt>
                <c:pt idx="418">
                  <c:v>9.7215714399553761</c:v>
                </c:pt>
                <c:pt idx="419">
                  <c:v>9.7974340584907171</c:v>
                </c:pt>
                <c:pt idx="420">
                  <c:v>9.8787154354928699</c:v>
                </c:pt>
                <c:pt idx="421">
                  <c:v>9.9599968124950209</c:v>
                </c:pt>
                <c:pt idx="422">
                  <c:v>10.046696947963982</c:v>
                </c:pt>
                <c:pt idx="423">
                  <c:v>10.127978324966135</c:v>
                </c:pt>
                <c:pt idx="424">
                  <c:v>10.209578452466333</c:v>
                </c:pt>
                <c:pt idx="425">
                  <c:v>10.290859829468484</c:v>
                </c:pt>
                <c:pt idx="426">
                  <c:v>10.377559964937445</c:v>
                </c:pt>
                <c:pt idx="427">
                  <c:v>10.458841341939598</c:v>
                </c:pt>
                <c:pt idx="428">
                  <c:v>10.534703960474937</c:v>
                </c:pt>
                <c:pt idx="429">
                  <c:v>10.621404095943902</c:v>
                </c:pt>
                <c:pt idx="430">
                  <c:v>10.708422981910909</c:v>
                </c:pt>
                <c:pt idx="431">
                  <c:v>10.795123117379871</c:v>
                </c:pt>
                <c:pt idx="432">
                  <c:v>10.881823252848832</c:v>
                </c:pt>
                <c:pt idx="433">
                  <c:v>10.968523388317795</c:v>
                </c:pt>
                <c:pt idx="434">
                  <c:v>11.055223523786756</c:v>
                </c:pt>
                <c:pt idx="435">
                  <c:v>11.131086142322097</c:v>
                </c:pt>
                <c:pt idx="436">
                  <c:v>11.22320503625787</c:v>
                </c:pt>
                <c:pt idx="437">
                  <c:v>11.31564268069169</c:v>
                </c:pt>
                <c:pt idx="438">
                  <c:v>11.407761574627461</c:v>
                </c:pt>
                <c:pt idx="439">
                  <c:v>11.499880468563232</c:v>
                </c:pt>
                <c:pt idx="440">
                  <c:v>11.591999362499005</c:v>
                </c:pt>
                <c:pt idx="441">
                  <c:v>11.689537014901587</c:v>
                </c:pt>
                <c:pt idx="442">
                  <c:v>11.781655908837358</c:v>
                </c:pt>
                <c:pt idx="443">
                  <c:v>11.879512311737988</c:v>
                </c:pt>
                <c:pt idx="444">
                  <c:v>11.971631205673759</c:v>
                </c:pt>
                <c:pt idx="445">
                  <c:v>12.069168858076342</c:v>
                </c:pt>
                <c:pt idx="446">
                  <c:v>12.166706510478923</c:v>
                </c:pt>
                <c:pt idx="447">
                  <c:v>12.264244162881505</c:v>
                </c:pt>
                <c:pt idx="448">
                  <c:v>12.356681807315326</c:v>
                </c:pt>
                <c:pt idx="449">
                  <c:v>12.454219459717907</c:v>
                </c:pt>
                <c:pt idx="450">
                  <c:v>12.551757112120487</c:v>
                </c:pt>
                <c:pt idx="451">
                  <c:v>12.66013228145669</c:v>
                </c:pt>
                <c:pt idx="452">
                  <c:v>12.757669933859273</c:v>
                </c:pt>
                <c:pt idx="453">
                  <c:v>12.855207586261855</c:v>
                </c:pt>
                <c:pt idx="454">
                  <c:v>12.953063989162484</c:v>
                </c:pt>
                <c:pt idx="455">
                  <c:v>13.061439158498686</c:v>
                </c:pt>
                <c:pt idx="456">
                  <c:v>13.158976810901267</c:v>
                </c:pt>
                <c:pt idx="457">
                  <c:v>13.25651446330385</c:v>
                </c:pt>
                <c:pt idx="458">
                  <c:v>13.35405211570643</c:v>
                </c:pt>
                <c:pt idx="459">
                  <c:v>13.451908518607061</c:v>
                </c:pt>
                <c:pt idx="460">
                  <c:v>13.549446171009643</c:v>
                </c:pt>
                <c:pt idx="461">
                  <c:v>13.646983823412224</c:v>
                </c:pt>
                <c:pt idx="462">
                  <c:v>13.744521475814807</c:v>
                </c:pt>
                <c:pt idx="463">
                  <c:v>13.852896645151009</c:v>
                </c:pt>
                <c:pt idx="464">
                  <c:v>13.950434297553592</c:v>
                </c:pt>
                <c:pt idx="465">
                  <c:v>14.06454697585465</c:v>
                </c:pt>
                <c:pt idx="466">
                  <c:v>14.178340903657663</c:v>
                </c:pt>
                <c:pt idx="467">
                  <c:v>14.297553589927485</c:v>
                </c:pt>
                <c:pt idx="468">
                  <c:v>14.416766276197309</c:v>
                </c:pt>
                <c:pt idx="469">
                  <c:v>14.535978962467128</c:v>
                </c:pt>
                <c:pt idx="470">
                  <c:v>14.655510399234998</c:v>
                </c:pt>
                <c:pt idx="471">
                  <c:v>14.774723085504821</c:v>
                </c:pt>
                <c:pt idx="472">
                  <c:v>14.883098254841023</c:v>
                </c:pt>
                <c:pt idx="473">
                  <c:v>15.002310941110848</c:v>
                </c:pt>
                <c:pt idx="474">
                  <c:v>15.111004860945096</c:v>
                </c:pt>
                <c:pt idx="475">
                  <c:v>15.23563630568173</c:v>
                </c:pt>
                <c:pt idx="476">
                  <c:v>15.354848991951551</c:v>
                </c:pt>
                <c:pt idx="477">
                  <c:v>15.479480436688183</c:v>
                </c:pt>
                <c:pt idx="478">
                  <c:v>15.604111881424817</c:v>
                </c:pt>
                <c:pt idx="479">
                  <c:v>15.729062076659496</c:v>
                </c:pt>
                <c:pt idx="480">
                  <c:v>15.859112279862938</c:v>
                </c:pt>
                <c:pt idx="481">
                  <c:v>15.98374372459957</c:v>
                </c:pt>
                <c:pt idx="482">
                  <c:v>16.108375169336203</c:v>
                </c:pt>
                <c:pt idx="483">
                  <c:v>16.233325364570881</c:v>
                </c:pt>
                <c:pt idx="484">
                  <c:v>16.363375567774327</c:v>
                </c:pt>
                <c:pt idx="485">
                  <c:v>16.488007012510955</c:v>
                </c:pt>
                <c:pt idx="486">
                  <c:v>16.612638457247588</c:v>
                </c:pt>
                <c:pt idx="487">
                  <c:v>16.74300741094908</c:v>
                </c:pt>
                <c:pt idx="488">
                  <c:v>16.873057614152525</c:v>
                </c:pt>
                <c:pt idx="489">
                  <c:v>17.019364092756398</c:v>
                </c:pt>
                <c:pt idx="490">
                  <c:v>17.149414295959836</c:v>
                </c:pt>
                <c:pt idx="491">
                  <c:v>17.290620766594952</c:v>
                </c:pt>
                <c:pt idx="492">
                  <c:v>17.426089728265204</c:v>
                </c:pt>
                <c:pt idx="493">
                  <c:v>17.561558689935456</c:v>
                </c:pt>
                <c:pt idx="494">
                  <c:v>17.697027651605708</c:v>
                </c:pt>
                <c:pt idx="495">
                  <c:v>17.83281536377401</c:v>
                </c:pt>
                <c:pt idx="496">
                  <c:v>17.968284325444262</c:v>
                </c:pt>
                <c:pt idx="497">
                  <c:v>18.103753287114511</c:v>
                </c:pt>
                <c:pt idx="498">
                  <c:v>18.260897282652007</c:v>
                </c:pt>
                <c:pt idx="499">
                  <c:v>18.412941270220735</c:v>
                </c:pt>
                <c:pt idx="500">
                  <c:v>18.57008526575823</c:v>
                </c:pt>
                <c:pt idx="501">
                  <c:v>18.721810502828912</c:v>
                </c:pt>
                <c:pt idx="502">
                  <c:v>18.873535739899594</c:v>
                </c:pt>
                <c:pt idx="503">
                  <c:v>19.025579727468326</c:v>
                </c:pt>
                <c:pt idx="504">
                  <c:v>19.182723723005818</c:v>
                </c:pt>
                <c:pt idx="505">
                  <c:v>19.334448960076504</c:v>
                </c:pt>
                <c:pt idx="506">
                  <c:v>19.475336680213562</c:v>
                </c:pt>
                <c:pt idx="507">
                  <c:v>19.6327994262491</c:v>
                </c:pt>
                <c:pt idx="508">
                  <c:v>19.78452466331979</c:v>
                </c:pt>
                <c:pt idx="509">
                  <c:v>19.936249900390472</c:v>
                </c:pt>
                <c:pt idx="510">
                  <c:v>20.09913140489282</c:v>
                </c:pt>
                <c:pt idx="511">
                  <c:v>20.256275400430315</c:v>
                </c:pt>
                <c:pt idx="512">
                  <c:v>20.408000637500997</c:v>
                </c:pt>
                <c:pt idx="513">
                  <c:v>20.565144633038486</c:v>
                </c:pt>
                <c:pt idx="514">
                  <c:v>20.717188620607224</c:v>
                </c:pt>
                <c:pt idx="515">
                  <c:v>20.874332616144713</c:v>
                </c:pt>
                <c:pt idx="516">
                  <c:v>21.053151645549445</c:v>
                </c:pt>
                <c:pt idx="517">
                  <c:v>21.23228942545223</c:v>
                </c:pt>
                <c:pt idx="518">
                  <c:v>21.405689696390152</c:v>
                </c:pt>
                <c:pt idx="519">
                  <c:v>21.584508725794887</c:v>
                </c:pt>
                <c:pt idx="520">
                  <c:v>21.763646505697665</c:v>
                </c:pt>
                <c:pt idx="521">
                  <c:v>21.9424655351024</c:v>
                </c:pt>
                <c:pt idx="522">
                  <c:v>22.105028289106706</c:v>
                </c:pt>
                <c:pt idx="523">
                  <c:v>22.284166069009483</c:v>
                </c:pt>
                <c:pt idx="524">
                  <c:v>22.462985098414219</c:v>
                </c:pt>
                <c:pt idx="525">
                  <c:v>22.641804127818954</c:v>
                </c:pt>
                <c:pt idx="526">
                  <c:v>22.826360666188542</c:v>
                </c:pt>
                <c:pt idx="527">
                  <c:v>23.016017212526897</c:v>
                </c:pt>
                <c:pt idx="528">
                  <c:v>23.200255000398439</c:v>
                </c:pt>
                <c:pt idx="529">
                  <c:v>23.39023029723484</c:v>
                </c:pt>
                <c:pt idx="530">
                  <c:v>23.579886843573195</c:v>
                </c:pt>
                <c:pt idx="531">
                  <c:v>23.764124631444737</c:v>
                </c:pt>
                <c:pt idx="532">
                  <c:v>23.954099928281138</c:v>
                </c:pt>
                <c:pt idx="533">
                  <c:v>24.149175233086304</c:v>
                </c:pt>
                <c:pt idx="534">
                  <c:v>24.338831779424659</c:v>
                </c:pt>
                <c:pt idx="535">
                  <c:v>24.53422583472787</c:v>
                </c:pt>
                <c:pt idx="536">
                  <c:v>24.734719897999842</c:v>
                </c:pt>
                <c:pt idx="537">
                  <c:v>24.935213961271813</c:v>
                </c:pt>
                <c:pt idx="538">
                  <c:v>25.136026775041838</c:v>
                </c:pt>
                <c:pt idx="539">
                  <c:v>25.331102079847003</c:v>
                </c:pt>
                <c:pt idx="540">
                  <c:v>25.531914893617024</c:v>
                </c:pt>
                <c:pt idx="541">
                  <c:v>25.726990198422186</c:v>
                </c:pt>
                <c:pt idx="542">
                  <c:v>25.927484261694158</c:v>
                </c:pt>
                <c:pt idx="543">
                  <c:v>26.133715833930992</c:v>
                </c:pt>
                <c:pt idx="544">
                  <c:v>26.328791138736154</c:v>
                </c:pt>
                <c:pt idx="545">
                  <c:v>26.529285202008129</c:v>
                </c:pt>
                <c:pt idx="546">
                  <c:v>26.75177304964539</c:v>
                </c:pt>
                <c:pt idx="547">
                  <c:v>26.973942146784609</c:v>
                </c:pt>
                <c:pt idx="548">
                  <c:v>27.191011235955056</c:v>
                </c:pt>
                <c:pt idx="549">
                  <c:v>27.413180333094274</c:v>
                </c:pt>
                <c:pt idx="550">
                  <c:v>27.629930671766676</c:v>
                </c:pt>
                <c:pt idx="551">
                  <c:v>27.852418519403937</c:v>
                </c:pt>
                <c:pt idx="552">
                  <c:v>28.069168858076342</c:v>
                </c:pt>
                <c:pt idx="553">
                  <c:v>28.291656705713606</c:v>
                </c:pt>
                <c:pt idx="554">
                  <c:v>28.513825802852818</c:v>
                </c:pt>
                <c:pt idx="555">
                  <c:v>28.735994899992033</c:v>
                </c:pt>
                <c:pt idx="556">
                  <c:v>28.963901506096104</c:v>
                </c:pt>
                <c:pt idx="557">
                  <c:v>29.186070603235319</c:v>
                </c:pt>
                <c:pt idx="558">
                  <c:v>29.430233484739823</c:v>
                </c:pt>
                <c:pt idx="559">
                  <c:v>29.657821340345848</c:v>
                </c:pt>
                <c:pt idx="560">
                  <c:v>29.901665471352302</c:v>
                </c:pt>
                <c:pt idx="561">
                  <c:v>30.140409594389993</c:v>
                </c:pt>
                <c:pt idx="562">
                  <c:v>30.389672483863258</c:v>
                </c:pt>
                <c:pt idx="563">
                  <c:v>30.628416606900949</c:v>
                </c:pt>
                <c:pt idx="564">
                  <c:v>30.883098254841027</c:v>
                </c:pt>
                <c:pt idx="565">
                  <c:v>31.132679894812338</c:v>
                </c:pt>
                <c:pt idx="566">
                  <c:v>31.387361542752416</c:v>
                </c:pt>
                <c:pt idx="567">
                  <c:v>31.636943182723723</c:v>
                </c:pt>
                <c:pt idx="568">
                  <c:v>31.887799824687228</c:v>
                </c:pt>
                <c:pt idx="569">
                  <c:v>32.139612718144875</c:v>
                </c:pt>
                <c:pt idx="570">
                  <c:v>32.40098812654395</c:v>
                </c:pt>
                <c:pt idx="571">
                  <c:v>32.655988524982071</c:v>
                </c:pt>
                <c:pt idx="572">
                  <c:v>32.910988923420192</c:v>
                </c:pt>
                <c:pt idx="573">
                  <c:v>33.159614311897364</c:v>
                </c:pt>
                <c:pt idx="574">
                  <c:v>33.414614710335485</c:v>
                </c:pt>
                <c:pt idx="575">
                  <c:v>33.691927643636944</c:v>
                </c:pt>
                <c:pt idx="576">
                  <c:v>33.969240576938404</c:v>
                </c:pt>
                <c:pt idx="577">
                  <c:v>34.243366005259389</c:v>
                </c:pt>
                <c:pt idx="578">
                  <c:v>34.520678938560842</c:v>
                </c:pt>
                <c:pt idx="579">
                  <c:v>34.797991871862301</c:v>
                </c:pt>
                <c:pt idx="580">
                  <c:v>35.075304805163761</c:v>
                </c:pt>
                <c:pt idx="581">
                  <c:v>35.349430233484746</c:v>
                </c:pt>
                <c:pt idx="582">
                  <c:v>35.620368156825243</c:v>
                </c:pt>
                <c:pt idx="583">
                  <c:v>35.89768109012671</c:v>
                </c:pt>
                <c:pt idx="584">
                  <c:v>36.181369033389117</c:v>
                </c:pt>
                <c:pt idx="585">
                  <c:v>36.477806996573442</c:v>
                </c:pt>
                <c:pt idx="586">
                  <c:v>36.783807474699181</c:v>
                </c:pt>
                <c:pt idx="587">
                  <c:v>37.086620447844453</c:v>
                </c:pt>
                <c:pt idx="588">
                  <c:v>37.383058411028763</c:v>
                </c:pt>
                <c:pt idx="589">
                  <c:v>37.682683879193569</c:v>
                </c:pt>
                <c:pt idx="590">
                  <c:v>37.979121842377879</c:v>
                </c:pt>
                <c:pt idx="591">
                  <c:v>38.285122320503625</c:v>
                </c:pt>
                <c:pt idx="592">
                  <c:v>38.587935293648897</c:v>
                </c:pt>
                <c:pt idx="593">
                  <c:v>38.884373256833221</c:v>
                </c:pt>
                <c:pt idx="594">
                  <c:v>39.19037373495896</c:v>
                </c:pt>
                <c:pt idx="595">
                  <c:v>39.493186708104233</c:v>
                </c:pt>
                <c:pt idx="596">
                  <c:v>39.795999681249505</c:v>
                </c:pt>
                <c:pt idx="597">
                  <c:v>40.105187664355732</c:v>
                </c:pt>
                <c:pt idx="598">
                  <c:v>40.414375647461952</c:v>
                </c:pt>
                <c:pt idx="599">
                  <c:v>40.752251175392466</c:v>
                </c:pt>
                <c:pt idx="600">
                  <c:v>41.086939198342499</c:v>
                </c:pt>
                <c:pt idx="601">
                  <c:v>41.424814726273006</c:v>
                </c:pt>
                <c:pt idx="602">
                  <c:v>41.737190214359714</c:v>
                </c:pt>
                <c:pt idx="603">
                  <c:v>42.075065742290221</c:v>
                </c:pt>
                <c:pt idx="604">
                  <c:v>42.409753765240261</c:v>
                </c:pt>
                <c:pt idx="605">
                  <c:v>42.74125428320982</c:v>
                </c:pt>
                <c:pt idx="606">
                  <c:v>43.07594230615986</c:v>
                </c:pt>
                <c:pt idx="607">
                  <c:v>43.420192844051321</c:v>
                </c:pt>
                <c:pt idx="608">
                  <c:v>43.777193401864693</c:v>
                </c:pt>
                <c:pt idx="609">
                  <c:v>44.12781894971711</c:v>
                </c:pt>
                <c:pt idx="610">
                  <c:v>44.481632002550008</c:v>
                </c:pt>
                <c:pt idx="611">
                  <c:v>44.845007570324334</c:v>
                </c:pt>
                <c:pt idx="612">
                  <c:v>45.208383138098654</c:v>
                </c:pt>
                <c:pt idx="613">
                  <c:v>45.555821180970604</c:v>
                </c:pt>
                <c:pt idx="614">
                  <c:v>45.922384253725404</c:v>
                </c:pt>
                <c:pt idx="615">
                  <c:v>46.285759821499717</c:v>
                </c:pt>
                <c:pt idx="616">
                  <c:v>46.661885409195961</c:v>
                </c:pt>
                <c:pt idx="617">
                  <c:v>47.028448481950761</c:v>
                </c:pt>
                <c:pt idx="618">
                  <c:v>47.398199059686036</c:v>
                </c:pt>
                <c:pt idx="619">
                  <c:v>47.76794963742131</c:v>
                </c:pt>
                <c:pt idx="620">
                  <c:v>48.147262730098014</c:v>
                </c:pt>
                <c:pt idx="621">
                  <c:v>48.520200812813776</c:v>
                </c:pt>
                <c:pt idx="622">
                  <c:v>48.896326400510006</c:v>
                </c:pt>
                <c:pt idx="623">
                  <c:v>49.291577018089093</c:v>
                </c:pt>
                <c:pt idx="624">
                  <c:v>49.674077615746285</c:v>
                </c:pt>
                <c:pt idx="625">
                  <c:v>50.059765718383936</c:v>
                </c:pt>
                <c:pt idx="626">
                  <c:v>50.461391345923978</c:v>
                </c:pt>
                <c:pt idx="627">
                  <c:v>50.863016973464028</c:v>
                </c:pt>
                <c:pt idx="628">
                  <c:v>51.264642601004063</c:v>
                </c:pt>
                <c:pt idx="629">
                  <c:v>51.666268228544119</c:v>
                </c:pt>
                <c:pt idx="630">
                  <c:v>52.083831380986531</c:v>
                </c:pt>
                <c:pt idx="631">
                  <c:v>52.495019523468009</c:v>
                </c:pt>
                <c:pt idx="632">
                  <c:v>52.912582675910436</c:v>
                </c:pt>
                <c:pt idx="633">
                  <c:v>53.323770818391914</c:v>
                </c:pt>
                <c:pt idx="634">
                  <c:v>53.757271495736717</c:v>
                </c:pt>
                <c:pt idx="635">
                  <c:v>54.187584668101053</c:v>
                </c:pt>
                <c:pt idx="636">
                  <c:v>54.614710335484908</c:v>
                </c:pt>
                <c:pt idx="637">
                  <c:v>55.038648497888282</c:v>
                </c:pt>
                <c:pt idx="638">
                  <c:v>55.472149175233092</c:v>
                </c:pt>
                <c:pt idx="639">
                  <c:v>55.905649852577902</c:v>
                </c:pt>
                <c:pt idx="640">
                  <c:v>56.34552553988366</c:v>
                </c:pt>
                <c:pt idx="641">
                  <c:v>56.794963742130847</c:v>
                </c:pt>
                <c:pt idx="642">
                  <c:v>57.228464419475657</c:v>
                </c:pt>
                <c:pt idx="643">
                  <c:v>57.677902621722851</c:v>
                </c:pt>
                <c:pt idx="644">
                  <c:v>58.127340823970037</c:v>
                </c:pt>
                <c:pt idx="645">
                  <c:v>58.583154036178186</c:v>
                </c:pt>
                <c:pt idx="646">
                  <c:v>59.038967248386328</c:v>
                </c:pt>
                <c:pt idx="647">
                  <c:v>59.504342975535899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3-4751-8969-4498B3158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673935"/>
        <c:axId val="806671055"/>
      </c:lineChart>
      <c:catAx>
        <c:axId val="80667393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6671055"/>
        <c:crosses val="autoZero"/>
        <c:auto val="1"/>
        <c:lblAlgn val="ctr"/>
        <c:lblOffset val="100"/>
        <c:noMultiLvlLbl val="0"/>
      </c:catAx>
      <c:valAx>
        <c:axId val="8066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667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'A12-2'!$C$2:$C$596</c:f>
              <c:numCache>
                <c:formatCode>0.00</c:formatCode>
                <c:ptCount val="595"/>
                <c:pt idx="0">
                  <c:v>1.1911400000000001E-4</c:v>
                </c:pt>
                <c:pt idx="1">
                  <c:v>1.4331000000000001E-4</c:v>
                </c:pt>
                <c:pt idx="2">
                  <c:v>5.764E-3</c:v>
                </c:pt>
                <c:pt idx="3">
                  <c:v>5.8198000000000008E-3</c:v>
                </c:pt>
                <c:pt idx="4">
                  <c:v>5.8738000000000002E-3</c:v>
                </c:pt>
                <c:pt idx="5">
                  <c:v>5.9316000000000004E-3</c:v>
                </c:pt>
                <c:pt idx="6">
                  <c:v>5.9853999999999992E-3</c:v>
                </c:pt>
                <c:pt idx="7">
                  <c:v>6.0431999999999994E-3</c:v>
                </c:pt>
                <c:pt idx="8">
                  <c:v>6.0990000000000003E-3</c:v>
                </c:pt>
                <c:pt idx="9">
                  <c:v>6.1529999999999996E-3</c:v>
                </c:pt>
                <c:pt idx="10">
                  <c:v>6.2087999999999996E-3</c:v>
                </c:pt>
                <c:pt idx="11">
                  <c:v>6.2646000000000004E-3</c:v>
                </c:pt>
                <c:pt idx="12">
                  <c:v>6.3204000000000003E-3</c:v>
                </c:pt>
                <c:pt idx="13">
                  <c:v>6.3743999999999997E-3</c:v>
                </c:pt>
                <c:pt idx="14">
                  <c:v>6.4321999999999999E-3</c:v>
                </c:pt>
                <c:pt idx="15">
                  <c:v>6.4841999999999999E-3</c:v>
                </c:pt>
                <c:pt idx="16">
                  <c:v>6.5437999999999998E-3</c:v>
                </c:pt>
                <c:pt idx="17">
                  <c:v>6.5959999999999994E-3</c:v>
                </c:pt>
                <c:pt idx="18">
                  <c:v>6.6535999999999991E-3</c:v>
                </c:pt>
                <c:pt idx="19">
                  <c:v>6.7093999999999999E-3</c:v>
                </c:pt>
                <c:pt idx="20">
                  <c:v>6.7654000000000004E-3</c:v>
                </c:pt>
                <c:pt idx="21">
                  <c:v>6.8192000000000001E-3</c:v>
                </c:pt>
                <c:pt idx="22">
                  <c:v>6.8752000000000006E-3</c:v>
                </c:pt>
                <c:pt idx="23">
                  <c:v>6.9310000000000005E-3</c:v>
                </c:pt>
                <c:pt idx="24">
                  <c:v>6.9867999999999996E-3</c:v>
                </c:pt>
                <c:pt idx="25">
                  <c:v>7.0425999999999996E-3</c:v>
                </c:pt>
                <c:pt idx="26">
                  <c:v>7.0965999999999998E-3</c:v>
                </c:pt>
                <c:pt idx="27">
                  <c:v>7.1541999999999994E-3</c:v>
                </c:pt>
                <c:pt idx="28">
                  <c:v>7.2362000000000008E-3</c:v>
                </c:pt>
                <c:pt idx="29">
                  <c:v>7.2919999999999999E-3</c:v>
                </c:pt>
                <c:pt idx="30">
                  <c:v>7.3477999999999998E-3</c:v>
                </c:pt>
                <c:pt idx="31">
                  <c:v>7.4297999999999994E-3</c:v>
                </c:pt>
                <c:pt idx="32">
                  <c:v>7.4874E-3</c:v>
                </c:pt>
                <c:pt idx="33">
                  <c:v>7.5693999999999996E-3</c:v>
                </c:pt>
                <c:pt idx="34">
                  <c:v>7.6530000000000001E-3</c:v>
                </c:pt>
                <c:pt idx="35">
                  <c:v>7.7349999999999997E-3</c:v>
                </c:pt>
                <c:pt idx="36">
                  <c:v>7.8206000000000005E-3</c:v>
                </c:pt>
                <c:pt idx="37">
                  <c:v>7.9044000000000007E-3</c:v>
                </c:pt>
                <c:pt idx="38">
                  <c:v>7.9880000000000003E-3</c:v>
                </c:pt>
                <c:pt idx="39">
                  <c:v>8.0700000000000008E-3</c:v>
                </c:pt>
                <c:pt idx="40">
                  <c:v>8.1537999999999992E-3</c:v>
                </c:pt>
                <c:pt idx="41">
                  <c:v>8.2355999999999992E-3</c:v>
                </c:pt>
                <c:pt idx="42">
                  <c:v>8.3193999999999994E-3</c:v>
                </c:pt>
                <c:pt idx="43">
                  <c:v>8.4031999999999996E-3</c:v>
                </c:pt>
                <c:pt idx="44">
                  <c:v>8.4867999999999992E-3</c:v>
                </c:pt>
                <c:pt idx="45">
                  <c:v>8.5706000000000011E-3</c:v>
                </c:pt>
                <c:pt idx="46">
                  <c:v>8.6506000000000013E-3</c:v>
                </c:pt>
                <c:pt idx="47">
                  <c:v>8.7361999999999995E-3</c:v>
                </c:pt>
                <c:pt idx="48">
                  <c:v>8.8199999999999997E-3</c:v>
                </c:pt>
                <c:pt idx="49">
                  <c:v>8.9037999999999999E-3</c:v>
                </c:pt>
                <c:pt idx="50">
                  <c:v>8.9855999999999998E-3</c:v>
                </c:pt>
                <c:pt idx="51">
                  <c:v>9.0694E-3</c:v>
                </c:pt>
                <c:pt idx="52">
                  <c:v>9.1532000000000002E-3</c:v>
                </c:pt>
                <c:pt idx="53">
                  <c:v>9.2370000000000004E-3</c:v>
                </c:pt>
                <c:pt idx="54">
                  <c:v>9.3206000000000001E-3</c:v>
                </c:pt>
                <c:pt idx="55">
                  <c:v>9.4026000000000005E-3</c:v>
                </c:pt>
                <c:pt idx="56">
                  <c:v>9.4864000000000007E-3</c:v>
                </c:pt>
                <c:pt idx="57">
                  <c:v>9.5682000000000007E-3</c:v>
                </c:pt>
                <c:pt idx="58">
                  <c:v>9.6538000000000006E-3</c:v>
                </c:pt>
                <c:pt idx="59">
                  <c:v>9.737599999999999E-3</c:v>
                </c:pt>
                <c:pt idx="60">
                  <c:v>9.8194000000000007E-3</c:v>
                </c:pt>
                <c:pt idx="61">
                  <c:v>9.9013999999999994E-3</c:v>
                </c:pt>
                <c:pt idx="62">
                  <c:v>9.9870000000000011E-3</c:v>
                </c:pt>
                <c:pt idx="63">
                  <c:v>1.00708E-2</c:v>
                </c:pt>
                <c:pt idx="64">
                  <c:v>1.0152600000000001E-2</c:v>
                </c:pt>
                <c:pt idx="65">
                  <c:v>1.0236400000000001E-2</c:v>
                </c:pt>
                <c:pt idx="66">
                  <c:v>1.03182E-2</c:v>
                </c:pt>
                <c:pt idx="67">
                  <c:v>1.0402E-2</c:v>
                </c:pt>
                <c:pt idx="68">
                  <c:v>1.04858E-2</c:v>
                </c:pt>
                <c:pt idx="69">
                  <c:v>1.0569599999999998E-2</c:v>
                </c:pt>
                <c:pt idx="70">
                  <c:v>1.06532E-2</c:v>
                </c:pt>
                <c:pt idx="71">
                  <c:v>1.0737000000000002E-2</c:v>
                </c:pt>
                <c:pt idx="72">
                  <c:v>1.08468E-2</c:v>
                </c:pt>
                <c:pt idx="73">
                  <c:v>1.0930599999999999E-2</c:v>
                </c:pt>
                <c:pt idx="74">
                  <c:v>1.1014400000000001E-2</c:v>
                </c:pt>
                <c:pt idx="75">
                  <c:v>1.1124199999999999E-2</c:v>
                </c:pt>
                <c:pt idx="76">
                  <c:v>1.1209800000000001E-2</c:v>
                </c:pt>
                <c:pt idx="77">
                  <c:v>1.1319600000000001E-2</c:v>
                </c:pt>
                <c:pt idx="78">
                  <c:v>1.1429400000000001E-2</c:v>
                </c:pt>
                <c:pt idx="79">
                  <c:v>1.1543000000000001E-2</c:v>
                </c:pt>
                <c:pt idx="80">
                  <c:v>1.1652800000000001E-2</c:v>
                </c:pt>
                <c:pt idx="81">
                  <c:v>1.17644E-2</c:v>
                </c:pt>
                <c:pt idx="82">
                  <c:v>1.18742E-2</c:v>
                </c:pt>
                <c:pt idx="83">
                  <c:v>1.19858E-2</c:v>
                </c:pt>
                <c:pt idx="84">
                  <c:v>1.20976E-2</c:v>
                </c:pt>
                <c:pt idx="85">
                  <c:v>1.22092E-2</c:v>
                </c:pt>
                <c:pt idx="86">
                  <c:v>1.23208E-2</c:v>
                </c:pt>
                <c:pt idx="87">
                  <c:v>1.24306E-2</c:v>
                </c:pt>
                <c:pt idx="88">
                  <c:v>1.25424E-2</c:v>
                </c:pt>
                <c:pt idx="89">
                  <c:v>1.2654E-2</c:v>
                </c:pt>
                <c:pt idx="90">
                  <c:v>1.2765599999999998E-2</c:v>
                </c:pt>
                <c:pt idx="91">
                  <c:v>1.2875600000000001E-2</c:v>
                </c:pt>
                <c:pt idx="92">
                  <c:v>1.2985400000000001E-2</c:v>
                </c:pt>
                <c:pt idx="93">
                  <c:v>1.3097000000000001E-2</c:v>
                </c:pt>
                <c:pt idx="94">
                  <c:v>1.3208599999999999E-2</c:v>
                </c:pt>
                <c:pt idx="95">
                  <c:v>1.3318399999999999E-2</c:v>
                </c:pt>
                <c:pt idx="96">
                  <c:v>1.3430200000000002E-2</c:v>
                </c:pt>
                <c:pt idx="97">
                  <c:v>1.35418E-2</c:v>
                </c:pt>
                <c:pt idx="98">
                  <c:v>1.36534E-2</c:v>
                </c:pt>
                <c:pt idx="99">
                  <c:v>1.37652E-2</c:v>
                </c:pt>
                <c:pt idx="100">
                  <c:v>1.38768E-2</c:v>
                </c:pt>
                <c:pt idx="101">
                  <c:v>1.39866E-2</c:v>
                </c:pt>
                <c:pt idx="102">
                  <c:v>1.40982E-2</c:v>
                </c:pt>
                <c:pt idx="103">
                  <c:v>1.4208E-2</c:v>
                </c:pt>
                <c:pt idx="104">
                  <c:v>1.4319800000000001E-2</c:v>
                </c:pt>
                <c:pt idx="105">
                  <c:v>1.44314E-2</c:v>
                </c:pt>
                <c:pt idx="106">
                  <c:v>1.4569199999999999E-2</c:v>
                </c:pt>
                <c:pt idx="107">
                  <c:v>1.4680800000000001E-2</c:v>
                </c:pt>
                <c:pt idx="108">
                  <c:v>1.4820400000000001E-2</c:v>
                </c:pt>
                <c:pt idx="109">
                  <c:v>1.49582E-2</c:v>
                </c:pt>
                <c:pt idx="110">
                  <c:v>1.50978E-2</c:v>
                </c:pt>
                <c:pt idx="111">
                  <c:v>1.52094E-2</c:v>
                </c:pt>
                <c:pt idx="112">
                  <c:v>1.5349E-2</c:v>
                </c:pt>
                <c:pt idx="113">
                  <c:v>1.54848E-2</c:v>
                </c:pt>
                <c:pt idx="114">
                  <c:v>1.56244E-2</c:v>
                </c:pt>
                <c:pt idx="115">
                  <c:v>1.5764E-2</c:v>
                </c:pt>
                <c:pt idx="116">
                  <c:v>1.58756E-2</c:v>
                </c:pt>
                <c:pt idx="117">
                  <c:v>1.6013400000000001E-2</c:v>
                </c:pt>
                <c:pt idx="118">
                  <c:v>1.6153000000000001E-2</c:v>
                </c:pt>
                <c:pt idx="119">
                  <c:v>1.6264600000000001E-2</c:v>
                </c:pt>
                <c:pt idx="120">
                  <c:v>1.6376399999999999E-2</c:v>
                </c:pt>
                <c:pt idx="121">
                  <c:v>1.6514000000000001E-2</c:v>
                </c:pt>
                <c:pt idx="122">
                  <c:v>1.66258E-2</c:v>
                </c:pt>
                <c:pt idx="123">
                  <c:v>1.67356E-2</c:v>
                </c:pt>
                <c:pt idx="124">
                  <c:v>1.68472E-2</c:v>
                </c:pt>
                <c:pt idx="125">
                  <c:v>1.69588E-2</c:v>
                </c:pt>
                <c:pt idx="126">
                  <c:v>1.7070600000000002E-2</c:v>
                </c:pt>
                <c:pt idx="127">
                  <c:v>1.7182200000000002E-2</c:v>
                </c:pt>
                <c:pt idx="128">
                  <c:v>1.7319999999999999E-2</c:v>
                </c:pt>
                <c:pt idx="129">
                  <c:v>1.7431600000000002E-2</c:v>
                </c:pt>
                <c:pt idx="130">
                  <c:v>1.7541399999999999E-2</c:v>
                </c:pt>
                <c:pt idx="131">
                  <c:v>1.7651199999999999E-2</c:v>
                </c:pt>
                <c:pt idx="132">
                  <c:v>1.7792600000000002E-2</c:v>
                </c:pt>
                <c:pt idx="133">
                  <c:v>1.7904400000000001E-2</c:v>
                </c:pt>
                <c:pt idx="134">
                  <c:v>1.8014200000000001E-2</c:v>
                </c:pt>
                <c:pt idx="135">
                  <c:v>1.8125800000000001E-2</c:v>
                </c:pt>
                <c:pt idx="136">
                  <c:v>1.82376E-2</c:v>
                </c:pt>
                <c:pt idx="137">
                  <c:v>1.83492E-2</c:v>
                </c:pt>
                <c:pt idx="138">
                  <c:v>1.8459E-2</c:v>
                </c:pt>
                <c:pt idx="139">
                  <c:v>1.85688E-2</c:v>
                </c:pt>
                <c:pt idx="140">
                  <c:v>1.86804E-2</c:v>
                </c:pt>
                <c:pt idx="141">
                  <c:v>1.8792199999999998E-2</c:v>
                </c:pt>
                <c:pt idx="142">
                  <c:v>1.8902000000000002E-2</c:v>
                </c:pt>
                <c:pt idx="143">
                  <c:v>1.9015400000000002E-2</c:v>
                </c:pt>
                <c:pt idx="144">
                  <c:v>1.91272E-2</c:v>
                </c:pt>
                <c:pt idx="145">
                  <c:v>1.9237000000000001E-2</c:v>
                </c:pt>
                <c:pt idx="146">
                  <c:v>1.9346800000000001E-2</c:v>
                </c:pt>
                <c:pt idx="147">
                  <c:v>1.9458400000000001E-2</c:v>
                </c:pt>
                <c:pt idx="148">
                  <c:v>1.9570000000000001E-2</c:v>
                </c:pt>
                <c:pt idx="149">
                  <c:v>1.9681799999999999E-2</c:v>
                </c:pt>
                <c:pt idx="150">
                  <c:v>1.9791599999999999E-2</c:v>
                </c:pt>
                <c:pt idx="151">
                  <c:v>1.9903199999999999E-2</c:v>
                </c:pt>
                <c:pt idx="152">
                  <c:v>1.9986999999999998E-2</c:v>
                </c:pt>
                <c:pt idx="153">
                  <c:v>2.0097999999999998E-2</c:v>
                </c:pt>
                <c:pt idx="154">
                  <c:v>2.0209999999999999E-2</c:v>
                </c:pt>
                <c:pt idx="155">
                  <c:v>2.0320000000000001E-2</c:v>
                </c:pt>
                <c:pt idx="156">
                  <c:v>2.043E-2</c:v>
                </c:pt>
                <c:pt idx="157">
                  <c:v>2.0541999999999998E-2</c:v>
                </c:pt>
                <c:pt idx="158">
                  <c:v>2.0653999999999999E-2</c:v>
                </c:pt>
                <c:pt idx="159">
                  <c:v>2.0735999999999997E-2</c:v>
                </c:pt>
                <c:pt idx="160">
                  <c:v>2.0846E-2</c:v>
                </c:pt>
                <c:pt idx="161">
                  <c:v>2.0958000000000001E-2</c:v>
                </c:pt>
                <c:pt idx="162">
                  <c:v>2.1067999999999996E-2</c:v>
                </c:pt>
                <c:pt idx="163">
                  <c:v>2.1154000000000003E-2</c:v>
                </c:pt>
                <c:pt idx="164">
                  <c:v>2.1263999999999998E-2</c:v>
                </c:pt>
                <c:pt idx="165">
                  <c:v>2.1374000000000001E-2</c:v>
                </c:pt>
                <c:pt idx="166">
                  <c:v>2.1486000000000002E-2</c:v>
                </c:pt>
                <c:pt idx="167">
                  <c:v>2.1596000000000001E-2</c:v>
                </c:pt>
                <c:pt idx="168">
                  <c:v>2.1707999999999998E-2</c:v>
                </c:pt>
                <c:pt idx="169">
                  <c:v>2.1791999999999999E-2</c:v>
                </c:pt>
                <c:pt idx="170">
                  <c:v>2.1904E-2</c:v>
                </c:pt>
                <c:pt idx="171">
                  <c:v>2.1985999999999999E-2</c:v>
                </c:pt>
                <c:pt idx="172">
                  <c:v>2.2098E-2</c:v>
                </c:pt>
                <c:pt idx="173">
                  <c:v>2.2182E-2</c:v>
                </c:pt>
                <c:pt idx="174">
                  <c:v>2.2291999999999999E-2</c:v>
                </c:pt>
                <c:pt idx="175">
                  <c:v>2.2376E-2</c:v>
                </c:pt>
                <c:pt idx="176">
                  <c:v>2.2486000000000003E-2</c:v>
                </c:pt>
                <c:pt idx="177">
                  <c:v>2.257E-2</c:v>
                </c:pt>
                <c:pt idx="178">
                  <c:v>2.2682000000000001E-2</c:v>
                </c:pt>
                <c:pt idx="179">
                  <c:v>2.2766000000000002E-2</c:v>
                </c:pt>
                <c:pt idx="180">
                  <c:v>2.2877999999999999E-2</c:v>
                </c:pt>
                <c:pt idx="181">
                  <c:v>2.2959999999999998E-2</c:v>
                </c:pt>
                <c:pt idx="182">
                  <c:v>2.307E-2</c:v>
                </c:pt>
                <c:pt idx="183">
                  <c:v>2.3179999999999999E-2</c:v>
                </c:pt>
                <c:pt idx="184">
                  <c:v>2.3264E-2</c:v>
                </c:pt>
                <c:pt idx="185">
                  <c:v>2.3345999999999999E-2</c:v>
                </c:pt>
                <c:pt idx="186">
                  <c:v>2.3429999999999999E-2</c:v>
                </c:pt>
                <c:pt idx="187">
                  <c:v>2.3540000000000002E-2</c:v>
                </c:pt>
                <c:pt idx="188">
                  <c:v>2.3626000000000001E-2</c:v>
                </c:pt>
                <c:pt idx="189">
                  <c:v>2.3709999999999998E-2</c:v>
                </c:pt>
                <c:pt idx="190">
                  <c:v>2.3793999999999999E-2</c:v>
                </c:pt>
                <c:pt idx="191">
                  <c:v>2.3904000000000002E-2</c:v>
                </c:pt>
                <c:pt idx="192">
                  <c:v>2.3986E-2</c:v>
                </c:pt>
                <c:pt idx="193">
                  <c:v>2.4067999999999999E-2</c:v>
                </c:pt>
                <c:pt idx="194">
                  <c:v>2.418E-2</c:v>
                </c:pt>
                <c:pt idx="195">
                  <c:v>2.4264000000000001E-2</c:v>
                </c:pt>
                <c:pt idx="196">
                  <c:v>2.4348000000000002E-2</c:v>
                </c:pt>
                <c:pt idx="197">
                  <c:v>2.4431999999999999E-2</c:v>
                </c:pt>
                <c:pt idx="198">
                  <c:v>2.4544E-2</c:v>
                </c:pt>
                <c:pt idx="199">
                  <c:v>2.4626000000000002E-2</c:v>
                </c:pt>
                <c:pt idx="200">
                  <c:v>2.4708000000000001E-2</c:v>
                </c:pt>
                <c:pt idx="201">
                  <c:v>2.479E-2</c:v>
                </c:pt>
                <c:pt idx="202">
                  <c:v>2.4875999999999999E-2</c:v>
                </c:pt>
                <c:pt idx="203">
                  <c:v>2.4958000000000001E-2</c:v>
                </c:pt>
                <c:pt idx="204">
                  <c:v>2.5041999999999998E-2</c:v>
                </c:pt>
                <c:pt idx="205">
                  <c:v>2.5125999999999999E-2</c:v>
                </c:pt>
                <c:pt idx="206">
                  <c:v>2.5207999999999998E-2</c:v>
                </c:pt>
                <c:pt idx="207">
                  <c:v>2.5291999999999999E-2</c:v>
                </c:pt>
                <c:pt idx="208">
                  <c:v>2.5375999999999999E-2</c:v>
                </c:pt>
                <c:pt idx="209">
                  <c:v>2.5457999999999998E-2</c:v>
                </c:pt>
                <c:pt idx="210">
                  <c:v>2.5541999999999999E-2</c:v>
                </c:pt>
                <c:pt idx="211">
                  <c:v>2.5626000000000003E-2</c:v>
                </c:pt>
                <c:pt idx="212">
                  <c:v>2.5708000000000002E-2</c:v>
                </c:pt>
                <c:pt idx="213">
                  <c:v>2.5792000000000002E-2</c:v>
                </c:pt>
                <c:pt idx="214">
                  <c:v>2.5876E-2</c:v>
                </c:pt>
                <c:pt idx="215">
                  <c:v>2.596E-2</c:v>
                </c:pt>
                <c:pt idx="216">
                  <c:v>2.6041999999999999E-2</c:v>
                </c:pt>
                <c:pt idx="217">
                  <c:v>2.6126E-2</c:v>
                </c:pt>
                <c:pt idx="218">
                  <c:v>2.6207999999999999E-2</c:v>
                </c:pt>
                <c:pt idx="219">
                  <c:v>2.6291999999999999E-2</c:v>
                </c:pt>
                <c:pt idx="220">
                  <c:v>2.6376E-2</c:v>
                </c:pt>
                <c:pt idx="221">
                  <c:v>2.6459999999999997E-2</c:v>
                </c:pt>
                <c:pt idx="222">
                  <c:v>2.6542E-2</c:v>
                </c:pt>
                <c:pt idx="223">
                  <c:v>2.6625999999999997E-2</c:v>
                </c:pt>
                <c:pt idx="224">
                  <c:v>2.6709999999999998E-2</c:v>
                </c:pt>
                <c:pt idx="225">
                  <c:v>2.6791999999999996E-2</c:v>
                </c:pt>
                <c:pt idx="226">
                  <c:v>2.6876000000000001E-2</c:v>
                </c:pt>
                <c:pt idx="227">
                  <c:v>2.6958000000000003E-2</c:v>
                </c:pt>
                <c:pt idx="228">
                  <c:v>2.7042E-2</c:v>
                </c:pt>
                <c:pt idx="229">
                  <c:v>2.7126000000000001E-2</c:v>
                </c:pt>
                <c:pt idx="230">
                  <c:v>2.7179999999999999E-2</c:v>
                </c:pt>
                <c:pt idx="231">
                  <c:v>2.7261999999999998E-2</c:v>
                </c:pt>
                <c:pt idx="232">
                  <c:v>2.7320000000000001E-2</c:v>
                </c:pt>
                <c:pt idx="233">
                  <c:v>2.7404000000000001E-2</c:v>
                </c:pt>
                <c:pt idx="234">
                  <c:v>2.7459999999999998E-2</c:v>
                </c:pt>
                <c:pt idx="235">
                  <c:v>2.7543999999999999E-2</c:v>
                </c:pt>
                <c:pt idx="236">
                  <c:v>2.7597999999999998E-2</c:v>
                </c:pt>
                <c:pt idx="237">
                  <c:v>2.7682000000000002E-2</c:v>
                </c:pt>
                <c:pt idx="238">
                  <c:v>2.7736E-2</c:v>
                </c:pt>
                <c:pt idx="239">
                  <c:v>2.7820000000000001E-2</c:v>
                </c:pt>
                <c:pt idx="240">
                  <c:v>2.7873999999999999E-2</c:v>
                </c:pt>
                <c:pt idx="241">
                  <c:v>2.7932000000000002E-2</c:v>
                </c:pt>
                <c:pt idx="242">
                  <c:v>2.8041999999999997E-2</c:v>
                </c:pt>
                <c:pt idx="243">
                  <c:v>2.8153999999999998E-2</c:v>
                </c:pt>
                <c:pt idx="244">
                  <c:v>2.8237999999999999E-2</c:v>
                </c:pt>
                <c:pt idx="245">
                  <c:v>2.8347999999999998E-2</c:v>
                </c:pt>
                <c:pt idx="246">
                  <c:v>2.8431999999999999E-2</c:v>
                </c:pt>
                <c:pt idx="247">
                  <c:v>2.8542000000000001E-2</c:v>
                </c:pt>
                <c:pt idx="248">
                  <c:v>2.8624E-2</c:v>
                </c:pt>
                <c:pt idx="249">
                  <c:v>2.8708000000000001E-2</c:v>
                </c:pt>
                <c:pt idx="250">
                  <c:v>2.8791999999999998E-2</c:v>
                </c:pt>
                <c:pt idx="251">
                  <c:v>2.8903999999999999E-2</c:v>
                </c:pt>
                <c:pt idx="252">
                  <c:v>2.8988E-2</c:v>
                </c:pt>
                <c:pt idx="253">
                  <c:v>2.9072000000000001E-2</c:v>
                </c:pt>
                <c:pt idx="254">
                  <c:v>2.9153999999999999E-2</c:v>
                </c:pt>
                <c:pt idx="255">
                  <c:v>2.9235999999999998E-2</c:v>
                </c:pt>
                <c:pt idx="256">
                  <c:v>2.9319999999999999E-2</c:v>
                </c:pt>
                <c:pt idx="257">
                  <c:v>2.9430000000000001E-2</c:v>
                </c:pt>
                <c:pt idx="258">
                  <c:v>2.9513999999999999E-2</c:v>
                </c:pt>
                <c:pt idx="259">
                  <c:v>2.9597999999999999E-2</c:v>
                </c:pt>
                <c:pt idx="260">
                  <c:v>2.9682E-2</c:v>
                </c:pt>
                <c:pt idx="261">
                  <c:v>2.9763999999999999E-2</c:v>
                </c:pt>
                <c:pt idx="262">
                  <c:v>2.9876E-2</c:v>
                </c:pt>
                <c:pt idx="263">
                  <c:v>2.9960000000000001E-2</c:v>
                </c:pt>
                <c:pt idx="264">
                  <c:v>3.0040000000000001E-2</c:v>
                </c:pt>
                <c:pt idx="265">
                  <c:v>3.0126E-2</c:v>
                </c:pt>
                <c:pt idx="266">
                  <c:v>3.0210000000000001E-2</c:v>
                </c:pt>
                <c:pt idx="267">
                  <c:v>3.0293999999999998E-2</c:v>
                </c:pt>
                <c:pt idx="268">
                  <c:v>3.0373999999999998E-2</c:v>
                </c:pt>
                <c:pt idx="269">
                  <c:v>3.0485999999999999E-2</c:v>
                </c:pt>
                <c:pt idx="270">
                  <c:v>3.0598E-2</c:v>
                </c:pt>
                <c:pt idx="271">
                  <c:v>3.0679999999999999E-2</c:v>
                </c:pt>
                <c:pt idx="272">
                  <c:v>3.0764E-2</c:v>
                </c:pt>
                <c:pt idx="273">
                  <c:v>3.0848E-2</c:v>
                </c:pt>
                <c:pt idx="274">
                  <c:v>3.0932000000000001E-2</c:v>
                </c:pt>
                <c:pt idx="275">
                  <c:v>3.1014E-2</c:v>
                </c:pt>
                <c:pt idx="276">
                  <c:v>3.1095999999999999E-2</c:v>
                </c:pt>
                <c:pt idx="277">
                  <c:v>3.1181999999999998E-2</c:v>
                </c:pt>
                <c:pt idx="278">
                  <c:v>3.1265999999999995E-2</c:v>
                </c:pt>
                <c:pt idx="279">
                  <c:v>3.1348000000000001E-2</c:v>
                </c:pt>
                <c:pt idx="280">
                  <c:v>3.1432000000000002E-2</c:v>
                </c:pt>
                <c:pt idx="281">
                  <c:v>3.1514E-2</c:v>
                </c:pt>
                <c:pt idx="282">
                  <c:v>3.1595999999999999E-2</c:v>
                </c:pt>
                <c:pt idx="283">
                  <c:v>3.1708E-2</c:v>
                </c:pt>
                <c:pt idx="284">
                  <c:v>3.1820000000000001E-2</c:v>
                </c:pt>
                <c:pt idx="285">
                  <c:v>3.193E-2</c:v>
                </c:pt>
                <c:pt idx="286">
                  <c:v>3.2042000000000001E-2</c:v>
                </c:pt>
                <c:pt idx="287">
                  <c:v>3.2153999999999995E-2</c:v>
                </c:pt>
                <c:pt idx="288">
                  <c:v>3.2265999999999996E-2</c:v>
                </c:pt>
                <c:pt idx="289">
                  <c:v>3.2374E-2</c:v>
                </c:pt>
                <c:pt idx="290">
                  <c:v>3.2486000000000001E-2</c:v>
                </c:pt>
                <c:pt idx="291">
                  <c:v>3.2597999999999995E-2</c:v>
                </c:pt>
                <c:pt idx="292">
                  <c:v>3.2709999999999996E-2</c:v>
                </c:pt>
                <c:pt idx="293">
                  <c:v>3.2820000000000002E-2</c:v>
                </c:pt>
                <c:pt idx="294">
                  <c:v>3.2932000000000003E-2</c:v>
                </c:pt>
                <c:pt idx="295">
                  <c:v>3.3043999999999997E-2</c:v>
                </c:pt>
                <c:pt idx="296">
                  <c:v>3.3152000000000001E-2</c:v>
                </c:pt>
                <c:pt idx="297">
                  <c:v>3.3264000000000002E-2</c:v>
                </c:pt>
                <c:pt idx="298">
                  <c:v>3.3374000000000001E-2</c:v>
                </c:pt>
                <c:pt idx="299">
                  <c:v>3.3485999999999995E-2</c:v>
                </c:pt>
                <c:pt idx="300">
                  <c:v>3.3597999999999996E-2</c:v>
                </c:pt>
                <c:pt idx="301">
                  <c:v>3.3709999999999997E-2</c:v>
                </c:pt>
                <c:pt idx="302">
                  <c:v>3.3820000000000003E-2</c:v>
                </c:pt>
                <c:pt idx="303">
                  <c:v>3.3932000000000004E-2</c:v>
                </c:pt>
                <c:pt idx="304">
                  <c:v>3.4041999999999996E-2</c:v>
                </c:pt>
                <c:pt idx="305">
                  <c:v>3.4153999999999997E-2</c:v>
                </c:pt>
                <c:pt idx="306">
                  <c:v>3.4264000000000003E-2</c:v>
                </c:pt>
                <c:pt idx="307">
                  <c:v>3.4376000000000004E-2</c:v>
                </c:pt>
                <c:pt idx="308">
                  <c:v>3.4487999999999998E-2</c:v>
                </c:pt>
                <c:pt idx="309">
                  <c:v>3.4597999999999997E-2</c:v>
                </c:pt>
                <c:pt idx="310">
                  <c:v>3.4706000000000001E-2</c:v>
                </c:pt>
                <c:pt idx="311">
                  <c:v>3.4817999999999995E-2</c:v>
                </c:pt>
                <c:pt idx="312">
                  <c:v>3.4929999999999996E-2</c:v>
                </c:pt>
                <c:pt idx="313">
                  <c:v>3.5041999999999997E-2</c:v>
                </c:pt>
                <c:pt idx="314">
                  <c:v>3.5182000000000005E-2</c:v>
                </c:pt>
                <c:pt idx="315">
                  <c:v>3.5319999999999997E-2</c:v>
                </c:pt>
                <c:pt idx="316">
                  <c:v>3.5457999999999996E-2</c:v>
                </c:pt>
                <c:pt idx="317">
                  <c:v>3.5597999999999998E-2</c:v>
                </c:pt>
                <c:pt idx="318">
                  <c:v>3.5735999999999997E-2</c:v>
                </c:pt>
                <c:pt idx="319">
                  <c:v>3.5875999999999998E-2</c:v>
                </c:pt>
                <c:pt idx="320">
                  <c:v>3.6015999999999999E-2</c:v>
                </c:pt>
                <c:pt idx="321">
                  <c:v>3.6153999999999999E-2</c:v>
                </c:pt>
                <c:pt idx="322">
                  <c:v>3.6261999999999996E-2</c:v>
                </c:pt>
                <c:pt idx="323">
                  <c:v>3.6402000000000004E-2</c:v>
                </c:pt>
                <c:pt idx="324">
                  <c:v>3.6541999999999998E-2</c:v>
                </c:pt>
                <c:pt idx="325">
                  <c:v>3.6653999999999999E-2</c:v>
                </c:pt>
                <c:pt idx="326">
                  <c:v>3.6791999999999998E-2</c:v>
                </c:pt>
                <c:pt idx="327">
                  <c:v>3.6929999999999998E-2</c:v>
                </c:pt>
                <c:pt idx="328">
                  <c:v>3.7069999999999999E-2</c:v>
                </c:pt>
                <c:pt idx="329">
                  <c:v>3.7179999999999998E-2</c:v>
                </c:pt>
                <c:pt idx="330">
                  <c:v>3.7319999999999999E-2</c:v>
                </c:pt>
                <c:pt idx="331">
                  <c:v>3.746E-2</c:v>
                </c:pt>
                <c:pt idx="332">
                  <c:v>3.7597999999999999E-2</c:v>
                </c:pt>
                <c:pt idx="333">
                  <c:v>3.7735999999999999E-2</c:v>
                </c:pt>
                <c:pt idx="334">
                  <c:v>3.7876E-2</c:v>
                </c:pt>
                <c:pt idx="335">
                  <c:v>3.7985999999999999E-2</c:v>
                </c:pt>
                <c:pt idx="336">
                  <c:v>3.8123999999999998E-2</c:v>
                </c:pt>
                <c:pt idx="337">
                  <c:v>3.8263999999999999E-2</c:v>
                </c:pt>
                <c:pt idx="338">
                  <c:v>3.8404000000000001E-2</c:v>
                </c:pt>
                <c:pt idx="339">
                  <c:v>3.8539999999999998E-2</c:v>
                </c:pt>
                <c:pt idx="340">
                  <c:v>3.8682000000000001E-2</c:v>
                </c:pt>
                <c:pt idx="341">
                  <c:v>3.882E-2</c:v>
                </c:pt>
                <c:pt idx="342">
                  <c:v>3.8958E-2</c:v>
                </c:pt>
                <c:pt idx="343">
                  <c:v>3.9098000000000001E-2</c:v>
                </c:pt>
                <c:pt idx="344">
                  <c:v>3.9236E-2</c:v>
                </c:pt>
                <c:pt idx="345">
                  <c:v>3.9373999999999999E-2</c:v>
                </c:pt>
                <c:pt idx="346">
                  <c:v>3.9514000000000001E-2</c:v>
                </c:pt>
                <c:pt idx="347">
                  <c:v>3.9653999999999995E-2</c:v>
                </c:pt>
                <c:pt idx="348">
                  <c:v>3.9792000000000001E-2</c:v>
                </c:pt>
                <c:pt idx="349">
                  <c:v>3.9931999999999995E-2</c:v>
                </c:pt>
                <c:pt idx="350">
                  <c:v>4.0069999999999995E-2</c:v>
                </c:pt>
                <c:pt idx="351">
                  <c:v>4.0208000000000001E-2</c:v>
                </c:pt>
                <c:pt idx="352">
                  <c:v>4.0347999999999995E-2</c:v>
                </c:pt>
                <c:pt idx="353">
                  <c:v>4.0486000000000001E-2</c:v>
                </c:pt>
                <c:pt idx="354">
                  <c:v>4.0625999999999995E-2</c:v>
                </c:pt>
                <c:pt idx="355">
                  <c:v>4.0763999999999995E-2</c:v>
                </c:pt>
                <c:pt idx="356">
                  <c:v>4.0902000000000001E-2</c:v>
                </c:pt>
                <c:pt idx="357">
                  <c:v>4.1041999999999995E-2</c:v>
                </c:pt>
                <c:pt idx="358">
                  <c:v>4.1208000000000002E-2</c:v>
                </c:pt>
                <c:pt idx="359">
                  <c:v>4.1378000000000005E-2</c:v>
                </c:pt>
                <c:pt idx="360">
                  <c:v>4.1542000000000003E-2</c:v>
                </c:pt>
                <c:pt idx="361">
                  <c:v>4.1707999999999995E-2</c:v>
                </c:pt>
                <c:pt idx="362">
                  <c:v>4.1845999999999994E-2</c:v>
                </c:pt>
                <c:pt idx="363">
                  <c:v>4.2013999999999996E-2</c:v>
                </c:pt>
                <c:pt idx="364">
                  <c:v>4.2180000000000002E-2</c:v>
                </c:pt>
                <c:pt idx="365">
                  <c:v>4.2346000000000002E-2</c:v>
                </c:pt>
                <c:pt idx="366">
                  <c:v>4.2485999999999996E-2</c:v>
                </c:pt>
                <c:pt idx="367">
                  <c:v>4.2653999999999997E-2</c:v>
                </c:pt>
                <c:pt idx="368">
                  <c:v>4.2819999999999997E-2</c:v>
                </c:pt>
                <c:pt idx="369">
                  <c:v>4.2986000000000003E-2</c:v>
                </c:pt>
                <c:pt idx="370">
                  <c:v>4.3154000000000005E-2</c:v>
                </c:pt>
                <c:pt idx="371">
                  <c:v>4.3319999999999997E-2</c:v>
                </c:pt>
                <c:pt idx="372">
                  <c:v>4.3459999999999999E-2</c:v>
                </c:pt>
                <c:pt idx="373">
                  <c:v>4.3625999999999998E-2</c:v>
                </c:pt>
                <c:pt idx="374">
                  <c:v>4.3794000000000007E-2</c:v>
                </c:pt>
                <c:pt idx="375">
                  <c:v>4.3958000000000004E-2</c:v>
                </c:pt>
                <c:pt idx="376">
                  <c:v>4.4123999999999997E-2</c:v>
                </c:pt>
                <c:pt idx="377">
                  <c:v>4.4291999999999998E-2</c:v>
                </c:pt>
                <c:pt idx="378">
                  <c:v>4.446E-2</c:v>
                </c:pt>
                <c:pt idx="379">
                  <c:v>4.4625999999999999E-2</c:v>
                </c:pt>
                <c:pt idx="380">
                  <c:v>4.4791999999999998E-2</c:v>
                </c:pt>
                <c:pt idx="381">
                  <c:v>4.4957999999999998E-2</c:v>
                </c:pt>
                <c:pt idx="382">
                  <c:v>4.5128000000000001E-2</c:v>
                </c:pt>
                <c:pt idx="383">
                  <c:v>4.5294000000000001E-2</c:v>
                </c:pt>
                <c:pt idx="384">
                  <c:v>4.5457999999999998E-2</c:v>
                </c:pt>
                <c:pt idx="385">
                  <c:v>4.5595999999999998E-2</c:v>
                </c:pt>
                <c:pt idx="386">
                  <c:v>4.5763999999999999E-2</c:v>
                </c:pt>
                <c:pt idx="387">
                  <c:v>4.5932000000000001E-2</c:v>
                </c:pt>
                <c:pt idx="388">
                  <c:v>4.607E-2</c:v>
                </c:pt>
                <c:pt idx="389">
                  <c:v>4.6235999999999999E-2</c:v>
                </c:pt>
                <c:pt idx="390">
                  <c:v>4.6401999999999999E-2</c:v>
                </c:pt>
                <c:pt idx="391">
                  <c:v>4.657E-2</c:v>
                </c:pt>
                <c:pt idx="392">
                  <c:v>4.6738000000000002E-2</c:v>
                </c:pt>
                <c:pt idx="393">
                  <c:v>4.6904000000000001E-2</c:v>
                </c:pt>
                <c:pt idx="394">
                  <c:v>4.7070000000000001E-2</c:v>
                </c:pt>
                <c:pt idx="395">
                  <c:v>4.7236E-2</c:v>
                </c:pt>
                <c:pt idx="396">
                  <c:v>4.7404000000000002E-2</c:v>
                </c:pt>
                <c:pt idx="397">
                  <c:v>4.7569999999999994E-2</c:v>
                </c:pt>
                <c:pt idx="398">
                  <c:v>4.7736000000000001E-2</c:v>
                </c:pt>
                <c:pt idx="399">
                  <c:v>4.7904000000000002E-2</c:v>
                </c:pt>
                <c:pt idx="400">
                  <c:v>4.8070000000000002E-2</c:v>
                </c:pt>
                <c:pt idx="401">
                  <c:v>4.8236000000000001E-2</c:v>
                </c:pt>
                <c:pt idx="402">
                  <c:v>4.8432000000000003E-2</c:v>
                </c:pt>
                <c:pt idx="403">
                  <c:v>4.8625999999999996E-2</c:v>
                </c:pt>
                <c:pt idx="404">
                  <c:v>4.8819999999999995E-2</c:v>
                </c:pt>
                <c:pt idx="405">
                  <c:v>4.9016000000000004E-2</c:v>
                </c:pt>
                <c:pt idx="406">
                  <c:v>4.9210000000000004E-2</c:v>
                </c:pt>
                <c:pt idx="407">
                  <c:v>4.9402000000000001E-2</c:v>
                </c:pt>
                <c:pt idx="408">
                  <c:v>4.9596000000000001E-2</c:v>
                </c:pt>
                <c:pt idx="409">
                  <c:v>4.9766000000000005E-2</c:v>
                </c:pt>
                <c:pt idx="410">
                  <c:v>4.9931999999999997E-2</c:v>
                </c:pt>
                <c:pt idx="411">
                  <c:v>5.0124000000000002E-2</c:v>
                </c:pt>
                <c:pt idx="412">
                  <c:v>5.0292000000000003E-2</c:v>
                </c:pt>
                <c:pt idx="413">
                  <c:v>5.0460000000000005E-2</c:v>
                </c:pt>
                <c:pt idx="414">
                  <c:v>5.0654000000000005E-2</c:v>
                </c:pt>
                <c:pt idx="415">
                  <c:v>5.0846000000000002E-2</c:v>
                </c:pt>
                <c:pt idx="416">
                  <c:v>5.1040000000000002E-2</c:v>
                </c:pt>
                <c:pt idx="417">
                  <c:v>5.1237999999999999E-2</c:v>
                </c:pt>
                <c:pt idx="418">
                  <c:v>5.1432000000000005E-2</c:v>
                </c:pt>
                <c:pt idx="419">
                  <c:v>5.1626000000000005E-2</c:v>
                </c:pt>
                <c:pt idx="420">
                  <c:v>5.1820000000000005E-2</c:v>
                </c:pt>
                <c:pt idx="421">
                  <c:v>5.2013999999999998E-2</c:v>
                </c:pt>
                <c:pt idx="422">
                  <c:v>5.2209999999999999E-2</c:v>
                </c:pt>
                <c:pt idx="423">
                  <c:v>5.2401999999999997E-2</c:v>
                </c:pt>
                <c:pt idx="424">
                  <c:v>5.2598000000000006E-2</c:v>
                </c:pt>
                <c:pt idx="425">
                  <c:v>5.2792000000000006E-2</c:v>
                </c:pt>
                <c:pt idx="426">
                  <c:v>5.3013999999999999E-2</c:v>
                </c:pt>
                <c:pt idx="427">
                  <c:v>5.3235999999999999E-2</c:v>
                </c:pt>
                <c:pt idx="428">
                  <c:v>5.3429999999999998E-2</c:v>
                </c:pt>
                <c:pt idx="429">
                  <c:v>5.3654E-2</c:v>
                </c:pt>
                <c:pt idx="430">
                  <c:v>5.3848E-2</c:v>
                </c:pt>
                <c:pt idx="431">
                  <c:v>5.407E-2</c:v>
                </c:pt>
                <c:pt idx="432">
                  <c:v>5.4261999999999998E-2</c:v>
                </c:pt>
                <c:pt idx="433">
                  <c:v>5.4488000000000002E-2</c:v>
                </c:pt>
                <c:pt idx="434">
                  <c:v>5.4679999999999999E-2</c:v>
                </c:pt>
                <c:pt idx="435">
                  <c:v>5.4901999999999999E-2</c:v>
                </c:pt>
                <c:pt idx="436">
                  <c:v>5.5126000000000001E-2</c:v>
                </c:pt>
                <c:pt idx="437">
                  <c:v>5.5347999999999994E-2</c:v>
                </c:pt>
                <c:pt idx="438">
                  <c:v>5.5570000000000001E-2</c:v>
                </c:pt>
                <c:pt idx="439">
                  <c:v>5.5789999999999999E-2</c:v>
                </c:pt>
                <c:pt idx="440">
                  <c:v>5.6014000000000001E-2</c:v>
                </c:pt>
                <c:pt idx="441">
                  <c:v>5.6235999999999994E-2</c:v>
                </c:pt>
                <c:pt idx="442">
                  <c:v>5.6459999999999996E-2</c:v>
                </c:pt>
                <c:pt idx="443">
                  <c:v>5.6681999999999996E-2</c:v>
                </c:pt>
                <c:pt idx="444">
                  <c:v>5.6875999999999996E-2</c:v>
                </c:pt>
                <c:pt idx="445">
                  <c:v>5.7098000000000003E-2</c:v>
                </c:pt>
                <c:pt idx="446">
                  <c:v>5.7320000000000003E-2</c:v>
                </c:pt>
                <c:pt idx="447">
                  <c:v>5.7542000000000003E-2</c:v>
                </c:pt>
                <c:pt idx="448">
                  <c:v>5.7763999999999996E-2</c:v>
                </c:pt>
                <c:pt idx="449">
                  <c:v>5.7984000000000001E-2</c:v>
                </c:pt>
                <c:pt idx="450">
                  <c:v>5.8209999999999998E-2</c:v>
                </c:pt>
                <c:pt idx="451">
                  <c:v>5.8432000000000005E-2</c:v>
                </c:pt>
                <c:pt idx="452">
                  <c:v>5.8654000000000005E-2</c:v>
                </c:pt>
                <c:pt idx="453">
                  <c:v>5.8875999999999998E-2</c:v>
                </c:pt>
                <c:pt idx="454">
                  <c:v>5.9126000000000005E-2</c:v>
                </c:pt>
                <c:pt idx="455">
                  <c:v>5.9345999999999996E-2</c:v>
                </c:pt>
                <c:pt idx="456">
                  <c:v>5.9598000000000005E-2</c:v>
                </c:pt>
                <c:pt idx="457">
                  <c:v>5.9847999999999998E-2</c:v>
                </c:pt>
                <c:pt idx="458">
                  <c:v>6.0069999999999998E-2</c:v>
                </c:pt>
                <c:pt idx="459">
                  <c:v>6.0319999999999999E-2</c:v>
                </c:pt>
                <c:pt idx="460">
                  <c:v>6.0570000000000006E-2</c:v>
                </c:pt>
                <c:pt idx="461">
                  <c:v>6.0791999999999999E-2</c:v>
                </c:pt>
                <c:pt idx="462">
                  <c:v>6.1041999999999999E-2</c:v>
                </c:pt>
                <c:pt idx="463">
                  <c:v>6.1291999999999999E-2</c:v>
                </c:pt>
                <c:pt idx="464">
                  <c:v>6.1542000000000006E-2</c:v>
                </c:pt>
                <c:pt idx="465">
                  <c:v>6.1792E-2</c:v>
                </c:pt>
                <c:pt idx="466">
                  <c:v>6.2043999999999995E-2</c:v>
                </c:pt>
                <c:pt idx="467">
                  <c:v>6.2294000000000002E-2</c:v>
                </c:pt>
                <c:pt idx="468">
                  <c:v>6.2542E-2</c:v>
                </c:pt>
                <c:pt idx="469">
                  <c:v>6.2792000000000001E-2</c:v>
                </c:pt>
                <c:pt idx="470">
                  <c:v>6.3042000000000001E-2</c:v>
                </c:pt>
                <c:pt idx="471">
                  <c:v>6.3292000000000001E-2</c:v>
                </c:pt>
                <c:pt idx="472">
                  <c:v>6.3542000000000001E-2</c:v>
                </c:pt>
                <c:pt idx="473">
                  <c:v>6.3794000000000003E-2</c:v>
                </c:pt>
                <c:pt idx="474">
                  <c:v>6.4068E-2</c:v>
                </c:pt>
                <c:pt idx="475">
                  <c:v>6.4320000000000002E-2</c:v>
                </c:pt>
                <c:pt idx="476">
                  <c:v>6.4598000000000003E-2</c:v>
                </c:pt>
                <c:pt idx="477">
                  <c:v>6.4875999999999989E-2</c:v>
                </c:pt>
                <c:pt idx="478">
                  <c:v>6.515399999999999E-2</c:v>
                </c:pt>
                <c:pt idx="479">
                  <c:v>6.5404000000000004E-2</c:v>
                </c:pt>
                <c:pt idx="480">
                  <c:v>6.5682000000000004E-2</c:v>
                </c:pt>
                <c:pt idx="481">
                  <c:v>6.5960000000000005E-2</c:v>
                </c:pt>
                <c:pt idx="482">
                  <c:v>6.6236000000000003E-2</c:v>
                </c:pt>
                <c:pt idx="483">
                  <c:v>6.6486000000000003E-2</c:v>
                </c:pt>
                <c:pt idx="484">
                  <c:v>6.6764000000000004E-2</c:v>
                </c:pt>
                <c:pt idx="485">
                  <c:v>6.7042000000000004E-2</c:v>
                </c:pt>
                <c:pt idx="486">
                  <c:v>6.7320000000000005E-2</c:v>
                </c:pt>
                <c:pt idx="487">
                  <c:v>6.7598000000000005E-2</c:v>
                </c:pt>
                <c:pt idx="488">
                  <c:v>6.7874000000000004E-2</c:v>
                </c:pt>
                <c:pt idx="489">
                  <c:v>6.8154000000000006E-2</c:v>
                </c:pt>
                <c:pt idx="490">
                  <c:v>6.8432000000000007E-2</c:v>
                </c:pt>
                <c:pt idx="491">
                  <c:v>6.8708000000000005E-2</c:v>
                </c:pt>
                <c:pt idx="492">
                  <c:v>6.8986000000000006E-2</c:v>
                </c:pt>
                <c:pt idx="493">
                  <c:v>6.9264000000000006E-2</c:v>
                </c:pt>
                <c:pt idx="494">
                  <c:v>6.9542000000000007E-2</c:v>
                </c:pt>
                <c:pt idx="495">
                  <c:v>6.9821999999999995E-2</c:v>
                </c:pt>
                <c:pt idx="496">
                  <c:v>7.0125999999999994E-2</c:v>
                </c:pt>
                <c:pt idx="497">
                  <c:v>7.0431999999999995E-2</c:v>
                </c:pt>
                <c:pt idx="498">
                  <c:v>7.0738000000000009E-2</c:v>
                </c:pt>
                <c:pt idx="499">
                  <c:v>7.1041999999999994E-2</c:v>
                </c:pt>
                <c:pt idx="500">
                  <c:v>7.1348000000000009E-2</c:v>
                </c:pt>
                <c:pt idx="501">
                  <c:v>7.1651999999999993E-2</c:v>
                </c:pt>
                <c:pt idx="502">
                  <c:v>7.1958000000000008E-2</c:v>
                </c:pt>
                <c:pt idx="503">
                  <c:v>7.2263999999999995E-2</c:v>
                </c:pt>
                <c:pt idx="504">
                  <c:v>7.2568000000000007E-2</c:v>
                </c:pt>
                <c:pt idx="505">
                  <c:v>7.2873999999999994E-2</c:v>
                </c:pt>
                <c:pt idx="506">
                  <c:v>7.3178000000000007E-2</c:v>
                </c:pt>
                <c:pt idx="507">
                  <c:v>7.3483999999999994E-2</c:v>
                </c:pt>
                <c:pt idx="508">
                  <c:v>7.3819999999999997E-2</c:v>
                </c:pt>
                <c:pt idx="509">
                  <c:v>7.4153999999999998E-2</c:v>
                </c:pt>
                <c:pt idx="510">
                  <c:v>7.4459999999999998E-2</c:v>
                </c:pt>
                <c:pt idx="511">
                  <c:v>7.4791999999999997E-2</c:v>
                </c:pt>
                <c:pt idx="512">
                  <c:v>7.5125999999999998E-2</c:v>
                </c:pt>
                <c:pt idx="513">
                  <c:v>7.5457999999999997E-2</c:v>
                </c:pt>
                <c:pt idx="514">
                  <c:v>7.5791999999999998E-2</c:v>
                </c:pt>
                <c:pt idx="515">
                  <c:v>7.6125999999999999E-2</c:v>
                </c:pt>
                <c:pt idx="516">
                  <c:v>7.6457999999999998E-2</c:v>
                </c:pt>
                <c:pt idx="517">
                  <c:v>7.6791999999999999E-2</c:v>
                </c:pt>
                <c:pt idx="518">
                  <c:v>7.7123999999999998E-2</c:v>
                </c:pt>
                <c:pt idx="519">
                  <c:v>7.7460000000000001E-2</c:v>
                </c:pt>
                <c:pt idx="520">
                  <c:v>7.7792E-2</c:v>
                </c:pt>
                <c:pt idx="521">
                  <c:v>7.8123999999999999E-2</c:v>
                </c:pt>
                <c:pt idx="522">
                  <c:v>7.8458E-2</c:v>
                </c:pt>
                <c:pt idx="523">
                  <c:v>7.8820000000000001E-2</c:v>
                </c:pt>
                <c:pt idx="524">
                  <c:v>7.9182000000000002E-2</c:v>
                </c:pt>
                <c:pt idx="525">
                  <c:v>7.9542000000000002E-2</c:v>
                </c:pt>
                <c:pt idx="526">
                  <c:v>7.9904000000000003E-2</c:v>
                </c:pt>
                <c:pt idx="527">
                  <c:v>8.0264000000000002E-2</c:v>
                </c:pt>
                <c:pt idx="528">
                  <c:v>8.0624000000000001E-2</c:v>
                </c:pt>
                <c:pt idx="529">
                  <c:v>8.0985999999999989E-2</c:v>
                </c:pt>
                <c:pt idx="530">
                  <c:v>8.1348000000000004E-2</c:v>
                </c:pt>
                <c:pt idx="531">
                  <c:v>8.1708000000000003E-2</c:v>
                </c:pt>
                <c:pt idx="532">
                  <c:v>8.2070000000000004E-2</c:v>
                </c:pt>
                <c:pt idx="533">
                  <c:v>8.245799999999999E-2</c:v>
                </c:pt>
                <c:pt idx="534">
                  <c:v>8.2848000000000005E-2</c:v>
                </c:pt>
                <c:pt idx="535">
                  <c:v>8.3236000000000004E-2</c:v>
                </c:pt>
                <c:pt idx="536">
                  <c:v>8.3626000000000006E-2</c:v>
                </c:pt>
                <c:pt idx="537">
                  <c:v>8.4011999999999989E-2</c:v>
                </c:pt>
                <c:pt idx="538">
                  <c:v>8.4404000000000007E-2</c:v>
                </c:pt>
                <c:pt idx="539">
                  <c:v>8.4792000000000006E-2</c:v>
                </c:pt>
                <c:pt idx="540">
                  <c:v>8.5182000000000008E-2</c:v>
                </c:pt>
                <c:pt idx="541">
                  <c:v>8.5568000000000005E-2</c:v>
                </c:pt>
                <c:pt idx="542">
                  <c:v>8.5988000000000009E-2</c:v>
                </c:pt>
                <c:pt idx="543">
                  <c:v>8.6373999999999992E-2</c:v>
                </c:pt>
                <c:pt idx="544">
                  <c:v>8.676600000000001E-2</c:v>
                </c:pt>
                <c:pt idx="545">
                  <c:v>8.7151999999999993E-2</c:v>
                </c:pt>
                <c:pt idx="546">
                  <c:v>8.7542000000000009E-2</c:v>
                </c:pt>
                <c:pt idx="547">
                  <c:v>8.793200000000001E-2</c:v>
                </c:pt>
                <c:pt idx="548">
                  <c:v>8.8347999999999996E-2</c:v>
                </c:pt>
                <c:pt idx="549">
                  <c:v>8.8735999999999995E-2</c:v>
                </c:pt>
                <c:pt idx="550">
                  <c:v>8.9153999999999997E-2</c:v>
                </c:pt>
                <c:pt idx="551">
                  <c:v>8.9570000000000011E-2</c:v>
                </c:pt>
                <c:pt idx="552">
                  <c:v>8.9987999999999999E-2</c:v>
                </c:pt>
                <c:pt idx="553">
                  <c:v>9.0403999999999998E-2</c:v>
                </c:pt>
                <c:pt idx="554">
                  <c:v>9.0845999999999996E-2</c:v>
                </c:pt>
                <c:pt idx="555">
                  <c:v>9.1292000000000012E-2</c:v>
                </c:pt>
                <c:pt idx="556">
                  <c:v>9.1735999999999998E-2</c:v>
                </c:pt>
                <c:pt idx="557">
                  <c:v>9.2182E-2</c:v>
                </c:pt>
                <c:pt idx="558">
                  <c:v>9.2626000000000014E-2</c:v>
                </c:pt>
                <c:pt idx="559">
                  <c:v>9.307E-2</c:v>
                </c:pt>
                <c:pt idx="560">
                  <c:v>9.3542E-2</c:v>
                </c:pt>
                <c:pt idx="561">
                  <c:v>9.4014E-2</c:v>
                </c:pt>
                <c:pt idx="562">
                  <c:v>9.4488000000000003E-2</c:v>
                </c:pt>
                <c:pt idx="563">
                  <c:v>9.493E-2</c:v>
                </c:pt>
                <c:pt idx="564">
                  <c:v>9.5404000000000003E-2</c:v>
                </c:pt>
                <c:pt idx="565">
                  <c:v>9.5904000000000003E-2</c:v>
                </c:pt>
                <c:pt idx="566">
                  <c:v>9.6376000000000003E-2</c:v>
                </c:pt>
                <c:pt idx="567">
                  <c:v>9.684799999999999E-2</c:v>
                </c:pt>
                <c:pt idx="568">
                  <c:v>9.731999999999999E-2</c:v>
                </c:pt>
                <c:pt idx="569">
                  <c:v>9.7820000000000004E-2</c:v>
                </c:pt>
                <c:pt idx="570">
                  <c:v>9.8292000000000004E-2</c:v>
                </c:pt>
                <c:pt idx="571">
                  <c:v>9.8764000000000005E-2</c:v>
                </c:pt>
                <c:pt idx="572">
                  <c:v>9.9263999999999991E-2</c:v>
                </c:pt>
                <c:pt idx="573">
                  <c:v>9.9764000000000005E-2</c:v>
                </c:pt>
                <c:pt idx="574">
                  <c:v>0.10026400000000001</c:v>
                </c:pt>
                <c:pt idx="575">
                  <c:v>0.10079200000000001</c:v>
                </c:pt>
                <c:pt idx="576">
                  <c:v>0.10131999999999999</c:v>
                </c:pt>
                <c:pt idx="577">
                  <c:v>0.10184799999999999</c:v>
                </c:pt>
                <c:pt idx="578">
                  <c:v>0.102404</c:v>
                </c:pt>
                <c:pt idx="579">
                  <c:v>0.10293200000000001</c:v>
                </c:pt>
                <c:pt idx="580">
                  <c:v>0.10348599999999999</c:v>
                </c:pt>
                <c:pt idx="581">
                  <c:v>0.104042</c:v>
                </c:pt>
                <c:pt idx="582">
                  <c:v>0.10460000000000001</c:v>
                </c:pt>
                <c:pt idx="583">
                  <c:v>0.105182</c:v>
                </c:pt>
                <c:pt idx="584">
                  <c:v>0.10573600000000001</c:v>
                </c:pt>
                <c:pt idx="585">
                  <c:v>0.10632</c:v>
                </c:pt>
                <c:pt idx="586">
                  <c:v>0.106904</c:v>
                </c:pt>
                <c:pt idx="587">
                  <c:v>0.10748799999999999</c:v>
                </c:pt>
                <c:pt idx="588">
                  <c:v>0.10807</c:v>
                </c:pt>
                <c:pt idx="589">
                  <c:v>0.108652</c:v>
                </c:pt>
                <c:pt idx="590">
                  <c:v>0.10926399999999999</c:v>
                </c:pt>
                <c:pt idx="591">
                  <c:v>0.10990399999999999</c:v>
                </c:pt>
                <c:pt idx="592">
                  <c:v>0.11057</c:v>
                </c:pt>
                <c:pt idx="593">
                  <c:v>0.111294</c:v>
                </c:pt>
                <c:pt idx="594">
                  <c:v>0.11201599999999999</c:v>
                </c:pt>
              </c:numCache>
            </c:numRef>
          </c:cat>
          <c:val>
            <c:numRef>
              <c:f>'A12-2'!$F$2:$F$596</c:f>
              <c:numCache>
                <c:formatCode>0.00</c:formatCode>
                <c:ptCount val="595"/>
                <c:pt idx="0">
                  <c:v>0</c:v>
                </c:pt>
                <c:pt idx="1">
                  <c:v>5.4219459717905812E-3</c:v>
                </c:pt>
                <c:pt idx="2">
                  <c:v>0.13012670332297394</c:v>
                </c:pt>
                <c:pt idx="3">
                  <c:v>0.13554864929476454</c:v>
                </c:pt>
                <c:pt idx="4">
                  <c:v>0.14097059526655512</c:v>
                </c:pt>
                <c:pt idx="5">
                  <c:v>0.14097059526655512</c:v>
                </c:pt>
                <c:pt idx="6">
                  <c:v>0.14639254123834569</c:v>
                </c:pt>
                <c:pt idx="7">
                  <c:v>0.1518144872101363</c:v>
                </c:pt>
                <c:pt idx="8">
                  <c:v>0.1518144872101363</c:v>
                </c:pt>
                <c:pt idx="9">
                  <c:v>0.15723643318192687</c:v>
                </c:pt>
                <c:pt idx="10">
                  <c:v>0.16265837915371742</c:v>
                </c:pt>
                <c:pt idx="11">
                  <c:v>0.16265837915371742</c:v>
                </c:pt>
                <c:pt idx="12">
                  <c:v>0.16808032512550805</c:v>
                </c:pt>
                <c:pt idx="13">
                  <c:v>0.16808032512550805</c:v>
                </c:pt>
                <c:pt idx="14">
                  <c:v>0.1735022710972986</c:v>
                </c:pt>
                <c:pt idx="15">
                  <c:v>0.1735022710972986</c:v>
                </c:pt>
                <c:pt idx="16">
                  <c:v>0.17892421706908918</c:v>
                </c:pt>
                <c:pt idx="17">
                  <c:v>0.18434616304087975</c:v>
                </c:pt>
                <c:pt idx="18">
                  <c:v>0.18434616304087975</c:v>
                </c:pt>
                <c:pt idx="19">
                  <c:v>0.18976810901267036</c:v>
                </c:pt>
                <c:pt idx="20">
                  <c:v>0.1951900549844609</c:v>
                </c:pt>
                <c:pt idx="21">
                  <c:v>0.20061200095625151</c:v>
                </c:pt>
                <c:pt idx="22">
                  <c:v>0.20061200095625151</c:v>
                </c:pt>
                <c:pt idx="23">
                  <c:v>0.20061200095625151</c:v>
                </c:pt>
                <c:pt idx="24">
                  <c:v>0.20603394692804208</c:v>
                </c:pt>
                <c:pt idx="25">
                  <c:v>0.21145589289983266</c:v>
                </c:pt>
                <c:pt idx="26">
                  <c:v>0.21687783887162324</c:v>
                </c:pt>
                <c:pt idx="27">
                  <c:v>0.22229978484341384</c:v>
                </c:pt>
                <c:pt idx="28">
                  <c:v>0.22772173081520442</c:v>
                </c:pt>
                <c:pt idx="29">
                  <c:v>0.22772173081520442</c:v>
                </c:pt>
                <c:pt idx="30">
                  <c:v>0.23856243525380511</c:v>
                </c:pt>
                <c:pt idx="31">
                  <c:v>0.24398438122559568</c:v>
                </c:pt>
                <c:pt idx="32">
                  <c:v>0.24398438122559568</c:v>
                </c:pt>
                <c:pt idx="33">
                  <c:v>0.25482827316917683</c:v>
                </c:pt>
                <c:pt idx="34">
                  <c:v>0.25482827316917683</c:v>
                </c:pt>
                <c:pt idx="35">
                  <c:v>0.26567216511275799</c:v>
                </c:pt>
                <c:pt idx="36">
                  <c:v>0.26567216511275799</c:v>
                </c:pt>
                <c:pt idx="37">
                  <c:v>0.27651605705633919</c:v>
                </c:pt>
                <c:pt idx="38">
                  <c:v>0.28193800302812977</c:v>
                </c:pt>
                <c:pt idx="39">
                  <c:v>0.28193800302812977</c:v>
                </c:pt>
                <c:pt idx="40">
                  <c:v>0.28735994899992034</c:v>
                </c:pt>
                <c:pt idx="41">
                  <c:v>0.29820384094350144</c:v>
                </c:pt>
                <c:pt idx="42">
                  <c:v>0.30362578691529202</c:v>
                </c:pt>
                <c:pt idx="43">
                  <c:v>0.31446967885887328</c:v>
                </c:pt>
                <c:pt idx="44">
                  <c:v>0.32531675830743484</c:v>
                </c:pt>
                <c:pt idx="45">
                  <c:v>0.33615427524105507</c:v>
                </c:pt>
                <c:pt idx="46">
                  <c:v>0.34157303370786518</c:v>
                </c:pt>
                <c:pt idx="47">
                  <c:v>0.3469917921746753</c:v>
                </c:pt>
                <c:pt idx="48">
                  <c:v>0.36327994262491037</c:v>
                </c:pt>
                <c:pt idx="49">
                  <c:v>0.36869870109172048</c:v>
                </c:pt>
                <c:pt idx="50">
                  <c:v>0.37953621802534071</c:v>
                </c:pt>
                <c:pt idx="51">
                  <c:v>0.38495497649215082</c:v>
                </c:pt>
                <c:pt idx="52">
                  <c:v>0.39037373495896088</c:v>
                </c:pt>
                <c:pt idx="53">
                  <c:v>0.395792493425771</c:v>
                </c:pt>
                <c:pt idx="54">
                  <c:v>0.41208064387600613</c:v>
                </c:pt>
                <c:pt idx="55">
                  <c:v>0.41749940234281624</c:v>
                </c:pt>
                <c:pt idx="56">
                  <c:v>0.42833691927643647</c:v>
                </c:pt>
                <c:pt idx="57">
                  <c:v>0.43917443621005658</c:v>
                </c:pt>
                <c:pt idx="58">
                  <c:v>0.45001195314367681</c:v>
                </c:pt>
                <c:pt idx="59">
                  <c:v>0.46084947007729699</c:v>
                </c:pt>
                <c:pt idx="60">
                  <c:v>0.4662682285441071</c:v>
                </c:pt>
                <c:pt idx="61">
                  <c:v>0.47713762052753206</c:v>
                </c:pt>
                <c:pt idx="62">
                  <c:v>0.48255637899434217</c:v>
                </c:pt>
                <c:pt idx="63">
                  <c:v>0.4933938959279624</c:v>
                </c:pt>
                <c:pt idx="64">
                  <c:v>0.50423141286158268</c:v>
                </c:pt>
                <c:pt idx="65">
                  <c:v>0.50965017132839274</c:v>
                </c:pt>
                <c:pt idx="66">
                  <c:v>0.52048768826201297</c:v>
                </c:pt>
                <c:pt idx="67">
                  <c:v>0.53135708024543793</c:v>
                </c:pt>
                <c:pt idx="68">
                  <c:v>0.54219459717905816</c:v>
                </c:pt>
                <c:pt idx="69">
                  <c:v>0.55303211411267839</c:v>
                </c:pt>
                <c:pt idx="70">
                  <c:v>0.5638696310462985</c:v>
                </c:pt>
                <c:pt idx="71">
                  <c:v>0.56928838951310867</c:v>
                </c:pt>
                <c:pt idx="72">
                  <c:v>0.58557653996334369</c:v>
                </c:pt>
                <c:pt idx="73">
                  <c:v>0.59641405689696381</c:v>
                </c:pt>
                <c:pt idx="74">
                  <c:v>0.60725157383058403</c:v>
                </c:pt>
                <c:pt idx="75">
                  <c:v>0.61808909076420426</c:v>
                </c:pt>
                <c:pt idx="76">
                  <c:v>0.6289266076978246</c:v>
                </c:pt>
                <c:pt idx="77">
                  <c:v>0.64521475814805973</c:v>
                </c:pt>
                <c:pt idx="78">
                  <c:v>0.65605227508167996</c:v>
                </c:pt>
                <c:pt idx="79">
                  <c:v>0.67230855048211013</c:v>
                </c:pt>
                <c:pt idx="80">
                  <c:v>0.68314606741573036</c:v>
                </c:pt>
                <c:pt idx="81">
                  <c:v>0.69943421786596549</c:v>
                </c:pt>
                <c:pt idx="82">
                  <c:v>0.71569049326639578</c:v>
                </c:pt>
                <c:pt idx="83">
                  <c:v>0.73194676866682606</c:v>
                </c:pt>
                <c:pt idx="84">
                  <c:v>0.74823491911706119</c:v>
                </c:pt>
                <c:pt idx="85">
                  <c:v>0.76449119451749148</c:v>
                </c:pt>
                <c:pt idx="86">
                  <c:v>0.78074746991792177</c:v>
                </c:pt>
                <c:pt idx="87">
                  <c:v>0.79703562036815678</c:v>
                </c:pt>
                <c:pt idx="88">
                  <c:v>0.81329189576858729</c:v>
                </c:pt>
                <c:pt idx="89">
                  <c:v>0.83496692963582764</c:v>
                </c:pt>
                <c:pt idx="90">
                  <c:v>0.85125508008606265</c:v>
                </c:pt>
                <c:pt idx="91">
                  <c:v>0.86209259701968288</c:v>
                </c:pt>
                <c:pt idx="92">
                  <c:v>0.87834887242011317</c:v>
                </c:pt>
                <c:pt idx="93">
                  <c:v>0.89460514782054346</c:v>
                </c:pt>
                <c:pt idx="94">
                  <c:v>0.91089329827077858</c:v>
                </c:pt>
                <c:pt idx="95">
                  <c:v>0.92714957367120898</c:v>
                </c:pt>
                <c:pt idx="96">
                  <c:v>0.94340584907163927</c:v>
                </c:pt>
                <c:pt idx="97">
                  <c:v>0.9542433660052595</c:v>
                </c:pt>
                <c:pt idx="98">
                  <c:v>0.97053151645549451</c:v>
                </c:pt>
                <c:pt idx="99">
                  <c:v>0.9867877918559248</c:v>
                </c:pt>
                <c:pt idx="100">
                  <c:v>1.0084628257231654</c:v>
                </c:pt>
                <c:pt idx="101">
                  <c:v>1.0247509761734004</c:v>
                </c:pt>
                <c:pt idx="102">
                  <c:v>1.0410072515738307</c:v>
                </c:pt>
                <c:pt idx="103">
                  <c:v>1.0572635269742607</c:v>
                </c:pt>
                <c:pt idx="104">
                  <c:v>1.0789704358913064</c:v>
                </c:pt>
                <c:pt idx="105">
                  <c:v>1.0952267112917364</c:v>
                </c:pt>
                <c:pt idx="106">
                  <c:v>1.1169017451589769</c:v>
                </c:pt>
                <c:pt idx="107">
                  <c:v>1.1386086540760219</c:v>
                </c:pt>
                <c:pt idx="108">
                  <c:v>1.1602836879432625</c:v>
                </c:pt>
                <c:pt idx="109">
                  <c:v>1.1819905968603077</c:v>
                </c:pt>
                <c:pt idx="110">
                  <c:v>1.2036656307275482</c:v>
                </c:pt>
                <c:pt idx="111">
                  <c:v>1.2253406645947886</c:v>
                </c:pt>
                <c:pt idx="112">
                  <c:v>1.2470475735118336</c:v>
                </c:pt>
                <c:pt idx="113">
                  <c:v>1.2687226073790741</c:v>
                </c:pt>
                <c:pt idx="114">
                  <c:v>1.2904295162961195</c:v>
                </c:pt>
                <c:pt idx="115">
                  <c:v>1.3066857916965495</c:v>
                </c:pt>
                <c:pt idx="116">
                  <c:v>1.32836082556379</c:v>
                </c:pt>
                <c:pt idx="117">
                  <c:v>1.3500677344808349</c:v>
                </c:pt>
                <c:pt idx="118">
                  <c:v>1.3717427683480754</c:v>
                </c:pt>
                <c:pt idx="119">
                  <c:v>1.3934178022153161</c:v>
                </c:pt>
                <c:pt idx="120">
                  <c:v>1.4151247111323613</c:v>
                </c:pt>
                <c:pt idx="121">
                  <c:v>1.4367997449996017</c:v>
                </c:pt>
                <c:pt idx="122">
                  <c:v>1.4585066539166467</c:v>
                </c:pt>
                <c:pt idx="123">
                  <c:v>1.4801816877838871</c:v>
                </c:pt>
                <c:pt idx="124">
                  <c:v>1.5018567216511276</c:v>
                </c:pt>
                <c:pt idx="125">
                  <c:v>1.523563630568173</c:v>
                </c:pt>
                <c:pt idx="126">
                  <c:v>1.5452386644354135</c:v>
                </c:pt>
                <c:pt idx="127">
                  <c:v>1.5669455733524584</c:v>
                </c:pt>
                <c:pt idx="128">
                  <c:v>1.5886206072196989</c:v>
                </c:pt>
                <c:pt idx="129">
                  <c:v>1.6102956410869393</c:v>
                </c:pt>
                <c:pt idx="130">
                  <c:v>1.6320025500039845</c:v>
                </c:pt>
                <c:pt idx="131">
                  <c:v>1.653677583871225</c:v>
                </c:pt>
                <c:pt idx="132">
                  <c:v>1.6753844927882702</c:v>
                </c:pt>
                <c:pt idx="133">
                  <c:v>1.6970595266555106</c:v>
                </c:pt>
                <c:pt idx="134">
                  <c:v>1.7187345605227509</c:v>
                </c:pt>
                <c:pt idx="135">
                  <c:v>1.7404414694397958</c:v>
                </c:pt>
                <c:pt idx="136">
                  <c:v>1.7621165033070363</c:v>
                </c:pt>
                <c:pt idx="137">
                  <c:v>1.7838234122240819</c:v>
                </c:pt>
                <c:pt idx="138">
                  <c:v>1.8054984460913222</c:v>
                </c:pt>
                <c:pt idx="139">
                  <c:v>1.8271734799585626</c:v>
                </c:pt>
                <c:pt idx="140">
                  <c:v>1.8488803888756076</c:v>
                </c:pt>
                <c:pt idx="141">
                  <c:v>1.870555422742848</c:v>
                </c:pt>
                <c:pt idx="142">
                  <c:v>1.8922304566100885</c:v>
                </c:pt>
                <c:pt idx="143">
                  <c:v>1.9139373655271337</c:v>
                </c:pt>
                <c:pt idx="144">
                  <c:v>1.9356123993943741</c:v>
                </c:pt>
                <c:pt idx="145">
                  <c:v>1.9573193083114193</c:v>
                </c:pt>
                <c:pt idx="146">
                  <c:v>1.9789943421786598</c:v>
                </c:pt>
                <c:pt idx="147">
                  <c:v>2.0006693760459</c:v>
                </c:pt>
                <c:pt idx="148">
                  <c:v>2.0223762849629452</c:v>
                </c:pt>
                <c:pt idx="149">
                  <c:v>2.0440513188301854</c:v>
                </c:pt>
                <c:pt idx="150">
                  <c:v>2.0657582277472311</c:v>
                </c:pt>
                <c:pt idx="151">
                  <c:v>2.0874332616144713</c:v>
                </c:pt>
                <c:pt idx="152">
                  <c:v>2.109108295481712</c:v>
                </c:pt>
                <c:pt idx="153">
                  <c:v>2.1308152043987572</c:v>
                </c:pt>
                <c:pt idx="154">
                  <c:v>2.1524902382659974</c:v>
                </c:pt>
                <c:pt idx="155">
                  <c:v>2.1741971471830426</c:v>
                </c:pt>
                <c:pt idx="156">
                  <c:v>2.1958721810502828</c:v>
                </c:pt>
                <c:pt idx="157">
                  <c:v>2.2175472149175235</c:v>
                </c:pt>
                <c:pt idx="158">
                  <c:v>2.2392541238345687</c:v>
                </c:pt>
                <c:pt idx="159">
                  <c:v>2.2609291577018089</c:v>
                </c:pt>
                <c:pt idx="160">
                  <c:v>2.2826360666188541</c:v>
                </c:pt>
                <c:pt idx="161">
                  <c:v>2.3043111004860948</c:v>
                </c:pt>
                <c:pt idx="162">
                  <c:v>2.325986134353335</c:v>
                </c:pt>
                <c:pt idx="163">
                  <c:v>2.3476930432703802</c:v>
                </c:pt>
                <c:pt idx="164">
                  <c:v>2.3693680771376204</c:v>
                </c:pt>
                <c:pt idx="165">
                  <c:v>2.3910749860546661</c:v>
                </c:pt>
                <c:pt idx="166">
                  <c:v>2.4181687783887162</c:v>
                </c:pt>
                <c:pt idx="167">
                  <c:v>2.4398438122559565</c:v>
                </c:pt>
                <c:pt idx="168">
                  <c:v>2.4615507211730021</c:v>
                </c:pt>
                <c:pt idx="169">
                  <c:v>2.4832257550402423</c:v>
                </c:pt>
                <c:pt idx="170">
                  <c:v>2.5049326639572875</c:v>
                </c:pt>
                <c:pt idx="171">
                  <c:v>2.5266076978245278</c:v>
                </c:pt>
                <c:pt idx="172">
                  <c:v>2.5482827316917684</c:v>
                </c:pt>
                <c:pt idx="173">
                  <c:v>2.5699896406088136</c:v>
                </c:pt>
                <c:pt idx="174">
                  <c:v>2.5916646744760539</c:v>
                </c:pt>
                <c:pt idx="175">
                  <c:v>2.6133715833930991</c:v>
                </c:pt>
                <c:pt idx="176">
                  <c:v>2.6350466172603397</c:v>
                </c:pt>
                <c:pt idx="177">
                  <c:v>2.65672165112758</c:v>
                </c:pt>
                <c:pt idx="178">
                  <c:v>2.6784285600446252</c:v>
                </c:pt>
                <c:pt idx="179">
                  <c:v>2.7001035939118658</c:v>
                </c:pt>
                <c:pt idx="180">
                  <c:v>2.721810502828911</c:v>
                </c:pt>
                <c:pt idx="181">
                  <c:v>2.7434855366961508</c:v>
                </c:pt>
                <c:pt idx="182">
                  <c:v>2.7705793290302019</c:v>
                </c:pt>
                <c:pt idx="183">
                  <c:v>2.7922862379472471</c:v>
                </c:pt>
                <c:pt idx="184">
                  <c:v>2.8139612718144873</c:v>
                </c:pt>
                <c:pt idx="185">
                  <c:v>2.8356681807315325</c:v>
                </c:pt>
                <c:pt idx="186">
                  <c:v>2.8573432145987732</c:v>
                </c:pt>
                <c:pt idx="187">
                  <c:v>2.8790182484660134</c:v>
                </c:pt>
                <c:pt idx="188">
                  <c:v>2.9007251573830586</c:v>
                </c:pt>
                <c:pt idx="189">
                  <c:v>2.9224001912502993</c:v>
                </c:pt>
                <c:pt idx="190">
                  <c:v>2.9441071001673444</c:v>
                </c:pt>
                <c:pt idx="191">
                  <c:v>2.9712008925013946</c:v>
                </c:pt>
                <c:pt idx="192">
                  <c:v>2.9929078014184398</c:v>
                </c:pt>
                <c:pt idx="193">
                  <c:v>3.0145828352856805</c:v>
                </c:pt>
                <c:pt idx="194">
                  <c:v>3.0416766276197307</c:v>
                </c:pt>
                <c:pt idx="195">
                  <c:v>3.0633835365367759</c:v>
                </c:pt>
                <c:pt idx="196">
                  <c:v>3.0850585704040165</c:v>
                </c:pt>
                <c:pt idx="197">
                  <c:v>3.1067654793210617</c:v>
                </c:pt>
                <c:pt idx="198">
                  <c:v>3.1338592716551119</c:v>
                </c:pt>
                <c:pt idx="199">
                  <c:v>3.1555661805721571</c:v>
                </c:pt>
                <c:pt idx="200">
                  <c:v>3.1772412144393978</c:v>
                </c:pt>
                <c:pt idx="201">
                  <c:v>3.1989799984062479</c:v>
                </c:pt>
                <c:pt idx="202">
                  <c:v>3.2206550322734881</c:v>
                </c:pt>
                <c:pt idx="203">
                  <c:v>3.2423300661407284</c:v>
                </c:pt>
                <c:pt idx="204">
                  <c:v>3.2640051000079691</c:v>
                </c:pt>
                <c:pt idx="205">
                  <c:v>3.2910988923420192</c:v>
                </c:pt>
                <c:pt idx="206">
                  <c:v>3.3127739262092604</c:v>
                </c:pt>
                <c:pt idx="207">
                  <c:v>3.3344489600765002</c:v>
                </c:pt>
                <c:pt idx="208">
                  <c:v>3.3561239939437413</c:v>
                </c:pt>
                <c:pt idx="209">
                  <c:v>3.3832177862777915</c:v>
                </c:pt>
                <c:pt idx="210">
                  <c:v>3.4048928201450313</c:v>
                </c:pt>
                <c:pt idx="211">
                  <c:v>3.4265678540122724</c:v>
                </c:pt>
                <c:pt idx="212">
                  <c:v>3.4536616463463221</c:v>
                </c:pt>
                <c:pt idx="213">
                  <c:v>3.4753366802135632</c:v>
                </c:pt>
                <c:pt idx="214">
                  <c:v>3.5024304725476134</c:v>
                </c:pt>
                <c:pt idx="215">
                  <c:v>3.5241055064148541</c:v>
                </c:pt>
                <c:pt idx="216">
                  <c:v>3.5457805402820943</c:v>
                </c:pt>
                <c:pt idx="217">
                  <c:v>3.5731930831141923</c:v>
                </c:pt>
                <c:pt idx="218">
                  <c:v>3.6002868754482433</c:v>
                </c:pt>
                <c:pt idx="219">
                  <c:v>3.6219619093154831</c:v>
                </c:pt>
                <c:pt idx="220">
                  <c:v>3.6490557016495342</c:v>
                </c:pt>
                <c:pt idx="221">
                  <c:v>3.6761494939835844</c:v>
                </c:pt>
                <c:pt idx="222">
                  <c:v>3.6978245278508255</c:v>
                </c:pt>
                <c:pt idx="223">
                  <c:v>3.7249183201848752</c:v>
                </c:pt>
                <c:pt idx="224">
                  <c:v>3.7520121125189259</c:v>
                </c:pt>
                <c:pt idx="225">
                  <c:v>3.7791059048529765</c:v>
                </c:pt>
                <c:pt idx="226">
                  <c:v>3.8061996971870271</c:v>
                </c:pt>
                <c:pt idx="227">
                  <c:v>3.8332934895210777</c:v>
                </c:pt>
                <c:pt idx="228">
                  <c:v>3.8603872818551284</c:v>
                </c:pt>
                <c:pt idx="229">
                  <c:v>3.8874810741891785</c:v>
                </c:pt>
                <c:pt idx="230">
                  <c:v>3.9091561080564192</c:v>
                </c:pt>
                <c:pt idx="231">
                  <c:v>3.9362499003904694</c:v>
                </c:pt>
                <c:pt idx="232">
                  <c:v>3.9579249342577101</c:v>
                </c:pt>
                <c:pt idx="233">
                  <c:v>3.9850187265917603</c:v>
                </c:pt>
                <c:pt idx="234">
                  <c:v>4.0066937604590009</c:v>
                </c:pt>
                <c:pt idx="235">
                  <c:v>4.0337875527930516</c:v>
                </c:pt>
                <c:pt idx="236">
                  <c:v>4.0554625866602922</c:v>
                </c:pt>
                <c:pt idx="237">
                  <c:v>4.0825563789943429</c:v>
                </c:pt>
                <c:pt idx="238">
                  <c:v>4.1042314128615827</c:v>
                </c:pt>
                <c:pt idx="239">
                  <c:v>4.131643955693681</c:v>
                </c:pt>
                <c:pt idx="240">
                  <c:v>4.1533189895609217</c:v>
                </c:pt>
                <c:pt idx="241">
                  <c:v>4.1749940234281615</c:v>
                </c:pt>
                <c:pt idx="242">
                  <c:v>4.2129253326958329</c:v>
                </c:pt>
                <c:pt idx="243">
                  <c:v>4.2508566419635034</c:v>
                </c:pt>
                <c:pt idx="244">
                  <c:v>4.283369192764364</c:v>
                </c:pt>
                <c:pt idx="245">
                  <c:v>4.3213005020320345</c:v>
                </c:pt>
                <c:pt idx="246">
                  <c:v>4.3538130528328951</c:v>
                </c:pt>
                <c:pt idx="247">
                  <c:v>4.3917443621005656</c:v>
                </c:pt>
                <c:pt idx="248">
                  <c:v>4.4242569129014271</c:v>
                </c:pt>
                <c:pt idx="249">
                  <c:v>4.4567694637022877</c:v>
                </c:pt>
                <c:pt idx="250">
                  <c:v>4.4892820145031482</c:v>
                </c:pt>
                <c:pt idx="251">
                  <c:v>4.5272133237708179</c:v>
                </c:pt>
                <c:pt idx="252">
                  <c:v>4.5597258745716802</c:v>
                </c:pt>
                <c:pt idx="253">
                  <c:v>4.5922384253725399</c:v>
                </c:pt>
                <c:pt idx="254">
                  <c:v>4.6247509761734005</c:v>
                </c:pt>
                <c:pt idx="255">
                  <c:v>4.6572635269742619</c:v>
                </c:pt>
                <c:pt idx="256">
                  <c:v>4.6900948282731685</c:v>
                </c:pt>
                <c:pt idx="257">
                  <c:v>4.7280261375408408</c:v>
                </c:pt>
                <c:pt idx="258">
                  <c:v>4.7605386883417005</c:v>
                </c:pt>
                <c:pt idx="259">
                  <c:v>4.793051239142561</c:v>
                </c:pt>
                <c:pt idx="260">
                  <c:v>4.8255637899434216</c:v>
                </c:pt>
                <c:pt idx="261">
                  <c:v>4.8580763407442822</c:v>
                </c:pt>
                <c:pt idx="262">
                  <c:v>4.8960076500119527</c:v>
                </c:pt>
                <c:pt idx="263">
                  <c:v>4.9285202008128142</c:v>
                </c:pt>
                <c:pt idx="264">
                  <c:v>4.9610327516136747</c:v>
                </c:pt>
                <c:pt idx="265">
                  <c:v>4.9935453024145353</c:v>
                </c:pt>
                <c:pt idx="266">
                  <c:v>5.0260578532153968</c:v>
                </c:pt>
                <c:pt idx="267">
                  <c:v>5.0585704040162565</c:v>
                </c:pt>
                <c:pt idx="268">
                  <c:v>5.091082954817117</c:v>
                </c:pt>
                <c:pt idx="269">
                  <c:v>5.1344330225515984</c:v>
                </c:pt>
                <c:pt idx="270">
                  <c:v>5.1723643318192689</c:v>
                </c:pt>
                <c:pt idx="271">
                  <c:v>5.2048768826201286</c:v>
                </c:pt>
                <c:pt idx="272">
                  <c:v>5.2377081839190378</c:v>
                </c:pt>
                <c:pt idx="273">
                  <c:v>5.2702207347198984</c:v>
                </c:pt>
                <c:pt idx="274">
                  <c:v>5.3027332855207598</c:v>
                </c:pt>
                <c:pt idx="275">
                  <c:v>5.3352458363216195</c:v>
                </c:pt>
                <c:pt idx="276">
                  <c:v>5.3677583871224801</c:v>
                </c:pt>
                <c:pt idx="277">
                  <c:v>5.4002709379233398</c:v>
                </c:pt>
                <c:pt idx="278">
                  <c:v>5.4327834887242012</c:v>
                </c:pt>
                <c:pt idx="279">
                  <c:v>5.4652960395250627</c:v>
                </c:pt>
                <c:pt idx="280">
                  <c:v>5.4978085903259224</c:v>
                </c:pt>
                <c:pt idx="281">
                  <c:v>5.5303211411267839</c:v>
                </c:pt>
                <c:pt idx="282">
                  <c:v>5.5682524503944544</c:v>
                </c:pt>
                <c:pt idx="283">
                  <c:v>5.6116025181289348</c:v>
                </c:pt>
                <c:pt idx="284">
                  <c:v>5.6549525858634162</c:v>
                </c:pt>
                <c:pt idx="285">
                  <c:v>5.6983026535978967</c:v>
                </c:pt>
                <c:pt idx="286">
                  <c:v>5.747071479799188</c:v>
                </c:pt>
                <c:pt idx="287">
                  <c:v>5.7907402980317153</c:v>
                </c:pt>
                <c:pt idx="288">
                  <c:v>5.8395091242330066</c:v>
                </c:pt>
                <c:pt idx="289">
                  <c:v>5.882859191967488</c:v>
                </c:pt>
                <c:pt idx="290">
                  <c:v>5.9262092597019684</c:v>
                </c:pt>
                <c:pt idx="291">
                  <c:v>5.9695593274364498</c:v>
                </c:pt>
                <c:pt idx="292">
                  <c:v>6.0183281536377411</c:v>
                </c:pt>
                <c:pt idx="293">
                  <c:v>6.0616782213722207</c:v>
                </c:pt>
                <c:pt idx="294">
                  <c:v>6.1104470475735111</c:v>
                </c:pt>
                <c:pt idx="295">
                  <c:v>6.1537971153079933</c:v>
                </c:pt>
                <c:pt idx="296">
                  <c:v>6.2025659415092838</c:v>
                </c:pt>
                <c:pt idx="297">
                  <c:v>6.2459160092437642</c:v>
                </c:pt>
                <c:pt idx="298">
                  <c:v>6.2892660769782456</c:v>
                </c:pt>
                <c:pt idx="299">
                  <c:v>6.3383536536775837</c:v>
                </c:pt>
                <c:pt idx="300">
                  <c:v>6.3817037214120651</c:v>
                </c:pt>
                <c:pt idx="301">
                  <c:v>6.4250537891465456</c:v>
                </c:pt>
                <c:pt idx="302">
                  <c:v>6.4738226153478369</c:v>
                </c:pt>
                <c:pt idx="303">
                  <c:v>6.5171726830823182</c:v>
                </c:pt>
                <c:pt idx="304">
                  <c:v>6.5659415092836086</c:v>
                </c:pt>
                <c:pt idx="305">
                  <c:v>6.60929157701809</c:v>
                </c:pt>
                <c:pt idx="306">
                  <c:v>6.6526416447525705</c:v>
                </c:pt>
                <c:pt idx="307">
                  <c:v>6.6959917124870509</c:v>
                </c:pt>
                <c:pt idx="308">
                  <c:v>6.7447605386883422</c:v>
                </c:pt>
                <c:pt idx="309">
                  <c:v>6.7881106064228227</c:v>
                </c:pt>
                <c:pt idx="310">
                  <c:v>6.836879432624114</c:v>
                </c:pt>
                <c:pt idx="311">
                  <c:v>6.8859670093234522</c:v>
                </c:pt>
                <c:pt idx="312">
                  <c:v>6.9293170770579327</c:v>
                </c:pt>
                <c:pt idx="313">
                  <c:v>6.978085903259224</c:v>
                </c:pt>
                <c:pt idx="314">
                  <c:v>7.043111004860946</c:v>
                </c:pt>
                <c:pt idx="315">
                  <c:v>7.1027173479958572</c:v>
                </c:pt>
                <c:pt idx="316">
                  <c:v>7.1677424495975783</c:v>
                </c:pt>
                <c:pt idx="317">
                  <c:v>7.2273487927324895</c:v>
                </c:pt>
                <c:pt idx="318">
                  <c:v>7.2869551358674007</c:v>
                </c:pt>
                <c:pt idx="319">
                  <c:v>7.3519802374691219</c:v>
                </c:pt>
                <c:pt idx="320">
                  <c:v>7.4119053311020808</c:v>
                </c:pt>
                <c:pt idx="321">
                  <c:v>7.4715116742369911</c:v>
                </c:pt>
                <c:pt idx="322">
                  <c:v>7.5256992589050924</c:v>
                </c:pt>
                <c:pt idx="323">
                  <c:v>7.5907243605068127</c:v>
                </c:pt>
                <c:pt idx="324">
                  <c:v>7.6557494621085347</c:v>
                </c:pt>
                <c:pt idx="325">
                  <c:v>7.7099370467766359</c:v>
                </c:pt>
                <c:pt idx="326">
                  <c:v>7.7749621483783571</c:v>
                </c:pt>
                <c:pt idx="327">
                  <c:v>7.8399872499800791</c:v>
                </c:pt>
                <c:pt idx="328">
                  <c:v>7.8995935931149894</c:v>
                </c:pt>
                <c:pt idx="329">
                  <c:v>7.9537811777830907</c:v>
                </c:pt>
                <c:pt idx="330">
                  <c:v>8.0191250298828596</c:v>
                </c:pt>
                <c:pt idx="331">
                  <c:v>8.0841501314845807</c:v>
                </c:pt>
                <c:pt idx="332">
                  <c:v>8.1491752330863019</c:v>
                </c:pt>
                <c:pt idx="333">
                  <c:v>8.214200334688023</c:v>
                </c:pt>
                <c:pt idx="334">
                  <c:v>8.2738066778229342</c:v>
                </c:pt>
                <c:pt idx="335">
                  <c:v>8.3279942624910355</c:v>
                </c:pt>
                <c:pt idx="336">
                  <c:v>8.3930193640927566</c:v>
                </c:pt>
                <c:pt idx="337">
                  <c:v>8.4580444656944795</c:v>
                </c:pt>
                <c:pt idx="338">
                  <c:v>8.5233883177942467</c:v>
                </c:pt>
                <c:pt idx="339">
                  <c:v>8.5884134193959678</c:v>
                </c:pt>
                <c:pt idx="340">
                  <c:v>8.6588572794644989</c:v>
                </c:pt>
                <c:pt idx="341">
                  <c:v>8.7238823810662218</c:v>
                </c:pt>
                <c:pt idx="342">
                  <c:v>8.788907482667943</c:v>
                </c:pt>
                <c:pt idx="343">
                  <c:v>8.8593513427364741</c:v>
                </c:pt>
                <c:pt idx="344">
                  <c:v>8.9297952028050052</c:v>
                </c:pt>
                <c:pt idx="345">
                  <c:v>8.9948203044067263</c:v>
                </c:pt>
                <c:pt idx="346">
                  <c:v>9.0655829149733052</c:v>
                </c:pt>
                <c:pt idx="347">
                  <c:v>9.136026775041838</c:v>
                </c:pt>
                <c:pt idx="348">
                  <c:v>9.2064706351103673</c:v>
                </c:pt>
                <c:pt idx="349">
                  <c:v>9.2714957367120885</c:v>
                </c:pt>
                <c:pt idx="350">
                  <c:v>9.3419395967806214</c:v>
                </c:pt>
                <c:pt idx="351">
                  <c:v>9.4069646983823425</c:v>
                </c:pt>
                <c:pt idx="352">
                  <c:v>9.4774085584508718</c:v>
                </c:pt>
                <c:pt idx="353">
                  <c:v>9.5478524185194065</c:v>
                </c:pt>
                <c:pt idx="354">
                  <c:v>9.6186150290859818</c:v>
                </c:pt>
                <c:pt idx="355">
                  <c:v>9.6890588891545164</c:v>
                </c:pt>
                <c:pt idx="356">
                  <c:v>9.7540839907562358</c:v>
                </c:pt>
                <c:pt idx="357">
                  <c:v>9.8299466092915786</c:v>
                </c:pt>
                <c:pt idx="358">
                  <c:v>9.9112279862937296</c:v>
                </c:pt>
                <c:pt idx="359">
                  <c:v>9.9979281217626905</c:v>
                </c:pt>
                <c:pt idx="360">
                  <c:v>10.084628257231653</c:v>
                </c:pt>
                <c:pt idx="361">
                  <c:v>10.166228384731852</c:v>
                </c:pt>
                <c:pt idx="362">
                  <c:v>10.242091003267193</c:v>
                </c:pt>
                <c:pt idx="363">
                  <c:v>10.328791138736156</c:v>
                </c:pt>
                <c:pt idx="364">
                  <c:v>10.415491274205117</c:v>
                </c:pt>
                <c:pt idx="365">
                  <c:v>10.502191409674078</c:v>
                </c:pt>
                <c:pt idx="366">
                  <c:v>10.57805402820942</c:v>
                </c:pt>
                <c:pt idx="367">
                  <c:v>10.664754163678381</c:v>
                </c:pt>
                <c:pt idx="368">
                  <c:v>10.75177304964539</c:v>
                </c:pt>
                <c:pt idx="369">
                  <c:v>10.838473185114353</c:v>
                </c:pt>
                <c:pt idx="370">
                  <c:v>10.925173320583314</c:v>
                </c:pt>
                <c:pt idx="371">
                  <c:v>11.011873456052276</c:v>
                </c:pt>
                <c:pt idx="372">
                  <c:v>11.087736074587617</c:v>
                </c:pt>
                <c:pt idx="373">
                  <c:v>11.174436210056578</c:v>
                </c:pt>
                <c:pt idx="374">
                  <c:v>11.261455096023589</c:v>
                </c:pt>
                <c:pt idx="375">
                  <c:v>11.35357398995936</c:v>
                </c:pt>
                <c:pt idx="376">
                  <c:v>11.445692883895131</c:v>
                </c:pt>
                <c:pt idx="377">
                  <c:v>11.532393019364095</c:v>
                </c:pt>
                <c:pt idx="378">
                  <c:v>11.624511913299866</c:v>
                </c:pt>
                <c:pt idx="379">
                  <c:v>11.716630807235635</c:v>
                </c:pt>
                <c:pt idx="380">
                  <c:v>11.809068451669457</c:v>
                </c:pt>
                <c:pt idx="381">
                  <c:v>11.906606104072038</c:v>
                </c:pt>
                <c:pt idx="382">
                  <c:v>11.998724998007809</c:v>
                </c:pt>
                <c:pt idx="383">
                  <c:v>12.096262650410392</c:v>
                </c:pt>
                <c:pt idx="384">
                  <c:v>12.193800302812974</c:v>
                </c:pt>
                <c:pt idx="385">
                  <c:v>12.280500438281935</c:v>
                </c:pt>
                <c:pt idx="386">
                  <c:v>12.378356841182564</c:v>
                </c:pt>
                <c:pt idx="387">
                  <c:v>12.475894493585146</c:v>
                </c:pt>
                <c:pt idx="388">
                  <c:v>12.562594629054109</c:v>
                </c:pt>
                <c:pt idx="389">
                  <c:v>12.66013228145669</c:v>
                </c:pt>
                <c:pt idx="390">
                  <c:v>12.757669933859273</c:v>
                </c:pt>
                <c:pt idx="391">
                  <c:v>12.860626344728665</c:v>
                </c:pt>
                <c:pt idx="392">
                  <c:v>12.963901506096104</c:v>
                </c:pt>
                <c:pt idx="393">
                  <c:v>13.061439158498686</c:v>
                </c:pt>
                <c:pt idx="394">
                  <c:v>13.164395569368077</c:v>
                </c:pt>
                <c:pt idx="395">
                  <c:v>13.267351980237471</c:v>
                </c:pt>
                <c:pt idx="396">
                  <c:v>13.37030839110686</c:v>
                </c:pt>
                <c:pt idx="397">
                  <c:v>13.468164794007491</c:v>
                </c:pt>
                <c:pt idx="398">
                  <c:v>13.571121204876883</c:v>
                </c:pt>
                <c:pt idx="399">
                  <c:v>13.674077615746276</c:v>
                </c:pt>
                <c:pt idx="400">
                  <c:v>13.777034026615668</c:v>
                </c:pt>
                <c:pt idx="401">
                  <c:v>13.879990437485059</c:v>
                </c:pt>
                <c:pt idx="402">
                  <c:v>13.999521874252929</c:v>
                </c:pt>
                <c:pt idx="403">
                  <c:v>14.124153318989562</c:v>
                </c:pt>
                <c:pt idx="404">
                  <c:v>14.243366005259386</c:v>
                </c:pt>
                <c:pt idx="405">
                  <c:v>14.362578691529205</c:v>
                </c:pt>
                <c:pt idx="406">
                  <c:v>14.481791377799029</c:v>
                </c:pt>
                <c:pt idx="407">
                  <c:v>14.606741573033709</c:v>
                </c:pt>
                <c:pt idx="408">
                  <c:v>14.725954259303531</c:v>
                </c:pt>
                <c:pt idx="409">
                  <c:v>14.834329428639732</c:v>
                </c:pt>
                <c:pt idx="410">
                  <c:v>14.942704597975936</c:v>
                </c:pt>
                <c:pt idx="411">
                  <c:v>15.061917284245757</c:v>
                </c:pt>
                <c:pt idx="412">
                  <c:v>15.170611204080007</c:v>
                </c:pt>
                <c:pt idx="413">
                  <c:v>15.278986373416208</c:v>
                </c:pt>
                <c:pt idx="414">
                  <c:v>15.39819905968603</c:v>
                </c:pt>
                <c:pt idx="415">
                  <c:v>15.522830504422664</c:v>
                </c:pt>
                <c:pt idx="416">
                  <c:v>15.647780699657345</c:v>
                </c:pt>
                <c:pt idx="417">
                  <c:v>15.766993385927165</c:v>
                </c:pt>
                <c:pt idx="418">
                  <c:v>15.886206072196988</c:v>
                </c:pt>
                <c:pt idx="419">
                  <c:v>16.00541875846681</c:v>
                </c:pt>
                <c:pt idx="420">
                  <c:v>16.124631444736632</c:v>
                </c:pt>
                <c:pt idx="421">
                  <c:v>16.249581639971314</c:v>
                </c:pt>
                <c:pt idx="422">
                  <c:v>16.368794326241137</c:v>
                </c:pt>
                <c:pt idx="423">
                  <c:v>16.493425770977769</c:v>
                </c:pt>
                <c:pt idx="424">
                  <c:v>16.618057215714401</c:v>
                </c:pt>
                <c:pt idx="425">
                  <c:v>16.74300741094908</c:v>
                </c:pt>
                <c:pt idx="426">
                  <c:v>16.889313889552955</c:v>
                </c:pt>
                <c:pt idx="427">
                  <c:v>17.030201609690014</c:v>
                </c:pt>
                <c:pt idx="428">
                  <c:v>17.160251812893456</c:v>
                </c:pt>
                <c:pt idx="429">
                  <c:v>17.301458283528568</c:v>
                </c:pt>
                <c:pt idx="430">
                  <c:v>17.43150848673201</c:v>
                </c:pt>
                <c:pt idx="431">
                  <c:v>17.572396206869072</c:v>
                </c:pt>
                <c:pt idx="432">
                  <c:v>17.702446410072518</c:v>
                </c:pt>
                <c:pt idx="433">
                  <c:v>17.84907163917444</c:v>
                </c:pt>
                <c:pt idx="434">
                  <c:v>17.979121842377879</c:v>
                </c:pt>
                <c:pt idx="435">
                  <c:v>18.125428320981751</c:v>
                </c:pt>
                <c:pt idx="436">
                  <c:v>18.277153558052436</c:v>
                </c:pt>
                <c:pt idx="437">
                  <c:v>18.429197545621165</c:v>
                </c:pt>
                <c:pt idx="438">
                  <c:v>18.580922782691847</c:v>
                </c:pt>
                <c:pt idx="439">
                  <c:v>18.732648019762536</c:v>
                </c:pt>
                <c:pt idx="440">
                  <c:v>18.884373256833218</c:v>
                </c:pt>
                <c:pt idx="441">
                  <c:v>19.036417244401946</c:v>
                </c:pt>
                <c:pt idx="442">
                  <c:v>19.188142481472632</c:v>
                </c:pt>
                <c:pt idx="443">
                  <c:v>19.34528647701012</c:v>
                </c:pt>
                <c:pt idx="444">
                  <c:v>19.491911706112042</c:v>
                </c:pt>
                <c:pt idx="445">
                  <c:v>19.649055701649534</c:v>
                </c:pt>
                <c:pt idx="446">
                  <c:v>19.811618455653836</c:v>
                </c:pt>
                <c:pt idx="447">
                  <c:v>19.968762451191331</c:v>
                </c:pt>
                <c:pt idx="448">
                  <c:v>20.126225197226869</c:v>
                </c:pt>
                <c:pt idx="449">
                  <c:v>20.283369192764365</c:v>
                </c:pt>
                <c:pt idx="450">
                  <c:v>20.440513188301857</c:v>
                </c:pt>
                <c:pt idx="451">
                  <c:v>20.603394692804208</c:v>
                </c:pt>
                <c:pt idx="452">
                  <c:v>20.7605386883417</c:v>
                </c:pt>
                <c:pt idx="453">
                  <c:v>20.917682683879196</c:v>
                </c:pt>
                <c:pt idx="454">
                  <c:v>21.096501713283931</c:v>
                </c:pt>
                <c:pt idx="455">
                  <c:v>21.259383217786279</c:v>
                </c:pt>
                <c:pt idx="456">
                  <c:v>21.438202247191015</c:v>
                </c:pt>
                <c:pt idx="457">
                  <c:v>21.611602518128937</c:v>
                </c:pt>
                <c:pt idx="458">
                  <c:v>21.774484022631288</c:v>
                </c:pt>
                <c:pt idx="459">
                  <c:v>21.947884293569206</c:v>
                </c:pt>
                <c:pt idx="460">
                  <c:v>22.126703322973942</c:v>
                </c:pt>
                <c:pt idx="461">
                  <c:v>22.289584827476293</c:v>
                </c:pt>
                <c:pt idx="462">
                  <c:v>22.468403856881025</c:v>
                </c:pt>
                <c:pt idx="463">
                  <c:v>22.641804127818954</c:v>
                </c:pt>
                <c:pt idx="464">
                  <c:v>22.820941907721732</c:v>
                </c:pt>
                <c:pt idx="465">
                  <c:v>23.005179695593274</c:v>
                </c:pt>
                <c:pt idx="466">
                  <c:v>23.183998724998009</c:v>
                </c:pt>
                <c:pt idx="467">
                  <c:v>23.3685552633676</c:v>
                </c:pt>
                <c:pt idx="468">
                  <c:v>23.552793051239146</c:v>
                </c:pt>
                <c:pt idx="469">
                  <c:v>23.737030839110687</c:v>
                </c:pt>
                <c:pt idx="470">
                  <c:v>23.921587377480279</c:v>
                </c:pt>
                <c:pt idx="471">
                  <c:v>24.105825165351824</c:v>
                </c:pt>
                <c:pt idx="472">
                  <c:v>24.290062953223366</c:v>
                </c:pt>
                <c:pt idx="473">
                  <c:v>24.474619491592957</c:v>
                </c:pt>
                <c:pt idx="474">
                  <c:v>24.675113554864932</c:v>
                </c:pt>
                <c:pt idx="475">
                  <c:v>24.859351342736474</c:v>
                </c:pt>
                <c:pt idx="476">
                  <c:v>25.060164156506499</c:v>
                </c:pt>
                <c:pt idx="477">
                  <c:v>25.26607697824528</c:v>
                </c:pt>
                <c:pt idx="478">
                  <c:v>25.471989799984065</c:v>
                </c:pt>
                <c:pt idx="479">
                  <c:v>25.667383855287277</c:v>
                </c:pt>
                <c:pt idx="480">
                  <c:v>25.878715435492868</c:v>
                </c:pt>
                <c:pt idx="481">
                  <c:v>26.090365766196513</c:v>
                </c:pt>
                <c:pt idx="482">
                  <c:v>26.301697346402104</c:v>
                </c:pt>
                <c:pt idx="483">
                  <c:v>26.496772651207269</c:v>
                </c:pt>
                <c:pt idx="484">
                  <c:v>26.71384174037772</c:v>
                </c:pt>
                <c:pt idx="485">
                  <c:v>26.930592079050125</c:v>
                </c:pt>
                <c:pt idx="486">
                  <c:v>27.15276117618934</c:v>
                </c:pt>
                <c:pt idx="487">
                  <c:v>27.369830265359788</c:v>
                </c:pt>
                <c:pt idx="488">
                  <c:v>27.591999362499006</c:v>
                </c:pt>
                <c:pt idx="489">
                  <c:v>27.814487210136267</c:v>
                </c:pt>
                <c:pt idx="490">
                  <c:v>28.042075065742292</c:v>
                </c:pt>
                <c:pt idx="491">
                  <c:v>28.269981671846363</c:v>
                </c:pt>
                <c:pt idx="492">
                  <c:v>28.492150768985578</c:v>
                </c:pt>
                <c:pt idx="493">
                  <c:v>28.714319866124793</c:v>
                </c:pt>
                <c:pt idx="494">
                  <c:v>28.936807713762057</c:v>
                </c:pt>
                <c:pt idx="495">
                  <c:v>29.153558052434459</c:v>
                </c:pt>
                <c:pt idx="496">
                  <c:v>29.392302175472153</c:v>
                </c:pt>
                <c:pt idx="497">
                  <c:v>29.625308789544984</c:v>
                </c:pt>
                <c:pt idx="498">
                  <c:v>29.863734162084629</c:v>
                </c:pt>
                <c:pt idx="499">
                  <c:v>30.10247828512232</c:v>
                </c:pt>
                <c:pt idx="500">
                  <c:v>30.346322416128778</c:v>
                </c:pt>
                <c:pt idx="501">
                  <c:v>30.585066539166469</c:v>
                </c:pt>
                <c:pt idx="502">
                  <c:v>30.828910670172924</c:v>
                </c:pt>
                <c:pt idx="503">
                  <c:v>31.067654793210615</c:v>
                </c:pt>
                <c:pt idx="504">
                  <c:v>31.311498924217073</c:v>
                </c:pt>
                <c:pt idx="505">
                  <c:v>31.555661805721574</c:v>
                </c:pt>
                <c:pt idx="506">
                  <c:v>31.799505936728028</c:v>
                </c:pt>
                <c:pt idx="507">
                  <c:v>32.043987568730579</c:v>
                </c:pt>
                <c:pt idx="508">
                  <c:v>32.302175472149173</c:v>
                </c:pt>
                <c:pt idx="509">
                  <c:v>32.569925890509204</c:v>
                </c:pt>
                <c:pt idx="510">
                  <c:v>32.824926288947324</c:v>
                </c:pt>
                <c:pt idx="511">
                  <c:v>33.089489202326881</c:v>
                </c:pt>
                <c:pt idx="512">
                  <c:v>33.354052115706438</c:v>
                </c:pt>
                <c:pt idx="513">
                  <c:v>33.615427524105506</c:v>
                </c:pt>
                <c:pt idx="514">
                  <c:v>33.886365447446011</c:v>
                </c:pt>
                <c:pt idx="515">
                  <c:v>34.16367838074747</c:v>
                </c:pt>
                <c:pt idx="516">
                  <c:v>34.444178819029403</c:v>
                </c:pt>
                <c:pt idx="517">
                  <c:v>34.721491752330863</c:v>
                </c:pt>
                <c:pt idx="518">
                  <c:v>34.998804685632322</c:v>
                </c:pt>
                <c:pt idx="519">
                  <c:v>35.276117618933782</c:v>
                </c:pt>
                <c:pt idx="520">
                  <c:v>35.556618057215715</c:v>
                </c:pt>
                <c:pt idx="521">
                  <c:v>35.840306000478137</c:v>
                </c:pt>
                <c:pt idx="522">
                  <c:v>36.120806438760063</c:v>
                </c:pt>
                <c:pt idx="523">
                  <c:v>36.420431906924854</c:v>
                </c:pt>
                <c:pt idx="524">
                  <c:v>36.716869870109178</c:v>
                </c:pt>
                <c:pt idx="525">
                  <c:v>37.016495338273963</c:v>
                </c:pt>
                <c:pt idx="526">
                  <c:v>37.312933301458287</c:v>
                </c:pt>
                <c:pt idx="527">
                  <c:v>37.612558769623078</c:v>
                </c:pt>
                <c:pt idx="528">
                  <c:v>37.908996732807395</c:v>
                </c:pt>
                <c:pt idx="529">
                  <c:v>38.202247191011239</c:v>
                </c:pt>
                <c:pt idx="530">
                  <c:v>38.495497649215082</c:v>
                </c:pt>
                <c:pt idx="531">
                  <c:v>38.795123117379866</c:v>
                </c:pt>
                <c:pt idx="532">
                  <c:v>39.09156108056419</c:v>
                </c:pt>
                <c:pt idx="533">
                  <c:v>39.407124073631365</c:v>
                </c:pt>
                <c:pt idx="534">
                  <c:v>39.725874571679022</c:v>
                </c:pt>
                <c:pt idx="535">
                  <c:v>40.044625069726678</c:v>
                </c:pt>
                <c:pt idx="536">
                  <c:v>40.366563072754808</c:v>
                </c:pt>
                <c:pt idx="537">
                  <c:v>40.682126065821976</c:v>
                </c:pt>
                <c:pt idx="538">
                  <c:v>40.994501553908677</c:v>
                </c:pt>
                <c:pt idx="539">
                  <c:v>41.316439556936807</c:v>
                </c:pt>
                <c:pt idx="540">
                  <c:v>41.635190054984463</c:v>
                </c:pt>
                <c:pt idx="541">
                  <c:v>41.953940553032112</c:v>
                </c:pt>
                <c:pt idx="542">
                  <c:v>42.295003585943107</c:v>
                </c:pt>
                <c:pt idx="543">
                  <c:v>42.626504103912666</c:v>
                </c:pt>
                <c:pt idx="544">
                  <c:v>42.96437963184318</c:v>
                </c:pt>
                <c:pt idx="545">
                  <c:v>43.292692644832258</c:v>
                </c:pt>
                <c:pt idx="546">
                  <c:v>43.630568172762771</c:v>
                </c:pt>
                <c:pt idx="547">
                  <c:v>43.965256195712804</c:v>
                </c:pt>
                <c:pt idx="548">
                  <c:v>44.319069248545709</c:v>
                </c:pt>
                <c:pt idx="549">
                  <c:v>44.653757271495742</c:v>
                </c:pt>
                <c:pt idx="550">
                  <c:v>45.013945334289588</c:v>
                </c:pt>
                <c:pt idx="551">
                  <c:v>45.364570882142004</c:v>
                </c:pt>
                <c:pt idx="552">
                  <c:v>45.721571439955383</c:v>
                </c:pt>
                <c:pt idx="553">
                  <c:v>46.069009482827319</c:v>
                </c:pt>
                <c:pt idx="554">
                  <c:v>46.432385050601646</c:v>
                </c:pt>
                <c:pt idx="555">
                  <c:v>46.792573113395491</c:v>
                </c:pt>
                <c:pt idx="556">
                  <c:v>47.159136186150292</c:v>
                </c:pt>
                <c:pt idx="557">
                  <c:v>47.528886763885566</c:v>
                </c:pt>
                <c:pt idx="558">
                  <c:v>47.898637341620848</c:v>
                </c:pt>
                <c:pt idx="559">
                  <c:v>48.265200414375656</c:v>
                </c:pt>
                <c:pt idx="560">
                  <c:v>48.650888517013314</c:v>
                </c:pt>
                <c:pt idx="561">
                  <c:v>49.036576619650972</c:v>
                </c:pt>
                <c:pt idx="562">
                  <c:v>49.422264722288631</c:v>
                </c:pt>
                <c:pt idx="563">
                  <c:v>49.801577814965341</c:v>
                </c:pt>
                <c:pt idx="564">
                  <c:v>50.184078412622526</c:v>
                </c:pt>
                <c:pt idx="565">
                  <c:v>50.598454060084478</c:v>
                </c:pt>
                <c:pt idx="566">
                  <c:v>50.98732966770261</c:v>
                </c:pt>
                <c:pt idx="567">
                  <c:v>51.395330305203608</c:v>
                </c:pt>
                <c:pt idx="568">
                  <c:v>51.796955932743643</c:v>
                </c:pt>
                <c:pt idx="569">
                  <c:v>52.214519085186069</c:v>
                </c:pt>
                <c:pt idx="570">
                  <c:v>52.612957207745637</c:v>
                </c:pt>
                <c:pt idx="571">
                  <c:v>53.014582835285687</c:v>
                </c:pt>
                <c:pt idx="572">
                  <c:v>53.432145987728106</c:v>
                </c:pt>
                <c:pt idx="573">
                  <c:v>53.846521635190058</c:v>
                </c:pt>
                <c:pt idx="574">
                  <c:v>54.257709777671529</c:v>
                </c:pt>
                <c:pt idx="575">
                  <c:v>54.691210455016339</c:v>
                </c:pt>
                <c:pt idx="576">
                  <c:v>55.124711132361149</c:v>
                </c:pt>
                <c:pt idx="577">
                  <c:v>55.558211809705959</c:v>
                </c:pt>
                <c:pt idx="578">
                  <c:v>56.007650011953146</c:v>
                </c:pt>
                <c:pt idx="579">
                  <c:v>56.441150689297956</c:v>
                </c:pt>
                <c:pt idx="580">
                  <c:v>56.89058889154515</c:v>
                </c:pt>
                <c:pt idx="581">
                  <c:v>57.343214598772818</c:v>
                </c:pt>
                <c:pt idx="582">
                  <c:v>57.786277791059057</c:v>
                </c:pt>
                <c:pt idx="583">
                  <c:v>58.248466013228146</c:v>
                </c:pt>
                <c:pt idx="584">
                  <c:v>58.704279225436295</c:v>
                </c:pt>
                <c:pt idx="585">
                  <c:v>59.176029962546821</c:v>
                </c:pt>
                <c:pt idx="586">
                  <c:v>59.647780699657346</c:v>
                </c:pt>
                <c:pt idx="587">
                  <c:v>60.113156426806924</c:v>
                </c:pt>
                <c:pt idx="588">
                  <c:v>60.58490716391745</c:v>
                </c:pt>
                <c:pt idx="589">
                  <c:v>61.05028289106702</c:v>
                </c:pt>
                <c:pt idx="590">
                  <c:v>61.534783648099449</c:v>
                </c:pt>
                <c:pt idx="591">
                  <c:v>62.022471910112358</c:v>
                </c:pt>
                <c:pt idx="592">
                  <c:v>62.50378516216432</c:v>
                </c:pt>
                <c:pt idx="593">
                  <c:v>63.001035939118658</c:v>
                </c:pt>
                <c:pt idx="594">
                  <c:v>63.491911706112049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E-4B7B-B4AA-072516146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268815"/>
        <c:axId val="812266415"/>
      </c:lineChart>
      <c:catAx>
        <c:axId val="81226881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266415"/>
        <c:crosses val="autoZero"/>
        <c:auto val="1"/>
        <c:lblAlgn val="ctr"/>
        <c:lblOffset val="100"/>
        <c:noMultiLvlLbl val="0"/>
      </c:catAx>
      <c:valAx>
        <c:axId val="81226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26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'A12-3'!$C$2:$C$587</c:f>
              <c:numCache>
                <c:formatCode>0.00</c:formatCode>
                <c:ptCount val="586"/>
                <c:pt idx="0">
                  <c:v>1.04224E-4</c:v>
                </c:pt>
                <c:pt idx="1">
                  <c:v>1.4855799999999999E-2</c:v>
                </c:pt>
                <c:pt idx="2">
                  <c:v>1.4997199999999999E-2</c:v>
                </c:pt>
                <c:pt idx="3">
                  <c:v>1.5136799999999999E-2</c:v>
                </c:pt>
                <c:pt idx="4">
                  <c:v>1.5274600000000001E-2</c:v>
                </c:pt>
                <c:pt idx="5">
                  <c:v>1.5414199999999999E-2</c:v>
                </c:pt>
                <c:pt idx="6">
                  <c:v>1.55538E-2</c:v>
                </c:pt>
                <c:pt idx="7">
                  <c:v>1.5691400000000001E-2</c:v>
                </c:pt>
                <c:pt idx="8">
                  <c:v>1.5830999999999998E-2</c:v>
                </c:pt>
                <c:pt idx="9">
                  <c:v>1.5968800000000002E-2</c:v>
                </c:pt>
                <c:pt idx="10">
                  <c:v>1.61064E-2</c:v>
                </c:pt>
                <c:pt idx="11">
                  <c:v>1.6247999999999999E-2</c:v>
                </c:pt>
                <c:pt idx="12">
                  <c:v>1.63856E-2</c:v>
                </c:pt>
                <c:pt idx="13">
                  <c:v>1.65252E-2</c:v>
                </c:pt>
                <c:pt idx="14">
                  <c:v>1.6662999999999997E-2</c:v>
                </c:pt>
                <c:pt idx="15">
                  <c:v>1.6802600000000001E-2</c:v>
                </c:pt>
                <c:pt idx="16">
                  <c:v>1.6940200000000002E-2</c:v>
                </c:pt>
                <c:pt idx="17">
                  <c:v>1.7079799999999999E-2</c:v>
                </c:pt>
                <c:pt idx="18">
                  <c:v>1.7219399999999999E-2</c:v>
                </c:pt>
                <c:pt idx="19">
                  <c:v>1.73572E-2</c:v>
                </c:pt>
                <c:pt idx="20">
                  <c:v>1.74968E-2</c:v>
                </c:pt>
                <c:pt idx="21">
                  <c:v>1.7634399999999998E-2</c:v>
                </c:pt>
                <c:pt idx="22">
                  <c:v>1.7774000000000002E-2</c:v>
                </c:pt>
                <c:pt idx="23">
                  <c:v>1.7913600000000002E-2</c:v>
                </c:pt>
                <c:pt idx="24">
                  <c:v>1.8053200000000002E-2</c:v>
                </c:pt>
                <c:pt idx="25">
                  <c:v>1.8192799999999999E-2</c:v>
                </c:pt>
                <c:pt idx="26">
                  <c:v>1.83584E-2</c:v>
                </c:pt>
                <c:pt idx="27">
                  <c:v>1.8524200000000001E-2</c:v>
                </c:pt>
                <c:pt idx="28">
                  <c:v>1.8691599999999999E-2</c:v>
                </c:pt>
                <c:pt idx="29">
                  <c:v>1.88592E-2</c:v>
                </c:pt>
                <c:pt idx="30">
                  <c:v>1.9024799999999998E-2</c:v>
                </c:pt>
                <c:pt idx="31">
                  <c:v>1.91904E-2</c:v>
                </c:pt>
                <c:pt idx="32">
                  <c:v>1.9358E-2</c:v>
                </c:pt>
                <c:pt idx="33">
                  <c:v>1.9523600000000002E-2</c:v>
                </c:pt>
                <c:pt idx="34">
                  <c:v>1.9691E-2</c:v>
                </c:pt>
                <c:pt idx="35">
                  <c:v>1.9858600000000001E-2</c:v>
                </c:pt>
                <c:pt idx="36">
                  <c:v>2.0024E-2</c:v>
                </c:pt>
                <c:pt idx="37">
                  <c:v>2.0192000000000002E-2</c:v>
                </c:pt>
                <c:pt idx="38">
                  <c:v>2.0358000000000001E-2</c:v>
                </c:pt>
                <c:pt idx="39">
                  <c:v>2.0524000000000001E-2</c:v>
                </c:pt>
                <c:pt idx="40">
                  <c:v>2.0691999999999999E-2</c:v>
                </c:pt>
                <c:pt idx="41">
                  <c:v>2.0857999999999998E-2</c:v>
                </c:pt>
                <c:pt idx="42">
                  <c:v>2.1026E-2</c:v>
                </c:pt>
                <c:pt idx="43">
                  <c:v>2.1192000000000003E-2</c:v>
                </c:pt>
                <c:pt idx="44">
                  <c:v>2.1356E-2</c:v>
                </c:pt>
                <c:pt idx="45">
                  <c:v>2.1524000000000001E-2</c:v>
                </c:pt>
                <c:pt idx="46">
                  <c:v>2.1720000000000003E-2</c:v>
                </c:pt>
                <c:pt idx="47">
                  <c:v>2.1916000000000001E-2</c:v>
                </c:pt>
                <c:pt idx="48">
                  <c:v>2.2106000000000001E-2</c:v>
                </c:pt>
                <c:pt idx="49">
                  <c:v>2.23E-2</c:v>
                </c:pt>
                <c:pt idx="50">
                  <c:v>2.2496000000000002E-2</c:v>
                </c:pt>
                <c:pt idx="51">
                  <c:v>2.2692E-2</c:v>
                </c:pt>
                <c:pt idx="52">
                  <c:v>2.2886000000000004E-2</c:v>
                </c:pt>
                <c:pt idx="53">
                  <c:v>2.308E-2</c:v>
                </c:pt>
                <c:pt idx="54">
                  <c:v>2.3275999999999998E-2</c:v>
                </c:pt>
                <c:pt idx="55">
                  <c:v>2.3470000000000001E-2</c:v>
                </c:pt>
                <c:pt idx="56">
                  <c:v>2.3662000000000002E-2</c:v>
                </c:pt>
                <c:pt idx="57">
                  <c:v>2.3856000000000002E-2</c:v>
                </c:pt>
                <c:pt idx="58">
                  <c:v>2.4051999999999997E-2</c:v>
                </c:pt>
                <c:pt idx="59">
                  <c:v>2.4247999999999999E-2</c:v>
                </c:pt>
                <c:pt idx="60">
                  <c:v>2.4441999999999998E-2</c:v>
                </c:pt>
                <c:pt idx="61">
                  <c:v>2.4636000000000002E-2</c:v>
                </c:pt>
                <c:pt idx="62">
                  <c:v>2.4832E-2</c:v>
                </c:pt>
                <c:pt idx="63">
                  <c:v>2.5026000000000003E-2</c:v>
                </c:pt>
                <c:pt idx="64">
                  <c:v>2.5246000000000001E-2</c:v>
                </c:pt>
                <c:pt idx="65">
                  <c:v>2.5441999999999999E-2</c:v>
                </c:pt>
                <c:pt idx="66">
                  <c:v>2.5666000000000001E-2</c:v>
                </c:pt>
                <c:pt idx="67">
                  <c:v>2.5885999999999999E-2</c:v>
                </c:pt>
                <c:pt idx="68">
                  <c:v>2.6107999999999999E-2</c:v>
                </c:pt>
                <c:pt idx="69">
                  <c:v>2.6328000000000001E-2</c:v>
                </c:pt>
                <c:pt idx="70">
                  <c:v>2.6554000000000001E-2</c:v>
                </c:pt>
                <c:pt idx="71">
                  <c:v>2.6773999999999999E-2</c:v>
                </c:pt>
                <c:pt idx="72">
                  <c:v>2.6998000000000001E-2</c:v>
                </c:pt>
                <c:pt idx="73">
                  <c:v>2.7220000000000001E-2</c:v>
                </c:pt>
                <c:pt idx="74">
                  <c:v>2.7414000000000001E-2</c:v>
                </c:pt>
                <c:pt idx="75">
                  <c:v>2.7552E-2</c:v>
                </c:pt>
                <c:pt idx="76">
                  <c:v>2.7719999999999998E-2</c:v>
                </c:pt>
                <c:pt idx="77">
                  <c:v>2.7942000000000002E-2</c:v>
                </c:pt>
                <c:pt idx="78">
                  <c:v>2.8138E-2</c:v>
                </c:pt>
                <c:pt idx="79">
                  <c:v>2.8302000000000001E-2</c:v>
                </c:pt>
                <c:pt idx="80">
                  <c:v>2.8523999999999997E-2</c:v>
                </c:pt>
                <c:pt idx="81">
                  <c:v>2.8747999999999999E-2</c:v>
                </c:pt>
                <c:pt idx="82">
                  <c:v>2.8913999999999999E-2</c:v>
                </c:pt>
                <c:pt idx="83">
                  <c:v>2.9163999999999999E-2</c:v>
                </c:pt>
                <c:pt idx="84">
                  <c:v>2.9276E-2</c:v>
                </c:pt>
                <c:pt idx="85">
                  <c:v>2.9498000000000003E-2</c:v>
                </c:pt>
                <c:pt idx="86">
                  <c:v>2.9692E-2</c:v>
                </c:pt>
                <c:pt idx="87">
                  <c:v>2.9855999999999997E-2</c:v>
                </c:pt>
                <c:pt idx="88">
                  <c:v>2.9998E-2</c:v>
                </c:pt>
                <c:pt idx="89">
                  <c:v>3.0162000000000001E-2</c:v>
                </c:pt>
                <c:pt idx="90">
                  <c:v>3.0331999999999998E-2</c:v>
                </c:pt>
                <c:pt idx="91">
                  <c:v>3.0470000000000001E-2</c:v>
                </c:pt>
                <c:pt idx="92">
                  <c:v>3.0608E-2</c:v>
                </c:pt>
                <c:pt idx="93">
                  <c:v>3.0748000000000001E-2</c:v>
                </c:pt>
                <c:pt idx="94">
                  <c:v>3.0914000000000001E-2</c:v>
                </c:pt>
                <c:pt idx="95">
                  <c:v>3.1053999999999998E-2</c:v>
                </c:pt>
                <c:pt idx="96">
                  <c:v>3.1192000000000001E-2</c:v>
                </c:pt>
                <c:pt idx="97">
                  <c:v>3.1329999999999997E-2</c:v>
                </c:pt>
                <c:pt idx="98">
                  <c:v>3.1467999999999996E-2</c:v>
                </c:pt>
                <c:pt idx="99">
                  <c:v>3.1606000000000002E-2</c:v>
                </c:pt>
                <c:pt idx="100">
                  <c:v>3.1747999999999998E-2</c:v>
                </c:pt>
                <c:pt idx="101">
                  <c:v>3.1859999999999999E-2</c:v>
                </c:pt>
                <c:pt idx="102">
                  <c:v>3.1997999999999999E-2</c:v>
                </c:pt>
                <c:pt idx="103">
                  <c:v>3.2135999999999998E-2</c:v>
                </c:pt>
                <c:pt idx="104">
                  <c:v>3.2275999999999999E-2</c:v>
                </c:pt>
                <c:pt idx="105">
                  <c:v>3.2385999999999998E-2</c:v>
                </c:pt>
                <c:pt idx="106">
                  <c:v>3.2524000000000004E-2</c:v>
                </c:pt>
                <c:pt idx="107">
                  <c:v>3.2663999999999999E-2</c:v>
                </c:pt>
                <c:pt idx="108">
                  <c:v>3.2801999999999998E-2</c:v>
                </c:pt>
                <c:pt idx="109">
                  <c:v>3.2941999999999999E-2</c:v>
                </c:pt>
                <c:pt idx="110">
                  <c:v>3.3082E-2</c:v>
                </c:pt>
                <c:pt idx="111">
                  <c:v>3.322E-2</c:v>
                </c:pt>
                <c:pt idx="112">
                  <c:v>3.3357999999999999E-2</c:v>
                </c:pt>
                <c:pt idx="113">
                  <c:v>3.3498E-2</c:v>
                </c:pt>
                <c:pt idx="114">
                  <c:v>3.3605999999999997E-2</c:v>
                </c:pt>
                <c:pt idx="115">
                  <c:v>3.3748E-2</c:v>
                </c:pt>
                <c:pt idx="116">
                  <c:v>3.3883999999999997E-2</c:v>
                </c:pt>
                <c:pt idx="117">
                  <c:v>3.3998E-2</c:v>
                </c:pt>
                <c:pt idx="118">
                  <c:v>3.4107999999999999E-2</c:v>
                </c:pt>
                <c:pt idx="119">
                  <c:v>3.422E-2</c:v>
                </c:pt>
                <c:pt idx="120">
                  <c:v>3.4329999999999999E-2</c:v>
                </c:pt>
                <c:pt idx="121">
                  <c:v>3.4470000000000001E-2</c:v>
                </c:pt>
                <c:pt idx="122">
                  <c:v>3.458E-2</c:v>
                </c:pt>
                <c:pt idx="123">
                  <c:v>3.4689999999999999E-2</c:v>
                </c:pt>
                <c:pt idx="124">
                  <c:v>3.483E-2</c:v>
                </c:pt>
                <c:pt idx="125">
                  <c:v>3.4942000000000001E-2</c:v>
                </c:pt>
                <c:pt idx="126">
                  <c:v>3.5054000000000002E-2</c:v>
                </c:pt>
                <c:pt idx="127">
                  <c:v>3.5189999999999999E-2</c:v>
                </c:pt>
                <c:pt idx="128">
                  <c:v>3.5302E-2</c:v>
                </c:pt>
                <c:pt idx="129">
                  <c:v>3.5414000000000001E-2</c:v>
                </c:pt>
                <c:pt idx="130">
                  <c:v>3.5552E-2</c:v>
                </c:pt>
                <c:pt idx="131">
                  <c:v>3.5692000000000002E-2</c:v>
                </c:pt>
                <c:pt idx="132">
                  <c:v>3.5804000000000002E-2</c:v>
                </c:pt>
                <c:pt idx="133">
                  <c:v>3.5914000000000001E-2</c:v>
                </c:pt>
                <c:pt idx="134">
                  <c:v>3.6052000000000001E-2</c:v>
                </c:pt>
                <c:pt idx="135">
                  <c:v>3.6162E-2</c:v>
                </c:pt>
                <c:pt idx="136">
                  <c:v>3.6274000000000001E-2</c:v>
                </c:pt>
                <c:pt idx="137">
                  <c:v>3.6386000000000002E-2</c:v>
                </c:pt>
                <c:pt idx="138">
                  <c:v>3.6498000000000003E-2</c:v>
                </c:pt>
                <c:pt idx="139">
                  <c:v>3.6610000000000004E-2</c:v>
                </c:pt>
                <c:pt idx="140">
                  <c:v>3.6720000000000003E-2</c:v>
                </c:pt>
                <c:pt idx="141">
                  <c:v>3.6831999999999997E-2</c:v>
                </c:pt>
                <c:pt idx="142">
                  <c:v>3.6942000000000003E-2</c:v>
                </c:pt>
                <c:pt idx="143">
                  <c:v>3.7052000000000002E-2</c:v>
                </c:pt>
                <c:pt idx="144">
                  <c:v>3.7164000000000003E-2</c:v>
                </c:pt>
                <c:pt idx="145">
                  <c:v>3.7275999999999997E-2</c:v>
                </c:pt>
                <c:pt idx="146">
                  <c:v>3.7360000000000004E-2</c:v>
                </c:pt>
                <c:pt idx="147">
                  <c:v>3.7468000000000001E-2</c:v>
                </c:pt>
                <c:pt idx="148">
                  <c:v>3.7552000000000002E-2</c:v>
                </c:pt>
                <c:pt idx="149">
                  <c:v>3.7664000000000003E-2</c:v>
                </c:pt>
                <c:pt idx="150">
                  <c:v>3.7776000000000004E-2</c:v>
                </c:pt>
                <c:pt idx="151">
                  <c:v>3.7886000000000003E-2</c:v>
                </c:pt>
                <c:pt idx="152">
                  <c:v>3.7997999999999997E-2</c:v>
                </c:pt>
                <c:pt idx="153">
                  <c:v>3.8081999999999998E-2</c:v>
                </c:pt>
                <c:pt idx="154">
                  <c:v>3.8163999999999997E-2</c:v>
                </c:pt>
                <c:pt idx="155">
                  <c:v>3.8246000000000002E-2</c:v>
                </c:pt>
                <c:pt idx="156">
                  <c:v>3.8330000000000003E-2</c:v>
                </c:pt>
                <c:pt idx="157">
                  <c:v>3.8412000000000002E-2</c:v>
                </c:pt>
                <c:pt idx="158">
                  <c:v>3.8498000000000004E-2</c:v>
                </c:pt>
                <c:pt idx="159">
                  <c:v>3.8580000000000003E-2</c:v>
                </c:pt>
                <c:pt idx="160">
                  <c:v>3.8664000000000004E-2</c:v>
                </c:pt>
                <c:pt idx="161">
                  <c:v>3.8746000000000003E-2</c:v>
                </c:pt>
                <c:pt idx="162">
                  <c:v>3.8831999999999998E-2</c:v>
                </c:pt>
                <c:pt idx="163">
                  <c:v>3.8913999999999997E-2</c:v>
                </c:pt>
                <c:pt idx="164">
                  <c:v>3.8996000000000003E-2</c:v>
                </c:pt>
                <c:pt idx="165">
                  <c:v>3.9079999999999997E-2</c:v>
                </c:pt>
                <c:pt idx="166">
                  <c:v>3.9162000000000002E-2</c:v>
                </c:pt>
                <c:pt idx="167">
                  <c:v>3.9245999999999996E-2</c:v>
                </c:pt>
                <c:pt idx="168">
                  <c:v>3.9329999999999997E-2</c:v>
                </c:pt>
                <c:pt idx="169">
                  <c:v>3.9413999999999998E-2</c:v>
                </c:pt>
                <c:pt idx="170">
                  <c:v>3.9469999999999998E-2</c:v>
                </c:pt>
                <c:pt idx="171">
                  <c:v>3.9553999999999999E-2</c:v>
                </c:pt>
                <c:pt idx="172">
                  <c:v>3.9638E-2</c:v>
                </c:pt>
                <c:pt idx="173">
                  <c:v>3.9719999999999998E-2</c:v>
                </c:pt>
                <c:pt idx="174">
                  <c:v>3.9801999999999997E-2</c:v>
                </c:pt>
                <c:pt idx="175">
                  <c:v>3.9884000000000003E-2</c:v>
                </c:pt>
                <c:pt idx="176">
                  <c:v>3.9967999999999997E-2</c:v>
                </c:pt>
                <c:pt idx="177">
                  <c:v>4.0053999999999999E-2</c:v>
                </c:pt>
                <c:pt idx="178">
                  <c:v>4.0136000000000005E-2</c:v>
                </c:pt>
                <c:pt idx="179">
                  <c:v>4.0220000000000006E-2</c:v>
                </c:pt>
                <c:pt idx="180">
                  <c:v>4.0301999999999998E-2</c:v>
                </c:pt>
                <c:pt idx="181">
                  <c:v>4.0388E-2</c:v>
                </c:pt>
                <c:pt idx="182">
                  <c:v>4.0469999999999999E-2</c:v>
                </c:pt>
                <c:pt idx="183">
                  <c:v>4.0552000000000005E-2</c:v>
                </c:pt>
                <c:pt idx="184">
                  <c:v>4.0635999999999999E-2</c:v>
                </c:pt>
                <c:pt idx="185">
                  <c:v>4.0717999999999997E-2</c:v>
                </c:pt>
                <c:pt idx="186">
                  <c:v>4.0801999999999998E-2</c:v>
                </c:pt>
                <c:pt idx="187">
                  <c:v>4.0885999999999999E-2</c:v>
                </c:pt>
                <c:pt idx="188">
                  <c:v>4.0970000000000006E-2</c:v>
                </c:pt>
                <c:pt idx="189">
                  <c:v>4.1051999999999998E-2</c:v>
                </c:pt>
                <c:pt idx="190">
                  <c:v>4.1135999999999999E-2</c:v>
                </c:pt>
                <c:pt idx="191">
                  <c:v>4.1218000000000005E-2</c:v>
                </c:pt>
                <c:pt idx="192">
                  <c:v>4.1302000000000005E-2</c:v>
                </c:pt>
                <c:pt idx="193">
                  <c:v>4.1357999999999999E-2</c:v>
                </c:pt>
                <c:pt idx="194">
                  <c:v>4.1440000000000005E-2</c:v>
                </c:pt>
                <c:pt idx="195">
                  <c:v>4.1498E-2</c:v>
                </c:pt>
                <c:pt idx="196">
                  <c:v>4.1580000000000006E-2</c:v>
                </c:pt>
                <c:pt idx="197">
                  <c:v>4.1664000000000007E-2</c:v>
                </c:pt>
                <c:pt idx="198">
                  <c:v>4.1745999999999998E-2</c:v>
                </c:pt>
                <c:pt idx="199">
                  <c:v>4.1829999999999999E-2</c:v>
                </c:pt>
                <c:pt idx="200">
                  <c:v>4.1887999999999995E-2</c:v>
                </c:pt>
                <c:pt idx="201">
                  <c:v>4.197E-2</c:v>
                </c:pt>
                <c:pt idx="202">
                  <c:v>4.2051999999999999E-2</c:v>
                </c:pt>
                <c:pt idx="203">
                  <c:v>4.2133999999999998E-2</c:v>
                </c:pt>
                <c:pt idx="204">
                  <c:v>4.2190000000000005E-2</c:v>
                </c:pt>
                <c:pt idx="205">
                  <c:v>4.2274000000000006E-2</c:v>
                </c:pt>
                <c:pt idx="206">
                  <c:v>4.233E-2</c:v>
                </c:pt>
                <c:pt idx="207">
                  <c:v>4.2413999999999993E-2</c:v>
                </c:pt>
                <c:pt idx="208">
                  <c:v>4.2468000000000006E-2</c:v>
                </c:pt>
                <c:pt idx="209">
                  <c:v>4.2552000000000006E-2</c:v>
                </c:pt>
                <c:pt idx="210">
                  <c:v>4.2636E-2</c:v>
                </c:pt>
                <c:pt idx="211">
                  <c:v>4.2720000000000001E-2</c:v>
                </c:pt>
                <c:pt idx="212">
                  <c:v>4.2802E-2</c:v>
                </c:pt>
                <c:pt idx="213">
                  <c:v>4.2884000000000005E-2</c:v>
                </c:pt>
                <c:pt idx="214">
                  <c:v>4.2967999999999999E-2</c:v>
                </c:pt>
                <c:pt idx="215">
                  <c:v>4.3052E-2</c:v>
                </c:pt>
                <c:pt idx="216">
                  <c:v>4.3136000000000001E-2</c:v>
                </c:pt>
                <c:pt idx="217">
                  <c:v>4.3220000000000001E-2</c:v>
                </c:pt>
                <c:pt idx="218">
                  <c:v>4.3301999999999993E-2</c:v>
                </c:pt>
                <c:pt idx="219">
                  <c:v>4.3360000000000003E-2</c:v>
                </c:pt>
                <c:pt idx="220">
                  <c:v>4.3442000000000001E-2</c:v>
                </c:pt>
                <c:pt idx="221">
                  <c:v>4.3525999999999995E-2</c:v>
                </c:pt>
                <c:pt idx="222">
                  <c:v>4.3579999999999994E-2</c:v>
                </c:pt>
                <c:pt idx="223">
                  <c:v>4.3663999999999994E-2</c:v>
                </c:pt>
                <c:pt idx="224">
                  <c:v>4.3747999999999995E-2</c:v>
                </c:pt>
                <c:pt idx="225">
                  <c:v>4.3830000000000001E-2</c:v>
                </c:pt>
                <c:pt idx="226">
                  <c:v>4.3886000000000001E-2</c:v>
                </c:pt>
                <c:pt idx="227">
                  <c:v>4.3970000000000002E-2</c:v>
                </c:pt>
                <c:pt idx="228">
                  <c:v>4.4052000000000001E-2</c:v>
                </c:pt>
                <c:pt idx="229">
                  <c:v>4.4109999999999996E-2</c:v>
                </c:pt>
                <c:pt idx="230">
                  <c:v>4.4194000000000004E-2</c:v>
                </c:pt>
                <c:pt idx="231">
                  <c:v>4.4276000000000003E-2</c:v>
                </c:pt>
                <c:pt idx="232">
                  <c:v>4.4330000000000001E-2</c:v>
                </c:pt>
                <c:pt idx="233">
                  <c:v>4.4413999999999995E-2</c:v>
                </c:pt>
                <c:pt idx="234">
                  <c:v>4.4467999999999994E-2</c:v>
                </c:pt>
                <c:pt idx="235">
                  <c:v>4.4551999999999994E-2</c:v>
                </c:pt>
                <c:pt idx="236">
                  <c:v>4.4608000000000002E-2</c:v>
                </c:pt>
                <c:pt idx="237">
                  <c:v>4.4664000000000002E-2</c:v>
                </c:pt>
                <c:pt idx="238">
                  <c:v>4.4745999999999994E-2</c:v>
                </c:pt>
                <c:pt idx="239">
                  <c:v>4.4804000000000004E-2</c:v>
                </c:pt>
                <c:pt idx="240">
                  <c:v>4.4858000000000002E-2</c:v>
                </c:pt>
                <c:pt idx="241">
                  <c:v>4.4940000000000001E-2</c:v>
                </c:pt>
                <c:pt idx="242">
                  <c:v>4.5026000000000004E-2</c:v>
                </c:pt>
                <c:pt idx="243">
                  <c:v>4.5107999999999995E-2</c:v>
                </c:pt>
                <c:pt idx="244">
                  <c:v>4.5220000000000003E-2</c:v>
                </c:pt>
                <c:pt idx="245">
                  <c:v>4.5301999999999995E-2</c:v>
                </c:pt>
                <c:pt idx="246">
                  <c:v>4.5414000000000003E-2</c:v>
                </c:pt>
                <c:pt idx="247">
                  <c:v>4.5496000000000002E-2</c:v>
                </c:pt>
                <c:pt idx="248">
                  <c:v>4.5579999999999996E-2</c:v>
                </c:pt>
                <c:pt idx="249">
                  <c:v>4.5663999999999996E-2</c:v>
                </c:pt>
                <c:pt idx="250">
                  <c:v>4.5774000000000002E-2</c:v>
                </c:pt>
                <c:pt idx="251">
                  <c:v>4.5857999999999996E-2</c:v>
                </c:pt>
                <c:pt idx="252">
                  <c:v>4.5941999999999997E-2</c:v>
                </c:pt>
                <c:pt idx="253">
                  <c:v>4.6052000000000003E-2</c:v>
                </c:pt>
                <c:pt idx="254">
                  <c:v>4.6135999999999996E-2</c:v>
                </c:pt>
                <c:pt idx="255">
                  <c:v>4.6219999999999997E-2</c:v>
                </c:pt>
                <c:pt idx="256">
                  <c:v>4.6302000000000003E-2</c:v>
                </c:pt>
                <c:pt idx="257">
                  <c:v>4.6386000000000004E-2</c:v>
                </c:pt>
                <c:pt idx="258">
                  <c:v>4.6470000000000004E-2</c:v>
                </c:pt>
                <c:pt idx="259">
                  <c:v>4.6554000000000005E-2</c:v>
                </c:pt>
                <c:pt idx="260">
                  <c:v>4.6635999999999997E-2</c:v>
                </c:pt>
                <c:pt idx="261">
                  <c:v>4.6718000000000003E-2</c:v>
                </c:pt>
                <c:pt idx="262">
                  <c:v>4.6799999999999994E-2</c:v>
                </c:pt>
                <c:pt idx="263">
                  <c:v>4.6886000000000004E-2</c:v>
                </c:pt>
                <c:pt idx="264">
                  <c:v>4.6969999999999998E-2</c:v>
                </c:pt>
                <c:pt idx="265">
                  <c:v>4.7053999999999999E-2</c:v>
                </c:pt>
                <c:pt idx="266">
                  <c:v>4.7135999999999997E-2</c:v>
                </c:pt>
                <c:pt idx="267">
                  <c:v>4.7220000000000005E-2</c:v>
                </c:pt>
                <c:pt idx="268">
                  <c:v>4.7304000000000006E-2</c:v>
                </c:pt>
                <c:pt idx="269">
                  <c:v>4.7385999999999998E-2</c:v>
                </c:pt>
                <c:pt idx="270">
                  <c:v>4.7468000000000003E-2</c:v>
                </c:pt>
                <c:pt idx="271">
                  <c:v>4.7552000000000004E-2</c:v>
                </c:pt>
                <c:pt idx="272">
                  <c:v>4.7633999999999996E-2</c:v>
                </c:pt>
                <c:pt idx="273">
                  <c:v>4.7717999999999997E-2</c:v>
                </c:pt>
                <c:pt idx="274">
                  <c:v>4.7803999999999999E-2</c:v>
                </c:pt>
                <c:pt idx="275">
                  <c:v>4.7888E-2</c:v>
                </c:pt>
                <c:pt idx="276">
                  <c:v>4.7969999999999999E-2</c:v>
                </c:pt>
                <c:pt idx="277">
                  <c:v>4.8052000000000004E-2</c:v>
                </c:pt>
                <c:pt idx="278">
                  <c:v>4.8137999999999993E-2</c:v>
                </c:pt>
                <c:pt idx="279">
                  <c:v>4.8217999999999997E-2</c:v>
                </c:pt>
                <c:pt idx="280">
                  <c:v>4.8301999999999998E-2</c:v>
                </c:pt>
                <c:pt idx="281">
                  <c:v>4.8385999999999998E-2</c:v>
                </c:pt>
                <c:pt idx="282">
                  <c:v>4.8495999999999997E-2</c:v>
                </c:pt>
                <c:pt idx="283">
                  <c:v>4.8608000000000005E-2</c:v>
                </c:pt>
                <c:pt idx="284">
                  <c:v>4.8719999999999999E-2</c:v>
                </c:pt>
                <c:pt idx="285">
                  <c:v>4.8832000000000007E-2</c:v>
                </c:pt>
                <c:pt idx="286">
                  <c:v>4.8941999999999999E-2</c:v>
                </c:pt>
                <c:pt idx="287">
                  <c:v>4.9051999999999998E-2</c:v>
                </c:pt>
                <c:pt idx="288">
                  <c:v>4.9161999999999997E-2</c:v>
                </c:pt>
                <c:pt idx="289">
                  <c:v>4.9273999999999998E-2</c:v>
                </c:pt>
                <c:pt idx="290">
                  <c:v>4.9385999999999999E-2</c:v>
                </c:pt>
                <c:pt idx="291">
                  <c:v>4.9496000000000005E-2</c:v>
                </c:pt>
                <c:pt idx="292">
                  <c:v>4.9607999999999999E-2</c:v>
                </c:pt>
                <c:pt idx="293">
                  <c:v>4.9720000000000007E-2</c:v>
                </c:pt>
                <c:pt idx="294">
                  <c:v>4.9829999999999999E-2</c:v>
                </c:pt>
                <c:pt idx="295">
                  <c:v>4.9911999999999998E-2</c:v>
                </c:pt>
                <c:pt idx="296">
                  <c:v>5.0023999999999999E-2</c:v>
                </c:pt>
                <c:pt idx="297">
                  <c:v>5.0136E-2</c:v>
                </c:pt>
                <c:pt idx="298">
                  <c:v>5.0248000000000001E-2</c:v>
                </c:pt>
                <c:pt idx="299">
                  <c:v>5.0358E-2</c:v>
                </c:pt>
                <c:pt idx="300">
                  <c:v>5.0469999999999994E-2</c:v>
                </c:pt>
                <c:pt idx="301">
                  <c:v>5.0549999999999998E-2</c:v>
                </c:pt>
                <c:pt idx="302">
                  <c:v>5.0664000000000001E-2</c:v>
                </c:pt>
                <c:pt idx="303">
                  <c:v>5.0776000000000002E-2</c:v>
                </c:pt>
                <c:pt idx="304">
                  <c:v>5.0885999999999994E-2</c:v>
                </c:pt>
                <c:pt idx="305">
                  <c:v>5.0970000000000001E-2</c:v>
                </c:pt>
                <c:pt idx="306">
                  <c:v>5.1082000000000002E-2</c:v>
                </c:pt>
                <c:pt idx="307">
                  <c:v>5.1192000000000001E-2</c:v>
                </c:pt>
                <c:pt idx="308">
                  <c:v>5.1274E-2</c:v>
                </c:pt>
                <c:pt idx="309">
                  <c:v>5.1386000000000001E-2</c:v>
                </c:pt>
                <c:pt idx="310">
                  <c:v>5.1496000000000007E-2</c:v>
                </c:pt>
                <c:pt idx="311">
                  <c:v>5.1609999999999996E-2</c:v>
                </c:pt>
                <c:pt idx="312">
                  <c:v>5.1719999999999995E-2</c:v>
                </c:pt>
                <c:pt idx="313">
                  <c:v>5.1832000000000003E-2</c:v>
                </c:pt>
                <c:pt idx="314">
                  <c:v>5.1942000000000002E-2</c:v>
                </c:pt>
                <c:pt idx="315">
                  <c:v>5.2051999999999994E-2</c:v>
                </c:pt>
                <c:pt idx="316">
                  <c:v>5.2164000000000002E-2</c:v>
                </c:pt>
                <c:pt idx="317">
                  <c:v>5.2274000000000001E-2</c:v>
                </c:pt>
                <c:pt idx="318">
                  <c:v>5.2384000000000007E-2</c:v>
                </c:pt>
                <c:pt idx="319">
                  <c:v>5.2496000000000001E-2</c:v>
                </c:pt>
                <c:pt idx="320">
                  <c:v>5.2607999999999995E-2</c:v>
                </c:pt>
                <c:pt idx="321">
                  <c:v>5.2720000000000003E-2</c:v>
                </c:pt>
                <c:pt idx="322">
                  <c:v>5.2830000000000002E-2</c:v>
                </c:pt>
                <c:pt idx="323">
                  <c:v>5.2939999999999994E-2</c:v>
                </c:pt>
                <c:pt idx="324">
                  <c:v>5.3052000000000002E-2</c:v>
                </c:pt>
                <c:pt idx="325">
                  <c:v>5.3163999999999996E-2</c:v>
                </c:pt>
                <c:pt idx="326">
                  <c:v>5.3276000000000004E-2</c:v>
                </c:pt>
                <c:pt idx="327">
                  <c:v>5.3385999999999996E-2</c:v>
                </c:pt>
                <c:pt idx="328">
                  <c:v>5.3498000000000004E-2</c:v>
                </c:pt>
                <c:pt idx="329">
                  <c:v>5.3608000000000003E-2</c:v>
                </c:pt>
                <c:pt idx="330">
                  <c:v>5.3718000000000002E-2</c:v>
                </c:pt>
                <c:pt idx="331">
                  <c:v>5.3830000000000003E-2</c:v>
                </c:pt>
                <c:pt idx="332">
                  <c:v>5.3940000000000002E-2</c:v>
                </c:pt>
                <c:pt idx="333">
                  <c:v>5.4051999999999996E-2</c:v>
                </c:pt>
                <c:pt idx="334">
                  <c:v>5.4164000000000004E-2</c:v>
                </c:pt>
                <c:pt idx="335">
                  <c:v>5.4303999999999998E-2</c:v>
                </c:pt>
                <c:pt idx="336">
                  <c:v>5.4440000000000002E-2</c:v>
                </c:pt>
                <c:pt idx="337">
                  <c:v>5.4580000000000004E-2</c:v>
                </c:pt>
                <c:pt idx="338">
                  <c:v>5.4720000000000005E-2</c:v>
                </c:pt>
                <c:pt idx="339">
                  <c:v>5.4858000000000004E-2</c:v>
                </c:pt>
                <c:pt idx="340">
                  <c:v>5.4997999999999998E-2</c:v>
                </c:pt>
                <c:pt idx="341">
                  <c:v>5.5136000000000004E-2</c:v>
                </c:pt>
                <c:pt idx="342">
                  <c:v>5.5274000000000004E-2</c:v>
                </c:pt>
                <c:pt idx="343">
                  <c:v>5.5414000000000005E-2</c:v>
                </c:pt>
                <c:pt idx="344">
                  <c:v>5.5553999999999999E-2</c:v>
                </c:pt>
                <c:pt idx="345">
                  <c:v>5.5692000000000005E-2</c:v>
                </c:pt>
                <c:pt idx="346">
                  <c:v>5.5830000000000005E-2</c:v>
                </c:pt>
                <c:pt idx="347">
                  <c:v>5.5967999999999997E-2</c:v>
                </c:pt>
                <c:pt idx="348">
                  <c:v>5.6105999999999996E-2</c:v>
                </c:pt>
                <c:pt idx="349">
                  <c:v>5.6247999999999992E-2</c:v>
                </c:pt>
                <c:pt idx="350">
                  <c:v>5.6386000000000006E-2</c:v>
                </c:pt>
                <c:pt idx="351">
                  <c:v>5.6523999999999998E-2</c:v>
                </c:pt>
                <c:pt idx="352">
                  <c:v>5.6635999999999999E-2</c:v>
                </c:pt>
                <c:pt idx="353">
                  <c:v>5.6773999999999998E-2</c:v>
                </c:pt>
                <c:pt idx="354">
                  <c:v>5.6913999999999999E-2</c:v>
                </c:pt>
                <c:pt idx="355">
                  <c:v>5.7051999999999999E-2</c:v>
                </c:pt>
                <c:pt idx="356">
                  <c:v>5.7192E-2</c:v>
                </c:pt>
                <c:pt idx="357">
                  <c:v>5.7332000000000001E-2</c:v>
                </c:pt>
                <c:pt idx="358">
                  <c:v>5.7468000000000005E-2</c:v>
                </c:pt>
                <c:pt idx="359">
                  <c:v>5.7607999999999999E-2</c:v>
                </c:pt>
                <c:pt idx="360">
                  <c:v>5.7748000000000001E-2</c:v>
                </c:pt>
                <c:pt idx="361">
                  <c:v>5.7886E-2</c:v>
                </c:pt>
                <c:pt idx="362">
                  <c:v>5.8026000000000001E-2</c:v>
                </c:pt>
                <c:pt idx="363">
                  <c:v>5.8164E-2</c:v>
                </c:pt>
                <c:pt idx="364">
                  <c:v>5.8301999999999993E-2</c:v>
                </c:pt>
                <c:pt idx="365">
                  <c:v>5.8442000000000001E-2</c:v>
                </c:pt>
                <c:pt idx="366">
                  <c:v>5.8579999999999993E-2</c:v>
                </c:pt>
                <c:pt idx="367">
                  <c:v>5.8720000000000001E-2</c:v>
                </c:pt>
                <c:pt idx="368">
                  <c:v>5.8860000000000003E-2</c:v>
                </c:pt>
                <c:pt idx="369">
                  <c:v>5.8996000000000007E-2</c:v>
                </c:pt>
                <c:pt idx="370">
                  <c:v>5.9135999999999994E-2</c:v>
                </c:pt>
                <c:pt idx="371">
                  <c:v>5.9276000000000002E-2</c:v>
                </c:pt>
                <c:pt idx="372">
                  <c:v>5.9442000000000002E-2</c:v>
                </c:pt>
                <c:pt idx="373">
                  <c:v>5.9581999999999996E-2</c:v>
                </c:pt>
                <c:pt idx="374">
                  <c:v>5.9745999999999994E-2</c:v>
                </c:pt>
                <c:pt idx="375">
                  <c:v>5.9886000000000002E-2</c:v>
                </c:pt>
                <c:pt idx="376">
                  <c:v>6.0023999999999994E-2</c:v>
                </c:pt>
                <c:pt idx="377">
                  <c:v>6.0164000000000002E-2</c:v>
                </c:pt>
                <c:pt idx="378">
                  <c:v>6.0330000000000002E-2</c:v>
                </c:pt>
                <c:pt idx="379">
                  <c:v>6.0469999999999996E-2</c:v>
                </c:pt>
                <c:pt idx="380">
                  <c:v>6.0636000000000002E-2</c:v>
                </c:pt>
                <c:pt idx="381">
                  <c:v>6.0801999999999995E-2</c:v>
                </c:pt>
                <c:pt idx="382">
                  <c:v>6.0941999999999996E-2</c:v>
                </c:pt>
                <c:pt idx="383">
                  <c:v>6.1109999999999998E-2</c:v>
                </c:pt>
                <c:pt idx="384">
                  <c:v>6.1273999999999995E-2</c:v>
                </c:pt>
                <c:pt idx="385">
                  <c:v>6.1412000000000001E-2</c:v>
                </c:pt>
                <c:pt idx="386">
                  <c:v>6.1580000000000003E-2</c:v>
                </c:pt>
                <c:pt idx="387">
                  <c:v>6.1748000000000004E-2</c:v>
                </c:pt>
                <c:pt idx="388">
                  <c:v>6.1913999999999997E-2</c:v>
                </c:pt>
                <c:pt idx="389">
                  <c:v>6.2080000000000003E-2</c:v>
                </c:pt>
                <c:pt idx="390">
                  <c:v>6.2247999999999998E-2</c:v>
                </c:pt>
                <c:pt idx="391">
                  <c:v>6.2413999999999997E-2</c:v>
                </c:pt>
                <c:pt idx="392">
                  <c:v>6.2581999999999999E-2</c:v>
                </c:pt>
                <c:pt idx="393">
                  <c:v>6.2747999999999998E-2</c:v>
                </c:pt>
                <c:pt idx="394">
                  <c:v>6.2913999999999998E-2</c:v>
                </c:pt>
                <c:pt idx="395">
                  <c:v>6.3079999999999997E-2</c:v>
                </c:pt>
                <c:pt idx="396">
                  <c:v>6.3245999999999997E-2</c:v>
                </c:pt>
                <c:pt idx="397">
                  <c:v>6.3413999999999998E-2</c:v>
                </c:pt>
                <c:pt idx="398">
                  <c:v>6.3579999999999998E-2</c:v>
                </c:pt>
                <c:pt idx="399">
                  <c:v>6.3745999999999997E-2</c:v>
                </c:pt>
                <c:pt idx="400">
                  <c:v>6.3941999999999999E-2</c:v>
                </c:pt>
                <c:pt idx="401">
                  <c:v>6.4135999999999999E-2</c:v>
                </c:pt>
                <c:pt idx="402">
                  <c:v>6.4329999999999998E-2</c:v>
                </c:pt>
                <c:pt idx="403">
                  <c:v>6.4495999999999998E-2</c:v>
                </c:pt>
                <c:pt idx="404">
                  <c:v>6.4689999999999998E-2</c:v>
                </c:pt>
                <c:pt idx="405">
                  <c:v>6.4885999999999999E-2</c:v>
                </c:pt>
                <c:pt idx="406">
                  <c:v>6.5054000000000001E-2</c:v>
                </c:pt>
                <c:pt idx="407">
                  <c:v>6.5217999999999998E-2</c:v>
                </c:pt>
                <c:pt idx="408">
                  <c:v>6.5386E-2</c:v>
                </c:pt>
                <c:pt idx="409">
                  <c:v>6.5579999999999999E-2</c:v>
                </c:pt>
                <c:pt idx="410">
                  <c:v>6.5748000000000001E-2</c:v>
                </c:pt>
                <c:pt idx="411">
                  <c:v>6.5911999999999998E-2</c:v>
                </c:pt>
                <c:pt idx="412">
                  <c:v>6.6108E-2</c:v>
                </c:pt>
                <c:pt idx="413">
                  <c:v>6.6304000000000002E-2</c:v>
                </c:pt>
                <c:pt idx="414">
                  <c:v>6.6498000000000002E-2</c:v>
                </c:pt>
                <c:pt idx="415">
                  <c:v>6.6692000000000001E-2</c:v>
                </c:pt>
                <c:pt idx="416">
                  <c:v>6.6886000000000001E-2</c:v>
                </c:pt>
                <c:pt idx="417">
                  <c:v>6.7080000000000001E-2</c:v>
                </c:pt>
                <c:pt idx="418">
                  <c:v>6.7274E-2</c:v>
                </c:pt>
                <c:pt idx="419">
                  <c:v>6.7468E-2</c:v>
                </c:pt>
                <c:pt idx="420">
                  <c:v>6.7664000000000002E-2</c:v>
                </c:pt>
                <c:pt idx="421">
                  <c:v>6.7830000000000001E-2</c:v>
                </c:pt>
                <c:pt idx="422">
                  <c:v>6.8026000000000003E-2</c:v>
                </c:pt>
                <c:pt idx="423">
                  <c:v>6.8218000000000001E-2</c:v>
                </c:pt>
                <c:pt idx="424">
                  <c:v>6.8412000000000001E-2</c:v>
                </c:pt>
                <c:pt idx="425">
                  <c:v>6.8608000000000002E-2</c:v>
                </c:pt>
                <c:pt idx="426">
                  <c:v>6.8804000000000004E-2</c:v>
                </c:pt>
                <c:pt idx="427">
                  <c:v>6.8996000000000002E-2</c:v>
                </c:pt>
                <c:pt idx="428">
                  <c:v>6.9192000000000004E-2</c:v>
                </c:pt>
                <c:pt idx="429">
                  <c:v>6.9386000000000003E-2</c:v>
                </c:pt>
                <c:pt idx="430">
                  <c:v>6.9580000000000003E-2</c:v>
                </c:pt>
                <c:pt idx="431">
                  <c:v>6.9774000000000003E-2</c:v>
                </c:pt>
                <c:pt idx="432">
                  <c:v>6.9968000000000002E-2</c:v>
                </c:pt>
                <c:pt idx="433">
                  <c:v>7.0191999999999991E-2</c:v>
                </c:pt>
                <c:pt idx="434">
                  <c:v>7.0386000000000004E-2</c:v>
                </c:pt>
                <c:pt idx="435">
                  <c:v>7.0608000000000004E-2</c:v>
                </c:pt>
                <c:pt idx="436">
                  <c:v>7.080199999999999E-2</c:v>
                </c:pt>
                <c:pt idx="437">
                  <c:v>7.0996000000000004E-2</c:v>
                </c:pt>
                <c:pt idx="438">
                  <c:v>7.1192000000000005E-2</c:v>
                </c:pt>
                <c:pt idx="439">
                  <c:v>7.1386000000000005E-2</c:v>
                </c:pt>
                <c:pt idx="440">
                  <c:v>7.1580000000000005E-2</c:v>
                </c:pt>
                <c:pt idx="441">
                  <c:v>7.1803999999999993E-2</c:v>
                </c:pt>
                <c:pt idx="442">
                  <c:v>7.2026000000000007E-2</c:v>
                </c:pt>
                <c:pt idx="443">
                  <c:v>7.2245999999999991E-2</c:v>
                </c:pt>
                <c:pt idx="444">
                  <c:v>7.2469999999999993E-2</c:v>
                </c:pt>
                <c:pt idx="445">
                  <c:v>7.2691999999999993E-2</c:v>
                </c:pt>
                <c:pt idx="446">
                  <c:v>7.2914000000000007E-2</c:v>
                </c:pt>
                <c:pt idx="447">
                  <c:v>7.3136000000000007E-2</c:v>
                </c:pt>
                <c:pt idx="448">
                  <c:v>7.3357999999999993E-2</c:v>
                </c:pt>
                <c:pt idx="449">
                  <c:v>7.3579999999999993E-2</c:v>
                </c:pt>
                <c:pt idx="450">
                  <c:v>7.3800000000000004E-2</c:v>
                </c:pt>
                <c:pt idx="451">
                  <c:v>7.4025999999999995E-2</c:v>
                </c:pt>
                <c:pt idx="452">
                  <c:v>7.4248000000000008E-2</c:v>
                </c:pt>
                <c:pt idx="453">
                  <c:v>7.4469999999999995E-2</c:v>
                </c:pt>
                <c:pt idx="454">
                  <c:v>7.4691999999999995E-2</c:v>
                </c:pt>
                <c:pt idx="455">
                  <c:v>7.4913999999999994E-2</c:v>
                </c:pt>
                <c:pt idx="456">
                  <c:v>7.5136000000000008E-2</c:v>
                </c:pt>
                <c:pt idx="457">
                  <c:v>7.5355999999999992E-2</c:v>
                </c:pt>
                <c:pt idx="458">
                  <c:v>7.5579999999999994E-2</c:v>
                </c:pt>
                <c:pt idx="459">
                  <c:v>7.5831999999999997E-2</c:v>
                </c:pt>
                <c:pt idx="460">
                  <c:v>7.6079999999999995E-2</c:v>
                </c:pt>
                <c:pt idx="461">
                  <c:v>7.6332000000000011E-2</c:v>
                </c:pt>
                <c:pt idx="462">
                  <c:v>7.6580000000000009E-2</c:v>
                </c:pt>
                <c:pt idx="463">
                  <c:v>7.6801999999999995E-2</c:v>
                </c:pt>
                <c:pt idx="464">
                  <c:v>7.7051999999999995E-2</c:v>
                </c:pt>
                <c:pt idx="465">
                  <c:v>7.7275999999999997E-2</c:v>
                </c:pt>
                <c:pt idx="466">
                  <c:v>7.7522000000000008E-2</c:v>
                </c:pt>
                <c:pt idx="467">
                  <c:v>7.7775999999999998E-2</c:v>
                </c:pt>
                <c:pt idx="468">
                  <c:v>7.8023999999999996E-2</c:v>
                </c:pt>
                <c:pt idx="469">
                  <c:v>7.8273999999999996E-2</c:v>
                </c:pt>
                <c:pt idx="470">
                  <c:v>7.8525999999999999E-2</c:v>
                </c:pt>
                <c:pt idx="471">
                  <c:v>7.8775999999999999E-2</c:v>
                </c:pt>
                <c:pt idx="472">
                  <c:v>7.9023999999999997E-2</c:v>
                </c:pt>
                <c:pt idx="473">
                  <c:v>7.9273999999999997E-2</c:v>
                </c:pt>
                <c:pt idx="474">
                  <c:v>7.9525999999999999E-2</c:v>
                </c:pt>
                <c:pt idx="475">
                  <c:v>7.9773999999999998E-2</c:v>
                </c:pt>
                <c:pt idx="476">
                  <c:v>8.0023999999999998E-2</c:v>
                </c:pt>
                <c:pt idx="477">
                  <c:v>8.0276E-2</c:v>
                </c:pt>
                <c:pt idx="478">
                  <c:v>8.0523999999999998E-2</c:v>
                </c:pt>
                <c:pt idx="479">
                  <c:v>8.0774000000000012E-2</c:v>
                </c:pt>
                <c:pt idx="480">
                  <c:v>8.1023999999999999E-2</c:v>
                </c:pt>
                <c:pt idx="481">
                  <c:v>8.1301999999999999E-2</c:v>
                </c:pt>
                <c:pt idx="482">
                  <c:v>8.158E-2</c:v>
                </c:pt>
                <c:pt idx="483">
                  <c:v>8.1858E-2</c:v>
                </c:pt>
                <c:pt idx="484">
                  <c:v>8.2136000000000001E-2</c:v>
                </c:pt>
                <c:pt idx="485">
                  <c:v>8.2414000000000001E-2</c:v>
                </c:pt>
                <c:pt idx="486">
                  <c:v>8.2692000000000002E-2</c:v>
                </c:pt>
                <c:pt idx="487">
                  <c:v>8.2967999999999986E-2</c:v>
                </c:pt>
                <c:pt idx="488">
                  <c:v>8.3248000000000003E-2</c:v>
                </c:pt>
                <c:pt idx="489">
                  <c:v>8.3523999999999987E-2</c:v>
                </c:pt>
                <c:pt idx="490">
                  <c:v>8.3802000000000001E-2</c:v>
                </c:pt>
                <c:pt idx="491">
                  <c:v>8.4079999999999988E-2</c:v>
                </c:pt>
                <c:pt idx="492">
                  <c:v>8.4358000000000002E-2</c:v>
                </c:pt>
                <c:pt idx="493">
                  <c:v>8.4662000000000001E-2</c:v>
                </c:pt>
                <c:pt idx="494">
                  <c:v>8.494199999999999E-2</c:v>
                </c:pt>
                <c:pt idx="495">
                  <c:v>8.5245999999999988E-2</c:v>
                </c:pt>
                <c:pt idx="496">
                  <c:v>8.5551999999999989E-2</c:v>
                </c:pt>
                <c:pt idx="497">
                  <c:v>8.5860000000000006E-2</c:v>
                </c:pt>
                <c:pt idx="498">
                  <c:v>8.6136000000000004E-2</c:v>
                </c:pt>
                <c:pt idx="499">
                  <c:v>8.6441999999999991E-2</c:v>
                </c:pt>
                <c:pt idx="500">
                  <c:v>8.6746000000000004E-2</c:v>
                </c:pt>
                <c:pt idx="501">
                  <c:v>8.705199999999999E-2</c:v>
                </c:pt>
                <c:pt idx="502">
                  <c:v>8.7357999999999991E-2</c:v>
                </c:pt>
                <c:pt idx="503">
                  <c:v>8.766199999999999E-2</c:v>
                </c:pt>
                <c:pt idx="504">
                  <c:v>8.7942000000000006E-2</c:v>
                </c:pt>
                <c:pt idx="505">
                  <c:v>8.8246000000000005E-2</c:v>
                </c:pt>
                <c:pt idx="506">
                  <c:v>8.8552000000000006E-2</c:v>
                </c:pt>
                <c:pt idx="507">
                  <c:v>8.8859999999999995E-2</c:v>
                </c:pt>
                <c:pt idx="508">
                  <c:v>8.9163999999999993E-2</c:v>
                </c:pt>
                <c:pt idx="509">
                  <c:v>8.9469999999999994E-2</c:v>
                </c:pt>
                <c:pt idx="510">
                  <c:v>8.9801999999999993E-2</c:v>
                </c:pt>
                <c:pt idx="511">
                  <c:v>9.0107999999999994E-2</c:v>
                </c:pt>
                <c:pt idx="512">
                  <c:v>9.0441999999999995E-2</c:v>
                </c:pt>
                <c:pt idx="513">
                  <c:v>9.0746000000000007E-2</c:v>
                </c:pt>
                <c:pt idx="514">
                  <c:v>9.1080000000000008E-2</c:v>
                </c:pt>
                <c:pt idx="515">
                  <c:v>9.1414000000000009E-2</c:v>
                </c:pt>
                <c:pt idx="516">
                  <c:v>9.1747999999999996E-2</c:v>
                </c:pt>
                <c:pt idx="517">
                  <c:v>9.2079999999999995E-2</c:v>
                </c:pt>
                <c:pt idx="518">
                  <c:v>9.2411999999999994E-2</c:v>
                </c:pt>
                <c:pt idx="519">
                  <c:v>9.2748000000000011E-2</c:v>
                </c:pt>
                <c:pt idx="520">
                  <c:v>9.3079999999999996E-2</c:v>
                </c:pt>
                <c:pt idx="521">
                  <c:v>9.3413999999999997E-2</c:v>
                </c:pt>
                <c:pt idx="522">
                  <c:v>9.3773999999999996E-2</c:v>
                </c:pt>
                <c:pt idx="523">
                  <c:v>9.4107999999999997E-2</c:v>
                </c:pt>
                <c:pt idx="524">
                  <c:v>9.4467999999999996E-2</c:v>
                </c:pt>
                <c:pt idx="525">
                  <c:v>9.4830000000000012E-2</c:v>
                </c:pt>
                <c:pt idx="526">
                  <c:v>9.5189999999999997E-2</c:v>
                </c:pt>
                <c:pt idx="527">
                  <c:v>9.5554E-2</c:v>
                </c:pt>
                <c:pt idx="528">
                  <c:v>9.5913999999999999E-2</c:v>
                </c:pt>
                <c:pt idx="529">
                  <c:v>9.6275999999999987E-2</c:v>
                </c:pt>
                <c:pt idx="530">
                  <c:v>9.6636E-2</c:v>
                </c:pt>
                <c:pt idx="531">
                  <c:v>9.6998000000000001E-2</c:v>
                </c:pt>
                <c:pt idx="532">
                  <c:v>9.7358E-2</c:v>
                </c:pt>
                <c:pt idx="533">
                  <c:v>9.7720000000000001E-2</c:v>
                </c:pt>
                <c:pt idx="534">
                  <c:v>9.8080000000000001E-2</c:v>
                </c:pt>
                <c:pt idx="535">
                  <c:v>9.844E-2</c:v>
                </c:pt>
                <c:pt idx="536">
                  <c:v>9.8802000000000001E-2</c:v>
                </c:pt>
                <c:pt idx="537">
                  <c:v>9.9163999999999988E-2</c:v>
                </c:pt>
                <c:pt idx="538">
                  <c:v>9.9524000000000001E-2</c:v>
                </c:pt>
                <c:pt idx="539">
                  <c:v>9.9914000000000003E-2</c:v>
                </c:pt>
                <c:pt idx="540">
                  <c:v>0.100302</c:v>
                </c:pt>
                <c:pt idx="541">
                  <c:v>0.10069</c:v>
                </c:pt>
                <c:pt idx="542">
                  <c:v>0.10108</c:v>
                </c:pt>
                <c:pt idx="543">
                  <c:v>0.10147</c:v>
                </c:pt>
                <c:pt idx="544">
                  <c:v>0.101858</c:v>
                </c:pt>
                <c:pt idx="545">
                  <c:v>0.10227399999999999</c:v>
                </c:pt>
                <c:pt idx="546">
                  <c:v>0.10269199999999999</c:v>
                </c:pt>
                <c:pt idx="547">
                  <c:v>0.10313599999999999</c:v>
                </c:pt>
                <c:pt idx="548">
                  <c:v>0.10355200000000001</c:v>
                </c:pt>
                <c:pt idx="549">
                  <c:v>0.10397000000000001</c:v>
                </c:pt>
                <c:pt idx="550">
                  <c:v>0.10438599999999999</c:v>
                </c:pt>
                <c:pt idx="551">
                  <c:v>0.10483000000000001</c:v>
                </c:pt>
                <c:pt idx="552">
                  <c:v>0.10527400000000001</c:v>
                </c:pt>
                <c:pt idx="553">
                  <c:v>0.10571999999999999</c:v>
                </c:pt>
                <c:pt idx="554">
                  <c:v>0.10616199999999999</c:v>
                </c:pt>
                <c:pt idx="555">
                  <c:v>0.10661</c:v>
                </c:pt>
                <c:pt idx="556">
                  <c:v>0.107054</c:v>
                </c:pt>
                <c:pt idx="557">
                  <c:v>0.10749599999999999</c:v>
                </c:pt>
                <c:pt idx="558">
                  <c:v>0.107942</c:v>
                </c:pt>
                <c:pt idx="559">
                  <c:v>0.108386</c:v>
                </c:pt>
                <c:pt idx="560">
                  <c:v>0.10883</c:v>
                </c:pt>
                <c:pt idx="561">
                  <c:v>0.10927400000000001</c:v>
                </c:pt>
                <c:pt idx="562">
                  <c:v>0.109748</c:v>
                </c:pt>
                <c:pt idx="563">
                  <c:v>0.11022</c:v>
                </c:pt>
                <c:pt idx="564">
                  <c:v>0.11069000000000001</c:v>
                </c:pt>
                <c:pt idx="565">
                  <c:v>0.111166</c:v>
                </c:pt>
                <c:pt idx="566">
                  <c:v>0.111634</c:v>
                </c:pt>
                <c:pt idx="567">
                  <c:v>0.11210800000000001</c:v>
                </c:pt>
                <c:pt idx="568">
                  <c:v>0.11257999999999999</c:v>
                </c:pt>
                <c:pt idx="569">
                  <c:v>0.11308</c:v>
                </c:pt>
                <c:pt idx="570">
                  <c:v>0.113582</c:v>
                </c:pt>
                <c:pt idx="571">
                  <c:v>0.114082</c:v>
                </c:pt>
                <c:pt idx="572">
                  <c:v>0.114608</c:v>
                </c:pt>
                <c:pt idx="573">
                  <c:v>0.115136</c:v>
                </c:pt>
                <c:pt idx="574">
                  <c:v>0.115662</c:v>
                </c:pt>
                <c:pt idx="575">
                  <c:v>0.11619</c:v>
                </c:pt>
                <c:pt idx="576">
                  <c:v>0.11671799999999999</c:v>
                </c:pt>
                <c:pt idx="577">
                  <c:v>0.117248</c:v>
                </c:pt>
                <c:pt idx="578">
                  <c:v>0.11780400000000001</c:v>
                </c:pt>
                <c:pt idx="579">
                  <c:v>0.11835599999999999</c:v>
                </c:pt>
                <c:pt idx="580">
                  <c:v>0.11891400000000001</c:v>
                </c:pt>
                <c:pt idx="581">
                  <c:v>0.11946999999999999</c:v>
                </c:pt>
                <c:pt idx="582">
                  <c:v>0.12005200000000001</c:v>
                </c:pt>
                <c:pt idx="583">
                  <c:v>0.12063399999999999</c:v>
                </c:pt>
                <c:pt idx="584">
                  <c:v>0.12127599999999999</c:v>
                </c:pt>
                <c:pt idx="585">
                  <c:v>0.121998</c:v>
                </c:pt>
              </c:numCache>
            </c:numRef>
          </c:cat>
          <c:val>
            <c:numRef>
              <c:f>'A12-3'!$F$2:$F$587</c:f>
              <c:numCache>
                <c:formatCode>0.00</c:formatCode>
                <c:ptCount val="586"/>
                <c:pt idx="0">
                  <c:v>0</c:v>
                </c:pt>
                <c:pt idx="1">
                  <c:v>0.1518144872101363</c:v>
                </c:pt>
                <c:pt idx="2">
                  <c:v>0.1518144872101363</c:v>
                </c:pt>
                <c:pt idx="3">
                  <c:v>0.1518144872101363</c:v>
                </c:pt>
                <c:pt idx="4">
                  <c:v>0.1518144872101363</c:v>
                </c:pt>
                <c:pt idx="5">
                  <c:v>0.1518144872101363</c:v>
                </c:pt>
                <c:pt idx="6">
                  <c:v>0.1518144872101363</c:v>
                </c:pt>
                <c:pt idx="7">
                  <c:v>0.1518144872101363</c:v>
                </c:pt>
                <c:pt idx="8">
                  <c:v>0.1518144872101363</c:v>
                </c:pt>
                <c:pt idx="9">
                  <c:v>0.1518144872101363</c:v>
                </c:pt>
                <c:pt idx="10">
                  <c:v>0.15723643318192687</c:v>
                </c:pt>
                <c:pt idx="11">
                  <c:v>0.1518144872101363</c:v>
                </c:pt>
                <c:pt idx="12">
                  <c:v>0.15723643318192687</c:v>
                </c:pt>
                <c:pt idx="13">
                  <c:v>0.1518144872101363</c:v>
                </c:pt>
                <c:pt idx="14">
                  <c:v>0.1518144872101363</c:v>
                </c:pt>
                <c:pt idx="15">
                  <c:v>0.1518144872101363</c:v>
                </c:pt>
                <c:pt idx="16">
                  <c:v>0.1518144872101363</c:v>
                </c:pt>
                <c:pt idx="17">
                  <c:v>0.1518144872101363</c:v>
                </c:pt>
                <c:pt idx="18">
                  <c:v>0.1518144872101363</c:v>
                </c:pt>
                <c:pt idx="19">
                  <c:v>0.1518144872101363</c:v>
                </c:pt>
                <c:pt idx="20">
                  <c:v>0.15723643318192687</c:v>
                </c:pt>
                <c:pt idx="21">
                  <c:v>0.15723643318192687</c:v>
                </c:pt>
                <c:pt idx="22">
                  <c:v>0.15723643318192687</c:v>
                </c:pt>
                <c:pt idx="23">
                  <c:v>0.15723643318192687</c:v>
                </c:pt>
                <c:pt idx="24">
                  <c:v>0.16265837915371742</c:v>
                </c:pt>
                <c:pt idx="25">
                  <c:v>0.16265837915371742</c:v>
                </c:pt>
                <c:pt idx="26">
                  <c:v>0.1735022710972986</c:v>
                </c:pt>
                <c:pt idx="27">
                  <c:v>0.18976810901267036</c:v>
                </c:pt>
                <c:pt idx="28">
                  <c:v>0.21145589289983266</c:v>
                </c:pt>
                <c:pt idx="29">
                  <c:v>0.21687783887162324</c:v>
                </c:pt>
                <c:pt idx="30">
                  <c:v>0.22229978484341384</c:v>
                </c:pt>
                <c:pt idx="31">
                  <c:v>0.22229978484341384</c:v>
                </c:pt>
                <c:pt idx="32">
                  <c:v>0.22229978484341384</c:v>
                </c:pt>
                <c:pt idx="33">
                  <c:v>0.22229978484341384</c:v>
                </c:pt>
                <c:pt idx="34">
                  <c:v>0.22229978484341384</c:v>
                </c:pt>
                <c:pt idx="35">
                  <c:v>0.22229978484341384</c:v>
                </c:pt>
                <c:pt idx="36">
                  <c:v>0.22229978484341384</c:v>
                </c:pt>
                <c:pt idx="37">
                  <c:v>0.22229978484341384</c:v>
                </c:pt>
                <c:pt idx="38">
                  <c:v>0.22229978484341384</c:v>
                </c:pt>
                <c:pt idx="39">
                  <c:v>0.22772173081520442</c:v>
                </c:pt>
                <c:pt idx="40">
                  <c:v>0.22229978484341384</c:v>
                </c:pt>
                <c:pt idx="41">
                  <c:v>0.22772173081520442</c:v>
                </c:pt>
                <c:pt idx="42">
                  <c:v>0.22772173081520442</c:v>
                </c:pt>
                <c:pt idx="43">
                  <c:v>0.22772173081520442</c:v>
                </c:pt>
                <c:pt idx="44">
                  <c:v>0.22772173081520442</c:v>
                </c:pt>
                <c:pt idx="45">
                  <c:v>0.22772173081520442</c:v>
                </c:pt>
                <c:pt idx="46">
                  <c:v>0.22772173081520442</c:v>
                </c:pt>
                <c:pt idx="47">
                  <c:v>0.22772173081520442</c:v>
                </c:pt>
                <c:pt idx="48">
                  <c:v>0.22772173081520442</c:v>
                </c:pt>
                <c:pt idx="49">
                  <c:v>0.22772173081520442</c:v>
                </c:pt>
                <c:pt idx="50">
                  <c:v>0.22772173081520442</c:v>
                </c:pt>
                <c:pt idx="51">
                  <c:v>0.22772173081520442</c:v>
                </c:pt>
                <c:pt idx="52">
                  <c:v>0.22772173081520442</c:v>
                </c:pt>
                <c:pt idx="53">
                  <c:v>0.22772173081520442</c:v>
                </c:pt>
                <c:pt idx="54">
                  <c:v>0.23314048928201453</c:v>
                </c:pt>
                <c:pt idx="55">
                  <c:v>0.23314048928201453</c:v>
                </c:pt>
                <c:pt idx="56">
                  <c:v>0.23314048928201453</c:v>
                </c:pt>
                <c:pt idx="57">
                  <c:v>0.23314048928201453</c:v>
                </c:pt>
                <c:pt idx="58">
                  <c:v>0.23314048928201453</c:v>
                </c:pt>
                <c:pt idx="59">
                  <c:v>0.23856243525380511</c:v>
                </c:pt>
                <c:pt idx="60">
                  <c:v>0.23856243525380511</c:v>
                </c:pt>
                <c:pt idx="61">
                  <c:v>0.24398438122559568</c:v>
                </c:pt>
                <c:pt idx="62">
                  <c:v>0.24398438122559568</c:v>
                </c:pt>
                <c:pt idx="63">
                  <c:v>0.23856243525380511</c:v>
                </c:pt>
                <c:pt idx="64">
                  <c:v>0.24398438122559568</c:v>
                </c:pt>
                <c:pt idx="65">
                  <c:v>0.24398438122559568</c:v>
                </c:pt>
                <c:pt idx="66">
                  <c:v>0.24398438122559568</c:v>
                </c:pt>
                <c:pt idx="67">
                  <c:v>0.24940632719738623</c:v>
                </c:pt>
                <c:pt idx="68">
                  <c:v>0.24940632719738623</c:v>
                </c:pt>
                <c:pt idx="69">
                  <c:v>0.24940632719738623</c:v>
                </c:pt>
                <c:pt idx="70">
                  <c:v>0.25482827316917683</c:v>
                </c:pt>
                <c:pt idx="71">
                  <c:v>0.26025021914096741</c:v>
                </c:pt>
                <c:pt idx="72">
                  <c:v>0.27109411108454856</c:v>
                </c:pt>
                <c:pt idx="73">
                  <c:v>0.28735994899992034</c:v>
                </c:pt>
                <c:pt idx="74">
                  <c:v>0.30904773288708265</c:v>
                </c:pt>
                <c:pt idx="75">
                  <c:v>0.33073551677424495</c:v>
                </c:pt>
                <c:pt idx="76">
                  <c:v>0.35241055064148535</c:v>
                </c:pt>
                <c:pt idx="77">
                  <c:v>0.3741174595585306</c:v>
                </c:pt>
                <c:pt idx="78">
                  <c:v>0.395792493425771</c:v>
                </c:pt>
                <c:pt idx="79">
                  <c:v>0.41749940234281624</c:v>
                </c:pt>
                <c:pt idx="80">
                  <c:v>0.4445931946768667</c:v>
                </c:pt>
                <c:pt idx="81">
                  <c:v>0.4662682285441071</c:v>
                </c:pt>
                <c:pt idx="82">
                  <c:v>0.48797513746115229</c:v>
                </c:pt>
                <c:pt idx="83">
                  <c:v>0.50965017132839274</c:v>
                </c:pt>
                <c:pt idx="84">
                  <c:v>0.53135708024543793</c:v>
                </c:pt>
                <c:pt idx="85">
                  <c:v>0.55845087257948844</c:v>
                </c:pt>
                <c:pt idx="86">
                  <c:v>0.58015778149653363</c:v>
                </c:pt>
                <c:pt idx="87">
                  <c:v>0.60183281536377409</c:v>
                </c:pt>
                <c:pt idx="88">
                  <c:v>0.62350784923101454</c:v>
                </c:pt>
                <c:pt idx="89">
                  <c:v>0.64521475814805973</c:v>
                </c:pt>
                <c:pt idx="90">
                  <c:v>0.66688979201530019</c:v>
                </c:pt>
                <c:pt idx="91">
                  <c:v>0.68859670093234537</c:v>
                </c:pt>
                <c:pt idx="92">
                  <c:v>0.71027173479958561</c:v>
                </c:pt>
                <c:pt idx="93">
                  <c:v>0.73194676866682606</c:v>
                </c:pt>
                <c:pt idx="94">
                  <c:v>0.75365367758387114</c:v>
                </c:pt>
                <c:pt idx="95">
                  <c:v>0.77532871145111171</c:v>
                </c:pt>
                <c:pt idx="96">
                  <c:v>0.79703562036815678</c:v>
                </c:pt>
                <c:pt idx="97">
                  <c:v>0.81871065423539724</c:v>
                </c:pt>
                <c:pt idx="98">
                  <c:v>0.8403856881026377</c:v>
                </c:pt>
                <c:pt idx="99">
                  <c:v>0.86209259701968288</c:v>
                </c:pt>
                <c:pt idx="100">
                  <c:v>0.88376763088692334</c:v>
                </c:pt>
                <c:pt idx="101">
                  <c:v>0.90547453980396853</c:v>
                </c:pt>
                <c:pt idx="102">
                  <c:v>0.92714957367120898</c:v>
                </c:pt>
                <c:pt idx="103">
                  <c:v>0.94882460753844933</c:v>
                </c:pt>
                <c:pt idx="104">
                  <c:v>0.97053151645549451</c:v>
                </c:pt>
                <c:pt idx="105">
                  <c:v>0.99220655032273497</c:v>
                </c:pt>
                <c:pt idx="106">
                  <c:v>1.0138815841899753</c:v>
                </c:pt>
                <c:pt idx="107">
                  <c:v>1.0355884931070205</c:v>
                </c:pt>
                <c:pt idx="108">
                  <c:v>1.0572635269742607</c:v>
                </c:pt>
                <c:pt idx="109">
                  <c:v>1.0789704358913064</c:v>
                </c:pt>
                <c:pt idx="110">
                  <c:v>1.1006454697585466</c:v>
                </c:pt>
                <c:pt idx="111">
                  <c:v>1.1223205036257871</c:v>
                </c:pt>
                <c:pt idx="112">
                  <c:v>1.144027412542832</c:v>
                </c:pt>
                <c:pt idx="113">
                  <c:v>1.1657024464100725</c:v>
                </c:pt>
                <c:pt idx="114">
                  <c:v>1.1874093553271179</c:v>
                </c:pt>
                <c:pt idx="115">
                  <c:v>1.2145031476611681</c:v>
                </c:pt>
                <c:pt idx="116">
                  <c:v>1.2362100565782135</c:v>
                </c:pt>
                <c:pt idx="117">
                  <c:v>1.2578850904454539</c:v>
                </c:pt>
                <c:pt idx="118">
                  <c:v>1.2795601243126944</c:v>
                </c:pt>
                <c:pt idx="119">
                  <c:v>1.3012670332297394</c:v>
                </c:pt>
                <c:pt idx="120">
                  <c:v>1.3229420670969798</c:v>
                </c:pt>
                <c:pt idx="121">
                  <c:v>1.3446489760140252</c:v>
                </c:pt>
                <c:pt idx="122">
                  <c:v>1.3663240098812657</c:v>
                </c:pt>
                <c:pt idx="123">
                  <c:v>1.3879990437485059</c:v>
                </c:pt>
                <c:pt idx="124">
                  <c:v>1.4097059526655511</c:v>
                </c:pt>
                <c:pt idx="125">
                  <c:v>1.4313809865327916</c:v>
                </c:pt>
                <c:pt idx="126">
                  <c:v>1.453056020400032</c:v>
                </c:pt>
                <c:pt idx="127">
                  <c:v>1.4747629293170772</c:v>
                </c:pt>
                <c:pt idx="128">
                  <c:v>1.4964379631843177</c:v>
                </c:pt>
                <c:pt idx="129">
                  <c:v>1.5181448721013628</c:v>
                </c:pt>
                <c:pt idx="130">
                  <c:v>1.5398199059686033</c:v>
                </c:pt>
                <c:pt idx="131">
                  <c:v>1.5614949398358435</c:v>
                </c:pt>
                <c:pt idx="132">
                  <c:v>1.5832018487528887</c:v>
                </c:pt>
                <c:pt idx="133">
                  <c:v>1.604876882620129</c:v>
                </c:pt>
                <c:pt idx="134">
                  <c:v>1.6265837915371746</c:v>
                </c:pt>
                <c:pt idx="135">
                  <c:v>1.6482588254044148</c:v>
                </c:pt>
                <c:pt idx="136">
                  <c:v>1.6699338592716553</c:v>
                </c:pt>
                <c:pt idx="137">
                  <c:v>1.6916407681887002</c:v>
                </c:pt>
                <c:pt idx="138">
                  <c:v>1.7133158020559407</c:v>
                </c:pt>
                <c:pt idx="139">
                  <c:v>1.7350227109729859</c:v>
                </c:pt>
                <c:pt idx="140">
                  <c:v>1.7566977448402263</c:v>
                </c:pt>
                <c:pt idx="141">
                  <c:v>1.7783727787074668</c:v>
                </c:pt>
                <c:pt idx="142">
                  <c:v>1.800079687624512</c:v>
                </c:pt>
                <c:pt idx="143">
                  <c:v>1.8271734799585626</c:v>
                </c:pt>
                <c:pt idx="144">
                  <c:v>1.8488803888756076</c:v>
                </c:pt>
                <c:pt idx="145">
                  <c:v>1.870555422742848</c:v>
                </c:pt>
                <c:pt idx="146">
                  <c:v>1.8922304566100885</c:v>
                </c:pt>
                <c:pt idx="147">
                  <c:v>1.9139373655271337</c:v>
                </c:pt>
                <c:pt idx="148">
                  <c:v>1.9356123993943741</c:v>
                </c:pt>
                <c:pt idx="149">
                  <c:v>1.9627380667782295</c:v>
                </c:pt>
                <c:pt idx="150">
                  <c:v>1.9898318591122799</c:v>
                </c:pt>
                <c:pt idx="151">
                  <c:v>2.0169575264961352</c:v>
                </c:pt>
                <c:pt idx="152">
                  <c:v>2.0386325603633759</c:v>
                </c:pt>
                <c:pt idx="153">
                  <c:v>2.0603394692804211</c:v>
                </c:pt>
                <c:pt idx="154">
                  <c:v>2.0820145031476613</c:v>
                </c:pt>
                <c:pt idx="155">
                  <c:v>2.1036895370149016</c:v>
                </c:pt>
                <c:pt idx="156">
                  <c:v>2.1253964459319468</c:v>
                </c:pt>
                <c:pt idx="157">
                  <c:v>2.1470714797991874</c:v>
                </c:pt>
                <c:pt idx="158">
                  <c:v>2.1687783887162326</c:v>
                </c:pt>
                <c:pt idx="159">
                  <c:v>2.1904534225834729</c:v>
                </c:pt>
                <c:pt idx="160">
                  <c:v>2.2121284564507135</c:v>
                </c:pt>
                <c:pt idx="161">
                  <c:v>2.2338353653677587</c:v>
                </c:pt>
                <c:pt idx="162">
                  <c:v>2.255510399234999</c:v>
                </c:pt>
                <c:pt idx="163">
                  <c:v>2.2771854331022392</c:v>
                </c:pt>
                <c:pt idx="164">
                  <c:v>2.3043111004860948</c:v>
                </c:pt>
                <c:pt idx="165">
                  <c:v>2.325986134353335</c:v>
                </c:pt>
                <c:pt idx="166">
                  <c:v>2.3476930432703802</c:v>
                </c:pt>
                <c:pt idx="167">
                  <c:v>2.3747868356044308</c:v>
                </c:pt>
                <c:pt idx="168">
                  <c:v>2.396493744521476</c:v>
                </c:pt>
                <c:pt idx="169">
                  <c:v>2.4181687783887162</c:v>
                </c:pt>
                <c:pt idx="170">
                  <c:v>2.4398438122559565</c:v>
                </c:pt>
                <c:pt idx="171">
                  <c:v>2.4615507211730021</c:v>
                </c:pt>
                <c:pt idx="172">
                  <c:v>2.4886445135070527</c:v>
                </c:pt>
                <c:pt idx="173">
                  <c:v>2.5103514224240975</c:v>
                </c:pt>
                <c:pt idx="174">
                  <c:v>2.5374452147581481</c:v>
                </c:pt>
                <c:pt idx="175">
                  <c:v>2.5591521236751937</c:v>
                </c:pt>
                <c:pt idx="176">
                  <c:v>2.5862459160092439</c:v>
                </c:pt>
                <c:pt idx="177">
                  <c:v>2.6079528249262887</c:v>
                </c:pt>
                <c:pt idx="178">
                  <c:v>2.6350466172603397</c:v>
                </c:pt>
                <c:pt idx="179">
                  <c:v>2.65672165112758</c:v>
                </c:pt>
                <c:pt idx="180">
                  <c:v>2.6838473185114351</c:v>
                </c:pt>
                <c:pt idx="181">
                  <c:v>2.7055223523786758</c:v>
                </c:pt>
                <c:pt idx="182">
                  <c:v>2.7326480197625314</c:v>
                </c:pt>
                <c:pt idx="183">
                  <c:v>2.7543230536297711</c:v>
                </c:pt>
                <c:pt idx="184">
                  <c:v>2.7814487210136267</c:v>
                </c:pt>
                <c:pt idx="185">
                  <c:v>2.8031237548808674</c:v>
                </c:pt>
                <c:pt idx="186">
                  <c:v>2.8302494222647225</c:v>
                </c:pt>
                <c:pt idx="187">
                  <c:v>2.8519244561319628</c:v>
                </c:pt>
                <c:pt idx="188">
                  <c:v>2.8790182484660134</c:v>
                </c:pt>
                <c:pt idx="189">
                  <c:v>2.9007251573830586</c:v>
                </c:pt>
                <c:pt idx="190">
                  <c:v>2.9278189497171092</c:v>
                </c:pt>
                <c:pt idx="191">
                  <c:v>2.9549446171009643</c:v>
                </c:pt>
                <c:pt idx="192">
                  <c:v>2.9766196509682046</c:v>
                </c:pt>
                <c:pt idx="193">
                  <c:v>2.9983265598852498</c:v>
                </c:pt>
                <c:pt idx="194">
                  <c:v>3.0200015937524904</c:v>
                </c:pt>
                <c:pt idx="195">
                  <c:v>3.0416766276197307</c:v>
                </c:pt>
                <c:pt idx="196">
                  <c:v>3.0633835365367759</c:v>
                </c:pt>
                <c:pt idx="197">
                  <c:v>3.0904773288708269</c:v>
                </c:pt>
                <c:pt idx="198">
                  <c:v>3.1176029962546821</c:v>
                </c:pt>
                <c:pt idx="199">
                  <c:v>3.1392780301219219</c:v>
                </c:pt>
                <c:pt idx="200">
                  <c:v>3.1609849390389679</c:v>
                </c:pt>
                <c:pt idx="201">
                  <c:v>3.1881424814726271</c:v>
                </c:pt>
                <c:pt idx="202">
                  <c:v>3.2152362738066782</c:v>
                </c:pt>
                <c:pt idx="203">
                  <c:v>3.2369113076739184</c:v>
                </c:pt>
                <c:pt idx="204">
                  <c:v>3.2585863415411591</c:v>
                </c:pt>
                <c:pt idx="205">
                  <c:v>3.2802613754083993</c:v>
                </c:pt>
                <c:pt idx="206">
                  <c:v>3.3019364092756396</c:v>
                </c:pt>
                <c:pt idx="207">
                  <c:v>3.3236114431428798</c:v>
                </c:pt>
                <c:pt idx="208">
                  <c:v>3.3452864770101205</c:v>
                </c:pt>
                <c:pt idx="209">
                  <c:v>3.3723802693441711</c:v>
                </c:pt>
                <c:pt idx="210">
                  <c:v>3.3994740616782217</c:v>
                </c:pt>
                <c:pt idx="211">
                  <c:v>3.4265678540122724</c:v>
                </c:pt>
                <c:pt idx="212">
                  <c:v>3.4536616463463221</c:v>
                </c:pt>
                <c:pt idx="213">
                  <c:v>3.4807554386803732</c:v>
                </c:pt>
                <c:pt idx="214">
                  <c:v>3.5078492310144234</c:v>
                </c:pt>
                <c:pt idx="215">
                  <c:v>3.5349430233484744</c:v>
                </c:pt>
                <c:pt idx="216">
                  <c:v>3.5620368156825246</c:v>
                </c:pt>
                <c:pt idx="217">
                  <c:v>3.589449358514623</c:v>
                </c:pt>
                <c:pt idx="218">
                  <c:v>3.6165431508486732</c:v>
                </c:pt>
                <c:pt idx="219">
                  <c:v>3.6382181847159143</c:v>
                </c:pt>
                <c:pt idx="220">
                  <c:v>3.665311977049964</c:v>
                </c:pt>
                <c:pt idx="221">
                  <c:v>3.6924057693840151</c:v>
                </c:pt>
                <c:pt idx="222">
                  <c:v>3.7140808032512553</c:v>
                </c:pt>
                <c:pt idx="223">
                  <c:v>3.741174595585306</c:v>
                </c:pt>
                <c:pt idx="224">
                  <c:v>3.7682683879193561</c:v>
                </c:pt>
                <c:pt idx="225">
                  <c:v>3.7953621802534063</c:v>
                </c:pt>
                <c:pt idx="226">
                  <c:v>3.8170372141206474</c:v>
                </c:pt>
                <c:pt idx="227">
                  <c:v>3.8441310064546976</c:v>
                </c:pt>
                <c:pt idx="228">
                  <c:v>3.8712247987887483</c:v>
                </c:pt>
                <c:pt idx="229">
                  <c:v>3.8928998326559885</c:v>
                </c:pt>
                <c:pt idx="230">
                  <c:v>3.9199936249900396</c:v>
                </c:pt>
                <c:pt idx="231">
                  <c:v>3.9470874173240897</c:v>
                </c:pt>
                <c:pt idx="232">
                  <c:v>3.9687624511913304</c:v>
                </c:pt>
                <c:pt idx="233">
                  <c:v>3.9958562435253806</c:v>
                </c:pt>
                <c:pt idx="234">
                  <c:v>4.0175312773926208</c:v>
                </c:pt>
                <c:pt idx="235">
                  <c:v>4.0446250697266715</c:v>
                </c:pt>
                <c:pt idx="236">
                  <c:v>4.0663001035939121</c:v>
                </c:pt>
                <c:pt idx="237">
                  <c:v>4.0879751374611528</c:v>
                </c:pt>
                <c:pt idx="238">
                  <c:v>4.1150689297952026</c:v>
                </c:pt>
                <c:pt idx="239">
                  <c:v>4.137062714160491</c:v>
                </c:pt>
                <c:pt idx="240">
                  <c:v>4.1587377480277317</c:v>
                </c:pt>
                <c:pt idx="241">
                  <c:v>4.1858315403617814</c:v>
                </c:pt>
                <c:pt idx="242">
                  <c:v>4.2183440911626429</c:v>
                </c:pt>
                <c:pt idx="243">
                  <c:v>4.2508566419635034</c:v>
                </c:pt>
                <c:pt idx="244">
                  <c:v>4.288787951231174</c:v>
                </c:pt>
                <c:pt idx="245">
                  <c:v>4.3213005020320345</c:v>
                </c:pt>
                <c:pt idx="246">
                  <c:v>4.3592318112997051</c:v>
                </c:pt>
                <c:pt idx="247">
                  <c:v>4.3917443621005656</c:v>
                </c:pt>
                <c:pt idx="248">
                  <c:v>4.4242569129014271</c:v>
                </c:pt>
                <c:pt idx="249">
                  <c:v>4.4567694637022877</c:v>
                </c:pt>
                <c:pt idx="250">
                  <c:v>4.4947007729699573</c:v>
                </c:pt>
                <c:pt idx="251">
                  <c:v>4.5272133237708179</c:v>
                </c:pt>
                <c:pt idx="252">
                  <c:v>4.5597258745716802</c:v>
                </c:pt>
                <c:pt idx="253">
                  <c:v>4.5976571838393498</c:v>
                </c:pt>
                <c:pt idx="254">
                  <c:v>4.6301697346402095</c:v>
                </c:pt>
                <c:pt idx="255">
                  <c:v>4.6626822854410719</c:v>
                </c:pt>
                <c:pt idx="256">
                  <c:v>4.6955135867399793</c:v>
                </c:pt>
                <c:pt idx="257">
                  <c:v>4.7280261375408408</c:v>
                </c:pt>
                <c:pt idx="258">
                  <c:v>4.7605386883417005</c:v>
                </c:pt>
                <c:pt idx="259">
                  <c:v>4.793051239142561</c:v>
                </c:pt>
                <c:pt idx="260">
                  <c:v>4.8255637899434216</c:v>
                </c:pt>
                <c:pt idx="261">
                  <c:v>4.8580763407442822</c:v>
                </c:pt>
                <c:pt idx="262">
                  <c:v>4.8905888915451436</c:v>
                </c:pt>
                <c:pt idx="263">
                  <c:v>4.9231014423460042</c:v>
                </c:pt>
                <c:pt idx="264">
                  <c:v>4.9556139931468648</c:v>
                </c:pt>
                <c:pt idx="265">
                  <c:v>4.9881265439477254</c:v>
                </c:pt>
                <c:pt idx="266">
                  <c:v>5.0206390947485851</c:v>
                </c:pt>
                <c:pt idx="267">
                  <c:v>5.0585704040162565</c:v>
                </c:pt>
                <c:pt idx="268">
                  <c:v>5.091082954817117</c:v>
                </c:pt>
                <c:pt idx="269">
                  <c:v>5.1235955056179776</c:v>
                </c:pt>
                <c:pt idx="270">
                  <c:v>5.161526814885649</c:v>
                </c:pt>
                <c:pt idx="271">
                  <c:v>5.1940393656865087</c:v>
                </c:pt>
                <c:pt idx="272">
                  <c:v>5.2322894254522279</c:v>
                </c:pt>
                <c:pt idx="273">
                  <c:v>5.2648019762530875</c:v>
                </c:pt>
                <c:pt idx="274">
                  <c:v>5.3027332855207598</c:v>
                </c:pt>
                <c:pt idx="275">
                  <c:v>5.3406645947884304</c:v>
                </c:pt>
                <c:pt idx="276">
                  <c:v>5.37317714558929</c:v>
                </c:pt>
                <c:pt idx="277">
                  <c:v>5.4056896963901506</c:v>
                </c:pt>
                <c:pt idx="278">
                  <c:v>5.443621005657822</c:v>
                </c:pt>
                <c:pt idx="279">
                  <c:v>5.4761335564586826</c:v>
                </c:pt>
                <c:pt idx="280">
                  <c:v>5.514064865726354</c:v>
                </c:pt>
                <c:pt idx="281">
                  <c:v>5.5519961749940236</c:v>
                </c:pt>
                <c:pt idx="282">
                  <c:v>5.600765001195315</c:v>
                </c:pt>
                <c:pt idx="283">
                  <c:v>5.6495338273966063</c:v>
                </c:pt>
                <c:pt idx="284">
                  <c:v>5.6983026535978967</c:v>
                </c:pt>
                <c:pt idx="285">
                  <c:v>5.747071479799188</c:v>
                </c:pt>
                <c:pt idx="286">
                  <c:v>5.796159056498527</c:v>
                </c:pt>
                <c:pt idx="287">
                  <c:v>5.8449278826998174</c:v>
                </c:pt>
                <c:pt idx="288">
                  <c:v>5.8991154673679178</c:v>
                </c:pt>
                <c:pt idx="289">
                  <c:v>5.9478842935692091</c:v>
                </c:pt>
                <c:pt idx="290">
                  <c:v>5.9966531197704995</c:v>
                </c:pt>
                <c:pt idx="291">
                  <c:v>6.0454219459717908</c:v>
                </c:pt>
                <c:pt idx="292">
                  <c:v>6.0996095306398921</c:v>
                </c:pt>
                <c:pt idx="293">
                  <c:v>6.1483783568411825</c:v>
                </c:pt>
                <c:pt idx="294">
                  <c:v>6.1971471830424729</c:v>
                </c:pt>
                <c:pt idx="295">
                  <c:v>6.2404972507769552</c:v>
                </c:pt>
                <c:pt idx="296">
                  <c:v>6.2892660769782456</c:v>
                </c:pt>
                <c:pt idx="297">
                  <c:v>6.3437724121443946</c:v>
                </c:pt>
                <c:pt idx="298">
                  <c:v>6.392541238345685</c:v>
                </c:pt>
                <c:pt idx="299">
                  <c:v>6.4467288230137862</c:v>
                </c:pt>
                <c:pt idx="300">
                  <c:v>6.4954976492150767</c:v>
                </c:pt>
                <c:pt idx="301">
                  <c:v>6.538847716949558</c:v>
                </c:pt>
                <c:pt idx="302">
                  <c:v>6.5930353016176593</c:v>
                </c:pt>
                <c:pt idx="303">
                  <c:v>6.6472228862857596</c:v>
                </c:pt>
                <c:pt idx="304">
                  <c:v>6.7014104709538609</c:v>
                </c:pt>
                <c:pt idx="305">
                  <c:v>6.7447605386883422</c:v>
                </c:pt>
                <c:pt idx="306">
                  <c:v>6.7989481233564435</c:v>
                </c:pt>
                <c:pt idx="307">
                  <c:v>6.8477169495577348</c:v>
                </c:pt>
                <c:pt idx="308">
                  <c:v>6.891385767790263</c:v>
                </c:pt>
                <c:pt idx="309">
                  <c:v>6.9455733524583634</c:v>
                </c:pt>
                <c:pt idx="310">
                  <c:v>6.9997609371264646</c:v>
                </c:pt>
                <c:pt idx="311">
                  <c:v>7.0539485217945659</c:v>
                </c:pt>
                <c:pt idx="312">
                  <c:v>7.1081361064626671</c:v>
                </c:pt>
                <c:pt idx="313">
                  <c:v>7.1623236911307675</c:v>
                </c:pt>
                <c:pt idx="314">
                  <c:v>7.2165112757988696</c:v>
                </c:pt>
                <c:pt idx="315">
                  <c:v>7.27069886046697</c:v>
                </c:pt>
                <c:pt idx="316">
                  <c:v>7.3248864451350713</c:v>
                </c:pt>
                <c:pt idx="317">
                  <c:v>7.3790740298031716</c:v>
                </c:pt>
                <c:pt idx="318">
                  <c:v>7.4389991234361306</c:v>
                </c:pt>
                <c:pt idx="319">
                  <c:v>7.4931867081042327</c:v>
                </c:pt>
                <c:pt idx="320">
                  <c:v>7.5473742927723331</c:v>
                </c:pt>
                <c:pt idx="321">
                  <c:v>7.6069806359072443</c:v>
                </c:pt>
                <c:pt idx="322">
                  <c:v>7.6611682205753446</c:v>
                </c:pt>
                <c:pt idx="323">
                  <c:v>7.7153558052434468</c:v>
                </c:pt>
                <c:pt idx="324">
                  <c:v>7.7749621483783571</c:v>
                </c:pt>
                <c:pt idx="325">
                  <c:v>7.8291497330464583</c:v>
                </c:pt>
                <c:pt idx="326">
                  <c:v>7.8887560761813695</c:v>
                </c:pt>
                <c:pt idx="327">
                  <c:v>7.9429436608494708</c:v>
                </c:pt>
                <c:pt idx="328">
                  <c:v>8.0028687544824297</c:v>
                </c:pt>
                <c:pt idx="329">
                  <c:v>8.057056339150531</c:v>
                </c:pt>
                <c:pt idx="330">
                  <c:v>8.1166626822854404</c:v>
                </c:pt>
                <c:pt idx="331">
                  <c:v>8.1708502669535417</c:v>
                </c:pt>
                <c:pt idx="332">
                  <c:v>8.2304566100884529</c:v>
                </c:pt>
                <c:pt idx="333">
                  <c:v>8.2846441947565559</c:v>
                </c:pt>
                <c:pt idx="334">
                  <c:v>8.3442505378914653</c:v>
                </c:pt>
                <c:pt idx="335">
                  <c:v>8.4146943979599982</c:v>
                </c:pt>
                <c:pt idx="336">
                  <c:v>8.4851382580285275</c:v>
                </c:pt>
                <c:pt idx="337">
                  <c:v>8.5613196270619163</c:v>
                </c:pt>
                <c:pt idx="338">
                  <c:v>8.6317634871304509</c:v>
                </c:pt>
                <c:pt idx="339">
                  <c:v>8.7076261056657902</c:v>
                </c:pt>
                <c:pt idx="340">
                  <c:v>8.7780699657343213</c:v>
                </c:pt>
                <c:pt idx="341">
                  <c:v>8.8539325842696641</c:v>
                </c:pt>
                <c:pt idx="342">
                  <c:v>8.9243764443381952</c:v>
                </c:pt>
                <c:pt idx="343">
                  <c:v>9.0002390628735363</c:v>
                </c:pt>
                <c:pt idx="344">
                  <c:v>9.0710016734401151</c:v>
                </c:pt>
                <c:pt idx="345">
                  <c:v>9.1468642919754561</c:v>
                </c:pt>
                <c:pt idx="346">
                  <c:v>9.2227269105107972</c:v>
                </c:pt>
                <c:pt idx="347">
                  <c:v>9.29858952904614</c:v>
                </c:pt>
                <c:pt idx="348">
                  <c:v>9.3744521475814828</c:v>
                </c:pt>
                <c:pt idx="349">
                  <c:v>9.4503147661168239</c:v>
                </c:pt>
                <c:pt idx="350">
                  <c:v>9.5261773846521631</c:v>
                </c:pt>
                <c:pt idx="351">
                  <c:v>9.6020400031875059</c:v>
                </c:pt>
                <c:pt idx="352">
                  <c:v>9.6673838552872748</c:v>
                </c:pt>
                <c:pt idx="353">
                  <c:v>9.7432464738226159</c:v>
                </c:pt>
                <c:pt idx="354">
                  <c:v>9.8245278508247669</c:v>
                </c:pt>
                <c:pt idx="355">
                  <c:v>9.9058092278269179</c:v>
                </c:pt>
                <c:pt idx="356">
                  <c:v>9.9816718463622589</c:v>
                </c:pt>
                <c:pt idx="357">
                  <c:v>10.062953223364412</c:v>
                </c:pt>
                <c:pt idx="358">
                  <c:v>10.144234600366564</c:v>
                </c:pt>
                <c:pt idx="359">
                  <c:v>10.225834727866763</c:v>
                </c:pt>
                <c:pt idx="360">
                  <c:v>10.307116104868914</c:v>
                </c:pt>
                <c:pt idx="361">
                  <c:v>10.388397481871067</c:v>
                </c:pt>
                <c:pt idx="362">
                  <c:v>10.469678858873216</c:v>
                </c:pt>
                <c:pt idx="363">
                  <c:v>10.556378994342181</c:v>
                </c:pt>
                <c:pt idx="364">
                  <c:v>10.637660371344332</c:v>
                </c:pt>
                <c:pt idx="365">
                  <c:v>10.71926049884453</c:v>
                </c:pt>
                <c:pt idx="366">
                  <c:v>10.805960634313491</c:v>
                </c:pt>
                <c:pt idx="367">
                  <c:v>10.887242011315644</c:v>
                </c:pt>
                <c:pt idx="368">
                  <c:v>10.968523388317795</c:v>
                </c:pt>
                <c:pt idx="369">
                  <c:v>11.055223523786756</c:v>
                </c:pt>
                <c:pt idx="370">
                  <c:v>11.136504900788909</c:v>
                </c:pt>
                <c:pt idx="371">
                  <c:v>11.22320503625787</c:v>
                </c:pt>
                <c:pt idx="372">
                  <c:v>11.3210614391585</c:v>
                </c:pt>
                <c:pt idx="373">
                  <c:v>11.407761574627461</c:v>
                </c:pt>
                <c:pt idx="374">
                  <c:v>11.505299227030042</c:v>
                </c:pt>
                <c:pt idx="375">
                  <c:v>11.591999362499005</c:v>
                </c:pt>
                <c:pt idx="376">
                  <c:v>11.678699497967965</c:v>
                </c:pt>
                <c:pt idx="377">
                  <c:v>11.765399633436928</c:v>
                </c:pt>
                <c:pt idx="378">
                  <c:v>11.863256036337559</c:v>
                </c:pt>
                <c:pt idx="379">
                  <c:v>11.949956171806518</c:v>
                </c:pt>
                <c:pt idx="380">
                  <c:v>12.0474938242091</c:v>
                </c:pt>
                <c:pt idx="381">
                  <c:v>12.145031476611683</c:v>
                </c:pt>
                <c:pt idx="382">
                  <c:v>12.231731612080646</c:v>
                </c:pt>
                <c:pt idx="383">
                  <c:v>12.329269264483226</c:v>
                </c:pt>
                <c:pt idx="384">
                  <c:v>12.427125667383857</c:v>
                </c:pt>
                <c:pt idx="385">
                  <c:v>12.513825802852818</c:v>
                </c:pt>
                <c:pt idx="386">
                  <c:v>12.611363455255399</c:v>
                </c:pt>
                <c:pt idx="387">
                  <c:v>12.708901107657979</c:v>
                </c:pt>
                <c:pt idx="388">
                  <c:v>12.811857518527374</c:v>
                </c:pt>
                <c:pt idx="389">
                  <c:v>12.909713921428002</c:v>
                </c:pt>
                <c:pt idx="390">
                  <c:v>13.007251573830585</c:v>
                </c:pt>
                <c:pt idx="391">
                  <c:v>13.110207984699978</c:v>
                </c:pt>
                <c:pt idx="392">
                  <c:v>13.207745637102558</c:v>
                </c:pt>
                <c:pt idx="393">
                  <c:v>13.310702047971951</c:v>
                </c:pt>
                <c:pt idx="394">
                  <c:v>13.408239700374532</c:v>
                </c:pt>
                <c:pt idx="395">
                  <c:v>13.506096103275164</c:v>
                </c:pt>
                <c:pt idx="396">
                  <c:v>13.609052514144553</c:v>
                </c:pt>
                <c:pt idx="397">
                  <c:v>13.712008925013947</c:v>
                </c:pt>
                <c:pt idx="398">
                  <c:v>13.814965335883338</c:v>
                </c:pt>
                <c:pt idx="399">
                  <c:v>13.917921746752729</c:v>
                </c:pt>
                <c:pt idx="400">
                  <c:v>14.037453183520601</c:v>
                </c:pt>
                <c:pt idx="401">
                  <c:v>14.156665869790421</c:v>
                </c:pt>
                <c:pt idx="402">
                  <c:v>14.275878556060245</c:v>
                </c:pt>
                <c:pt idx="403">
                  <c:v>14.384253725396446</c:v>
                </c:pt>
                <c:pt idx="404">
                  <c:v>14.508885170133079</c:v>
                </c:pt>
                <c:pt idx="405">
                  <c:v>14.628416606900949</c:v>
                </c:pt>
                <c:pt idx="406">
                  <c:v>14.736791776237151</c:v>
                </c:pt>
                <c:pt idx="407">
                  <c:v>14.845166945573354</c:v>
                </c:pt>
                <c:pt idx="408">
                  <c:v>14.953542114909556</c:v>
                </c:pt>
                <c:pt idx="409">
                  <c:v>15.078173559646189</c:v>
                </c:pt>
                <c:pt idx="410">
                  <c:v>15.186867479480439</c:v>
                </c:pt>
                <c:pt idx="411">
                  <c:v>15.29524264881664</c:v>
                </c:pt>
                <c:pt idx="412">
                  <c:v>15.425292852020084</c:v>
                </c:pt>
                <c:pt idx="413">
                  <c:v>15.549924296756714</c:v>
                </c:pt>
                <c:pt idx="414">
                  <c:v>15.680293250458206</c:v>
                </c:pt>
                <c:pt idx="415">
                  <c:v>15.804924695194837</c:v>
                </c:pt>
                <c:pt idx="416">
                  <c:v>15.934974898398281</c:v>
                </c:pt>
                <c:pt idx="417">
                  <c:v>16.059606343134913</c:v>
                </c:pt>
                <c:pt idx="418">
                  <c:v>16.189975296836401</c:v>
                </c:pt>
                <c:pt idx="419">
                  <c:v>16.325444258506653</c:v>
                </c:pt>
                <c:pt idx="420">
                  <c:v>16.460913220176906</c:v>
                </c:pt>
                <c:pt idx="421">
                  <c:v>16.585544664913542</c:v>
                </c:pt>
                <c:pt idx="422">
                  <c:v>16.721013626583794</c:v>
                </c:pt>
                <c:pt idx="423">
                  <c:v>16.856801338752096</c:v>
                </c:pt>
                <c:pt idx="424">
                  <c:v>16.997689058889154</c:v>
                </c:pt>
                <c:pt idx="425">
                  <c:v>17.133158020559407</c:v>
                </c:pt>
                <c:pt idx="426">
                  <c:v>17.274045740696469</c:v>
                </c:pt>
                <c:pt idx="427">
                  <c:v>17.409833452864774</c:v>
                </c:pt>
                <c:pt idx="428">
                  <c:v>17.550721173001833</c:v>
                </c:pt>
                <c:pt idx="429">
                  <c:v>17.686190134672088</c:v>
                </c:pt>
                <c:pt idx="430">
                  <c:v>17.827077854809151</c:v>
                </c:pt>
                <c:pt idx="431">
                  <c:v>17.968284325444262</c:v>
                </c:pt>
                <c:pt idx="432">
                  <c:v>18.109172045581321</c:v>
                </c:pt>
                <c:pt idx="433">
                  <c:v>18.266316041118813</c:v>
                </c:pt>
                <c:pt idx="434">
                  <c:v>18.407522511753925</c:v>
                </c:pt>
                <c:pt idx="435">
                  <c:v>18.564666507291417</c:v>
                </c:pt>
                <c:pt idx="436">
                  <c:v>18.705554227428483</c:v>
                </c:pt>
                <c:pt idx="437">
                  <c:v>18.846441947565545</c:v>
                </c:pt>
                <c:pt idx="438">
                  <c:v>18.987648418200656</c:v>
                </c:pt>
                <c:pt idx="439">
                  <c:v>19.133954896804525</c:v>
                </c:pt>
                <c:pt idx="440">
                  <c:v>19.274842616941591</c:v>
                </c:pt>
                <c:pt idx="441">
                  <c:v>19.431986612479083</c:v>
                </c:pt>
                <c:pt idx="442">
                  <c:v>19.589449358514624</c:v>
                </c:pt>
                <c:pt idx="443">
                  <c:v>19.752012112518926</c:v>
                </c:pt>
                <c:pt idx="444">
                  <c:v>19.914574866523228</c:v>
                </c:pt>
                <c:pt idx="445">
                  <c:v>20.07745637102558</c:v>
                </c:pt>
                <c:pt idx="446">
                  <c:v>20.234600366563072</c:v>
                </c:pt>
                <c:pt idx="447">
                  <c:v>20.397163120567377</c:v>
                </c:pt>
                <c:pt idx="448">
                  <c:v>20.559725874571679</c:v>
                </c:pt>
                <c:pt idx="449">
                  <c:v>20.722607379074031</c:v>
                </c:pt>
                <c:pt idx="450">
                  <c:v>20.890588891545143</c:v>
                </c:pt>
                <c:pt idx="451">
                  <c:v>21.053151645549445</c:v>
                </c:pt>
                <c:pt idx="452">
                  <c:v>21.2160331500518</c:v>
                </c:pt>
                <c:pt idx="453">
                  <c:v>21.384014662522912</c:v>
                </c:pt>
                <c:pt idx="454">
                  <c:v>21.546577416527214</c:v>
                </c:pt>
                <c:pt idx="455">
                  <c:v>21.714877679496375</c:v>
                </c:pt>
                <c:pt idx="456">
                  <c:v>21.877440433500681</c:v>
                </c:pt>
                <c:pt idx="457">
                  <c:v>22.045421945971789</c:v>
                </c:pt>
                <c:pt idx="458">
                  <c:v>22.207984699976095</c:v>
                </c:pt>
                <c:pt idx="459">
                  <c:v>22.397959996812496</c:v>
                </c:pt>
                <c:pt idx="460">
                  <c:v>22.582197784684041</c:v>
                </c:pt>
                <c:pt idx="461">
                  <c:v>22.771854331022393</c:v>
                </c:pt>
                <c:pt idx="462">
                  <c:v>22.956410869391984</c:v>
                </c:pt>
                <c:pt idx="463">
                  <c:v>23.12981114032991</c:v>
                </c:pt>
                <c:pt idx="464">
                  <c:v>23.319467686668261</c:v>
                </c:pt>
                <c:pt idx="465">
                  <c:v>23.493186708104229</c:v>
                </c:pt>
                <c:pt idx="466">
                  <c:v>23.682843254442588</c:v>
                </c:pt>
                <c:pt idx="467">
                  <c:v>23.878237309745799</c:v>
                </c:pt>
                <c:pt idx="468">
                  <c:v>24.073312614550964</c:v>
                </c:pt>
                <c:pt idx="469">
                  <c:v>24.273806677822936</c:v>
                </c:pt>
                <c:pt idx="470">
                  <c:v>24.474619491592957</c:v>
                </c:pt>
                <c:pt idx="471">
                  <c:v>24.675113554864932</c:v>
                </c:pt>
                <c:pt idx="472">
                  <c:v>24.870188859670094</c:v>
                </c:pt>
                <c:pt idx="473">
                  <c:v>25.076420431906929</c:v>
                </c:pt>
                <c:pt idx="474">
                  <c:v>25.2769144951789</c:v>
                </c:pt>
                <c:pt idx="475">
                  <c:v>25.471989799984065</c:v>
                </c:pt>
                <c:pt idx="476">
                  <c:v>25.678221372220897</c:v>
                </c:pt>
                <c:pt idx="477">
                  <c:v>25.878715435492868</c:v>
                </c:pt>
                <c:pt idx="478">
                  <c:v>26.079528249262889</c:v>
                </c:pt>
                <c:pt idx="479">
                  <c:v>26.280022312534864</c:v>
                </c:pt>
                <c:pt idx="480">
                  <c:v>26.48051637580684</c:v>
                </c:pt>
                <c:pt idx="481">
                  <c:v>26.697585464977291</c:v>
                </c:pt>
                <c:pt idx="482">
                  <c:v>26.919754562116502</c:v>
                </c:pt>
                <c:pt idx="483">
                  <c:v>27.136504900788911</c:v>
                </c:pt>
                <c:pt idx="484">
                  <c:v>27.358992748426171</c:v>
                </c:pt>
                <c:pt idx="485">
                  <c:v>27.581161845565383</c:v>
                </c:pt>
                <c:pt idx="486">
                  <c:v>27.803649693202647</c:v>
                </c:pt>
                <c:pt idx="487">
                  <c:v>28.025818790341862</c:v>
                </c:pt>
                <c:pt idx="488">
                  <c:v>28.247987887481077</c:v>
                </c:pt>
                <c:pt idx="489">
                  <c:v>28.475894493585148</c:v>
                </c:pt>
                <c:pt idx="490">
                  <c:v>28.698063590724363</c:v>
                </c:pt>
                <c:pt idx="491">
                  <c:v>28.925970196828438</c:v>
                </c:pt>
                <c:pt idx="492">
                  <c:v>29.153558052434459</c:v>
                </c:pt>
                <c:pt idx="493">
                  <c:v>29.397720933938963</c:v>
                </c:pt>
                <c:pt idx="494">
                  <c:v>29.625308789544984</c:v>
                </c:pt>
                <c:pt idx="495">
                  <c:v>29.863734162084629</c:v>
                </c:pt>
                <c:pt idx="496">
                  <c:v>30.10789704358913</c:v>
                </c:pt>
                <c:pt idx="497">
                  <c:v>30.357159933062398</c:v>
                </c:pt>
                <c:pt idx="498">
                  <c:v>30.585066539166469</c:v>
                </c:pt>
                <c:pt idx="499">
                  <c:v>30.839748187106544</c:v>
                </c:pt>
                <c:pt idx="500">
                  <c:v>31.089329827077858</c:v>
                </c:pt>
                <c:pt idx="501">
                  <c:v>31.344011475017933</c:v>
                </c:pt>
                <c:pt idx="502">
                  <c:v>31.593593114989243</c:v>
                </c:pt>
                <c:pt idx="503">
                  <c:v>31.848274762929318</c:v>
                </c:pt>
                <c:pt idx="504">
                  <c:v>32.085425133476775</c:v>
                </c:pt>
                <c:pt idx="505">
                  <c:v>32.340425531914896</c:v>
                </c:pt>
                <c:pt idx="506">
                  <c:v>32.601800940313971</c:v>
                </c:pt>
                <c:pt idx="507">
                  <c:v>32.856801338752092</c:v>
                </c:pt>
                <c:pt idx="508">
                  <c:v>33.111801737190213</c:v>
                </c:pt>
                <c:pt idx="509">
                  <c:v>33.36680213562834</c:v>
                </c:pt>
                <c:pt idx="510">
                  <c:v>33.6441150689298</c:v>
                </c:pt>
                <c:pt idx="511">
                  <c:v>33.902302972348394</c:v>
                </c:pt>
                <c:pt idx="512">
                  <c:v>34.179615905649854</c:v>
                </c:pt>
                <c:pt idx="513">
                  <c:v>34.440991314048929</c:v>
                </c:pt>
                <c:pt idx="514">
                  <c:v>34.715116742369915</c:v>
                </c:pt>
                <c:pt idx="515">
                  <c:v>34.998804685632322</c:v>
                </c:pt>
                <c:pt idx="516">
                  <c:v>35.279305123914256</c:v>
                </c:pt>
                <c:pt idx="517">
                  <c:v>35.556618057215715</c:v>
                </c:pt>
                <c:pt idx="518">
                  <c:v>35.843493505458603</c:v>
                </c:pt>
                <c:pt idx="519">
                  <c:v>36.120806438760063</c:v>
                </c:pt>
                <c:pt idx="520">
                  <c:v>36.401306877041996</c:v>
                </c:pt>
                <c:pt idx="521">
                  <c:v>36.684994820304411</c:v>
                </c:pt>
                <c:pt idx="522">
                  <c:v>36.987807793449683</c:v>
                </c:pt>
                <c:pt idx="523">
                  <c:v>37.27149573671209</c:v>
                </c:pt>
                <c:pt idx="524">
                  <c:v>37.574308709857362</c:v>
                </c:pt>
                <c:pt idx="525">
                  <c:v>37.87074667304168</c:v>
                </c:pt>
                <c:pt idx="526">
                  <c:v>38.176747151167433</c:v>
                </c:pt>
                <c:pt idx="527">
                  <c:v>38.473185114351743</c:v>
                </c:pt>
                <c:pt idx="528">
                  <c:v>38.775998087497008</c:v>
                </c:pt>
                <c:pt idx="529">
                  <c:v>39.085186070603235</c:v>
                </c:pt>
                <c:pt idx="530">
                  <c:v>39.394374053709463</c:v>
                </c:pt>
                <c:pt idx="531">
                  <c:v>39.703562036815683</c:v>
                </c:pt>
                <c:pt idx="532">
                  <c:v>40.019125029882865</c:v>
                </c:pt>
                <c:pt idx="533">
                  <c:v>40.33468802295004</c:v>
                </c:pt>
                <c:pt idx="534">
                  <c:v>40.647063511036741</c:v>
                </c:pt>
                <c:pt idx="535">
                  <c:v>40.962626504103916</c:v>
                </c:pt>
                <c:pt idx="536">
                  <c:v>41.278189497171091</c:v>
                </c:pt>
                <c:pt idx="537">
                  <c:v>41.596939995218747</c:v>
                </c:pt>
                <c:pt idx="538">
                  <c:v>41.912502988285922</c:v>
                </c:pt>
                <c:pt idx="539">
                  <c:v>42.247191011235962</c:v>
                </c:pt>
                <c:pt idx="540">
                  <c:v>42.578691529205514</c:v>
                </c:pt>
                <c:pt idx="541">
                  <c:v>42.919754562116502</c:v>
                </c:pt>
                <c:pt idx="542">
                  <c:v>43.260817595027497</c:v>
                </c:pt>
                <c:pt idx="543">
                  <c:v>43.601880627938485</c:v>
                </c:pt>
                <c:pt idx="544">
                  <c:v>43.939756155868999</c:v>
                </c:pt>
                <c:pt idx="545">
                  <c:v>44.29675671368237</c:v>
                </c:pt>
                <c:pt idx="546">
                  <c:v>44.644194756554306</c:v>
                </c:pt>
                <c:pt idx="547">
                  <c:v>45.013945334289588</c:v>
                </c:pt>
                <c:pt idx="548">
                  <c:v>45.364570882142004</c:v>
                </c:pt>
                <c:pt idx="549">
                  <c:v>45.718383934974902</c:v>
                </c:pt>
                <c:pt idx="550">
                  <c:v>46.069009482827319</c:v>
                </c:pt>
                <c:pt idx="551">
                  <c:v>46.445135070523548</c:v>
                </c:pt>
                <c:pt idx="552">
                  <c:v>46.824448163200259</c:v>
                </c:pt>
                <c:pt idx="553">
                  <c:v>47.197386245916015</c:v>
                </c:pt>
                <c:pt idx="554">
                  <c:v>47.576699338592718</c:v>
                </c:pt>
                <c:pt idx="555">
                  <c:v>47.962387441230376</c:v>
                </c:pt>
                <c:pt idx="556">
                  <c:v>48.341700533907087</c:v>
                </c:pt>
                <c:pt idx="557">
                  <c:v>48.72101362658379</c:v>
                </c:pt>
                <c:pt idx="558">
                  <c:v>49.116264244162885</c:v>
                </c:pt>
                <c:pt idx="559">
                  <c:v>49.508327356761498</c:v>
                </c:pt>
                <c:pt idx="560">
                  <c:v>49.890827954418683</c:v>
                </c:pt>
                <c:pt idx="561">
                  <c:v>50.282891067017296</c:v>
                </c:pt>
                <c:pt idx="562">
                  <c:v>50.690891704518286</c:v>
                </c:pt>
                <c:pt idx="563">
                  <c:v>51.102079846999764</c:v>
                </c:pt>
                <c:pt idx="564">
                  <c:v>51.513267989481236</c:v>
                </c:pt>
                <c:pt idx="565">
                  <c:v>51.914893617021278</c:v>
                </c:pt>
                <c:pt idx="566">
                  <c:v>52.31651924456132</c:v>
                </c:pt>
                <c:pt idx="567">
                  <c:v>52.718144872101369</c:v>
                </c:pt>
                <c:pt idx="568">
                  <c:v>53.122958004621886</c:v>
                </c:pt>
                <c:pt idx="569">
                  <c:v>53.553271176986215</c:v>
                </c:pt>
                <c:pt idx="570">
                  <c:v>53.974021834409115</c:v>
                </c:pt>
                <c:pt idx="571">
                  <c:v>54.404335006773451</c:v>
                </c:pt>
                <c:pt idx="572">
                  <c:v>54.84739819905969</c:v>
                </c:pt>
                <c:pt idx="573">
                  <c:v>55.287273886365448</c:v>
                </c:pt>
                <c:pt idx="574">
                  <c:v>55.720774563710258</c:v>
                </c:pt>
                <c:pt idx="575">
                  <c:v>56.154275241055075</c:v>
                </c:pt>
                <c:pt idx="576">
                  <c:v>56.587775918399878</c:v>
                </c:pt>
                <c:pt idx="577">
                  <c:v>57.03402661566659</c:v>
                </c:pt>
                <c:pt idx="578">
                  <c:v>57.493027332855206</c:v>
                </c:pt>
                <c:pt idx="579">
                  <c:v>57.95521555502431</c:v>
                </c:pt>
                <c:pt idx="580">
                  <c:v>58.414216272212926</c:v>
                </c:pt>
                <c:pt idx="581">
                  <c:v>58.870029484421075</c:v>
                </c:pt>
                <c:pt idx="582">
                  <c:v>59.3417802215316</c:v>
                </c:pt>
                <c:pt idx="583">
                  <c:v>59.803968443700704</c:v>
                </c:pt>
                <c:pt idx="584">
                  <c:v>60.269344170850268</c:v>
                </c:pt>
                <c:pt idx="585">
                  <c:v>60.741094907960793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5-470C-BF32-345314A6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972783"/>
        <c:axId val="448973263"/>
      </c:lineChart>
      <c:catAx>
        <c:axId val="44897278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973263"/>
        <c:crosses val="autoZero"/>
        <c:auto val="1"/>
        <c:lblAlgn val="ctr"/>
        <c:lblOffset val="100"/>
        <c:noMultiLvlLbl val="0"/>
      </c:catAx>
      <c:valAx>
        <c:axId val="4489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97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'A12-4'!$C$2:$C$619</c:f>
              <c:numCache>
                <c:formatCode>0.00</c:formatCode>
                <c:ptCount val="618"/>
                <c:pt idx="0">
                  <c:v>1.0050200000000001E-4</c:v>
                </c:pt>
                <c:pt idx="1">
                  <c:v>1.5159199999999999E-2</c:v>
                </c:pt>
                <c:pt idx="2">
                  <c:v>1.5296799999999999E-2</c:v>
                </c:pt>
                <c:pt idx="3">
                  <c:v>1.5436399999999999E-2</c:v>
                </c:pt>
                <c:pt idx="4">
                  <c:v>1.5576000000000001E-2</c:v>
                </c:pt>
                <c:pt idx="5">
                  <c:v>1.57138E-2</c:v>
                </c:pt>
                <c:pt idx="6">
                  <c:v>1.58534E-2</c:v>
                </c:pt>
                <c:pt idx="7">
                  <c:v>1.5993E-2</c:v>
                </c:pt>
                <c:pt idx="8">
                  <c:v>1.6128800000000002E-2</c:v>
                </c:pt>
                <c:pt idx="9">
                  <c:v>1.6270199999999999E-2</c:v>
                </c:pt>
                <c:pt idx="10">
                  <c:v>1.6409800000000002E-2</c:v>
                </c:pt>
                <c:pt idx="11">
                  <c:v>1.6547599999999999E-2</c:v>
                </c:pt>
                <c:pt idx="12">
                  <c:v>1.6687199999999999E-2</c:v>
                </c:pt>
                <c:pt idx="13">
                  <c:v>1.6826799999999999E-2</c:v>
                </c:pt>
                <c:pt idx="14">
                  <c:v>1.6962600000000001E-2</c:v>
                </c:pt>
                <c:pt idx="15">
                  <c:v>1.7103999999999998E-2</c:v>
                </c:pt>
                <c:pt idx="16">
                  <c:v>1.7243599999999998E-2</c:v>
                </c:pt>
                <c:pt idx="17">
                  <c:v>1.7379599999999999E-2</c:v>
                </c:pt>
                <c:pt idx="18">
                  <c:v>1.7519E-2</c:v>
                </c:pt>
                <c:pt idx="19">
                  <c:v>1.76586E-2</c:v>
                </c:pt>
                <c:pt idx="20">
                  <c:v>1.77964E-2</c:v>
                </c:pt>
                <c:pt idx="21">
                  <c:v>1.7936000000000001E-2</c:v>
                </c:pt>
                <c:pt idx="22">
                  <c:v>1.8075600000000001E-2</c:v>
                </c:pt>
                <c:pt idx="23">
                  <c:v>1.8242999999999999E-2</c:v>
                </c:pt>
                <c:pt idx="24">
                  <c:v>1.8408799999999999E-2</c:v>
                </c:pt>
                <c:pt idx="25">
                  <c:v>1.8576200000000001E-2</c:v>
                </c:pt>
                <c:pt idx="26">
                  <c:v>1.8741799999999999E-2</c:v>
                </c:pt>
                <c:pt idx="27">
                  <c:v>1.89076E-2</c:v>
                </c:pt>
                <c:pt idx="28">
                  <c:v>1.9074999999999998E-2</c:v>
                </c:pt>
                <c:pt idx="29">
                  <c:v>1.92406E-2</c:v>
                </c:pt>
                <c:pt idx="30">
                  <c:v>1.94082E-2</c:v>
                </c:pt>
                <c:pt idx="31">
                  <c:v>1.9575599999999999E-2</c:v>
                </c:pt>
                <c:pt idx="32">
                  <c:v>1.9741399999999999E-2</c:v>
                </c:pt>
                <c:pt idx="33">
                  <c:v>1.9908800000000001E-2</c:v>
                </c:pt>
                <c:pt idx="34">
                  <c:v>2.0074000000000002E-2</c:v>
                </c:pt>
                <c:pt idx="35">
                  <c:v>2.0242E-2</c:v>
                </c:pt>
                <c:pt idx="36">
                  <c:v>2.0409999999999998E-2</c:v>
                </c:pt>
                <c:pt idx="37">
                  <c:v>2.0575999999999997E-2</c:v>
                </c:pt>
                <c:pt idx="38">
                  <c:v>2.0741999999999997E-2</c:v>
                </c:pt>
                <c:pt idx="39">
                  <c:v>2.0910000000000002E-2</c:v>
                </c:pt>
                <c:pt idx="40">
                  <c:v>2.1076000000000001E-2</c:v>
                </c:pt>
                <c:pt idx="41">
                  <c:v>2.1242E-2</c:v>
                </c:pt>
                <c:pt idx="42">
                  <c:v>2.1408E-2</c:v>
                </c:pt>
                <c:pt idx="43">
                  <c:v>2.1575999999999998E-2</c:v>
                </c:pt>
                <c:pt idx="44">
                  <c:v>2.1770000000000001E-2</c:v>
                </c:pt>
                <c:pt idx="45">
                  <c:v>2.1965999999999999E-2</c:v>
                </c:pt>
                <c:pt idx="46">
                  <c:v>2.2158000000000001E-2</c:v>
                </c:pt>
                <c:pt idx="47">
                  <c:v>2.2351999999999997E-2</c:v>
                </c:pt>
                <c:pt idx="48">
                  <c:v>2.2546E-2</c:v>
                </c:pt>
                <c:pt idx="49">
                  <c:v>2.2741999999999998E-2</c:v>
                </c:pt>
                <c:pt idx="50">
                  <c:v>2.2936000000000002E-2</c:v>
                </c:pt>
                <c:pt idx="51">
                  <c:v>2.3130000000000001E-2</c:v>
                </c:pt>
                <c:pt idx="52">
                  <c:v>2.3326E-2</c:v>
                </c:pt>
                <c:pt idx="53">
                  <c:v>2.3521999999999998E-2</c:v>
                </c:pt>
                <c:pt idx="54">
                  <c:v>2.3713999999999999E-2</c:v>
                </c:pt>
                <c:pt idx="55">
                  <c:v>2.3907999999999999E-2</c:v>
                </c:pt>
                <c:pt idx="56">
                  <c:v>2.4102000000000002E-2</c:v>
                </c:pt>
                <c:pt idx="57">
                  <c:v>2.4298E-2</c:v>
                </c:pt>
                <c:pt idx="58">
                  <c:v>2.4492E-2</c:v>
                </c:pt>
                <c:pt idx="59">
                  <c:v>2.4687999999999998E-2</c:v>
                </c:pt>
                <c:pt idx="60">
                  <c:v>2.4882000000000001E-2</c:v>
                </c:pt>
                <c:pt idx="61">
                  <c:v>2.5076000000000001E-2</c:v>
                </c:pt>
                <c:pt idx="62">
                  <c:v>2.5295999999999999E-2</c:v>
                </c:pt>
                <c:pt idx="63">
                  <c:v>2.5520000000000001E-2</c:v>
                </c:pt>
                <c:pt idx="64">
                  <c:v>2.5741999999999998E-2</c:v>
                </c:pt>
                <c:pt idx="65">
                  <c:v>2.5964000000000001E-2</c:v>
                </c:pt>
                <c:pt idx="66">
                  <c:v>2.6185999999999997E-2</c:v>
                </c:pt>
                <c:pt idx="67">
                  <c:v>2.6408000000000001E-2</c:v>
                </c:pt>
                <c:pt idx="68">
                  <c:v>2.6631999999999999E-2</c:v>
                </c:pt>
                <c:pt idx="69">
                  <c:v>2.6852000000000001E-2</c:v>
                </c:pt>
                <c:pt idx="70">
                  <c:v>2.7075999999999999E-2</c:v>
                </c:pt>
                <c:pt idx="71">
                  <c:v>2.7296000000000001E-2</c:v>
                </c:pt>
                <c:pt idx="72">
                  <c:v>2.7519999999999999E-2</c:v>
                </c:pt>
                <c:pt idx="73">
                  <c:v>2.7741999999999999E-2</c:v>
                </c:pt>
                <c:pt idx="74">
                  <c:v>2.7964000000000003E-2</c:v>
                </c:pt>
                <c:pt idx="75">
                  <c:v>2.8188000000000001E-2</c:v>
                </c:pt>
                <c:pt idx="76">
                  <c:v>2.8410000000000001E-2</c:v>
                </c:pt>
                <c:pt idx="77">
                  <c:v>2.8658000000000003E-2</c:v>
                </c:pt>
                <c:pt idx="78">
                  <c:v>2.8910000000000002E-2</c:v>
                </c:pt>
                <c:pt idx="79">
                  <c:v>2.9156000000000001E-2</c:v>
                </c:pt>
                <c:pt idx="80">
                  <c:v>2.9409999999999999E-2</c:v>
                </c:pt>
                <c:pt idx="81">
                  <c:v>2.9658000000000004E-2</c:v>
                </c:pt>
                <c:pt idx="82">
                  <c:v>2.9908000000000001E-2</c:v>
                </c:pt>
                <c:pt idx="83">
                  <c:v>3.0158000000000001E-2</c:v>
                </c:pt>
                <c:pt idx="84">
                  <c:v>3.0408000000000001E-2</c:v>
                </c:pt>
                <c:pt idx="85">
                  <c:v>3.0657999999999998E-2</c:v>
                </c:pt>
                <c:pt idx="86">
                  <c:v>3.0908000000000001E-2</c:v>
                </c:pt>
                <c:pt idx="87">
                  <c:v>3.116E-2</c:v>
                </c:pt>
                <c:pt idx="88">
                  <c:v>3.1407999999999998E-2</c:v>
                </c:pt>
                <c:pt idx="89">
                  <c:v>3.1657999999999999E-2</c:v>
                </c:pt>
                <c:pt idx="90">
                  <c:v>3.1910000000000001E-2</c:v>
                </c:pt>
                <c:pt idx="91">
                  <c:v>3.2157999999999999E-2</c:v>
                </c:pt>
                <c:pt idx="92">
                  <c:v>3.2407999999999999E-2</c:v>
                </c:pt>
                <c:pt idx="93">
                  <c:v>3.2686E-2</c:v>
                </c:pt>
                <c:pt idx="94">
                  <c:v>3.2964E-2</c:v>
                </c:pt>
                <c:pt idx="95">
                  <c:v>3.3242000000000001E-2</c:v>
                </c:pt>
                <c:pt idx="96">
                  <c:v>3.3520000000000001E-2</c:v>
                </c:pt>
                <c:pt idx="97">
                  <c:v>3.3796E-2</c:v>
                </c:pt>
                <c:pt idx="98">
                  <c:v>3.4076000000000002E-2</c:v>
                </c:pt>
                <c:pt idx="99">
                  <c:v>3.4354000000000003E-2</c:v>
                </c:pt>
                <c:pt idx="100">
                  <c:v>3.4630000000000001E-2</c:v>
                </c:pt>
                <c:pt idx="101">
                  <c:v>3.4910000000000004E-2</c:v>
                </c:pt>
                <c:pt idx="102">
                  <c:v>3.5188000000000004E-2</c:v>
                </c:pt>
                <c:pt idx="103">
                  <c:v>3.5464000000000002E-2</c:v>
                </c:pt>
                <c:pt idx="104">
                  <c:v>3.5743999999999998E-2</c:v>
                </c:pt>
                <c:pt idx="105">
                  <c:v>3.6047999999999997E-2</c:v>
                </c:pt>
                <c:pt idx="106">
                  <c:v>3.6324000000000002E-2</c:v>
                </c:pt>
                <c:pt idx="107">
                  <c:v>3.6491999999999997E-2</c:v>
                </c:pt>
                <c:pt idx="108">
                  <c:v>3.6659999999999998E-2</c:v>
                </c:pt>
                <c:pt idx="109">
                  <c:v>3.6823999999999996E-2</c:v>
                </c:pt>
                <c:pt idx="110">
                  <c:v>3.7018000000000002E-2</c:v>
                </c:pt>
                <c:pt idx="111">
                  <c:v>3.7158000000000004E-2</c:v>
                </c:pt>
                <c:pt idx="112">
                  <c:v>3.7325999999999998E-2</c:v>
                </c:pt>
                <c:pt idx="113">
                  <c:v>3.7494E-2</c:v>
                </c:pt>
                <c:pt idx="114">
                  <c:v>3.7657999999999997E-2</c:v>
                </c:pt>
                <c:pt idx="115">
                  <c:v>3.7797999999999998E-2</c:v>
                </c:pt>
                <c:pt idx="116">
                  <c:v>3.7991999999999998E-2</c:v>
                </c:pt>
                <c:pt idx="117">
                  <c:v>3.8103999999999999E-2</c:v>
                </c:pt>
                <c:pt idx="118">
                  <c:v>3.8325999999999999E-2</c:v>
                </c:pt>
                <c:pt idx="119">
                  <c:v>3.8408000000000005E-2</c:v>
                </c:pt>
                <c:pt idx="120">
                  <c:v>3.8601999999999997E-2</c:v>
                </c:pt>
                <c:pt idx="121">
                  <c:v>3.8767999999999997E-2</c:v>
                </c:pt>
                <c:pt idx="122">
                  <c:v>3.8938E-2</c:v>
                </c:pt>
                <c:pt idx="123">
                  <c:v>3.9076E-2</c:v>
                </c:pt>
                <c:pt idx="124">
                  <c:v>3.9213999999999999E-2</c:v>
                </c:pt>
                <c:pt idx="125">
                  <c:v>3.9354E-2</c:v>
                </c:pt>
                <c:pt idx="126">
                  <c:v>3.9491999999999999E-2</c:v>
                </c:pt>
                <c:pt idx="127">
                  <c:v>3.9632000000000001E-2</c:v>
                </c:pt>
                <c:pt idx="128">
                  <c:v>3.9772000000000002E-2</c:v>
                </c:pt>
                <c:pt idx="129">
                  <c:v>3.9906000000000004E-2</c:v>
                </c:pt>
                <c:pt idx="130">
                  <c:v>4.0045999999999998E-2</c:v>
                </c:pt>
                <c:pt idx="131">
                  <c:v>4.0185999999999999E-2</c:v>
                </c:pt>
                <c:pt idx="132">
                  <c:v>4.0298E-2</c:v>
                </c:pt>
                <c:pt idx="133">
                  <c:v>4.0436E-2</c:v>
                </c:pt>
                <c:pt idx="134">
                  <c:v>4.0578000000000003E-2</c:v>
                </c:pt>
                <c:pt idx="135">
                  <c:v>4.0686E-2</c:v>
                </c:pt>
                <c:pt idx="136">
                  <c:v>4.0823999999999999E-2</c:v>
                </c:pt>
                <c:pt idx="137">
                  <c:v>4.0936E-2</c:v>
                </c:pt>
                <c:pt idx="138">
                  <c:v>4.1048000000000001E-2</c:v>
                </c:pt>
                <c:pt idx="139">
                  <c:v>4.1188000000000002E-2</c:v>
                </c:pt>
                <c:pt idx="140">
                  <c:v>4.1298000000000001E-2</c:v>
                </c:pt>
                <c:pt idx="141">
                  <c:v>4.1407999999999993E-2</c:v>
                </c:pt>
                <c:pt idx="142">
                  <c:v>4.1548000000000002E-2</c:v>
                </c:pt>
                <c:pt idx="143">
                  <c:v>4.1658000000000001E-2</c:v>
                </c:pt>
                <c:pt idx="144">
                  <c:v>4.1769999999999995E-2</c:v>
                </c:pt>
                <c:pt idx="145">
                  <c:v>4.1880000000000001E-2</c:v>
                </c:pt>
                <c:pt idx="146">
                  <c:v>4.1992000000000002E-2</c:v>
                </c:pt>
                <c:pt idx="147">
                  <c:v>4.2104000000000003E-2</c:v>
                </c:pt>
                <c:pt idx="148">
                  <c:v>4.2212E-2</c:v>
                </c:pt>
                <c:pt idx="149">
                  <c:v>4.2324000000000001E-2</c:v>
                </c:pt>
                <c:pt idx="150">
                  <c:v>4.2438000000000003E-2</c:v>
                </c:pt>
                <c:pt idx="151">
                  <c:v>4.2519999999999995E-2</c:v>
                </c:pt>
                <c:pt idx="152">
                  <c:v>4.2630000000000001E-2</c:v>
                </c:pt>
                <c:pt idx="153">
                  <c:v>4.2714000000000002E-2</c:v>
                </c:pt>
                <c:pt idx="154">
                  <c:v>4.2826000000000003E-2</c:v>
                </c:pt>
                <c:pt idx="155">
                  <c:v>4.2908000000000002E-2</c:v>
                </c:pt>
                <c:pt idx="156">
                  <c:v>4.3018000000000001E-2</c:v>
                </c:pt>
                <c:pt idx="157">
                  <c:v>4.3102000000000001E-2</c:v>
                </c:pt>
                <c:pt idx="158">
                  <c:v>4.3188000000000004E-2</c:v>
                </c:pt>
                <c:pt idx="159">
                  <c:v>4.3297999999999996E-2</c:v>
                </c:pt>
                <c:pt idx="160">
                  <c:v>4.3381999999999997E-2</c:v>
                </c:pt>
                <c:pt idx="161">
                  <c:v>4.3494000000000005E-2</c:v>
                </c:pt>
                <c:pt idx="162">
                  <c:v>4.3575999999999997E-2</c:v>
                </c:pt>
                <c:pt idx="163">
                  <c:v>4.3659999999999997E-2</c:v>
                </c:pt>
                <c:pt idx="164">
                  <c:v>4.3768000000000001E-2</c:v>
                </c:pt>
                <c:pt idx="165">
                  <c:v>4.3880000000000002E-2</c:v>
                </c:pt>
                <c:pt idx="166">
                  <c:v>4.3963999999999996E-2</c:v>
                </c:pt>
                <c:pt idx="167">
                  <c:v>4.4046000000000002E-2</c:v>
                </c:pt>
                <c:pt idx="168">
                  <c:v>4.4158000000000003E-2</c:v>
                </c:pt>
                <c:pt idx="169">
                  <c:v>4.4241999999999997E-2</c:v>
                </c:pt>
                <c:pt idx="170">
                  <c:v>4.4325999999999997E-2</c:v>
                </c:pt>
                <c:pt idx="171">
                  <c:v>4.4409999999999998E-2</c:v>
                </c:pt>
                <c:pt idx="172">
                  <c:v>4.4492000000000004E-2</c:v>
                </c:pt>
                <c:pt idx="173">
                  <c:v>4.4602000000000003E-2</c:v>
                </c:pt>
                <c:pt idx="174">
                  <c:v>4.4714000000000004E-2</c:v>
                </c:pt>
                <c:pt idx="175">
                  <c:v>4.4824000000000003E-2</c:v>
                </c:pt>
                <c:pt idx="176">
                  <c:v>4.4938000000000006E-2</c:v>
                </c:pt>
                <c:pt idx="177">
                  <c:v>4.5048000000000005E-2</c:v>
                </c:pt>
                <c:pt idx="178">
                  <c:v>4.5159999999999999E-2</c:v>
                </c:pt>
                <c:pt idx="179">
                  <c:v>4.5267999999999996E-2</c:v>
                </c:pt>
                <c:pt idx="180">
                  <c:v>4.5380000000000004E-2</c:v>
                </c:pt>
                <c:pt idx="181">
                  <c:v>4.5464000000000004E-2</c:v>
                </c:pt>
                <c:pt idx="182">
                  <c:v>4.5575999999999998E-2</c:v>
                </c:pt>
                <c:pt idx="183">
                  <c:v>4.5659999999999999E-2</c:v>
                </c:pt>
                <c:pt idx="184">
                  <c:v>4.5769999999999998E-2</c:v>
                </c:pt>
                <c:pt idx="185">
                  <c:v>4.5853999999999999E-2</c:v>
                </c:pt>
                <c:pt idx="186">
                  <c:v>4.5936000000000005E-2</c:v>
                </c:pt>
                <c:pt idx="187">
                  <c:v>4.6045999999999997E-2</c:v>
                </c:pt>
                <c:pt idx="188">
                  <c:v>4.6130000000000004E-2</c:v>
                </c:pt>
                <c:pt idx="189">
                  <c:v>4.6212000000000003E-2</c:v>
                </c:pt>
                <c:pt idx="190">
                  <c:v>4.6298000000000006E-2</c:v>
                </c:pt>
                <c:pt idx="191">
                  <c:v>4.6379999999999998E-2</c:v>
                </c:pt>
                <c:pt idx="192">
                  <c:v>4.6463999999999998E-2</c:v>
                </c:pt>
                <c:pt idx="193">
                  <c:v>4.6547999999999999E-2</c:v>
                </c:pt>
                <c:pt idx="194">
                  <c:v>4.6630000000000005E-2</c:v>
                </c:pt>
                <c:pt idx="195">
                  <c:v>4.6716000000000001E-2</c:v>
                </c:pt>
                <c:pt idx="196">
                  <c:v>4.6797999999999999E-2</c:v>
                </c:pt>
                <c:pt idx="197">
                  <c:v>4.6879999999999998E-2</c:v>
                </c:pt>
                <c:pt idx="198">
                  <c:v>4.6963999999999999E-2</c:v>
                </c:pt>
                <c:pt idx="199">
                  <c:v>4.7048E-2</c:v>
                </c:pt>
                <c:pt idx="200">
                  <c:v>4.7131999999999993E-2</c:v>
                </c:pt>
                <c:pt idx="201">
                  <c:v>4.7213999999999999E-2</c:v>
                </c:pt>
                <c:pt idx="202">
                  <c:v>4.7326E-2</c:v>
                </c:pt>
                <c:pt idx="203">
                  <c:v>4.7409999999999994E-2</c:v>
                </c:pt>
                <c:pt idx="204">
                  <c:v>4.7491999999999999E-2</c:v>
                </c:pt>
                <c:pt idx="205">
                  <c:v>4.7573999999999998E-2</c:v>
                </c:pt>
                <c:pt idx="206">
                  <c:v>4.7657999999999999E-2</c:v>
                </c:pt>
                <c:pt idx="207">
                  <c:v>4.7742000000000007E-2</c:v>
                </c:pt>
                <c:pt idx="208">
                  <c:v>4.7826000000000007E-2</c:v>
                </c:pt>
                <c:pt idx="209">
                  <c:v>4.7907999999999999E-2</c:v>
                </c:pt>
                <c:pt idx="210">
                  <c:v>4.7964E-2</c:v>
                </c:pt>
                <c:pt idx="211">
                  <c:v>4.8048E-2</c:v>
                </c:pt>
                <c:pt idx="212">
                  <c:v>4.8132000000000001E-2</c:v>
                </c:pt>
                <c:pt idx="213">
                  <c:v>4.8214E-2</c:v>
                </c:pt>
                <c:pt idx="214">
                  <c:v>4.8297999999999994E-2</c:v>
                </c:pt>
                <c:pt idx="215">
                  <c:v>4.8377999999999997E-2</c:v>
                </c:pt>
                <c:pt idx="216">
                  <c:v>4.8464E-2</c:v>
                </c:pt>
                <c:pt idx="217">
                  <c:v>4.8548000000000001E-2</c:v>
                </c:pt>
                <c:pt idx="218">
                  <c:v>4.8630000000000007E-2</c:v>
                </c:pt>
                <c:pt idx="219">
                  <c:v>4.8711999999999998E-2</c:v>
                </c:pt>
                <c:pt idx="220">
                  <c:v>4.8798000000000001E-2</c:v>
                </c:pt>
                <c:pt idx="221">
                  <c:v>4.8882000000000002E-2</c:v>
                </c:pt>
                <c:pt idx="222">
                  <c:v>4.8966000000000003E-2</c:v>
                </c:pt>
                <c:pt idx="223">
                  <c:v>4.9050000000000003E-2</c:v>
                </c:pt>
                <c:pt idx="224">
                  <c:v>4.913E-2</c:v>
                </c:pt>
                <c:pt idx="225">
                  <c:v>4.9211999999999999E-2</c:v>
                </c:pt>
                <c:pt idx="226">
                  <c:v>4.9298000000000002E-2</c:v>
                </c:pt>
                <c:pt idx="227">
                  <c:v>4.9382000000000002E-2</c:v>
                </c:pt>
                <c:pt idx="228">
                  <c:v>4.9463999999999994E-2</c:v>
                </c:pt>
                <c:pt idx="229">
                  <c:v>4.9547999999999995E-2</c:v>
                </c:pt>
                <c:pt idx="230">
                  <c:v>4.9630000000000001E-2</c:v>
                </c:pt>
                <c:pt idx="231">
                  <c:v>4.9687999999999996E-2</c:v>
                </c:pt>
                <c:pt idx="232">
                  <c:v>4.9770000000000002E-2</c:v>
                </c:pt>
                <c:pt idx="233">
                  <c:v>4.9825999999999995E-2</c:v>
                </c:pt>
                <c:pt idx="234">
                  <c:v>4.9908000000000001E-2</c:v>
                </c:pt>
                <c:pt idx="235">
                  <c:v>4.9992000000000002E-2</c:v>
                </c:pt>
                <c:pt idx="236">
                  <c:v>5.0073999999999994E-2</c:v>
                </c:pt>
                <c:pt idx="237">
                  <c:v>5.0157999999999994E-2</c:v>
                </c:pt>
                <c:pt idx="238">
                  <c:v>5.024E-2</c:v>
                </c:pt>
                <c:pt idx="239">
                  <c:v>5.0326000000000003E-2</c:v>
                </c:pt>
                <c:pt idx="240">
                  <c:v>5.0410000000000003E-2</c:v>
                </c:pt>
                <c:pt idx="241">
                  <c:v>5.0494000000000004E-2</c:v>
                </c:pt>
                <c:pt idx="242">
                  <c:v>5.0575999999999996E-2</c:v>
                </c:pt>
                <c:pt idx="243">
                  <c:v>5.0658000000000002E-2</c:v>
                </c:pt>
                <c:pt idx="244">
                  <c:v>5.0742000000000002E-2</c:v>
                </c:pt>
                <c:pt idx="245">
                  <c:v>5.0826000000000003E-2</c:v>
                </c:pt>
                <c:pt idx="246">
                  <c:v>5.0910000000000004E-2</c:v>
                </c:pt>
                <c:pt idx="247">
                  <c:v>5.0964000000000002E-2</c:v>
                </c:pt>
                <c:pt idx="248">
                  <c:v>5.1048000000000003E-2</c:v>
                </c:pt>
                <c:pt idx="249">
                  <c:v>5.1131999999999997E-2</c:v>
                </c:pt>
                <c:pt idx="250">
                  <c:v>5.1185999999999995E-2</c:v>
                </c:pt>
                <c:pt idx="251">
                  <c:v>5.1269999999999996E-2</c:v>
                </c:pt>
                <c:pt idx="252">
                  <c:v>5.1353999999999997E-2</c:v>
                </c:pt>
                <c:pt idx="253">
                  <c:v>5.1407999999999995E-2</c:v>
                </c:pt>
                <c:pt idx="254">
                  <c:v>5.1490000000000001E-2</c:v>
                </c:pt>
                <c:pt idx="255">
                  <c:v>5.1547999999999997E-2</c:v>
                </c:pt>
                <c:pt idx="256">
                  <c:v>5.1630000000000002E-2</c:v>
                </c:pt>
                <c:pt idx="257">
                  <c:v>5.1685999999999996E-2</c:v>
                </c:pt>
                <c:pt idx="258">
                  <c:v>5.1741999999999996E-2</c:v>
                </c:pt>
                <c:pt idx="259">
                  <c:v>5.1825999999999997E-2</c:v>
                </c:pt>
                <c:pt idx="260">
                  <c:v>5.1882000000000005E-2</c:v>
                </c:pt>
                <c:pt idx="261">
                  <c:v>5.1963999999999996E-2</c:v>
                </c:pt>
                <c:pt idx="262">
                  <c:v>5.2019999999999997E-2</c:v>
                </c:pt>
                <c:pt idx="263">
                  <c:v>5.2076000000000004E-2</c:v>
                </c:pt>
                <c:pt idx="264">
                  <c:v>5.2160000000000005E-2</c:v>
                </c:pt>
                <c:pt idx="265">
                  <c:v>5.2211999999999995E-2</c:v>
                </c:pt>
                <c:pt idx="266">
                  <c:v>5.2297999999999997E-2</c:v>
                </c:pt>
                <c:pt idx="267">
                  <c:v>5.2380000000000003E-2</c:v>
                </c:pt>
                <c:pt idx="268">
                  <c:v>5.2492000000000004E-2</c:v>
                </c:pt>
                <c:pt idx="269">
                  <c:v>5.2575999999999998E-2</c:v>
                </c:pt>
                <c:pt idx="270">
                  <c:v>5.2687999999999999E-2</c:v>
                </c:pt>
                <c:pt idx="271">
                  <c:v>5.2770000000000004E-2</c:v>
                </c:pt>
                <c:pt idx="272">
                  <c:v>5.2853999999999998E-2</c:v>
                </c:pt>
                <c:pt idx="273">
                  <c:v>5.2964000000000004E-2</c:v>
                </c:pt>
                <c:pt idx="274">
                  <c:v>5.3045999999999996E-2</c:v>
                </c:pt>
                <c:pt idx="275">
                  <c:v>5.3129999999999997E-2</c:v>
                </c:pt>
                <c:pt idx="276">
                  <c:v>5.3213999999999997E-2</c:v>
                </c:pt>
                <c:pt idx="277">
                  <c:v>5.3297999999999998E-2</c:v>
                </c:pt>
                <c:pt idx="278">
                  <c:v>5.3409999999999999E-2</c:v>
                </c:pt>
                <c:pt idx="279">
                  <c:v>5.3491999999999998E-2</c:v>
                </c:pt>
                <c:pt idx="280">
                  <c:v>5.3575999999999999E-2</c:v>
                </c:pt>
                <c:pt idx="281">
                  <c:v>5.3658000000000004E-2</c:v>
                </c:pt>
                <c:pt idx="282">
                  <c:v>5.3768000000000003E-2</c:v>
                </c:pt>
                <c:pt idx="283">
                  <c:v>5.3852000000000004E-2</c:v>
                </c:pt>
                <c:pt idx="284">
                  <c:v>5.3936000000000005E-2</c:v>
                </c:pt>
                <c:pt idx="285">
                  <c:v>5.4019999999999999E-2</c:v>
                </c:pt>
                <c:pt idx="286">
                  <c:v>5.4101999999999997E-2</c:v>
                </c:pt>
                <c:pt idx="287">
                  <c:v>5.4214000000000005E-2</c:v>
                </c:pt>
                <c:pt idx="288">
                  <c:v>5.4295999999999997E-2</c:v>
                </c:pt>
                <c:pt idx="289">
                  <c:v>5.4382E-2</c:v>
                </c:pt>
                <c:pt idx="290">
                  <c:v>5.4463999999999999E-2</c:v>
                </c:pt>
                <c:pt idx="291">
                  <c:v>5.4547999999999999E-2</c:v>
                </c:pt>
                <c:pt idx="292">
                  <c:v>5.4631999999999993E-2</c:v>
                </c:pt>
                <c:pt idx="293">
                  <c:v>5.4713999999999999E-2</c:v>
                </c:pt>
                <c:pt idx="294">
                  <c:v>5.4795999999999997E-2</c:v>
                </c:pt>
                <c:pt idx="295">
                  <c:v>5.4882E-2</c:v>
                </c:pt>
                <c:pt idx="296">
                  <c:v>5.4966000000000001E-2</c:v>
                </c:pt>
                <c:pt idx="297">
                  <c:v>5.5048000000000007E-2</c:v>
                </c:pt>
                <c:pt idx="298">
                  <c:v>5.5132E-2</c:v>
                </c:pt>
                <c:pt idx="299">
                  <c:v>5.5213999999999999E-2</c:v>
                </c:pt>
                <c:pt idx="300">
                  <c:v>5.5298E-2</c:v>
                </c:pt>
                <c:pt idx="301">
                  <c:v>5.5380000000000006E-2</c:v>
                </c:pt>
                <c:pt idx="302">
                  <c:v>5.5463999999999999E-2</c:v>
                </c:pt>
                <c:pt idx="303">
                  <c:v>5.5548E-2</c:v>
                </c:pt>
                <c:pt idx="304">
                  <c:v>5.5629999999999999E-2</c:v>
                </c:pt>
                <c:pt idx="305">
                  <c:v>5.5714E-2</c:v>
                </c:pt>
                <c:pt idx="306">
                  <c:v>5.5797999999999993E-2</c:v>
                </c:pt>
                <c:pt idx="307">
                  <c:v>5.5910000000000001E-2</c:v>
                </c:pt>
                <c:pt idx="308">
                  <c:v>5.602E-2</c:v>
                </c:pt>
                <c:pt idx="309">
                  <c:v>5.6130000000000006E-2</c:v>
                </c:pt>
                <c:pt idx="310">
                  <c:v>5.6242E-2</c:v>
                </c:pt>
                <c:pt idx="311">
                  <c:v>5.6351999999999999E-2</c:v>
                </c:pt>
                <c:pt idx="312">
                  <c:v>5.6464E-2</c:v>
                </c:pt>
                <c:pt idx="313">
                  <c:v>5.6576000000000001E-2</c:v>
                </c:pt>
                <c:pt idx="314">
                  <c:v>5.6688000000000002E-2</c:v>
                </c:pt>
                <c:pt idx="315">
                  <c:v>5.6798000000000001E-2</c:v>
                </c:pt>
                <c:pt idx="316">
                  <c:v>5.6908E-2</c:v>
                </c:pt>
                <c:pt idx="317">
                  <c:v>5.7020000000000001E-2</c:v>
                </c:pt>
                <c:pt idx="318">
                  <c:v>5.7131999999999995E-2</c:v>
                </c:pt>
                <c:pt idx="319">
                  <c:v>5.7241999999999994E-2</c:v>
                </c:pt>
                <c:pt idx="320">
                  <c:v>5.7354000000000002E-2</c:v>
                </c:pt>
                <c:pt idx="321">
                  <c:v>5.7465999999999996E-2</c:v>
                </c:pt>
                <c:pt idx="322">
                  <c:v>5.7573999999999993E-2</c:v>
                </c:pt>
                <c:pt idx="323">
                  <c:v>5.7683999999999999E-2</c:v>
                </c:pt>
                <c:pt idx="324">
                  <c:v>5.7796E-2</c:v>
                </c:pt>
                <c:pt idx="325">
                  <c:v>5.7908000000000001E-2</c:v>
                </c:pt>
                <c:pt idx="326">
                  <c:v>5.8018E-2</c:v>
                </c:pt>
                <c:pt idx="327">
                  <c:v>5.8132000000000003E-2</c:v>
                </c:pt>
                <c:pt idx="328">
                  <c:v>5.8243999999999997E-2</c:v>
                </c:pt>
                <c:pt idx="329">
                  <c:v>5.8353999999999996E-2</c:v>
                </c:pt>
                <c:pt idx="330">
                  <c:v>5.8464000000000002E-2</c:v>
                </c:pt>
                <c:pt idx="331">
                  <c:v>5.8575999999999996E-2</c:v>
                </c:pt>
                <c:pt idx="332">
                  <c:v>5.8688000000000004E-2</c:v>
                </c:pt>
                <c:pt idx="333">
                  <c:v>5.8769999999999996E-2</c:v>
                </c:pt>
                <c:pt idx="334">
                  <c:v>5.8882000000000004E-2</c:v>
                </c:pt>
                <c:pt idx="335">
                  <c:v>5.8992000000000003E-2</c:v>
                </c:pt>
                <c:pt idx="336">
                  <c:v>5.9101999999999995E-2</c:v>
                </c:pt>
                <c:pt idx="337">
                  <c:v>5.9214000000000003E-2</c:v>
                </c:pt>
                <c:pt idx="338">
                  <c:v>5.9352000000000002E-2</c:v>
                </c:pt>
                <c:pt idx="339">
                  <c:v>5.9492000000000003E-2</c:v>
                </c:pt>
                <c:pt idx="340">
                  <c:v>5.9631999999999998E-2</c:v>
                </c:pt>
                <c:pt idx="341">
                  <c:v>5.9770000000000004E-2</c:v>
                </c:pt>
                <c:pt idx="342">
                  <c:v>5.9908000000000003E-2</c:v>
                </c:pt>
                <c:pt idx="343">
                  <c:v>6.0019999999999997E-2</c:v>
                </c:pt>
                <c:pt idx="344">
                  <c:v>6.0157999999999996E-2</c:v>
                </c:pt>
                <c:pt idx="345">
                  <c:v>6.0297999999999997E-2</c:v>
                </c:pt>
                <c:pt idx="346">
                  <c:v>6.0437999999999999E-2</c:v>
                </c:pt>
                <c:pt idx="347">
                  <c:v>6.055E-2</c:v>
                </c:pt>
                <c:pt idx="348">
                  <c:v>6.0685999999999997E-2</c:v>
                </c:pt>
                <c:pt idx="349">
                  <c:v>6.0796000000000003E-2</c:v>
                </c:pt>
                <c:pt idx="350">
                  <c:v>6.0936000000000004E-2</c:v>
                </c:pt>
                <c:pt idx="351">
                  <c:v>6.1047999999999998E-2</c:v>
                </c:pt>
                <c:pt idx="352">
                  <c:v>6.1159999999999999E-2</c:v>
                </c:pt>
                <c:pt idx="353">
                  <c:v>6.1269999999999998E-2</c:v>
                </c:pt>
                <c:pt idx="354">
                  <c:v>6.1382000000000006E-2</c:v>
                </c:pt>
                <c:pt idx="355">
                  <c:v>6.1492000000000005E-2</c:v>
                </c:pt>
                <c:pt idx="356">
                  <c:v>6.1603999999999999E-2</c:v>
                </c:pt>
                <c:pt idx="357">
                  <c:v>6.1714000000000005E-2</c:v>
                </c:pt>
                <c:pt idx="358">
                  <c:v>6.1825999999999999E-2</c:v>
                </c:pt>
                <c:pt idx="359">
                  <c:v>6.1938000000000007E-2</c:v>
                </c:pt>
                <c:pt idx="360">
                  <c:v>6.2077999999999994E-2</c:v>
                </c:pt>
                <c:pt idx="361">
                  <c:v>6.2213999999999998E-2</c:v>
                </c:pt>
                <c:pt idx="362">
                  <c:v>6.2350000000000003E-2</c:v>
                </c:pt>
                <c:pt idx="363">
                  <c:v>6.2491999999999999E-2</c:v>
                </c:pt>
                <c:pt idx="364">
                  <c:v>6.2632000000000007E-2</c:v>
                </c:pt>
                <c:pt idx="365">
                  <c:v>6.2770000000000006E-2</c:v>
                </c:pt>
                <c:pt idx="366">
                  <c:v>6.2910000000000008E-2</c:v>
                </c:pt>
                <c:pt idx="367">
                  <c:v>6.3048000000000007E-2</c:v>
                </c:pt>
                <c:pt idx="368">
                  <c:v>6.3186000000000006E-2</c:v>
                </c:pt>
                <c:pt idx="369">
                  <c:v>6.3326000000000007E-2</c:v>
                </c:pt>
                <c:pt idx="370">
                  <c:v>6.3464000000000007E-2</c:v>
                </c:pt>
                <c:pt idx="371">
                  <c:v>6.3601999999999992E-2</c:v>
                </c:pt>
                <c:pt idx="372">
                  <c:v>6.3742000000000007E-2</c:v>
                </c:pt>
                <c:pt idx="373">
                  <c:v>6.3879999999999992E-2</c:v>
                </c:pt>
                <c:pt idx="374">
                  <c:v>6.4020000000000007E-2</c:v>
                </c:pt>
                <c:pt idx="375">
                  <c:v>6.4160000000000009E-2</c:v>
                </c:pt>
                <c:pt idx="376">
                  <c:v>6.4298000000000008E-2</c:v>
                </c:pt>
                <c:pt idx="377">
                  <c:v>6.4435999999999993E-2</c:v>
                </c:pt>
                <c:pt idx="378">
                  <c:v>6.4576000000000008E-2</c:v>
                </c:pt>
                <c:pt idx="379">
                  <c:v>6.4741999999999994E-2</c:v>
                </c:pt>
                <c:pt idx="380">
                  <c:v>6.4881999999999995E-2</c:v>
                </c:pt>
                <c:pt idx="381">
                  <c:v>6.5019999999999994E-2</c:v>
                </c:pt>
                <c:pt idx="382">
                  <c:v>6.5157999999999994E-2</c:v>
                </c:pt>
                <c:pt idx="383">
                  <c:v>6.5296000000000007E-2</c:v>
                </c:pt>
                <c:pt idx="384">
                  <c:v>6.5435999999999994E-2</c:v>
                </c:pt>
                <c:pt idx="385">
                  <c:v>6.5603999999999996E-2</c:v>
                </c:pt>
                <c:pt idx="386">
                  <c:v>6.5742000000000009E-2</c:v>
                </c:pt>
                <c:pt idx="387">
                  <c:v>6.5879999999999994E-2</c:v>
                </c:pt>
                <c:pt idx="388">
                  <c:v>6.6020000000000009E-2</c:v>
                </c:pt>
                <c:pt idx="389">
                  <c:v>6.6157999999999995E-2</c:v>
                </c:pt>
                <c:pt idx="390">
                  <c:v>6.6295999999999994E-2</c:v>
                </c:pt>
                <c:pt idx="391">
                  <c:v>6.6435999999999995E-2</c:v>
                </c:pt>
                <c:pt idx="392">
                  <c:v>6.657600000000001E-2</c:v>
                </c:pt>
                <c:pt idx="393">
                  <c:v>6.6713999999999996E-2</c:v>
                </c:pt>
                <c:pt idx="394">
                  <c:v>6.6851999999999995E-2</c:v>
                </c:pt>
                <c:pt idx="395">
                  <c:v>6.6989999999999994E-2</c:v>
                </c:pt>
                <c:pt idx="396">
                  <c:v>6.7129999999999995E-2</c:v>
                </c:pt>
                <c:pt idx="397">
                  <c:v>6.7297999999999997E-2</c:v>
                </c:pt>
                <c:pt idx="398">
                  <c:v>6.7465999999999998E-2</c:v>
                </c:pt>
                <c:pt idx="399">
                  <c:v>6.7628000000000008E-2</c:v>
                </c:pt>
                <c:pt idx="400">
                  <c:v>6.7797999999999997E-2</c:v>
                </c:pt>
                <c:pt idx="401">
                  <c:v>6.7963999999999997E-2</c:v>
                </c:pt>
                <c:pt idx="402">
                  <c:v>6.8131999999999998E-2</c:v>
                </c:pt>
                <c:pt idx="403">
                  <c:v>6.8269999999999997E-2</c:v>
                </c:pt>
                <c:pt idx="404">
                  <c:v>6.8407999999999997E-2</c:v>
                </c:pt>
                <c:pt idx="405">
                  <c:v>6.8545999999999996E-2</c:v>
                </c:pt>
                <c:pt idx="406">
                  <c:v>6.8685999999999997E-2</c:v>
                </c:pt>
                <c:pt idx="407">
                  <c:v>6.8851999999999997E-2</c:v>
                </c:pt>
                <c:pt idx="408">
                  <c:v>6.8991999999999998E-2</c:v>
                </c:pt>
                <c:pt idx="409">
                  <c:v>6.9129999999999997E-2</c:v>
                </c:pt>
                <c:pt idx="410">
                  <c:v>6.9297999999999998E-2</c:v>
                </c:pt>
                <c:pt idx="411">
                  <c:v>6.9463999999999998E-2</c:v>
                </c:pt>
                <c:pt idx="412">
                  <c:v>6.9631999999999999E-2</c:v>
                </c:pt>
                <c:pt idx="413">
                  <c:v>6.9795999999999997E-2</c:v>
                </c:pt>
                <c:pt idx="414">
                  <c:v>6.9963999999999998E-2</c:v>
                </c:pt>
                <c:pt idx="415">
                  <c:v>7.0129999999999998E-2</c:v>
                </c:pt>
                <c:pt idx="416">
                  <c:v>7.0297999999999999E-2</c:v>
                </c:pt>
                <c:pt idx="417">
                  <c:v>7.0466000000000001E-2</c:v>
                </c:pt>
                <c:pt idx="418">
                  <c:v>7.0632E-2</c:v>
                </c:pt>
                <c:pt idx="419">
                  <c:v>7.0798E-2</c:v>
                </c:pt>
                <c:pt idx="420">
                  <c:v>7.0963999999999999E-2</c:v>
                </c:pt>
                <c:pt idx="421">
                  <c:v>7.1132000000000001E-2</c:v>
                </c:pt>
                <c:pt idx="422">
                  <c:v>7.1300000000000002E-2</c:v>
                </c:pt>
                <c:pt idx="423">
                  <c:v>7.1464E-2</c:v>
                </c:pt>
                <c:pt idx="424">
                  <c:v>7.1629999999999999E-2</c:v>
                </c:pt>
                <c:pt idx="425">
                  <c:v>7.1826000000000001E-2</c:v>
                </c:pt>
                <c:pt idx="426">
                  <c:v>7.1992E-2</c:v>
                </c:pt>
                <c:pt idx="427">
                  <c:v>7.2186E-2</c:v>
                </c:pt>
                <c:pt idx="428">
                  <c:v>7.2354000000000002E-2</c:v>
                </c:pt>
                <c:pt idx="429">
                  <c:v>7.2520000000000001E-2</c:v>
                </c:pt>
                <c:pt idx="430">
                  <c:v>7.2686000000000001E-2</c:v>
                </c:pt>
                <c:pt idx="431">
                  <c:v>7.2854000000000002E-2</c:v>
                </c:pt>
                <c:pt idx="432">
                  <c:v>7.3020000000000002E-2</c:v>
                </c:pt>
                <c:pt idx="433">
                  <c:v>7.3186000000000001E-2</c:v>
                </c:pt>
                <c:pt idx="434">
                  <c:v>7.3352000000000001E-2</c:v>
                </c:pt>
                <c:pt idx="435">
                  <c:v>7.3518E-2</c:v>
                </c:pt>
                <c:pt idx="436">
                  <c:v>7.3688000000000003E-2</c:v>
                </c:pt>
                <c:pt idx="437">
                  <c:v>7.3880000000000001E-2</c:v>
                </c:pt>
                <c:pt idx="438">
                  <c:v>7.4076000000000003E-2</c:v>
                </c:pt>
                <c:pt idx="439">
                  <c:v>7.4270000000000003E-2</c:v>
                </c:pt>
                <c:pt idx="440">
                  <c:v>7.4464000000000002E-2</c:v>
                </c:pt>
                <c:pt idx="441">
                  <c:v>7.4658000000000002E-2</c:v>
                </c:pt>
                <c:pt idx="442">
                  <c:v>7.4852000000000002E-2</c:v>
                </c:pt>
                <c:pt idx="443">
                  <c:v>7.5048000000000004E-2</c:v>
                </c:pt>
                <c:pt idx="444">
                  <c:v>7.5242000000000003E-2</c:v>
                </c:pt>
                <c:pt idx="445">
                  <c:v>7.5436000000000003E-2</c:v>
                </c:pt>
                <c:pt idx="446">
                  <c:v>7.5632000000000005E-2</c:v>
                </c:pt>
                <c:pt idx="447">
                  <c:v>7.5826000000000005E-2</c:v>
                </c:pt>
                <c:pt idx="448">
                  <c:v>7.6020000000000004E-2</c:v>
                </c:pt>
                <c:pt idx="449">
                  <c:v>7.6214000000000004E-2</c:v>
                </c:pt>
                <c:pt idx="450">
                  <c:v>7.640799999999999E-2</c:v>
                </c:pt>
                <c:pt idx="451">
                  <c:v>7.6602000000000003E-2</c:v>
                </c:pt>
                <c:pt idx="452">
                  <c:v>7.6798000000000005E-2</c:v>
                </c:pt>
                <c:pt idx="453">
                  <c:v>7.6992000000000005E-2</c:v>
                </c:pt>
                <c:pt idx="454">
                  <c:v>7.7186000000000005E-2</c:v>
                </c:pt>
                <c:pt idx="455">
                  <c:v>7.7382000000000006E-2</c:v>
                </c:pt>
                <c:pt idx="456">
                  <c:v>7.7576000000000006E-2</c:v>
                </c:pt>
                <c:pt idx="457">
                  <c:v>7.7770000000000006E-2</c:v>
                </c:pt>
                <c:pt idx="458">
                  <c:v>7.7992000000000006E-2</c:v>
                </c:pt>
                <c:pt idx="459">
                  <c:v>7.8186000000000005E-2</c:v>
                </c:pt>
                <c:pt idx="460">
                  <c:v>7.8407999999999992E-2</c:v>
                </c:pt>
                <c:pt idx="461">
                  <c:v>7.8630000000000005E-2</c:v>
                </c:pt>
                <c:pt idx="462">
                  <c:v>7.8826000000000007E-2</c:v>
                </c:pt>
                <c:pt idx="463">
                  <c:v>7.9020000000000007E-2</c:v>
                </c:pt>
                <c:pt idx="464">
                  <c:v>7.9214000000000007E-2</c:v>
                </c:pt>
                <c:pt idx="465">
                  <c:v>7.9406000000000004E-2</c:v>
                </c:pt>
                <c:pt idx="466">
                  <c:v>7.9603999999999994E-2</c:v>
                </c:pt>
                <c:pt idx="467">
                  <c:v>7.980000000000001E-2</c:v>
                </c:pt>
                <c:pt idx="468">
                  <c:v>8.0017999999999992E-2</c:v>
                </c:pt>
                <c:pt idx="469">
                  <c:v>8.0242000000000008E-2</c:v>
                </c:pt>
                <c:pt idx="470">
                  <c:v>8.0465999999999996E-2</c:v>
                </c:pt>
                <c:pt idx="471">
                  <c:v>8.0685999999999994E-2</c:v>
                </c:pt>
                <c:pt idx="472">
                  <c:v>8.0907999999999994E-2</c:v>
                </c:pt>
                <c:pt idx="473">
                  <c:v>8.113200000000001E-2</c:v>
                </c:pt>
                <c:pt idx="474">
                  <c:v>8.135400000000001E-2</c:v>
                </c:pt>
                <c:pt idx="475">
                  <c:v>8.1574000000000008E-2</c:v>
                </c:pt>
                <c:pt idx="476">
                  <c:v>8.1796000000000008E-2</c:v>
                </c:pt>
                <c:pt idx="477">
                  <c:v>8.2019999999999996E-2</c:v>
                </c:pt>
                <c:pt idx="478">
                  <c:v>8.2240000000000008E-2</c:v>
                </c:pt>
                <c:pt idx="479">
                  <c:v>8.2463999999999996E-2</c:v>
                </c:pt>
                <c:pt idx="480">
                  <c:v>8.2685999999999996E-2</c:v>
                </c:pt>
                <c:pt idx="481">
                  <c:v>8.2909999999999998E-2</c:v>
                </c:pt>
                <c:pt idx="482">
                  <c:v>8.3127999999999994E-2</c:v>
                </c:pt>
                <c:pt idx="483">
                  <c:v>8.3353999999999998E-2</c:v>
                </c:pt>
                <c:pt idx="484">
                  <c:v>8.3575999999999998E-2</c:v>
                </c:pt>
                <c:pt idx="485">
                  <c:v>8.3825999999999998E-2</c:v>
                </c:pt>
                <c:pt idx="486">
                  <c:v>8.407400000000001E-2</c:v>
                </c:pt>
                <c:pt idx="487">
                  <c:v>8.4326000000000012E-2</c:v>
                </c:pt>
                <c:pt idx="488">
                  <c:v>8.4573999999999996E-2</c:v>
                </c:pt>
                <c:pt idx="489">
                  <c:v>8.4823999999999997E-2</c:v>
                </c:pt>
                <c:pt idx="490">
                  <c:v>8.5075999999999999E-2</c:v>
                </c:pt>
                <c:pt idx="491">
                  <c:v>8.5324000000000011E-2</c:v>
                </c:pt>
                <c:pt idx="492">
                  <c:v>8.5576000000000013E-2</c:v>
                </c:pt>
                <c:pt idx="493">
                  <c:v>8.5823999999999998E-2</c:v>
                </c:pt>
                <c:pt idx="494">
                  <c:v>8.6073999999999998E-2</c:v>
                </c:pt>
                <c:pt idx="495">
                  <c:v>8.6326E-2</c:v>
                </c:pt>
                <c:pt idx="496">
                  <c:v>8.6576E-2</c:v>
                </c:pt>
                <c:pt idx="497">
                  <c:v>8.6823999999999998E-2</c:v>
                </c:pt>
                <c:pt idx="498">
                  <c:v>8.7075999999999987E-2</c:v>
                </c:pt>
                <c:pt idx="499">
                  <c:v>8.7326000000000001E-2</c:v>
                </c:pt>
                <c:pt idx="500">
                  <c:v>8.7601999999999999E-2</c:v>
                </c:pt>
                <c:pt idx="501">
                  <c:v>8.7882000000000002E-2</c:v>
                </c:pt>
                <c:pt idx="502">
                  <c:v>8.8160000000000002E-2</c:v>
                </c:pt>
                <c:pt idx="503">
                  <c:v>8.8436000000000001E-2</c:v>
                </c:pt>
                <c:pt idx="504">
                  <c:v>8.8711999999999999E-2</c:v>
                </c:pt>
                <c:pt idx="505">
                  <c:v>8.896599999999999E-2</c:v>
                </c:pt>
                <c:pt idx="506">
                  <c:v>8.9214000000000002E-2</c:v>
                </c:pt>
                <c:pt idx="507">
                  <c:v>8.9491999999999988E-2</c:v>
                </c:pt>
                <c:pt idx="508">
                  <c:v>8.9770000000000003E-2</c:v>
                </c:pt>
                <c:pt idx="509">
                  <c:v>9.0047999999999989E-2</c:v>
                </c:pt>
                <c:pt idx="510">
                  <c:v>9.0326000000000004E-2</c:v>
                </c:pt>
                <c:pt idx="511">
                  <c:v>9.060399999999999E-2</c:v>
                </c:pt>
                <c:pt idx="512">
                  <c:v>9.0879999999999989E-2</c:v>
                </c:pt>
                <c:pt idx="513">
                  <c:v>9.1159999999999991E-2</c:v>
                </c:pt>
                <c:pt idx="514">
                  <c:v>9.143599999999999E-2</c:v>
                </c:pt>
                <c:pt idx="515">
                  <c:v>9.1714000000000004E-2</c:v>
                </c:pt>
                <c:pt idx="516">
                  <c:v>9.2020000000000005E-2</c:v>
                </c:pt>
                <c:pt idx="517">
                  <c:v>9.2295999999999989E-2</c:v>
                </c:pt>
                <c:pt idx="518">
                  <c:v>9.2576000000000006E-2</c:v>
                </c:pt>
                <c:pt idx="519">
                  <c:v>9.2881999999999992E-2</c:v>
                </c:pt>
                <c:pt idx="520">
                  <c:v>9.3186000000000005E-2</c:v>
                </c:pt>
                <c:pt idx="521">
                  <c:v>9.3491999999999992E-2</c:v>
                </c:pt>
                <c:pt idx="522">
                  <c:v>9.3796000000000004E-2</c:v>
                </c:pt>
                <c:pt idx="523">
                  <c:v>9.4101999999999991E-2</c:v>
                </c:pt>
                <c:pt idx="524">
                  <c:v>9.4407999999999992E-2</c:v>
                </c:pt>
                <c:pt idx="525">
                  <c:v>9.4713999999999993E-2</c:v>
                </c:pt>
                <c:pt idx="526">
                  <c:v>9.5020000000000007E-2</c:v>
                </c:pt>
                <c:pt idx="527">
                  <c:v>9.5324000000000006E-2</c:v>
                </c:pt>
                <c:pt idx="528">
                  <c:v>9.5631999999999995E-2</c:v>
                </c:pt>
                <c:pt idx="529">
                  <c:v>9.5937999999999996E-2</c:v>
                </c:pt>
                <c:pt idx="530">
                  <c:v>9.6241999999999994E-2</c:v>
                </c:pt>
                <c:pt idx="531">
                  <c:v>9.6576000000000009E-2</c:v>
                </c:pt>
                <c:pt idx="532">
                  <c:v>9.6907999999999994E-2</c:v>
                </c:pt>
                <c:pt idx="533">
                  <c:v>9.7241999999999995E-2</c:v>
                </c:pt>
                <c:pt idx="534">
                  <c:v>9.7575999999999996E-2</c:v>
                </c:pt>
                <c:pt idx="535">
                  <c:v>9.7908000000000009E-2</c:v>
                </c:pt>
                <c:pt idx="536">
                  <c:v>9.8241999999999996E-2</c:v>
                </c:pt>
                <c:pt idx="537">
                  <c:v>9.8575999999999997E-2</c:v>
                </c:pt>
                <c:pt idx="538">
                  <c:v>9.8909999999999998E-2</c:v>
                </c:pt>
                <c:pt idx="539">
                  <c:v>9.9242000000000011E-2</c:v>
                </c:pt>
                <c:pt idx="540">
                  <c:v>9.9573999999999996E-2</c:v>
                </c:pt>
                <c:pt idx="541">
                  <c:v>9.9907999999999997E-2</c:v>
                </c:pt>
                <c:pt idx="542">
                  <c:v>0.100242</c:v>
                </c:pt>
                <c:pt idx="543">
                  <c:v>0.10057600000000001</c:v>
                </c:pt>
                <c:pt idx="544">
                  <c:v>0.100908</c:v>
                </c:pt>
                <c:pt idx="545">
                  <c:v>0.101242</c:v>
                </c:pt>
                <c:pt idx="546">
                  <c:v>0.10157400000000001</c:v>
                </c:pt>
                <c:pt idx="547">
                  <c:v>0.101938</c:v>
                </c:pt>
                <c:pt idx="548">
                  <c:v>0.10226800000000001</c:v>
                </c:pt>
                <c:pt idx="549">
                  <c:v>0.102632</c:v>
                </c:pt>
                <c:pt idx="550">
                  <c:v>0.10299200000000001</c:v>
                </c:pt>
                <c:pt idx="551">
                  <c:v>0.103354</c:v>
                </c:pt>
                <c:pt idx="552">
                  <c:v>0.103714</c:v>
                </c:pt>
                <c:pt idx="553">
                  <c:v>0.104102</c:v>
                </c:pt>
                <c:pt idx="554">
                  <c:v>0.104466</c:v>
                </c:pt>
                <c:pt idx="555">
                  <c:v>0.104826</c:v>
                </c:pt>
                <c:pt idx="556">
                  <c:v>0.10518599999999999</c:v>
                </c:pt>
                <c:pt idx="557">
                  <c:v>0.105574</c:v>
                </c:pt>
                <c:pt idx="558">
                  <c:v>0.10596399999999999</c:v>
                </c:pt>
                <c:pt idx="559">
                  <c:v>0.106354</c:v>
                </c:pt>
                <c:pt idx="560">
                  <c:v>0.10674400000000001</c:v>
                </c:pt>
                <c:pt idx="561">
                  <c:v>0.10712999999999999</c:v>
                </c:pt>
                <c:pt idx="562">
                  <c:v>0.10752</c:v>
                </c:pt>
                <c:pt idx="563">
                  <c:v>0.107908</c:v>
                </c:pt>
                <c:pt idx="564">
                  <c:v>0.10829800000000001</c:v>
                </c:pt>
                <c:pt idx="565">
                  <c:v>0.10871399999999999</c:v>
                </c:pt>
                <c:pt idx="566">
                  <c:v>0.10913</c:v>
                </c:pt>
                <c:pt idx="567">
                  <c:v>0.10952000000000001</c:v>
                </c:pt>
                <c:pt idx="568">
                  <c:v>0.10990800000000001</c:v>
                </c:pt>
                <c:pt idx="569">
                  <c:v>0.11032600000000001</c:v>
                </c:pt>
                <c:pt idx="570">
                  <c:v>0.11074000000000001</c:v>
                </c:pt>
                <c:pt idx="571">
                  <c:v>0.11115800000000001</c:v>
                </c:pt>
                <c:pt idx="572">
                  <c:v>0.11154600000000001</c:v>
                </c:pt>
                <c:pt idx="573">
                  <c:v>0.11196400000000001</c:v>
                </c:pt>
                <c:pt idx="574">
                  <c:v>0.11237999999999999</c:v>
                </c:pt>
                <c:pt idx="575">
                  <c:v>0.112798</c:v>
                </c:pt>
                <c:pt idx="576">
                  <c:v>0.11321199999999999</c:v>
                </c:pt>
                <c:pt idx="577">
                  <c:v>0.11366</c:v>
                </c:pt>
                <c:pt idx="578">
                  <c:v>0.114104</c:v>
                </c:pt>
                <c:pt idx="579">
                  <c:v>0.11454800000000001</c:v>
                </c:pt>
                <c:pt idx="580">
                  <c:v>0.114992</c:v>
                </c:pt>
                <c:pt idx="581">
                  <c:v>0.115436</c:v>
                </c:pt>
                <c:pt idx="582">
                  <c:v>0.115882</c:v>
                </c:pt>
                <c:pt idx="583">
                  <c:v>0.11632400000000001</c:v>
                </c:pt>
                <c:pt idx="584">
                  <c:v>0.116798</c:v>
                </c:pt>
                <c:pt idx="585">
                  <c:v>0.11726800000000001</c:v>
                </c:pt>
                <c:pt idx="586">
                  <c:v>0.117742</c:v>
                </c:pt>
                <c:pt idx="587">
                  <c:v>0.118214</c:v>
                </c:pt>
                <c:pt idx="588">
                  <c:v>0.11868600000000001</c:v>
                </c:pt>
                <c:pt idx="589">
                  <c:v>0.11915800000000001</c:v>
                </c:pt>
                <c:pt idx="590">
                  <c:v>0.11962999999999999</c:v>
                </c:pt>
                <c:pt idx="591">
                  <c:v>0.120104</c:v>
                </c:pt>
                <c:pt idx="592">
                  <c:v>0.120576</c:v>
                </c:pt>
                <c:pt idx="593">
                  <c:v>0.12104799999999999</c:v>
                </c:pt>
                <c:pt idx="594">
                  <c:v>0.12151999999999999</c:v>
                </c:pt>
                <c:pt idx="595">
                  <c:v>0.12202</c:v>
                </c:pt>
                <c:pt idx="596">
                  <c:v>0.12251799999999999</c:v>
                </c:pt>
                <c:pt idx="597">
                  <c:v>0.12301999999999999</c:v>
                </c:pt>
                <c:pt idx="598">
                  <c:v>0.12354799999999999</c:v>
                </c:pt>
                <c:pt idx="599">
                  <c:v>0.124074</c:v>
                </c:pt>
                <c:pt idx="600">
                  <c:v>0.124602</c:v>
                </c:pt>
                <c:pt idx="601">
                  <c:v>0.12515999999999999</c:v>
                </c:pt>
                <c:pt idx="602">
                  <c:v>0.12571399999999999</c:v>
                </c:pt>
                <c:pt idx="603">
                  <c:v>0.12626999999999999</c:v>
                </c:pt>
                <c:pt idx="604">
                  <c:v>0.12685199999999999</c:v>
                </c:pt>
                <c:pt idx="605">
                  <c:v>0.127438</c:v>
                </c:pt>
                <c:pt idx="606">
                  <c:v>0.128048</c:v>
                </c:pt>
                <c:pt idx="607">
                  <c:v>0.12865799999999999</c:v>
                </c:pt>
                <c:pt idx="608">
                  <c:v>0.12926799999999999</c:v>
                </c:pt>
                <c:pt idx="609">
                  <c:v>0.129882</c:v>
                </c:pt>
                <c:pt idx="610">
                  <c:v>0.13052</c:v>
                </c:pt>
                <c:pt idx="611">
                  <c:v>0.13116</c:v>
                </c:pt>
                <c:pt idx="612">
                  <c:v>0.131824</c:v>
                </c:pt>
                <c:pt idx="613">
                  <c:v>0.13252</c:v>
                </c:pt>
                <c:pt idx="614">
                  <c:v>0.13327</c:v>
                </c:pt>
                <c:pt idx="615">
                  <c:v>0.134018</c:v>
                </c:pt>
                <c:pt idx="616">
                  <c:v>0.134824</c:v>
                </c:pt>
                <c:pt idx="617">
                  <c:v>0.135658</c:v>
                </c:pt>
              </c:numCache>
            </c:numRef>
          </c:cat>
          <c:val>
            <c:numRef>
              <c:f>'A12-4'!$F$2:$F$619</c:f>
              <c:numCache>
                <c:formatCode>0.00</c:formatCode>
                <c:ptCount val="618"/>
                <c:pt idx="0">
                  <c:v>0</c:v>
                </c:pt>
                <c:pt idx="1">
                  <c:v>0.21687783887162324</c:v>
                </c:pt>
                <c:pt idx="2">
                  <c:v>0.21687783887162324</c:v>
                </c:pt>
                <c:pt idx="3">
                  <c:v>0.21687783887162324</c:v>
                </c:pt>
                <c:pt idx="4">
                  <c:v>0.21687783887162324</c:v>
                </c:pt>
                <c:pt idx="5">
                  <c:v>0.21687783887162324</c:v>
                </c:pt>
                <c:pt idx="6">
                  <c:v>0.21687783887162324</c:v>
                </c:pt>
                <c:pt idx="7">
                  <c:v>0.21687783887162324</c:v>
                </c:pt>
                <c:pt idx="8">
                  <c:v>0.21687783887162324</c:v>
                </c:pt>
                <c:pt idx="9">
                  <c:v>0.21687783887162324</c:v>
                </c:pt>
                <c:pt idx="10">
                  <c:v>0.21687783887162324</c:v>
                </c:pt>
                <c:pt idx="11">
                  <c:v>0.22229978484341384</c:v>
                </c:pt>
                <c:pt idx="12">
                  <c:v>0.22229978484341384</c:v>
                </c:pt>
                <c:pt idx="13">
                  <c:v>0.22229978484341384</c:v>
                </c:pt>
                <c:pt idx="14">
                  <c:v>0.22229978484341384</c:v>
                </c:pt>
                <c:pt idx="15">
                  <c:v>0.22229978484341384</c:v>
                </c:pt>
                <c:pt idx="16">
                  <c:v>0.22229978484341384</c:v>
                </c:pt>
                <c:pt idx="17">
                  <c:v>0.22229978484341384</c:v>
                </c:pt>
                <c:pt idx="18">
                  <c:v>0.22229978484341384</c:v>
                </c:pt>
                <c:pt idx="19">
                  <c:v>0.22229978484341384</c:v>
                </c:pt>
                <c:pt idx="20">
                  <c:v>0.22229978484341384</c:v>
                </c:pt>
                <c:pt idx="21">
                  <c:v>0.22229978484341384</c:v>
                </c:pt>
                <c:pt idx="22">
                  <c:v>0.22229978484341384</c:v>
                </c:pt>
                <c:pt idx="23">
                  <c:v>0.22229978484341384</c:v>
                </c:pt>
                <c:pt idx="24">
                  <c:v>0.22229978484341384</c:v>
                </c:pt>
                <c:pt idx="25">
                  <c:v>0.22229978484341384</c:v>
                </c:pt>
                <c:pt idx="26">
                  <c:v>0.22229978484341384</c:v>
                </c:pt>
                <c:pt idx="27">
                  <c:v>0.22772173081520442</c:v>
                </c:pt>
                <c:pt idx="28">
                  <c:v>0.22772173081520442</c:v>
                </c:pt>
                <c:pt idx="29">
                  <c:v>0.22772173081520442</c:v>
                </c:pt>
                <c:pt idx="30">
                  <c:v>0.22772173081520442</c:v>
                </c:pt>
                <c:pt idx="31">
                  <c:v>0.22772173081520442</c:v>
                </c:pt>
                <c:pt idx="32">
                  <c:v>0.22772173081520442</c:v>
                </c:pt>
                <c:pt idx="33">
                  <c:v>0.22772173081520442</c:v>
                </c:pt>
                <c:pt idx="34">
                  <c:v>0.23314048928201453</c:v>
                </c:pt>
                <c:pt idx="35">
                  <c:v>0.23314048928201453</c:v>
                </c:pt>
                <c:pt idx="36">
                  <c:v>0.23314048928201453</c:v>
                </c:pt>
                <c:pt idx="37">
                  <c:v>0.23314048928201453</c:v>
                </c:pt>
                <c:pt idx="38">
                  <c:v>0.23314048928201453</c:v>
                </c:pt>
                <c:pt idx="39">
                  <c:v>0.23856243525380511</c:v>
                </c:pt>
                <c:pt idx="40">
                  <c:v>0.24398438122559568</c:v>
                </c:pt>
                <c:pt idx="41">
                  <c:v>0.24398438122559568</c:v>
                </c:pt>
                <c:pt idx="42">
                  <c:v>0.24940632719738623</c:v>
                </c:pt>
                <c:pt idx="43">
                  <c:v>0.25482827316917683</c:v>
                </c:pt>
                <c:pt idx="44">
                  <c:v>0.26567216511275799</c:v>
                </c:pt>
                <c:pt idx="45">
                  <c:v>0.28193800302812977</c:v>
                </c:pt>
                <c:pt idx="46">
                  <c:v>0.26567216511275799</c:v>
                </c:pt>
                <c:pt idx="47">
                  <c:v>0.26025021914096741</c:v>
                </c:pt>
                <c:pt idx="48">
                  <c:v>0.26025021914096741</c:v>
                </c:pt>
                <c:pt idx="49">
                  <c:v>0.27109411108454856</c:v>
                </c:pt>
                <c:pt idx="50">
                  <c:v>0.26025021914096741</c:v>
                </c:pt>
                <c:pt idx="51">
                  <c:v>0.26025021914096741</c:v>
                </c:pt>
                <c:pt idx="52">
                  <c:v>0.27109411108454856</c:v>
                </c:pt>
                <c:pt idx="53">
                  <c:v>0.29278189497171092</c:v>
                </c:pt>
                <c:pt idx="54">
                  <c:v>0.31446967885887328</c:v>
                </c:pt>
                <c:pt idx="55">
                  <c:v>0.32531675830743484</c:v>
                </c:pt>
                <c:pt idx="56">
                  <c:v>0.32531675830743484</c:v>
                </c:pt>
                <c:pt idx="57">
                  <c:v>0.33073551677424495</c:v>
                </c:pt>
                <c:pt idx="58">
                  <c:v>0.33073551677424495</c:v>
                </c:pt>
                <c:pt idx="59">
                  <c:v>0.33073551677424495</c:v>
                </c:pt>
                <c:pt idx="60">
                  <c:v>0.33073551677424495</c:v>
                </c:pt>
                <c:pt idx="61">
                  <c:v>0.33073551677424495</c:v>
                </c:pt>
                <c:pt idx="62">
                  <c:v>0.33073551677424495</c:v>
                </c:pt>
                <c:pt idx="63">
                  <c:v>0.33073551677424495</c:v>
                </c:pt>
                <c:pt idx="64">
                  <c:v>0.33073551677424495</c:v>
                </c:pt>
                <c:pt idx="65">
                  <c:v>0.33073551677424495</c:v>
                </c:pt>
                <c:pt idx="66">
                  <c:v>0.33073551677424495</c:v>
                </c:pt>
                <c:pt idx="67">
                  <c:v>0.33073551677424495</c:v>
                </c:pt>
                <c:pt idx="68">
                  <c:v>0.33615427524105507</c:v>
                </c:pt>
                <c:pt idx="69">
                  <c:v>0.33615427524105507</c:v>
                </c:pt>
                <c:pt idx="70">
                  <c:v>0.33615427524105507</c:v>
                </c:pt>
                <c:pt idx="71">
                  <c:v>0.33615427524105507</c:v>
                </c:pt>
                <c:pt idx="72">
                  <c:v>0.3469917921746753</c:v>
                </c:pt>
                <c:pt idx="73">
                  <c:v>0.36869870109172048</c:v>
                </c:pt>
                <c:pt idx="74">
                  <c:v>0.39037373495896088</c:v>
                </c:pt>
                <c:pt idx="75">
                  <c:v>0.395792493425771</c:v>
                </c:pt>
                <c:pt idx="76">
                  <c:v>0.395792493425771</c:v>
                </c:pt>
                <c:pt idx="77">
                  <c:v>0.40121125189258111</c:v>
                </c:pt>
                <c:pt idx="78">
                  <c:v>0.40121125189258111</c:v>
                </c:pt>
                <c:pt idx="79">
                  <c:v>0.40121125189258111</c:v>
                </c:pt>
                <c:pt idx="80">
                  <c:v>0.40121125189258111</c:v>
                </c:pt>
                <c:pt idx="81">
                  <c:v>0.40121125189258111</c:v>
                </c:pt>
                <c:pt idx="82">
                  <c:v>0.40121125189258111</c:v>
                </c:pt>
                <c:pt idx="83">
                  <c:v>0.40121125189258111</c:v>
                </c:pt>
                <c:pt idx="84">
                  <c:v>0.40121125189258111</c:v>
                </c:pt>
                <c:pt idx="85">
                  <c:v>0.40121125189258111</c:v>
                </c:pt>
                <c:pt idx="86">
                  <c:v>0.40121125189258111</c:v>
                </c:pt>
                <c:pt idx="87">
                  <c:v>0.40121125189258111</c:v>
                </c:pt>
                <c:pt idx="88">
                  <c:v>0.40121125189258111</c:v>
                </c:pt>
                <c:pt idx="89">
                  <c:v>0.40121125189258111</c:v>
                </c:pt>
                <c:pt idx="90">
                  <c:v>0.40121125189258111</c:v>
                </c:pt>
                <c:pt idx="91">
                  <c:v>0.40121125189258111</c:v>
                </c:pt>
                <c:pt idx="92">
                  <c:v>0.40663001035939123</c:v>
                </c:pt>
                <c:pt idx="93">
                  <c:v>0.40663001035939123</c:v>
                </c:pt>
                <c:pt idx="94">
                  <c:v>0.40663001035939123</c:v>
                </c:pt>
                <c:pt idx="95">
                  <c:v>0.40663001035939123</c:v>
                </c:pt>
                <c:pt idx="96">
                  <c:v>0.41208064387600613</c:v>
                </c:pt>
                <c:pt idx="97">
                  <c:v>0.41208064387600613</c:v>
                </c:pt>
                <c:pt idx="98">
                  <c:v>0.41208064387600613</c:v>
                </c:pt>
                <c:pt idx="99">
                  <c:v>0.41208064387600613</c:v>
                </c:pt>
                <c:pt idx="100">
                  <c:v>0.41208064387600613</c:v>
                </c:pt>
                <c:pt idx="101">
                  <c:v>0.41208064387600613</c:v>
                </c:pt>
                <c:pt idx="102">
                  <c:v>0.41208064387600613</c:v>
                </c:pt>
                <c:pt idx="103">
                  <c:v>0.41749940234281624</c:v>
                </c:pt>
                <c:pt idx="104">
                  <c:v>0.41749940234281624</c:v>
                </c:pt>
                <c:pt idx="105">
                  <c:v>0.42833691927643647</c:v>
                </c:pt>
                <c:pt idx="106">
                  <c:v>0.45001195314367681</c:v>
                </c:pt>
                <c:pt idx="107">
                  <c:v>0.47171886206072194</c:v>
                </c:pt>
                <c:pt idx="108">
                  <c:v>0.4933938959279624</c:v>
                </c:pt>
                <c:pt idx="109">
                  <c:v>0.5150689297952028</c:v>
                </c:pt>
                <c:pt idx="110">
                  <c:v>0.53677583871224799</c:v>
                </c:pt>
                <c:pt idx="111">
                  <c:v>0.55845087257948844</c:v>
                </c:pt>
                <c:pt idx="112">
                  <c:v>0.58015778149653363</c:v>
                </c:pt>
                <c:pt idx="113">
                  <c:v>0.60183281536377409</c:v>
                </c:pt>
                <c:pt idx="114">
                  <c:v>0.62350784923101454</c:v>
                </c:pt>
                <c:pt idx="115">
                  <c:v>0.64521475814805973</c:v>
                </c:pt>
                <c:pt idx="116">
                  <c:v>0.66688979201530019</c:v>
                </c:pt>
                <c:pt idx="117">
                  <c:v>0.68859670093234537</c:v>
                </c:pt>
                <c:pt idx="118">
                  <c:v>0.71027173479958561</c:v>
                </c:pt>
                <c:pt idx="119">
                  <c:v>0.73194676866682606</c:v>
                </c:pt>
                <c:pt idx="120">
                  <c:v>0.75907243605068142</c:v>
                </c:pt>
                <c:pt idx="121">
                  <c:v>0.78616622838473194</c:v>
                </c:pt>
                <c:pt idx="122">
                  <c:v>0.80787313730177701</c:v>
                </c:pt>
                <c:pt idx="123">
                  <c:v>0.82954817116901747</c:v>
                </c:pt>
                <c:pt idx="124">
                  <c:v>0.85125508008606265</c:v>
                </c:pt>
                <c:pt idx="125">
                  <c:v>0.87293011395330311</c:v>
                </c:pt>
                <c:pt idx="126">
                  <c:v>0.89460514782054346</c:v>
                </c:pt>
                <c:pt idx="127">
                  <c:v>0.91631205673758875</c:v>
                </c:pt>
                <c:pt idx="128">
                  <c:v>0.9379870906048291</c:v>
                </c:pt>
                <c:pt idx="129">
                  <c:v>0.95966212447206956</c:v>
                </c:pt>
                <c:pt idx="130">
                  <c:v>0.98136903338911474</c:v>
                </c:pt>
                <c:pt idx="131">
                  <c:v>1.0030440672563552</c:v>
                </c:pt>
                <c:pt idx="132">
                  <c:v>1.0247509761734004</c:v>
                </c:pt>
                <c:pt idx="133">
                  <c:v>1.0464260100406406</c:v>
                </c:pt>
                <c:pt idx="134">
                  <c:v>1.0681010439078813</c:v>
                </c:pt>
                <c:pt idx="135">
                  <c:v>1.0898079528249263</c:v>
                </c:pt>
                <c:pt idx="136">
                  <c:v>1.1114829866921667</c:v>
                </c:pt>
                <c:pt idx="137">
                  <c:v>1.1331898956092121</c:v>
                </c:pt>
                <c:pt idx="138">
                  <c:v>1.1548649294764526</c:v>
                </c:pt>
                <c:pt idx="139">
                  <c:v>1.176539963343693</c:v>
                </c:pt>
                <c:pt idx="140">
                  <c:v>1.198246872260738</c:v>
                </c:pt>
                <c:pt idx="141">
                  <c:v>1.2199219061279782</c:v>
                </c:pt>
                <c:pt idx="142">
                  <c:v>1.2416288150450236</c:v>
                </c:pt>
                <c:pt idx="143">
                  <c:v>1.2633038489122639</c:v>
                </c:pt>
                <c:pt idx="144">
                  <c:v>1.2849788827795043</c:v>
                </c:pt>
                <c:pt idx="145">
                  <c:v>1.3066857916965495</c:v>
                </c:pt>
                <c:pt idx="146">
                  <c:v>1.32836082556379</c:v>
                </c:pt>
                <c:pt idx="147">
                  <c:v>1.3500677344808349</c:v>
                </c:pt>
                <c:pt idx="148">
                  <c:v>1.3717427683480754</c:v>
                </c:pt>
                <c:pt idx="149">
                  <c:v>1.3934178022153161</c:v>
                </c:pt>
                <c:pt idx="150">
                  <c:v>1.4151247111323613</c:v>
                </c:pt>
                <c:pt idx="151">
                  <c:v>1.4367997449996017</c:v>
                </c:pt>
                <c:pt idx="152">
                  <c:v>1.4585066539166467</c:v>
                </c:pt>
                <c:pt idx="153">
                  <c:v>1.4801816877838871</c:v>
                </c:pt>
                <c:pt idx="154">
                  <c:v>1.5018567216511276</c:v>
                </c:pt>
                <c:pt idx="155">
                  <c:v>1.523563630568173</c:v>
                </c:pt>
                <c:pt idx="156">
                  <c:v>1.5452386644354135</c:v>
                </c:pt>
                <c:pt idx="157">
                  <c:v>1.5669455733524584</c:v>
                </c:pt>
                <c:pt idx="158">
                  <c:v>1.5886206072196989</c:v>
                </c:pt>
                <c:pt idx="159">
                  <c:v>1.6102956410869393</c:v>
                </c:pt>
                <c:pt idx="160">
                  <c:v>1.6320025500039845</c:v>
                </c:pt>
                <c:pt idx="161">
                  <c:v>1.653677583871225</c:v>
                </c:pt>
                <c:pt idx="162">
                  <c:v>1.6753844927882702</c:v>
                </c:pt>
                <c:pt idx="163">
                  <c:v>1.6970595266555106</c:v>
                </c:pt>
                <c:pt idx="164">
                  <c:v>1.724153318989561</c:v>
                </c:pt>
                <c:pt idx="165">
                  <c:v>1.7458602279066062</c:v>
                </c:pt>
                <c:pt idx="166">
                  <c:v>1.7675352617738467</c:v>
                </c:pt>
                <c:pt idx="167">
                  <c:v>1.7892421706908919</c:v>
                </c:pt>
                <c:pt idx="168">
                  <c:v>1.8109172045581323</c:v>
                </c:pt>
                <c:pt idx="169">
                  <c:v>1.8325922384253726</c:v>
                </c:pt>
                <c:pt idx="170">
                  <c:v>1.854299147342418</c:v>
                </c:pt>
                <c:pt idx="171">
                  <c:v>1.8759741812096582</c:v>
                </c:pt>
                <c:pt idx="172">
                  <c:v>1.8976810901267032</c:v>
                </c:pt>
                <c:pt idx="173">
                  <c:v>1.9247748824607538</c:v>
                </c:pt>
                <c:pt idx="174">
                  <c:v>1.9519005498446091</c:v>
                </c:pt>
                <c:pt idx="175">
                  <c:v>1.9789943421786598</c:v>
                </c:pt>
                <c:pt idx="176">
                  <c:v>2.0061200095625149</c:v>
                </c:pt>
                <c:pt idx="177">
                  <c:v>2.0332138018965655</c:v>
                </c:pt>
                <c:pt idx="178">
                  <c:v>2.0603394692804211</c:v>
                </c:pt>
                <c:pt idx="179">
                  <c:v>2.0874332616144713</c:v>
                </c:pt>
                <c:pt idx="180">
                  <c:v>2.1145589289983264</c:v>
                </c:pt>
                <c:pt idx="181">
                  <c:v>2.1362339628655671</c:v>
                </c:pt>
                <c:pt idx="182">
                  <c:v>2.1633277551996177</c:v>
                </c:pt>
                <c:pt idx="183">
                  <c:v>2.1850346641166629</c:v>
                </c:pt>
                <c:pt idx="184">
                  <c:v>2.2121284564507135</c:v>
                </c:pt>
                <c:pt idx="185">
                  <c:v>2.2338353653677587</c:v>
                </c:pt>
                <c:pt idx="186">
                  <c:v>2.255510399234999</c:v>
                </c:pt>
                <c:pt idx="187">
                  <c:v>2.2826360666188541</c:v>
                </c:pt>
                <c:pt idx="188">
                  <c:v>2.3043111004860948</c:v>
                </c:pt>
                <c:pt idx="189">
                  <c:v>2.325986134353335</c:v>
                </c:pt>
                <c:pt idx="190">
                  <c:v>2.3476930432703802</c:v>
                </c:pt>
                <c:pt idx="191">
                  <c:v>2.3693680771376204</c:v>
                </c:pt>
                <c:pt idx="192">
                  <c:v>2.3910749860546661</c:v>
                </c:pt>
                <c:pt idx="193">
                  <c:v>2.4127500199219063</c:v>
                </c:pt>
                <c:pt idx="194">
                  <c:v>2.4344250537891465</c:v>
                </c:pt>
                <c:pt idx="195">
                  <c:v>2.4561319627061917</c:v>
                </c:pt>
                <c:pt idx="196">
                  <c:v>2.4778069965734324</c:v>
                </c:pt>
                <c:pt idx="197">
                  <c:v>2.4995139054904776</c:v>
                </c:pt>
                <c:pt idx="198">
                  <c:v>2.5211889393577178</c:v>
                </c:pt>
                <c:pt idx="199">
                  <c:v>2.5428639732249585</c:v>
                </c:pt>
                <c:pt idx="200">
                  <c:v>2.5645708821420032</c:v>
                </c:pt>
                <c:pt idx="201">
                  <c:v>2.5916646744760539</c:v>
                </c:pt>
                <c:pt idx="202">
                  <c:v>2.6187903418599094</c:v>
                </c:pt>
                <c:pt idx="203">
                  <c:v>2.6404653757271497</c:v>
                </c:pt>
                <c:pt idx="204">
                  <c:v>2.6621722846441949</c:v>
                </c:pt>
                <c:pt idx="205">
                  <c:v>2.6892660769782455</c:v>
                </c:pt>
                <c:pt idx="206">
                  <c:v>2.7109411108454862</c:v>
                </c:pt>
                <c:pt idx="207">
                  <c:v>2.7380667782293413</c:v>
                </c:pt>
                <c:pt idx="208">
                  <c:v>2.7597418120965815</c:v>
                </c:pt>
                <c:pt idx="209">
                  <c:v>2.7814487210136267</c:v>
                </c:pt>
                <c:pt idx="210">
                  <c:v>2.8031237548808674</c:v>
                </c:pt>
                <c:pt idx="211">
                  <c:v>2.8247987887481072</c:v>
                </c:pt>
                <c:pt idx="212">
                  <c:v>2.8519244561319628</c:v>
                </c:pt>
                <c:pt idx="213">
                  <c:v>2.8735994899992034</c:v>
                </c:pt>
                <c:pt idx="214">
                  <c:v>2.9007251573830586</c:v>
                </c:pt>
                <c:pt idx="215">
                  <c:v>2.9224001912502993</c:v>
                </c:pt>
                <c:pt idx="216">
                  <c:v>2.9495258586341544</c:v>
                </c:pt>
                <c:pt idx="217">
                  <c:v>2.9712008925013946</c:v>
                </c:pt>
                <c:pt idx="218">
                  <c:v>2.9983265598852498</c:v>
                </c:pt>
                <c:pt idx="219">
                  <c:v>3.0200015937524904</c:v>
                </c:pt>
                <c:pt idx="220">
                  <c:v>3.047127261136346</c:v>
                </c:pt>
                <c:pt idx="221">
                  <c:v>3.0688022950035858</c:v>
                </c:pt>
                <c:pt idx="222">
                  <c:v>3.0958960873376369</c:v>
                </c:pt>
                <c:pt idx="223">
                  <c:v>3.1176029962546821</c:v>
                </c:pt>
                <c:pt idx="224">
                  <c:v>3.1446967885887318</c:v>
                </c:pt>
                <c:pt idx="225">
                  <c:v>3.1664036975057774</c:v>
                </c:pt>
                <c:pt idx="226">
                  <c:v>3.1935612399394375</c:v>
                </c:pt>
                <c:pt idx="227">
                  <c:v>3.2206550322734881</c:v>
                </c:pt>
                <c:pt idx="228">
                  <c:v>3.2477488246075383</c:v>
                </c:pt>
                <c:pt idx="229">
                  <c:v>3.274842616941589</c:v>
                </c:pt>
                <c:pt idx="230">
                  <c:v>3.2965176508088296</c:v>
                </c:pt>
                <c:pt idx="231">
                  <c:v>3.3181926846760699</c:v>
                </c:pt>
                <c:pt idx="232">
                  <c:v>3.3398677185433105</c:v>
                </c:pt>
                <c:pt idx="233">
                  <c:v>3.3615427524105508</c:v>
                </c:pt>
                <c:pt idx="234">
                  <c:v>3.3886365447446014</c:v>
                </c:pt>
                <c:pt idx="235">
                  <c:v>3.415730337078652</c:v>
                </c:pt>
                <c:pt idx="236">
                  <c:v>3.4428241294127027</c:v>
                </c:pt>
                <c:pt idx="237">
                  <c:v>3.4699179217467528</c:v>
                </c:pt>
                <c:pt idx="238">
                  <c:v>3.497011714080803</c:v>
                </c:pt>
                <c:pt idx="239">
                  <c:v>3.5241055064148541</c:v>
                </c:pt>
                <c:pt idx="240">
                  <c:v>3.5511992987489043</c:v>
                </c:pt>
                <c:pt idx="241">
                  <c:v>3.5786118415810022</c:v>
                </c:pt>
                <c:pt idx="242">
                  <c:v>3.6057056339150533</c:v>
                </c:pt>
                <c:pt idx="243">
                  <c:v>3.6327994262491035</c:v>
                </c:pt>
                <c:pt idx="244">
                  <c:v>3.6598932185831541</c:v>
                </c:pt>
                <c:pt idx="245">
                  <c:v>3.6869870109172047</c:v>
                </c:pt>
                <c:pt idx="246">
                  <c:v>3.7140808032512553</c:v>
                </c:pt>
                <c:pt idx="247">
                  <c:v>3.7357558371184956</c:v>
                </c:pt>
                <c:pt idx="248">
                  <c:v>3.7628496294525462</c:v>
                </c:pt>
                <c:pt idx="249">
                  <c:v>3.7899434217865968</c:v>
                </c:pt>
                <c:pt idx="250">
                  <c:v>3.8116184556538371</c:v>
                </c:pt>
                <c:pt idx="251">
                  <c:v>3.8387122479878877</c:v>
                </c:pt>
                <c:pt idx="252">
                  <c:v>3.8658060403219383</c:v>
                </c:pt>
                <c:pt idx="253">
                  <c:v>3.8874810741891785</c:v>
                </c:pt>
                <c:pt idx="254">
                  <c:v>3.9145748665232292</c:v>
                </c:pt>
                <c:pt idx="255">
                  <c:v>3.9362499003904694</c:v>
                </c:pt>
                <c:pt idx="256">
                  <c:v>3.9633436927245205</c:v>
                </c:pt>
                <c:pt idx="257">
                  <c:v>3.9850187265917603</c:v>
                </c:pt>
                <c:pt idx="258">
                  <c:v>4.0066937604590009</c:v>
                </c:pt>
                <c:pt idx="259">
                  <c:v>4.0337875527930516</c:v>
                </c:pt>
                <c:pt idx="260">
                  <c:v>4.0554625866602922</c:v>
                </c:pt>
                <c:pt idx="261">
                  <c:v>4.0825563789943429</c:v>
                </c:pt>
                <c:pt idx="262">
                  <c:v>4.1042314128615827</c:v>
                </c:pt>
                <c:pt idx="263">
                  <c:v>4.1262251972268702</c:v>
                </c:pt>
                <c:pt idx="264">
                  <c:v>4.1533189895609217</c:v>
                </c:pt>
                <c:pt idx="265">
                  <c:v>4.1749940234281615</c:v>
                </c:pt>
                <c:pt idx="266">
                  <c:v>4.2075065742290221</c:v>
                </c:pt>
                <c:pt idx="267">
                  <c:v>4.2400191250298835</c:v>
                </c:pt>
                <c:pt idx="268">
                  <c:v>4.2779504342975541</c:v>
                </c:pt>
                <c:pt idx="269">
                  <c:v>4.3104629850984137</c:v>
                </c:pt>
                <c:pt idx="270">
                  <c:v>4.3483942943660852</c:v>
                </c:pt>
                <c:pt idx="271">
                  <c:v>4.3809068451669457</c:v>
                </c:pt>
                <c:pt idx="272">
                  <c:v>4.4134193959678063</c:v>
                </c:pt>
                <c:pt idx="273">
                  <c:v>4.4513507052354777</c:v>
                </c:pt>
                <c:pt idx="274">
                  <c:v>4.4838632560363374</c:v>
                </c:pt>
                <c:pt idx="275">
                  <c:v>4.516375806837198</c:v>
                </c:pt>
                <c:pt idx="276">
                  <c:v>4.5488883576380594</c:v>
                </c:pt>
                <c:pt idx="277">
                  <c:v>4.5814009084389191</c:v>
                </c:pt>
                <c:pt idx="278">
                  <c:v>4.6193322177065896</c:v>
                </c:pt>
                <c:pt idx="279">
                  <c:v>4.6518447685074511</c:v>
                </c:pt>
                <c:pt idx="280">
                  <c:v>4.6846760698063594</c:v>
                </c:pt>
                <c:pt idx="281">
                  <c:v>4.7171886206072209</c:v>
                </c:pt>
                <c:pt idx="282">
                  <c:v>4.7551199298748905</c:v>
                </c:pt>
                <c:pt idx="283">
                  <c:v>4.7876324806757511</c:v>
                </c:pt>
                <c:pt idx="284">
                  <c:v>4.8201450314766126</c:v>
                </c:pt>
                <c:pt idx="285">
                  <c:v>4.8526575822774731</c:v>
                </c:pt>
                <c:pt idx="286">
                  <c:v>4.8851701330783328</c:v>
                </c:pt>
                <c:pt idx="287">
                  <c:v>4.9231014423460042</c:v>
                </c:pt>
                <c:pt idx="288">
                  <c:v>4.9556139931468648</c:v>
                </c:pt>
                <c:pt idx="289">
                  <c:v>4.9881265439477254</c:v>
                </c:pt>
                <c:pt idx="290">
                  <c:v>5.0206390947485851</c:v>
                </c:pt>
                <c:pt idx="291">
                  <c:v>5.0531516455494465</c:v>
                </c:pt>
                <c:pt idx="292">
                  <c:v>5.0856641963503071</c:v>
                </c:pt>
                <c:pt idx="293">
                  <c:v>5.1181767471511668</c:v>
                </c:pt>
                <c:pt idx="294">
                  <c:v>5.1561080564188382</c:v>
                </c:pt>
                <c:pt idx="295">
                  <c:v>5.1886206072196988</c:v>
                </c:pt>
                <c:pt idx="296">
                  <c:v>5.221451908518608</c:v>
                </c:pt>
                <c:pt idx="297">
                  <c:v>5.2539644593194685</c:v>
                </c:pt>
                <c:pt idx="298">
                  <c:v>5.2864770101203282</c:v>
                </c:pt>
                <c:pt idx="299">
                  <c:v>5.3189895609211897</c:v>
                </c:pt>
                <c:pt idx="300">
                  <c:v>5.3515021117220494</c:v>
                </c:pt>
                <c:pt idx="301">
                  <c:v>5.3894334209897208</c:v>
                </c:pt>
                <c:pt idx="302">
                  <c:v>5.4219459717905814</c:v>
                </c:pt>
                <c:pt idx="303">
                  <c:v>5.4544585225914419</c:v>
                </c:pt>
                <c:pt idx="304">
                  <c:v>5.4869710733923016</c:v>
                </c:pt>
                <c:pt idx="305">
                  <c:v>5.5249023826599739</c:v>
                </c:pt>
                <c:pt idx="306">
                  <c:v>5.5574149334608336</c:v>
                </c:pt>
                <c:pt idx="307">
                  <c:v>5.600765001195315</c:v>
                </c:pt>
                <c:pt idx="308">
                  <c:v>5.6495338273966063</c:v>
                </c:pt>
                <c:pt idx="309">
                  <c:v>5.6928838951310858</c:v>
                </c:pt>
                <c:pt idx="310">
                  <c:v>5.7362339628655681</c:v>
                </c:pt>
                <c:pt idx="311">
                  <c:v>5.7853215395649054</c:v>
                </c:pt>
                <c:pt idx="312">
                  <c:v>5.8286716072993876</c:v>
                </c:pt>
                <c:pt idx="313">
                  <c:v>5.8774404335006771</c:v>
                </c:pt>
                <c:pt idx="314">
                  <c:v>5.9207905012351585</c:v>
                </c:pt>
                <c:pt idx="315">
                  <c:v>5.9695593274364498</c:v>
                </c:pt>
                <c:pt idx="316">
                  <c:v>6.0183281536377411</c:v>
                </c:pt>
                <c:pt idx="317">
                  <c:v>6.0670969798390315</c:v>
                </c:pt>
                <c:pt idx="318">
                  <c:v>6.1104470475735111</c:v>
                </c:pt>
                <c:pt idx="319">
                  <c:v>6.1592158737748033</c:v>
                </c:pt>
                <c:pt idx="320">
                  <c:v>6.2079846999760937</c:v>
                </c:pt>
                <c:pt idx="321">
                  <c:v>6.256753526177385</c:v>
                </c:pt>
                <c:pt idx="322">
                  <c:v>6.3055223523786754</c:v>
                </c:pt>
                <c:pt idx="323">
                  <c:v>6.3546099290780145</c:v>
                </c:pt>
                <c:pt idx="324">
                  <c:v>6.4033787552793058</c:v>
                </c:pt>
                <c:pt idx="325">
                  <c:v>6.4521475814805962</c:v>
                </c:pt>
                <c:pt idx="326">
                  <c:v>6.5009164076818866</c:v>
                </c:pt>
                <c:pt idx="327">
                  <c:v>6.5496852338831779</c:v>
                </c:pt>
                <c:pt idx="328">
                  <c:v>6.5984540600844683</c:v>
                </c:pt>
                <c:pt idx="329">
                  <c:v>6.6472228862857596</c:v>
                </c:pt>
                <c:pt idx="330">
                  <c:v>6.7014104709538609</c:v>
                </c:pt>
                <c:pt idx="331">
                  <c:v>6.7501792971551522</c:v>
                </c:pt>
                <c:pt idx="332">
                  <c:v>6.7989481233564435</c:v>
                </c:pt>
                <c:pt idx="333">
                  <c:v>6.842298191090924</c:v>
                </c:pt>
                <c:pt idx="334">
                  <c:v>6.891385767790263</c:v>
                </c:pt>
                <c:pt idx="335">
                  <c:v>6.9401545939915534</c:v>
                </c:pt>
                <c:pt idx="336">
                  <c:v>6.9943421786596556</c:v>
                </c:pt>
                <c:pt idx="337">
                  <c:v>7.048529763327755</c:v>
                </c:pt>
                <c:pt idx="338">
                  <c:v>7.1135548649294771</c:v>
                </c:pt>
                <c:pt idx="339">
                  <c:v>7.1785799665311982</c:v>
                </c:pt>
                <c:pt idx="340">
                  <c:v>7.2436050681329194</c:v>
                </c:pt>
                <c:pt idx="341">
                  <c:v>7.3086301697346396</c:v>
                </c:pt>
                <c:pt idx="342">
                  <c:v>7.3736552713363626</c:v>
                </c:pt>
                <c:pt idx="343">
                  <c:v>7.4281616065025107</c:v>
                </c:pt>
                <c:pt idx="344">
                  <c:v>7.4931867081042327</c:v>
                </c:pt>
                <c:pt idx="345">
                  <c:v>7.558211809705953</c:v>
                </c:pt>
                <c:pt idx="346">
                  <c:v>7.6232369113076741</c:v>
                </c:pt>
                <c:pt idx="347">
                  <c:v>7.6774244959757754</c:v>
                </c:pt>
                <c:pt idx="348">
                  <c:v>7.7424495975774965</c:v>
                </c:pt>
                <c:pt idx="349">
                  <c:v>7.7966371822455969</c:v>
                </c:pt>
                <c:pt idx="350">
                  <c:v>7.8616622838473189</c:v>
                </c:pt>
                <c:pt idx="351">
                  <c:v>7.9158498685154202</c:v>
                </c:pt>
                <c:pt idx="352">
                  <c:v>7.9703562036815683</c:v>
                </c:pt>
                <c:pt idx="353">
                  <c:v>8.0245437883496695</c:v>
                </c:pt>
                <c:pt idx="354">
                  <c:v>8.0787313730177708</c:v>
                </c:pt>
                <c:pt idx="355">
                  <c:v>8.132918957685872</c:v>
                </c:pt>
                <c:pt idx="356">
                  <c:v>8.1871065423539733</c:v>
                </c:pt>
                <c:pt idx="357">
                  <c:v>8.2467128854888845</c:v>
                </c:pt>
                <c:pt idx="358">
                  <c:v>8.3009004701569857</c:v>
                </c:pt>
                <c:pt idx="359">
                  <c:v>8.355088054825087</c:v>
                </c:pt>
                <c:pt idx="360">
                  <c:v>8.4255319148936181</c:v>
                </c:pt>
                <c:pt idx="361">
                  <c:v>8.4959757749621492</c:v>
                </c:pt>
                <c:pt idx="362">
                  <c:v>8.566738385528728</c:v>
                </c:pt>
                <c:pt idx="363">
                  <c:v>8.6371822455972609</c:v>
                </c:pt>
                <c:pt idx="364">
                  <c:v>8.7076261056657902</c:v>
                </c:pt>
                <c:pt idx="365">
                  <c:v>8.7834887242011312</c:v>
                </c:pt>
                <c:pt idx="366">
                  <c:v>8.8539325842696641</c:v>
                </c:pt>
                <c:pt idx="367">
                  <c:v>8.9243764443381952</c:v>
                </c:pt>
                <c:pt idx="368">
                  <c:v>8.9948203044067263</c:v>
                </c:pt>
                <c:pt idx="369">
                  <c:v>9.0710016734401151</c:v>
                </c:pt>
                <c:pt idx="370">
                  <c:v>9.141445533508648</c:v>
                </c:pt>
                <c:pt idx="371">
                  <c:v>9.2118893935771773</c:v>
                </c:pt>
                <c:pt idx="372">
                  <c:v>9.2877520121125183</c:v>
                </c:pt>
                <c:pt idx="373">
                  <c:v>9.3581958721810512</c:v>
                </c:pt>
                <c:pt idx="374">
                  <c:v>9.4286397322495823</c:v>
                </c:pt>
                <c:pt idx="375">
                  <c:v>9.4990835923181134</c:v>
                </c:pt>
                <c:pt idx="376">
                  <c:v>9.5749462108534544</c:v>
                </c:pt>
                <c:pt idx="377">
                  <c:v>9.6457088214200351</c:v>
                </c:pt>
                <c:pt idx="378">
                  <c:v>9.7215714399553761</c:v>
                </c:pt>
                <c:pt idx="379">
                  <c:v>9.8082715754243353</c:v>
                </c:pt>
                <c:pt idx="380">
                  <c:v>9.8841341939596781</c:v>
                </c:pt>
                <c:pt idx="381">
                  <c:v>9.9599968124950209</c:v>
                </c:pt>
                <c:pt idx="382">
                  <c:v>10.035859431030364</c:v>
                </c:pt>
                <c:pt idx="383">
                  <c:v>10.111722049565703</c:v>
                </c:pt>
                <c:pt idx="384">
                  <c:v>10.187903418599092</c:v>
                </c:pt>
                <c:pt idx="385">
                  <c:v>10.274603554068053</c:v>
                </c:pt>
                <c:pt idx="386">
                  <c:v>10.350466172603397</c:v>
                </c:pt>
                <c:pt idx="387">
                  <c:v>10.426328791138738</c:v>
                </c:pt>
                <c:pt idx="388">
                  <c:v>10.502191409674078</c:v>
                </c:pt>
                <c:pt idx="389">
                  <c:v>10.57805402820942</c:v>
                </c:pt>
                <c:pt idx="390">
                  <c:v>10.653916646744761</c:v>
                </c:pt>
                <c:pt idx="391">
                  <c:v>10.73551677424496</c:v>
                </c:pt>
                <c:pt idx="392">
                  <c:v>10.811379392780301</c:v>
                </c:pt>
                <c:pt idx="393">
                  <c:v>10.892660769782454</c:v>
                </c:pt>
                <c:pt idx="394">
                  <c:v>10.968523388317795</c:v>
                </c:pt>
                <c:pt idx="395">
                  <c:v>11.049804765319948</c:v>
                </c:pt>
                <c:pt idx="396">
                  <c:v>11.125667383855289</c:v>
                </c:pt>
                <c:pt idx="397">
                  <c:v>11.22320503625787</c:v>
                </c:pt>
                <c:pt idx="398">
                  <c:v>11.3210614391585</c:v>
                </c:pt>
                <c:pt idx="399">
                  <c:v>11.418599091561081</c:v>
                </c:pt>
                <c:pt idx="400">
                  <c:v>11.516136743963665</c:v>
                </c:pt>
                <c:pt idx="401">
                  <c:v>11.613674396366246</c:v>
                </c:pt>
                <c:pt idx="402">
                  <c:v>11.711212048768827</c:v>
                </c:pt>
                <c:pt idx="403">
                  <c:v>11.798230934735836</c:v>
                </c:pt>
                <c:pt idx="404">
                  <c:v>11.884931070204798</c:v>
                </c:pt>
                <c:pt idx="405">
                  <c:v>11.971631205673759</c:v>
                </c:pt>
                <c:pt idx="406">
                  <c:v>12.058331341142722</c:v>
                </c:pt>
                <c:pt idx="407">
                  <c:v>12.155868993545303</c:v>
                </c:pt>
                <c:pt idx="408">
                  <c:v>12.242569129014266</c:v>
                </c:pt>
                <c:pt idx="409">
                  <c:v>12.329269264483226</c:v>
                </c:pt>
                <c:pt idx="410">
                  <c:v>12.432544425850667</c:v>
                </c:pt>
                <c:pt idx="411">
                  <c:v>12.535500836720058</c:v>
                </c:pt>
                <c:pt idx="412">
                  <c:v>12.63845724758945</c:v>
                </c:pt>
                <c:pt idx="413">
                  <c:v>12.752251175392463</c:v>
                </c:pt>
                <c:pt idx="414">
                  <c:v>12.860626344728665</c:v>
                </c:pt>
                <c:pt idx="415">
                  <c:v>12.963901506096104</c:v>
                </c:pt>
                <c:pt idx="416">
                  <c:v>13.072276675432306</c:v>
                </c:pt>
                <c:pt idx="417">
                  <c:v>13.180651844768507</c:v>
                </c:pt>
                <c:pt idx="418">
                  <c:v>13.289027014104711</c:v>
                </c:pt>
                <c:pt idx="419">
                  <c:v>13.397402183440912</c:v>
                </c:pt>
                <c:pt idx="420">
                  <c:v>13.506096103275164</c:v>
                </c:pt>
                <c:pt idx="421">
                  <c:v>13.609052514144553</c:v>
                </c:pt>
                <c:pt idx="422">
                  <c:v>13.717427683480757</c:v>
                </c:pt>
                <c:pt idx="423">
                  <c:v>13.825802852816958</c:v>
                </c:pt>
                <c:pt idx="424">
                  <c:v>13.93417802215316</c:v>
                </c:pt>
                <c:pt idx="425">
                  <c:v>14.05912821738784</c:v>
                </c:pt>
                <c:pt idx="426">
                  <c:v>14.167503386724043</c:v>
                </c:pt>
                <c:pt idx="427">
                  <c:v>14.292134831460675</c:v>
                </c:pt>
                <c:pt idx="428">
                  <c:v>14.400510000796876</c:v>
                </c:pt>
                <c:pt idx="429">
                  <c:v>14.508885170133079</c:v>
                </c:pt>
                <c:pt idx="430">
                  <c:v>14.617579089967327</c:v>
                </c:pt>
                <c:pt idx="431">
                  <c:v>14.725954259303531</c:v>
                </c:pt>
                <c:pt idx="432">
                  <c:v>14.834329428639732</c:v>
                </c:pt>
                <c:pt idx="433">
                  <c:v>14.948123356442744</c:v>
                </c:pt>
                <c:pt idx="434">
                  <c:v>15.056498525778947</c:v>
                </c:pt>
                <c:pt idx="435">
                  <c:v>15.165192445613195</c:v>
                </c:pt>
                <c:pt idx="436">
                  <c:v>15.2735676149494</c:v>
                </c:pt>
                <c:pt idx="437">
                  <c:v>15.39819905968603</c:v>
                </c:pt>
                <c:pt idx="438">
                  <c:v>15.528249262889474</c:v>
                </c:pt>
                <c:pt idx="439">
                  <c:v>15.658618216590964</c:v>
                </c:pt>
                <c:pt idx="440">
                  <c:v>15.788668419794407</c:v>
                </c:pt>
                <c:pt idx="441">
                  <c:v>15.918718622997851</c:v>
                </c:pt>
                <c:pt idx="442">
                  <c:v>16.054187584668103</c:v>
                </c:pt>
                <c:pt idx="443">
                  <c:v>16.184237787871545</c:v>
                </c:pt>
                <c:pt idx="444">
                  <c:v>16.314606741573034</c:v>
                </c:pt>
                <c:pt idx="445">
                  <c:v>16.450075703243289</c:v>
                </c:pt>
                <c:pt idx="446">
                  <c:v>16.580125906446728</c:v>
                </c:pt>
                <c:pt idx="447">
                  <c:v>16.715594868116984</c:v>
                </c:pt>
                <c:pt idx="448">
                  <c:v>16.845963821818472</c:v>
                </c:pt>
                <c:pt idx="449">
                  <c:v>16.981432783488724</c:v>
                </c:pt>
                <c:pt idx="450">
                  <c:v>17.116901745158977</c:v>
                </c:pt>
                <c:pt idx="451">
                  <c:v>17.252370706829232</c:v>
                </c:pt>
                <c:pt idx="452">
                  <c:v>17.382739660530721</c:v>
                </c:pt>
                <c:pt idx="453">
                  <c:v>17.518208622200973</c:v>
                </c:pt>
                <c:pt idx="454">
                  <c:v>17.653677583871225</c:v>
                </c:pt>
                <c:pt idx="455">
                  <c:v>17.783727787074668</c:v>
                </c:pt>
                <c:pt idx="456">
                  <c:v>17.919515499242969</c:v>
                </c:pt>
                <c:pt idx="457">
                  <c:v>18.054984460913218</c:v>
                </c:pt>
                <c:pt idx="458">
                  <c:v>18.212128456450717</c:v>
                </c:pt>
                <c:pt idx="459">
                  <c:v>18.353016176587776</c:v>
                </c:pt>
                <c:pt idx="460">
                  <c:v>18.510478922623317</c:v>
                </c:pt>
                <c:pt idx="461">
                  <c:v>18.667622918160809</c:v>
                </c:pt>
                <c:pt idx="462">
                  <c:v>18.808510638297875</c:v>
                </c:pt>
                <c:pt idx="463">
                  <c:v>18.949717108932983</c:v>
                </c:pt>
                <c:pt idx="464">
                  <c:v>19.090604829070045</c:v>
                </c:pt>
                <c:pt idx="465">
                  <c:v>19.231492549207111</c:v>
                </c:pt>
                <c:pt idx="466">
                  <c:v>19.372380269344173</c:v>
                </c:pt>
                <c:pt idx="467">
                  <c:v>19.519005498446091</c:v>
                </c:pt>
                <c:pt idx="468">
                  <c:v>19.676149493983587</c:v>
                </c:pt>
                <c:pt idx="469">
                  <c:v>19.838712247987889</c:v>
                </c:pt>
                <c:pt idx="470">
                  <c:v>20.006693760459001</c:v>
                </c:pt>
                <c:pt idx="471">
                  <c:v>20.169575264961352</c:v>
                </c:pt>
                <c:pt idx="472">
                  <c:v>20.337556777432464</c:v>
                </c:pt>
                <c:pt idx="473">
                  <c:v>20.505538289903576</c:v>
                </c:pt>
                <c:pt idx="474">
                  <c:v>20.673838552872741</c:v>
                </c:pt>
                <c:pt idx="475">
                  <c:v>20.841820065343853</c:v>
                </c:pt>
                <c:pt idx="476">
                  <c:v>21.009801577814965</c:v>
                </c:pt>
                <c:pt idx="477">
                  <c:v>21.178101840784127</c:v>
                </c:pt>
                <c:pt idx="478">
                  <c:v>21.346083353255239</c:v>
                </c:pt>
                <c:pt idx="479">
                  <c:v>21.508646107259541</c:v>
                </c:pt>
                <c:pt idx="480">
                  <c:v>21.671208861263846</c:v>
                </c:pt>
                <c:pt idx="481">
                  <c:v>21.834090365766198</c:v>
                </c:pt>
                <c:pt idx="482">
                  <c:v>21.9966531197705</c:v>
                </c:pt>
                <c:pt idx="483">
                  <c:v>22.159215873774805</c:v>
                </c:pt>
                <c:pt idx="484">
                  <c:v>22.322097378277153</c:v>
                </c:pt>
                <c:pt idx="485">
                  <c:v>22.500916407681885</c:v>
                </c:pt>
                <c:pt idx="486">
                  <c:v>22.685154195553434</c:v>
                </c:pt>
                <c:pt idx="487">
                  <c:v>22.869710733923025</c:v>
                </c:pt>
                <c:pt idx="488">
                  <c:v>23.053948521794567</c:v>
                </c:pt>
                <c:pt idx="489">
                  <c:v>23.238186309666109</c:v>
                </c:pt>
                <c:pt idx="490">
                  <c:v>23.422742848035703</c:v>
                </c:pt>
                <c:pt idx="491">
                  <c:v>23.606980635907245</c:v>
                </c:pt>
                <c:pt idx="492">
                  <c:v>23.791218423778787</c:v>
                </c:pt>
                <c:pt idx="493">
                  <c:v>23.981193720615188</c:v>
                </c:pt>
                <c:pt idx="494">
                  <c:v>24.165431508486733</c:v>
                </c:pt>
                <c:pt idx="495">
                  <c:v>24.349669296358275</c:v>
                </c:pt>
                <c:pt idx="496">
                  <c:v>24.53422583472787</c:v>
                </c:pt>
                <c:pt idx="497">
                  <c:v>24.718463622599412</c:v>
                </c:pt>
                <c:pt idx="498">
                  <c:v>24.902701410470954</c:v>
                </c:pt>
                <c:pt idx="499">
                  <c:v>25.092676707307358</c:v>
                </c:pt>
                <c:pt idx="500">
                  <c:v>25.29858952904614</c:v>
                </c:pt>
                <c:pt idx="501">
                  <c:v>25.509921109251735</c:v>
                </c:pt>
                <c:pt idx="502">
                  <c:v>25.716152681488566</c:v>
                </c:pt>
                <c:pt idx="503">
                  <c:v>25.922065503227348</c:v>
                </c:pt>
                <c:pt idx="504">
                  <c:v>26.133715833930992</c:v>
                </c:pt>
                <c:pt idx="505">
                  <c:v>26.328791138736154</c:v>
                </c:pt>
                <c:pt idx="506">
                  <c:v>26.523866443541319</c:v>
                </c:pt>
                <c:pt idx="507">
                  <c:v>26.74093553271177</c:v>
                </c:pt>
                <c:pt idx="508">
                  <c:v>26.957685871384179</c:v>
                </c:pt>
                <c:pt idx="509">
                  <c:v>27.174754960554626</c:v>
                </c:pt>
                <c:pt idx="510">
                  <c:v>27.391505299227031</c:v>
                </c:pt>
                <c:pt idx="511">
                  <c:v>27.613674396366243</c:v>
                </c:pt>
                <c:pt idx="512">
                  <c:v>27.830743485536697</c:v>
                </c:pt>
                <c:pt idx="513">
                  <c:v>28.052912582675912</c:v>
                </c:pt>
                <c:pt idx="514">
                  <c:v>28.269981671846363</c:v>
                </c:pt>
                <c:pt idx="515">
                  <c:v>28.492150768985578</c:v>
                </c:pt>
                <c:pt idx="516">
                  <c:v>28.725157383058409</c:v>
                </c:pt>
                <c:pt idx="517">
                  <c:v>28.947645230695674</c:v>
                </c:pt>
                <c:pt idx="518">
                  <c:v>29.164395569368079</c:v>
                </c:pt>
                <c:pt idx="519">
                  <c:v>29.403139692405773</c:v>
                </c:pt>
                <c:pt idx="520">
                  <c:v>29.641565064945414</c:v>
                </c:pt>
                <c:pt idx="521">
                  <c:v>29.879990437485059</c:v>
                </c:pt>
                <c:pt idx="522">
                  <c:v>30.11873456052275</c:v>
                </c:pt>
                <c:pt idx="523">
                  <c:v>30.357159933062398</c:v>
                </c:pt>
                <c:pt idx="524">
                  <c:v>30.595904056100089</c:v>
                </c:pt>
                <c:pt idx="525">
                  <c:v>30.834329428639737</c:v>
                </c:pt>
                <c:pt idx="526">
                  <c:v>31.073073551677428</c:v>
                </c:pt>
                <c:pt idx="527">
                  <c:v>31.316917682683883</c:v>
                </c:pt>
                <c:pt idx="528">
                  <c:v>31.555661805721574</c:v>
                </c:pt>
                <c:pt idx="529">
                  <c:v>31.794087178261222</c:v>
                </c:pt>
                <c:pt idx="530">
                  <c:v>32.031237548808669</c:v>
                </c:pt>
                <c:pt idx="531">
                  <c:v>32.298987967168699</c:v>
                </c:pt>
                <c:pt idx="532">
                  <c:v>32.563550880548256</c:v>
                </c:pt>
                <c:pt idx="533">
                  <c:v>32.824926288947324</c:v>
                </c:pt>
                <c:pt idx="534">
                  <c:v>33.089489202326881</c:v>
                </c:pt>
                <c:pt idx="535">
                  <c:v>33.350864610725957</c:v>
                </c:pt>
                <c:pt idx="536">
                  <c:v>33.621802534066461</c:v>
                </c:pt>
                <c:pt idx="537">
                  <c:v>33.892740457406966</c:v>
                </c:pt>
                <c:pt idx="538">
                  <c:v>34.16367838074747</c:v>
                </c:pt>
                <c:pt idx="539">
                  <c:v>34.434616304087974</c:v>
                </c:pt>
                <c:pt idx="540">
                  <c:v>34.711929237389441</c:v>
                </c:pt>
                <c:pt idx="541">
                  <c:v>34.986054665710412</c:v>
                </c:pt>
                <c:pt idx="542">
                  <c:v>35.269742608972827</c:v>
                </c:pt>
                <c:pt idx="543">
                  <c:v>35.55024304725476</c:v>
                </c:pt>
                <c:pt idx="544">
                  <c:v>35.833930990517175</c:v>
                </c:pt>
                <c:pt idx="545">
                  <c:v>36.111243923818634</c:v>
                </c:pt>
                <c:pt idx="546">
                  <c:v>36.391744362100575</c:v>
                </c:pt>
                <c:pt idx="547">
                  <c:v>36.691369830265359</c:v>
                </c:pt>
                <c:pt idx="548">
                  <c:v>36.971870268547299</c:v>
                </c:pt>
                <c:pt idx="549">
                  <c:v>37.274683241692571</c:v>
                </c:pt>
                <c:pt idx="550">
                  <c:v>37.5679336998964</c:v>
                </c:pt>
                <c:pt idx="551">
                  <c:v>37.861184158100251</c:v>
                </c:pt>
                <c:pt idx="552">
                  <c:v>38.160809626265042</c:v>
                </c:pt>
                <c:pt idx="553">
                  <c:v>38.469997609371269</c:v>
                </c:pt>
                <c:pt idx="554">
                  <c:v>38.766435572555586</c:v>
                </c:pt>
                <c:pt idx="555">
                  <c:v>39.05968603075943</c:v>
                </c:pt>
                <c:pt idx="556">
                  <c:v>39.362499003904702</c:v>
                </c:pt>
                <c:pt idx="557">
                  <c:v>39.684437006932825</c:v>
                </c:pt>
                <c:pt idx="558">
                  <c:v>40.003187504980481</c:v>
                </c:pt>
                <c:pt idx="559">
                  <c:v>40.328313012989092</c:v>
                </c:pt>
                <c:pt idx="560">
                  <c:v>40.64387600605626</c:v>
                </c:pt>
                <c:pt idx="561">
                  <c:v>40.969001514064864</c:v>
                </c:pt>
                <c:pt idx="562">
                  <c:v>41.294127022073475</c:v>
                </c:pt>
                <c:pt idx="563">
                  <c:v>41.612877520121124</c:v>
                </c:pt>
                <c:pt idx="564">
                  <c:v>41.938003028129735</c:v>
                </c:pt>
                <c:pt idx="565">
                  <c:v>42.27906606104073</c:v>
                </c:pt>
                <c:pt idx="566">
                  <c:v>42.626504103912666</c:v>
                </c:pt>
                <c:pt idx="567">
                  <c:v>42.958004621882225</c:v>
                </c:pt>
                <c:pt idx="568">
                  <c:v>43.292692644832258</c:v>
                </c:pt>
                <c:pt idx="569">
                  <c:v>43.65288070762611</c:v>
                </c:pt>
                <c:pt idx="570">
                  <c:v>44.003506255478527</c:v>
                </c:pt>
                <c:pt idx="571">
                  <c:v>44.360506813291899</c:v>
                </c:pt>
                <c:pt idx="572">
                  <c:v>44.698382341222413</c:v>
                </c:pt>
                <c:pt idx="573">
                  <c:v>45.055382899035784</c:v>
                </c:pt>
                <c:pt idx="574">
                  <c:v>45.412383456849156</c:v>
                </c:pt>
                <c:pt idx="575">
                  <c:v>45.759821499721092</c:v>
                </c:pt>
                <c:pt idx="576">
                  <c:v>46.107259542593042</c:v>
                </c:pt>
                <c:pt idx="577">
                  <c:v>46.486572635269745</c:v>
                </c:pt>
                <c:pt idx="578">
                  <c:v>46.85632321300502</c:v>
                </c:pt>
                <c:pt idx="579">
                  <c:v>47.229261295720775</c:v>
                </c:pt>
                <c:pt idx="580">
                  <c:v>47.605386883417012</c:v>
                </c:pt>
                <c:pt idx="581">
                  <c:v>47.97832496613276</c:v>
                </c:pt>
                <c:pt idx="582">
                  <c:v>48.348075543868035</c:v>
                </c:pt>
                <c:pt idx="583">
                  <c:v>48.714638616622842</c:v>
                </c:pt>
                <c:pt idx="584">
                  <c:v>49.113076739182404</c:v>
                </c:pt>
                <c:pt idx="585">
                  <c:v>49.501952346800543</c:v>
                </c:pt>
                <c:pt idx="586">
                  <c:v>49.890827954418683</c:v>
                </c:pt>
                <c:pt idx="587">
                  <c:v>50.292453581958725</c:v>
                </c:pt>
                <c:pt idx="588">
                  <c:v>50.690891704518286</c:v>
                </c:pt>
                <c:pt idx="589">
                  <c:v>51.095704837038809</c:v>
                </c:pt>
                <c:pt idx="590">
                  <c:v>51.497330464578852</c:v>
                </c:pt>
                <c:pt idx="591">
                  <c:v>51.898956092118894</c:v>
                </c:pt>
                <c:pt idx="592">
                  <c:v>52.300581719658943</c:v>
                </c:pt>
                <c:pt idx="593">
                  <c:v>52.70539485217946</c:v>
                </c:pt>
                <c:pt idx="594">
                  <c:v>53.113395489680457</c:v>
                </c:pt>
                <c:pt idx="595">
                  <c:v>53.537333652083831</c:v>
                </c:pt>
                <c:pt idx="596">
                  <c:v>53.958084309506738</c:v>
                </c:pt>
                <c:pt idx="597">
                  <c:v>54.37245995696869</c:v>
                </c:pt>
                <c:pt idx="598">
                  <c:v>54.79321061439159</c:v>
                </c:pt>
                <c:pt idx="599">
                  <c:v>55.217148776794964</c:v>
                </c:pt>
                <c:pt idx="600">
                  <c:v>55.641086939198345</c:v>
                </c:pt>
                <c:pt idx="601">
                  <c:v>56.074587616543155</c:v>
                </c:pt>
                <c:pt idx="602">
                  <c:v>56.508088293887958</c:v>
                </c:pt>
                <c:pt idx="603">
                  <c:v>56.941588971232775</c:v>
                </c:pt>
                <c:pt idx="604">
                  <c:v>57.391027173479962</c:v>
                </c:pt>
                <c:pt idx="605">
                  <c:v>57.834090365766208</c:v>
                </c:pt>
                <c:pt idx="606">
                  <c:v>58.296278587935298</c:v>
                </c:pt>
                <c:pt idx="607">
                  <c:v>58.758466810104402</c:v>
                </c:pt>
                <c:pt idx="608">
                  <c:v>59.211092517332062</c:v>
                </c:pt>
                <c:pt idx="609">
                  <c:v>59.666905729540204</c:v>
                </c:pt>
                <c:pt idx="610">
                  <c:v>60.13865646665073</c:v>
                </c:pt>
                <c:pt idx="611">
                  <c:v>60.607219698780781</c:v>
                </c:pt>
                <c:pt idx="612">
                  <c:v>61.082157940871781</c:v>
                </c:pt>
                <c:pt idx="613">
                  <c:v>61.566658697904224</c:v>
                </c:pt>
                <c:pt idx="614">
                  <c:v>62.054346959917126</c:v>
                </c:pt>
                <c:pt idx="615">
                  <c:v>62.535660211969088</c:v>
                </c:pt>
                <c:pt idx="616">
                  <c:v>63.0360984939039</c:v>
                </c:pt>
                <c:pt idx="617">
                  <c:v>63.495099211092523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2-4937-ADC3-6E21E0D8E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894015"/>
        <c:axId val="442894495"/>
      </c:lineChart>
      <c:catAx>
        <c:axId val="44289401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894495"/>
        <c:crosses val="autoZero"/>
        <c:auto val="1"/>
        <c:lblAlgn val="ctr"/>
        <c:lblOffset val="100"/>
        <c:noMultiLvlLbl val="0"/>
      </c:catAx>
      <c:valAx>
        <c:axId val="44289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89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'A12-5'!$C$2:$C$627</c:f>
              <c:numCache>
                <c:formatCode>0.00</c:formatCode>
                <c:ptCount val="626"/>
                <c:pt idx="0">
                  <c:v>1.32142E-4</c:v>
                </c:pt>
                <c:pt idx="1">
                  <c:v>1.5278199999999999E-2</c:v>
                </c:pt>
                <c:pt idx="2">
                  <c:v>1.5416000000000001E-2</c:v>
                </c:pt>
                <c:pt idx="3">
                  <c:v>1.5555600000000001E-2</c:v>
                </c:pt>
                <c:pt idx="4">
                  <c:v>1.5695199999999999E-2</c:v>
                </c:pt>
                <c:pt idx="5">
                  <c:v>1.5832800000000001E-2</c:v>
                </c:pt>
                <c:pt idx="6">
                  <c:v>1.5972400000000001E-2</c:v>
                </c:pt>
                <c:pt idx="7">
                  <c:v>1.6112000000000001E-2</c:v>
                </c:pt>
                <c:pt idx="8">
                  <c:v>1.6251599999999998E-2</c:v>
                </c:pt>
                <c:pt idx="9">
                  <c:v>1.6389400000000002E-2</c:v>
                </c:pt>
                <c:pt idx="10">
                  <c:v>1.6529000000000002E-2</c:v>
                </c:pt>
                <c:pt idx="11">
                  <c:v>1.66666E-2</c:v>
                </c:pt>
                <c:pt idx="12">
                  <c:v>1.68062E-2</c:v>
                </c:pt>
                <c:pt idx="13">
                  <c:v>1.6944000000000001E-2</c:v>
                </c:pt>
                <c:pt idx="14">
                  <c:v>1.7085400000000001E-2</c:v>
                </c:pt>
                <c:pt idx="15">
                  <c:v>1.7223200000000001E-2</c:v>
                </c:pt>
                <c:pt idx="16">
                  <c:v>1.7362800000000001E-2</c:v>
                </c:pt>
                <c:pt idx="17">
                  <c:v>1.7500399999999999E-2</c:v>
                </c:pt>
                <c:pt idx="18">
                  <c:v>1.7639999999999999E-2</c:v>
                </c:pt>
                <c:pt idx="19">
                  <c:v>1.77778E-2</c:v>
                </c:pt>
                <c:pt idx="20">
                  <c:v>1.79174E-2</c:v>
                </c:pt>
                <c:pt idx="21">
                  <c:v>1.8057E-2</c:v>
                </c:pt>
                <c:pt idx="22">
                  <c:v>1.8222599999999999E-2</c:v>
                </c:pt>
                <c:pt idx="23">
                  <c:v>1.83882E-2</c:v>
                </c:pt>
                <c:pt idx="24">
                  <c:v>1.8555800000000001E-2</c:v>
                </c:pt>
                <c:pt idx="25">
                  <c:v>1.8721399999999999E-2</c:v>
                </c:pt>
                <c:pt idx="26">
                  <c:v>1.8890799999999999E-2</c:v>
                </c:pt>
                <c:pt idx="27">
                  <c:v>1.9056400000000001E-2</c:v>
                </c:pt>
                <c:pt idx="28">
                  <c:v>1.9224000000000002E-2</c:v>
                </c:pt>
                <c:pt idx="29">
                  <c:v>1.93896E-2</c:v>
                </c:pt>
                <c:pt idx="30">
                  <c:v>1.9555199999999998E-2</c:v>
                </c:pt>
                <c:pt idx="31">
                  <c:v>1.9722799999999999E-2</c:v>
                </c:pt>
                <c:pt idx="32">
                  <c:v>1.98902E-2</c:v>
                </c:pt>
                <c:pt idx="33">
                  <c:v>2.0055999999999997E-2</c:v>
                </c:pt>
                <c:pt idx="34">
                  <c:v>2.0224000000000002E-2</c:v>
                </c:pt>
                <c:pt idx="35">
                  <c:v>2.0390000000000002E-2</c:v>
                </c:pt>
                <c:pt idx="36">
                  <c:v>2.0556000000000001E-2</c:v>
                </c:pt>
                <c:pt idx="37">
                  <c:v>2.0722000000000001E-2</c:v>
                </c:pt>
                <c:pt idx="38">
                  <c:v>2.0889999999999999E-2</c:v>
                </c:pt>
                <c:pt idx="39">
                  <c:v>2.1058E-2</c:v>
                </c:pt>
                <c:pt idx="40">
                  <c:v>2.1221999999999998E-2</c:v>
                </c:pt>
                <c:pt idx="41">
                  <c:v>2.1389999999999999E-2</c:v>
                </c:pt>
                <c:pt idx="42">
                  <c:v>2.1556000000000002E-2</c:v>
                </c:pt>
                <c:pt idx="43">
                  <c:v>2.1749999999999999E-2</c:v>
                </c:pt>
                <c:pt idx="44">
                  <c:v>2.1943999999999998E-2</c:v>
                </c:pt>
                <c:pt idx="45">
                  <c:v>2.2138000000000001E-2</c:v>
                </c:pt>
                <c:pt idx="46">
                  <c:v>2.2334E-2</c:v>
                </c:pt>
                <c:pt idx="47">
                  <c:v>2.2528000000000003E-2</c:v>
                </c:pt>
                <c:pt idx="48">
                  <c:v>2.2722000000000003E-2</c:v>
                </c:pt>
                <c:pt idx="49">
                  <c:v>2.2917999999999997E-2</c:v>
                </c:pt>
                <c:pt idx="50">
                  <c:v>2.3112000000000001E-2</c:v>
                </c:pt>
                <c:pt idx="51">
                  <c:v>2.3306E-2</c:v>
                </c:pt>
                <c:pt idx="52">
                  <c:v>2.35E-2</c:v>
                </c:pt>
                <c:pt idx="53">
                  <c:v>2.3696000000000002E-2</c:v>
                </c:pt>
                <c:pt idx="54">
                  <c:v>2.3889999999999998E-2</c:v>
                </c:pt>
                <c:pt idx="55">
                  <c:v>2.4083999999999998E-2</c:v>
                </c:pt>
                <c:pt idx="56">
                  <c:v>2.4278000000000001E-2</c:v>
                </c:pt>
                <c:pt idx="57">
                  <c:v>2.4473999999999999E-2</c:v>
                </c:pt>
                <c:pt idx="58">
                  <c:v>2.4668000000000002E-2</c:v>
                </c:pt>
                <c:pt idx="59">
                  <c:v>2.4862000000000002E-2</c:v>
                </c:pt>
                <c:pt idx="60">
                  <c:v>2.5055999999999998E-2</c:v>
                </c:pt>
                <c:pt idx="61">
                  <c:v>2.5278000000000002E-2</c:v>
                </c:pt>
                <c:pt idx="62">
                  <c:v>2.5501999999999997E-2</c:v>
                </c:pt>
                <c:pt idx="63">
                  <c:v>2.5724E-2</c:v>
                </c:pt>
                <c:pt idx="64">
                  <c:v>2.5943999999999998E-2</c:v>
                </c:pt>
                <c:pt idx="65">
                  <c:v>2.6166000000000002E-2</c:v>
                </c:pt>
                <c:pt idx="66">
                  <c:v>2.6389999999999997E-2</c:v>
                </c:pt>
                <c:pt idx="67">
                  <c:v>2.6612E-2</c:v>
                </c:pt>
                <c:pt idx="68">
                  <c:v>2.6833999999999997E-2</c:v>
                </c:pt>
                <c:pt idx="69">
                  <c:v>2.7057999999999999E-2</c:v>
                </c:pt>
                <c:pt idx="70">
                  <c:v>2.7280000000000002E-2</c:v>
                </c:pt>
                <c:pt idx="71">
                  <c:v>2.75E-2</c:v>
                </c:pt>
                <c:pt idx="72">
                  <c:v>2.7722000000000004E-2</c:v>
                </c:pt>
                <c:pt idx="73">
                  <c:v>2.7945999999999999E-2</c:v>
                </c:pt>
                <c:pt idx="74">
                  <c:v>2.8166000000000004E-2</c:v>
                </c:pt>
                <c:pt idx="75">
                  <c:v>2.8389999999999999E-2</c:v>
                </c:pt>
                <c:pt idx="76">
                  <c:v>2.8612000000000002E-2</c:v>
                </c:pt>
                <c:pt idx="77">
                  <c:v>2.8833999999999999E-2</c:v>
                </c:pt>
                <c:pt idx="78">
                  <c:v>2.9083999999999999E-2</c:v>
                </c:pt>
                <c:pt idx="79">
                  <c:v>2.9336000000000001E-2</c:v>
                </c:pt>
                <c:pt idx="80">
                  <c:v>2.9584000000000003E-2</c:v>
                </c:pt>
                <c:pt idx="81">
                  <c:v>2.9777999999999999E-2</c:v>
                </c:pt>
                <c:pt idx="82">
                  <c:v>0.03</c:v>
                </c:pt>
                <c:pt idx="83">
                  <c:v>3.0251999999999998E-2</c:v>
                </c:pt>
                <c:pt idx="84">
                  <c:v>3.0497999999999997E-2</c:v>
                </c:pt>
                <c:pt idx="85">
                  <c:v>3.0750000000000003E-2</c:v>
                </c:pt>
                <c:pt idx="86">
                  <c:v>3.1002000000000002E-2</c:v>
                </c:pt>
                <c:pt idx="87">
                  <c:v>3.125E-2</c:v>
                </c:pt>
                <c:pt idx="88">
                  <c:v>3.15E-2</c:v>
                </c:pt>
                <c:pt idx="89">
                  <c:v>3.175E-2</c:v>
                </c:pt>
                <c:pt idx="90">
                  <c:v>3.2000000000000001E-2</c:v>
                </c:pt>
                <c:pt idx="91">
                  <c:v>3.2250000000000001E-2</c:v>
                </c:pt>
                <c:pt idx="92">
                  <c:v>3.2530000000000003E-2</c:v>
                </c:pt>
                <c:pt idx="93">
                  <c:v>3.2804E-2</c:v>
                </c:pt>
                <c:pt idx="94">
                  <c:v>3.3083999999999995E-2</c:v>
                </c:pt>
                <c:pt idx="95">
                  <c:v>3.3361999999999996E-2</c:v>
                </c:pt>
                <c:pt idx="96">
                  <c:v>3.3639999999999996E-2</c:v>
                </c:pt>
                <c:pt idx="97">
                  <c:v>3.3917999999999997E-2</c:v>
                </c:pt>
                <c:pt idx="98">
                  <c:v>3.4195999999999997E-2</c:v>
                </c:pt>
                <c:pt idx="99">
                  <c:v>3.4472000000000003E-2</c:v>
                </c:pt>
                <c:pt idx="100">
                  <c:v>3.4750000000000003E-2</c:v>
                </c:pt>
                <c:pt idx="101">
                  <c:v>3.5028000000000004E-2</c:v>
                </c:pt>
                <c:pt idx="102">
                  <c:v>3.5306000000000004E-2</c:v>
                </c:pt>
                <c:pt idx="103">
                  <c:v>3.5583999999999998E-2</c:v>
                </c:pt>
                <c:pt idx="104">
                  <c:v>3.5861999999999998E-2</c:v>
                </c:pt>
                <c:pt idx="105">
                  <c:v>3.6167999999999999E-2</c:v>
                </c:pt>
                <c:pt idx="106">
                  <c:v>3.6473999999999999E-2</c:v>
                </c:pt>
                <c:pt idx="107">
                  <c:v>3.6777999999999998E-2</c:v>
                </c:pt>
                <c:pt idx="108">
                  <c:v>3.7083999999999999E-2</c:v>
                </c:pt>
                <c:pt idx="109">
                  <c:v>3.739E-2</c:v>
                </c:pt>
                <c:pt idx="110">
                  <c:v>3.7696E-2</c:v>
                </c:pt>
                <c:pt idx="111">
                  <c:v>3.8002000000000001E-2</c:v>
                </c:pt>
                <c:pt idx="112">
                  <c:v>3.8306E-2</c:v>
                </c:pt>
                <c:pt idx="113">
                  <c:v>3.8614000000000002E-2</c:v>
                </c:pt>
                <c:pt idx="114">
                  <c:v>3.8862000000000001E-2</c:v>
                </c:pt>
                <c:pt idx="115">
                  <c:v>3.9056E-2</c:v>
                </c:pt>
                <c:pt idx="116">
                  <c:v>3.9224000000000002E-2</c:v>
                </c:pt>
                <c:pt idx="117">
                  <c:v>3.9363999999999996E-2</c:v>
                </c:pt>
                <c:pt idx="118">
                  <c:v>3.9529999999999996E-2</c:v>
                </c:pt>
                <c:pt idx="119">
                  <c:v>3.9750000000000001E-2</c:v>
                </c:pt>
                <c:pt idx="120">
                  <c:v>3.9944E-2</c:v>
                </c:pt>
                <c:pt idx="121">
                  <c:v>4.0195999999999996E-2</c:v>
                </c:pt>
                <c:pt idx="122">
                  <c:v>4.0416000000000001E-2</c:v>
                </c:pt>
                <c:pt idx="123">
                  <c:v>4.0612000000000002E-2</c:v>
                </c:pt>
                <c:pt idx="124">
                  <c:v>4.0890000000000003E-2</c:v>
                </c:pt>
                <c:pt idx="125">
                  <c:v>4.1029999999999997E-2</c:v>
                </c:pt>
                <c:pt idx="126">
                  <c:v>4.1222000000000002E-2</c:v>
                </c:pt>
                <c:pt idx="127">
                  <c:v>4.1417999999999996E-2</c:v>
                </c:pt>
                <c:pt idx="128">
                  <c:v>4.1584000000000003E-2</c:v>
                </c:pt>
                <c:pt idx="129">
                  <c:v>4.1778000000000003E-2</c:v>
                </c:pt>
                <c:pt idx="130">
                  <c:v>4.1971999999999995E-2</c:v>
                </c:pt>
                <c:pt idx="131">
                  <c:v>4.2140000000000004E-2</c:v>
                </c:pt>
                <c:pt idx="132">
                  <c:v>4.2333999999999997E-2</c:v>
                </c:pt>
                <c:pt idx="133">
                  <c:v>4.2500000000000003E-2</c:v>
                </c:pt>
                <c:pt idx="134">
                  <c:v>4.2667999999999998E-2</c:v>
                </c:pt>
                <c:pt idx="135">
                  <c:v>4.2834000000000004E-2</c:v>
                </c:pt>
                <c:pt idx="136">
                  <c:v>4.2999999999999997E-2</c:v>
                </c:pt>
                <c:pt idx="137">
                  <c:v>4.3167999999999998E-2</c:v>
                </c:pt>
                <c:pt idx="138">
                  <c:v>4.3334000000000004E-2</c:v>
                </c:pt>
                <c:pt idx="139">
                  <c:v>4.3499999999999997E-2</c:v>
                </c:pt>
                <c:pt idx="140">
                  <c:v>4.3666000000000003E-2</c:v>
                </c:pt>
                <c:pt idx="141">
                  <c:v>4.3833999999999998E-2</c:v>
                </c:pt>
                <c:pt idx="142">
                  <c:v>4.4001999999999999E-2</c:v>
                </c:pt>
                <c:pt idx="143">
                  <c:v>4.4139999999999999E-2</c:v>
                </c:pt>
                <c:pt idx="144">
                  <c:v>4.4305999999999998E-2</c:v>
                </c:pt>
                <c:pt idx="145">
                  <c:v>4.4443999999999997E-2</c:v>
                </c:pt>
                <c:pt idx="146">
                  <c:v>4.4611999999999999E-2</c:v>
                </c:pt>
                <c:pt idx="147">
                  <c:v>4.4752E-2</c:v>
                </c:pt>
                <c:pt idx="148">
                  <c:v>4.4917999999999993E-2</c:v>
                </c:pt>
                <c:pt idx="149">
                  <c:v>4.5056000000000006E-2</c:v>
                </c:pt>
                <c:pt idx="150">
                  <c:v>4.5221999999999998E-2</c:v>
                </c:pt>
                <c:pt idx="151">
                  <c:v>4.5388000000000005E-2</c:v>
                </c:pt>
                <c:pt idx="152">
                  <c:v>4.5528000000000006E-2</c:v>
                </c:pt>
                <c:pt idx="153">
                  <c:v>4.5668E-2</c:v>
                </c:pt>
                <c:pt idx="154">
                  <c:v>4.5831999999999998E-2</c:v>
                </c:pt>
                <c:pt idx="155">
                  <c:v>4.5971999999999999E-2</c:v>
                </c:pt>
                <c:pt idx="156">
                  <c:v>4.614E-2</c:v>
                </c:pt>
                <c:pt idx="157">
                  <c:v>4.6278E-2</c:v>
                </c:pt>
                <c:pt idx="158">
                  <c:v>4.6416000000000006E-2</c:v>
                </c:pt>
                <c:pt idx="159">
                  <c:v>4.6556E-2</c:v>
                </c:pt>
                <c:pt idx="160">
                  <c:v>4.6696000000000001E-2</c:v>
                </c:pt>
                <c:pt idx="161">
                  <c:v>4.6834000000000001E-2</c:v>
                </c:pt>
                <c:pt idx="162">
                  <c:v>4.6974000000000002E-2</c:v>
                </c:pt>
                <c:pt idx="163">
                  <c:v>4.7085999999999996E-2</c:v>
                </c:pt>
                <c:pt idx="164">
                  <c:v>4.7224000000000002E-2</c:v>
                </c:pt>
                <c:pt idx="165">
                  <c:v>4.7333999999999994E-2</c:v>
                </c:pt>
                <c:pt idx="166">
                  <c:v>4.7472E-2</c:v>
                </c:pt>
                <c:pt idx="167">
                  <c:v>4.7584000000000001E-2</c:v>
                </c:pt>
                <c:pt idx="168">
                  <c:v>4.7724000000000003E-2</c:v>
                </c:pt>
                <c:pt idx="169">
                  <c:v>4.7834000000000002E-2</c:v>
                </c:pt>
                <c:pt idx="170">
                  <c:v>4.7946000000000003E-2</c:v>
                </c:pt>
                <c:pt idx="171">
                  <c:v>4.8057999999999997E-2</c:v>
                </c:pt>
                <c:pt idx="172">
                  <c:v>4.8166E-2</c:v>
                </c:pt>
                <c:pt idx="173">
                  <c:v>4.8276000000000006E-2</c:v>
                </c:pt>
                <c:pt idx="174">
                  <c:v>4.8415999999999994E-2</c:v>
                </c:pt>
                <c:pt idx="175">
                  <c:v>4.8528000000000002E-2</c:v>
                </c:pt>
                <c:pt idx="176">
                  <c:v>4.8639999999999996E-2</c:v>
                </c:pt>
                <c:pt idx="177">
                  <c:v>4.8752000000000004E-2</c:v>
                </c:pt>
                <c:pt idx="178">
                  <c:v>4.8888000000000001E-2</c:v>
                </c:pt>
                <c:pt idx="179">
                  <c:v>4.9000000000000002E-2</c:v>
                </c:pt>
                <c:pt idx="180">
                  <c:v>4.9109999999999994E-2</c:v>
                </c:pt>
                <c:pt idx="181">
                  <c:v>4.9222000000000002E-2</c:v>
                </c:pt>
                <c:pt idx="182">
                  <c:v>4.9307999999999998E-2</c:v>
                </c:pt>
                <c:pt idx="183">
                  <c:v>4.9417999999999997E-2</c:v>
                </c:pt>
                <c:pt idx="184">
                  <c:v>4.9501999999999997E-2</c:v>
                </c:pt>
                <c:pt idx="185">
                  <c:v>4.9611999999999996E-2</c:v>
                </c:pt>
                <c:pt idx="186">
                  <c:v>4.9722000000000002E-2</c:v>
                </c:pt>
                <c:pt idx="187">
                  <c:v>4.9832000000000001E-2</c:v>
                </c:pt>
                <c:pt idx="188">
                  <c:v>4.9917999999999997E-2</c:v>
                </c:pt>
                <c:pt idx="189">
                  <c:v>5.0027999999999996E-2</c:v>
                </c:pt>
                <c:pt idx="190">
                  <c:v>5.0111999999999997E-2</c:v>
                </c:pt>
                <c:pt idx="191">
                  <c:v>5.0224000000000005E-2</c:v>
                </c:pt>
                <c:pt idx="192">
                  <c:v>5.0335999999999999E-2</c:v>
                </c:pt>
                <c:pt idx="193">
                  <c:v>5.0415999999999996E-2</c:v>
                </c:pt>
                <c:pt idx="194">
                  <c:v>5.0499999999999996E-2</c:v>
                </c:pt>
                <c:pt idx="195">
                  <c:v>5.0612000000000004E-2</c:v>
                </c:pt>
                <c:pt idx="196">
                  <c:v>5.0723999999999998E-2</c:v>
                </c:pt>
                <c:pt idx="197">
                  <c:v>5.0807999999999999E-2</c:v>
                </c:pt>
                <c:pt idx="198">
                  <c:v>5.0917999999999998E-2</c:v>
                </c:pt>
                <c:pt idx="199">
                  <c:v>5.1029999999999999E-2</c:v>
                </c:pt>
                <c:pt idx="200">
                  <c:v>5.1139999999999998E-2</c:v>
                </c:pt>
                <c:pt idx="201">
                  <c:v>5.1249999999999997E-2</c:v>
                </c:pt>
                <c:pt idx="202">
                  <c:v>5.1361999999999998E-2</c:v>
                </c:pt>
                <c:pt idx="203">
                  <c:v>5.1473999999999999E-2</c:v>
                </c:pt>
                <c:pt idx="204">
                  <c:v>5.1555999999999998E-2</c:v>
                </c:pt>
                <c:pt idx="205">
                  <c:v>5.1639999999999998E-2</c:v>
                </c:pt>
                <c:pt idx="206">
                  <c:v>5.1751999999999999E-2</c:v>
                </c:pt>
                <c:pt idx="207">
                  <c:v>5.1833999999999998E-2</c:v>
                </c:pt>
                <c:pt idx="208">
                  <c:v>5.1917999999999999E-2</c:v>
                </c:pt>
                <c:pt idx="209">
                  <c:v>5.1997999999999996E-2</c:v>
                </c:pt>
                <c:pt idx="210">
                  <c:v>5.2083999999999998E-2</c:v>
                </c:pt>
                <c:pt idx="211">
                  <c:v>5.2165999999999997E-2</c:v>
                </c:pt>
                <c:pt idx="212">
                  <c:v>5.2249999999999998E-2</c:v>
                </c:pt>
                <c:pt idx="213">
                  <c:v>5.2361999999999999E-2</c:v>
                </c:pt>
                <c:pt idx="214">
                  <c:v>5.2443999999999998E-2</c:v>
                </c:pt>
                <c:pt idx="215">
                  <c:v>5.2558000000000001E-2</c:v>
                </c:pt>
                <c:pt idx="216">
                  <c:v>5.2639999999999999E-2</c:v>
                </c:pt>
                <c:pt idx="217">
                  <c:v>5.2721999999999998E-2</c:v>
                </c:pt>
                <c:pt idx="218">
                  <c:v>5.2805999999999999E-2</c:v>
                </c:pt>
                <c:pt idx="219">
                  <c:v>5.289E-2</c:v>
                </c:pt>
                <c:pt idx="220">
                  <c:v>5.3002000000000001E-2</c:v>
                </c:pt>
                <c:pt idx="221">
                  <c:v>5.3083999999999999E-2</c:v>
                </c:pt>
                <c:pt idx="222">
                  <c:v>5.3168E-2</c:v>
                </c:pt>
                <c:pt idx="223">
                  <c:v>5.3249999999999999E-2</c:v>
                </c:pt>
                <c:pt idx="224">
                  <c:v>5.3335999999999995E-2</c:v>
                </c:pt>
                <c:pt idx="225">
                  <c:v>5.3418E-2</c:v>
                </c:pt>
                <c:pt idx="226">
                  <c:v>5.3499999999999999E-2</c:v>
                </c:pt>
                <c:pt idx="227">
                  <c:v>5.3583999999999993E-2</c:v>
                </c:pt>
                <c:pt idx="228">
                  <c:v>5.3665999999999998E-2</c:v>
                </c:pt>
                <c:pt idx="229">
                  <c:v>5.3749999999999999E-2</c:v>
                </c:pt>
                <c:pt idx="230">
                  <c:v>5.3834E-2</c:v>
                </c:pt>
                <c:pt idx="231">
                  <c:v>5.3918000000000001E-2</c:v>
                </c:pt>
                <c:pt idx="232">
                  <c:v>5.4000000000000006E-2</c:v>
                </c:pt>
                <c:pt idx="233">
                  <c:v>5.4084E-2</c:v>
                </c:pt>
                <c:pt idx="234">
                  <c:v>5.4168000000000001E-2</c:v>
                </c:pt>
                <c:pt idx="235">
                  <c:v>5.425E-2</c:v>
                </c:pt>
                <c:pt idx="236">
                  <c:v>5.4334E-2</c:v>
                </c:pt>
                <c:pt idx="237">
                  <c:v>5.4417999999999994E-2</c:v>
                </c:pt>
                <c:pt idx="238">
                  <c:v>5.45E-2</c:v>
                </c:pt>
                <c:pt idx="239">
                  <c:v>5.4584000000000001E-2</c:v>
                </c:pt>
                <c:pt idx="240">
                  <c:v>5.4668000000000001E-2</c:v>
                </c:pt>
                <c:pt idx="241">
                  <c:v>5.4752000000000002E-2</c:v>
                </c:pt>
                <c:pt idx="242">
                  <c:v>5.4833999999999994E-2</c:v>
                </c:pt>
                <c:pt idx="243">
                  <c:v>5.4917999999999995E-2</c:v>
                </c:pt>
                <c:pt idx="244">
                  <c:v>5.5002000000000002E-2</c:v>
                </c:pt>
                <c:pt idx="245">
                  <c:v>5.5084000000000001E-2</c:v>
                </c:pt>
                <c:pt idx="246">
                  <c:v>5.5138E-2</c:v>
                </c:pt>
                <c:pt idx="247">
                  <c:v>5.5222E-2</c:v>
                </c:pt>
                <c:pt idx="248">
                  <c:v>5.5278000000000001E-2</c:v>
                </c:pt>
                <c:pt idx="249">
                  <c:v>5.5362000000000001E-2</c:v>
                </c:pt>
                <c:pt idx="250">
                  <c:v>5.5416E-2</c:v>
                </c:pt>
                <c:pt idx="251">
                  <c:v>5.5502000000000003E-2</c:v>
                </c:pt>
                <c:pt idx="252">
                  <c:v>5.5583999999999995E-2</c:v>
                </c:pt>
                <c:pt idx="253">
                  <c:v>5.5640000000000002E-2</c:v>
                </c:pt>
                <c:pt idx="254">
                  <c:v>5.5721999999999994E-2</c:v>
                </c:pt>
                <c:pt idx="255">
                  <c:v>5.5805999999999994E-2</c:v>
                </c:pt>
                <c:pt idx="256">
                  <c:v>5.5888E-2</c:v>
                </c:pt>
                <c:pt idx="257">
                  <c:v>5.5972000000000001E-2</c:v>
                </c:pt>
                <c:pt idx="258">
                  <c:v>5.6054000000000007E-2</c:v>
                </c:pt>
                <c:pt idx="259">
                  <c:v>5.6112000000000002E-2</c:v>
                </c:pt>
                <c:pt idx="260">
                  <c:v>5.6196000000000003E-2</c:v>
                </c:pt>
                <c:pt idx="261">
                  <c:v>5.6280000000000004E-2</c:v>
                </c:pt>
                <c:pt idx="262">
                  <c:v>5.6361999999999995E-2</c:v>
                </c:pt>
                <c:pt idx="263">
                  <c:v>5.6445999999999996E-2</c:v>
                </c:pt>
                <c:pt idx="264">
                  <c:v>5.6529999999999997E-2</c:v>
                </c:pt>
                <c:pt idx="265">
                  <c:v>5.6584000000000002E-2</c:v>
                </c:pt>
                <c:pt idx="266">
                  <c:v>5.6666000000000001E-2</c:v>
                </c:pt>
                <c:pt idx="267">
                  <c:v>5.6749999999999995E-2</c:v>
                </c:pt>
                <c:pt idx="268">
                  <c:v>5.6806000000000002E-2</c:v>
                </c:pt>
                <c:pt idx="269">
                  <c:v>5.6890000000000003E-2</c:v>
                </c:pt>
                <c:pt idx="270">
                  <c:v>5.6946000000000004E-2</c:v>
                </c:pt>
                <c:pt idx="271">
                  <c:v>5.7000000000000002E-2</c:v>
                </c:pt>
                <c:pt idx="272">
                  <c:v>5.7084000000000003E-2</c:v>
                </c:pt>
                <c:pt idx="273">
                  <c:v>5.7168000000000004E-2</c:v>
                </c:pt>
                <c:pt idx="274">
                  <c:v>5.7224000000000004E-2</c:v>
                </c:pt>
                <c:pt idx="275">
                  <c:v>5.7333999999999996E-2</c:v>
                </c:pt>
                <c:pt idx="276">
                  <c:v>5.7443999999999995E-2</c:v>
                </c:pt>
                <c:pt idx="277">
                  <c:v>5.7556000000000003E-2</c:v>
                </c:pt>
                <c:pt idx="278">
                  <c:v>5.7667999999999997E-2</c:v>
                </c:pt>
                <c:pt idx="279">
                  <c:v>5.7751999999999998E-2</c:v>
                </c:pt>
                <c:pt idx="280">
                  <c:v>5.7861999999999997E-2</c:v>
                </c:pt>
                <c:pt idx="281">
                  <c:v>5.7973999999999998E-2</c:v>
                </c:pt>
                <c:pt idx="282">
                  <c:v>5.8083999999999997E-2</c:v>
                </c:pt>
                <c:pt idx="283">
                  <c:v>5.8167999999999997E-2</c:v>
                </c:pt>
                <c:pt idx="284">
                  <c:v>5.8277999999999996E-2</c:v>
                </c:pt>
                <c:pt idx="285">
                  <c:v>5.8390000000000004E-2</c:v>
                </c:pt>
                <c:pt idx="286">
                  <c:v>5.8474000000000005E-2</c:v>
                </c:pt>
                <c:pt idx="287">
                  <c:v>5.8585999999999999E-2</c:v>
                </c:pt>
                <c:pt idx="288">
                  <c:v>5.8695999999999998E-2</c:v>
                </c:pt>
                <c:pt idx="289">
                  <c:v>5.8779999999999999E-2</c:v>
                </c:pt>
                <c:pt idx="290">
                  <c:v>5.8861999999999998E-2</c:v>
                </c:pt>
                <c:pt idx="291">
                  <c:v>5.8944000000000003E-2</c:v>
                </c:pt>
                <c:pt idx="292">
                  <c:v>5.9055999999999997E-2</c:v>
                </c:pt>
                <c:pt idx="293">
                  <c:v>5.9138000000000003E-2</c:v>
                </c:pt>
                <c:pt idx="294">
                  <c:v>5.9249999999999997E-2</c:v>
                </c:pt>
                <c:pt idx="295">
                  <c:v>5.9333999999999998E-2</c:v>
                </c:pt>
                <c:pt idx="296">
                  <c:v>5.9443999999999997E-2</c:v>
                </c:pt>
                <c:pt idx="297">
                  <c:v>5.953E-2</c:v>
                </c:pt>
                <c:pt idx="298">
                  <c:v>5.9611999999999998E-2</c:v>
                </c:pt>
                <c:pt idx="299">
                  <c:v>5.9694000000000004E-2</c:v>
                </c:pt>
                <c:pt idx="300">
                  <c:v>5.9805999999999998E-2</c:v>
                </c:pt>
                <c:pt idx="301">
                  <c:v>5.9888000000000004E-2</c:v>
                </c:pt>
                <c:pt idx="302">
                  <c:v>6.0002000000000007E-2</c:v>
                </c:pt>
                <c:pt idx="303">
                  <c:v>6.0083999999999999E-2</c:v>
                </c:pt>
                <c:pt idx="304">
                  <c:v>6.0167999999999999E-2</c:v>
                </c:pt>
                <c:pt idx="305">
                  <c:v>6.0277999999999998E-2</c:v>
                </c:pt>
                <c:pt idx="306">
                  <c:v>6.0361999999999999E-2</c:v>
                </c:pt>
                <c:pt idx="307">
                  <c:v>6.0444000000000005E-2</c:v>
                </c:pt>
                <c:pt idx="308">
                  <c:v>6.0555999999999999E-2</c:v>
                </c:pt>
                <c:pt idx="309">
                  <c:v>6.0639999999999999E-2</c:v>
                </c:pt>
                <c:pt idx="310">
                  <c:v>6.0721999999999998E-2</c:v>
                </c:pt>
                <c:pt idx="311">
                  <c:v>6.0805999999999999E-2</c:v>
                </c:pt>
                <c:pt idx="312">
                  <c:v>6.0890000000000007E-2</c:v>
                </c:pt>
                <c:pt idx="313">
                  <c:v>6.0974E-2</c:v>
                </c:pt>
                <c:pt idx="314">
                  <c:v>6.1058000000000001E-2</c:v>
                </c:pt>
                <c:pt idx="315">
                  <c:v>6.1193999999999998E-2</c:v>
                </c:pt>
                <c:pt idx="316">
                  <c:v>6.1303999999999997E-2</c:v>
                </c:pt>
                <c:pt idx="317">
                  <c:v>6.1416000000000005E-2</c:v>
                </c:pt>
                <c:pt idx="318">
                  <c:v>6.1527999999999999E-2</c:v>
                </c:pt>
                <c:pt idx="319">
                  <c:v>6.1637999999999998E-2</c:v>
                </c:pt>
                <c:pt idx="320">
                  <c:v>6.1752000000000001E-2</c:v>
                </c:pt>
                <c:pt idx="321">
                  <c:v>6.1864000000000002E-2</c:v>
                </c:pt>
                <c:pt idx="322">
                  <c:v>6.1971999999999999E-2</c:v>
                </c:pt>
                <c:pt idx="323">
                  <c:v>6.2084E-2</c:v>
                </c:pt>
                <c:pt idx="324">
                  <c:v>6.2196000000000001E-2</c:v>
                </c:pt>
                <c:pt idx="325">
                  <c:v>6.2306E-2</c:v>
                </c:pt>
                <c:pt idx="326">
                  <c:v>6.2417999999999994E-2</c:v>
                </c:pt>
                <c:pt idx="327">
                  <c:v>6.2530000000000002E-2</c:v>
                </c:pt>
                <c:pt idx="328">
                  <c:v>6.2640000000000001E-2</c:v>
                </c:pt>
                <c:pt idx="329">
                  <c:v>6.275E-2</c:v>
                </c:pt>
                <c:pt idx="330">
                  <c:v>6.2859999999999999E-2</c:v>
                </c:pt>
                <c:pt idx="331">
                  <c:v>6.2972E-2</c:v>
                </c:pt>
                <c:pt idx="332">
                  <c:v>6.3084000000000001E-2</c:v>
                </c:pt>
                <c:pt idx="333">
                  <c:v>6.3194E-2</c:v>
                </c:pt>
                <c:pt idx="334">
                  <c:v>6.3306000000000001E-2</c:v>
                </c:pt>
                <c:pt idx="335">
                  <c:v>6.3418000000000002E-2</c:v>
                </c:pt>
                <c:pt idx="336">
                  <c:v>6.3528000000000001E-2</c:v>
                </c:pt>
                <c:pt idx="337">
                  <c:v>6.3640000000000002E-2</c:v>
                </c:pt>
                <c:pt idx="338">
                  <c:v>6.3752000000000003E-2</c:v>
                </c:pt>
                <c:pt idx="339">
                  <c:v>6.3862000000000002E-2</c:v>
                </c:pt>
                <c:pt idx="340">
                  <c:v>6.3974000000000003E-2</c:v>
                </c:pt>
                <c:pt idx="341">
                  <c:v>6.4084000000000002E-2</c:v>
                </c:pt>
                <c:pt idx="342">
                  <c:v>6.4196000000000003E-2</c:v>
                </c:pt>
                <c:pt idx="343">
                  <c:v>6.4306000000000002E-2</c:v>
                </c:pt>
                <c:pt idx="344">
                  <c:v>6.4416000000000001E-2</c:v>
                </c:pt>
                <c:pt idx="345">
                  <c:v>6.4528000000000002E-2</c:v>
                </c:pt>
                <c:pt idx="346">
                  <c:v>6.4668000000000003E-2</c:v>
                </c:pt>
                <c:pt idx="347">
                  <c:v>6.4808000000000004E-2</c:v>
                </c:pt>
                <c:pt idx="348">
                  <c:v>6.4946000000000004E-2</c:v>
                </c:pt>
                <c:pt idx="349">
                  <c:v>6.5084000000000003E-2</c:v>
                </c:pt>
                <c:pt idx="350">
                  <c:v>6.5222000000000002E-2</c:v>
                </c:pt>
                <c:pt idx="351">
                  <c:v>6.5360000000000001E-2</c:v>
                </c:pt>
                <c:pt idx="352">
                  <c:v>6.5502000000000005E-2</c:v>
                </c:pt>
                <c:pt idx="353">
                  <c:v>6.5640000000000004E-2</c:v>
                </c:pt>
                <c:pt idx="354">
                  <c:v>6.5778000000000003E-2</c:v>
                </c:pt>
                <c:pt idx="355">
                  <c:v>6.5916000000000002E-2</c:v>
                </c:pt>
                <c:pt idx="356">
                  <c:v>6.6056000000000004E-2</c:v>
                </c:pt>
                <c:pt idx="357">
                  <c:v>6.6194000000000003E-2</c:v>
                </c:pt>
                <c:pt idx="358">
                  <c:v>6.6334000000000004E-2</c:v>
                </c:pt>
                <c:pt idx="359">
                  <c:v>6.6474000000000005E-2</c:v>
                </c:pt>
                <c:pt idx="360">
                  <c:v>6.6582000000000002E-2</c:v>
                </c:pt>
                <c:pt idx="361">
                  <c:v>6.6694000000000003E-2</c:v>
                </c:pt>
                <c:pt idx="362">
                  <c:v>6.6806000000000004E-2</c:v>
                </c:pt>
                <c:pt idx="363">
                  <c:v>6.6916000000000003E-2</c:v>
                </c:pt>
                <c:pt idx="364">
                  <c:v>6.7028000000000004E-2</c:v>
                </c:pt>
                <c:pt idx="365">
                  <c:v>6.7140000000000005E-2</c:v>
                </c:pt>
                <c:pt idx="366">
                  <c:v>6.7252000000000006E-2</c:v>
                </c:pt>
                <c:pt idx="367">
                  <c:v>6.7362000000000005E-2</c:v>
                </c:pt>
                <c:pt idx="368">
                  <c:v>6.7473999999999992E-2</c:v>
                </c:pt>
                <c:pt idx="369">
                  <c:v>6.7611999999999992E-2</c:v>
                </c:pt>
                <c:pt idx="370">
                  <c:v>6.7750000000000005E-2</c:v>
                </c:pt>
                <c:pt idx="371">
                  <c:v>6.7889999999999992E-2</c:v>
                </c:pt>
                <c:pt idx="372">
                  <c:v>6.8028000000000005E-2</c:v>
                </c:pt>
                <c:pt idx="373">
                  <c:v>6.8166000000000004E-2</c:v>
                </c:pt>
                <c:pt idx="374">
                  <c:v>6.8305999999999992E-2</c:v>
                </c:pt>
                <c:pt idx="375">
                  <c:v>6.8444000000000005E-2</c:v>
                </c:pt>
                <c:pt idx="376">
                  <c:v>6.8583999999999992E-2</c:v>
                </c:pt>
                <c:pt idx="377">
                  <c:v>6.8723999999999993E-2</c:v>
                </c:pt>
                <c:pt idx="378">
                  <c:v>6.8861999999999993E-2</c:v>
                </c:pt>
                <c:pt idx="379">
                  <c:v>6.9000000000000006E-2</c:v>
                </c:pt>
                <c:pt idx="380">
                  <c:v>6.9139999999999993E-2</c:v>
                </c:pt>
                <c:pt idx="381">
                  <c:v>6.9279999999999994E-2</c:v>
                </c:pt>
                <c:pt idx="382">
                  <c:v>6.9417999999999994E-2</c:v>
                </c:pt>
                <c:pt idx="383">
                  <c:v>6.9557999999999995E-2</c:v>
                </c:pt>
                <c:pt idx="384">
                  <c:v>6.9692000000000004E-2</c:v>
                </c:pt>
                <c:pt idx="385">
                  <c:v>6.9804000000000005E-2</c:v>
                </c:pt>
                <c:pt idx="386">
                  <c:v>6.9946000000000008E-2</c:v>
                </c:pt>
                <c:pt idx="387">
                  <c:v>7.0056000000000007E-2</c:v>
                </c:pt>
                <c:pt idx="388">
                  <c:v>7.0195999999999995E-2</c:v>
                </c:pt>
                <c:pt idx="389">
                  <c:v>7.0334000000000008E-2</c:v>
                </c:pt>
                <c:pt idx="390">
                  <c:v>7.0472000000000007E-2</c:v>
                </c:pt>
                <c:pt idx="391">
                  <c:v>7.0610000000000006E-2</c:v>
                </c:pt>
                <c:pt idx="392">
                  <c:v>7.0750000000000007E-2</c:v>
                </c:pt>
                <c:pt idx="393">
                  <c:v>7.0890000000000009E-2</c:v>
                </c:pt>
                <c:pt idx="394">
                  <c:v>7.1028000000000008E-2</c:v>
                </c:pt>
                <c:pt idx="395">
                  <c:v>7.1167999999999995E-2</c:v>
                </c:pt>
                <c:pt idx="396">
                  <c:v>7.1306000000000008E-2</c:v>
                </c:pt>
                <c:pt idx="397">
                  <c:v>7.1444000000000007E-2</c:v>
                </c:pt>
                <c:pt idx="398">
                  <c:v>7.1584000000000009E-2</c:v>
                </c:pt>
                <c:pt idx="399">
                  <c:v>7.1722000000000008E-2</c:v>
                </c:pt>
                <c:pt idx="400">
                  <c:v>7.1862000000000009E-2</c:v>
                </c:pt>
                <c:pt idx="401">
                  <c:v>7.2000000000000008E-2</c:v>
                </c:pt>
                <c:pt idx="402">
                  <c:v>7.214000000000001E-2</c:v>
                </c:pt>
                <c:pt idx="403">
                  <c:v>7.2278000000000009E-2</c:v>
                </c:pt>
                <c:pt idx="404">
                  <c:v>7.2417999999999996E-2</c:v>
                </c:pt>
                <c:pt idx="405">
                  <c:v>7.2557999999999997E-2</c:v>
                </c:pt>
                <c:pt idx="406">
                  <c:v>7.2721999999999995E-2</c:v>
                </c:pt>
                <c:pt idx="407">
                  <c:v>7.2889999999999996E-2</c:v>
                </c:pt>
                <c:pt idx="408">
                  <c:v>7.3057999999999998E-2</c:v>
                </c:pt>
                <c:pt idx="409">
                  <c:v>7.3195999999999997E-2</c:v>
                </c:pt>
                <c:pt idx="410">
                  <c:v>7.3361999999999997E-2</c:v>
                </c:pt>
                <c:pt idx="411">
                  <c:v>7.3525999999999994E-2</c:v>
                </c:pt>
                <c:pt idx="412">
                  <c:v>7.3667999999999997E-2</c:v>
                </c:pt>
                <c:pt idx="413">
                  <c:v>7.3832000000000009E-2</c:v>
                </c:pt>
                <c:pt idx="414">
                  <c:v>7.4001999999999998E-2</c:v>
                </c:pt>
                <c:pt idx="415">
                  <c:v>7.4139999999999998E-2</c:v>
                </c:pt>
                <c:pt idx="416">
                  <c:v>7.4305999999999997E-2</c:v>
                </c:pt>
                <c:pt idx="417">
                  <c:v>7.4443999999999996E-2</c:v>
                </c:pt>
                <c:pt idx="418">
                  <c:v>7.4611999999999998E-2</c:v>
                </c:pt>
                <c:pt idx="419">
                  <c:v>7.4749999999999997E-2</c:v>
                </c:pt>
                <c:pt idx="420">
                  <c:v>7.4889999999999998E-2</c:v>
                </c:pt>
                <c:pt idx="421">
                  <c:v>7.5055999999999998E-2</c:v>
                </c:pt>
                <c:pt idx="422">
                  <c:v>7.5221999999999997E-2</c:v>
                </c:pt>
                <c:pt idx="423">
                  <c:v>7.5387999999999997E-2</c:v>
                </c:pt>
                <c:pt idx="424">
                  <c:v>7.5555999999999998E-2</c:v>
                </c:pt>
                <c:pt idx="425">
                  <c:v>7.5724E-2</c:v>
                </c:pt>
                <c:pt idx="426">
                  <c:v>7.5887999999999997E-2</c:v>
                </c:pt>
                <c:pt idx="427">
                  <c:v>7.6055999999999999E-2</c:v>
                </c:pt>
                <c:pt idx="428">
                  <c:v>7.6221999999999998E-2</c:v>
                </c:pt>
                <c:pt idx="429">
                  <c:v>7.639E-2</c:v>
                </c:pt>
                <c:pt idx="430">
                  <c:v>7.6555999999999999E-2</c:v>
                </c:pt>
                <c:pt idx="431">
                  <c:v>7.6721999999999999E-2</c:v>
                </c:pt>
                <c:pt idx="432">
                  <c:v>7.689E-2</c:v>
                </c:pt>
                <c:pt idx="433">
                  <c:v>7.7055999999999999E-2</c:v>
                </c:pt>
                <c:pt idx="434">
                  <c:v>7.7224000000000001E-2</c:v>
                </c:pt>
                <c:pt idx="435">
                  <c:v>7.739E-2</c:v>
                </c:pt>
                <c:pt idx="436">
                  <c:v>7.7553999999999998E-2</c:v>
                </c:pt>
                <c:pt idx="437">
                  <c:v>7.7724000000000001E-2</c:v>
                </c:pt>
                <c:pt idx="438">
                  <c:v>7.7890000000000001E-2</c:v>
                </c:pt>
                <c:pt idx="439">
                  <c:v>7.8056E-2</c:v>
                </c:pt>
                <c:pt idx="440">
                  <c:v>7.8222E-2</c:v>
                </c:pt>
                <c:pt idx="441">
                  <c:v>7.8387999999999999E-2</c:v>
                </c:pt>
                <c:pt idx="442">
                  <c:v>7.8556000000000001E-2</c:v>
                </c:pt>
                <c:pt idx="443">
                  <c:v>7.8724000000000002E-2</c:v>
                </c:pt>
                <c:pt idx="444">
                  <c:v>7.8888E-2</c:v>
                </c:pt>
                <c:pt idx="445">
                  <c:v>7.9056000000000001E-2</c:v>
                </c:pt>
                <c:pt idx="446">
                  <c:v>7.9222000000000001E-2</c:v>
                </c:pt>
                <c:pt idx="447">
                  <c:v>7.9416E-2</c:v>
                </c:pt>
                <c:pt idx="448">
                  <c:v>7.9612000000000002E-2</c:v>
                </c:pt>
                <c:pt idx="449">
                  <c:v>7.9804E-2</c:v>
                </c:pt>
                <c:pt idx="450">
                  <c:v>8.000199999999999E-2</c:v>
                </c:pt>
                <c:pt idx="451">
                  <c:v>8.0196000000000003E-2</c:v>
                </c:pt>
                <c:pt idx="452">
                  <c:v>8.0390000000000003E-2</c:v>
                </c:pt>
                <c:pt idx="453">
                  <c:v>8.0584000000000003E-2</c:v>
                </c:pt>
                <c:pt idx="454">
                  <c:v>8.0778000000000003E-2</c:v>
                </c:pt>
                <c:pt idx="455">
                  <c:v>8.0972000000000002E-2</c:v>
                </c:pt>
                <c:pt idx="456">
                  <c:v>8.1166000000000002E-2</c:v>
                </c:pt>
                <c:pt idx="457">
                  <c:v>8.1359999999999988E-2</c:v>
                </c:pt>
                <c:pt idx="458">
                  <c:v>8.1556000000000003E-2</c:v>
                </c:pt>
                <c:pt idx="459">
                  <c:v>8.1750000000000003E-2</c:v>
                </c:pt>
                <c:pt idx="460">
                  <c:v>8.1945999999999991E-2</c:v>
                </c:pt>
                <c:pt idx="461">
                  <c:v>8.2138000000000003E-2</c:v>
                </c:pt>
                <c:pt idx="462">
                  <c:v>8.2333999999999991E-2</c:v>
                </c:pt>
                <c:pt idx="463">
                  <c:v>8.2528000000000004E-2</c:v>
                </c:pt>
                <c:pt idx="464">
                  <c:v>8.2722000000000004E-2</c:v>
                </c:pt>
                <c:pt idx="465">
                  <c:v>8.2916000000000004E-2</c:v>
                </c:pt>
                <c:pt idx="466">
                  <c:v>8.3111999999999991E-2</c:v>
                </c:pt>
                <c:pt idx="467">
                  <c:v>8.3307999999999993E-2</c:v>
                </c:pt>
                <c:pt idx="468">
                  <c:v>8.3528000000000005E-2</c:v>
                </c:pt>
                <c:pt idx="469">
                  <c:v>8.3750000000000005E-2</c:v>
                </c:pt>
                <c:pt idx="470">
                  <c:v>8.3971999999999991E-2</c:v>
                </c:pt>
                <c:pt idx="471">
                  <c:v>8.4198000000000009E-2</c:v>
                </c:pt>
                <c:pt idx="472">
                  <c:v>8.4388000000000005E-2</c:v>
                </c:pt>
                <c:pt idx="473">
                  <c:v>8.4611999999999993E-2</c:v>
                </c:pt>
                <c:pt idx="474">
                  <c:v>8.4806000000000006E-2</c:v>
                </c:pt>
                <c:pt idx="475">
                  <c:v>8.5000000000000006E-2</c:v>
                </c:pt>
                <c:pt idx="476">
                  <c:v>8.5193999999999992E-2</c:v>
                </c:pt>
                <c:pt idx="477">
                  <c:v>8.5416000000000006E-2</c:v>
                </c:pt>
                <c:pt idx="478">
                  <c:v>8.5639999999999994E-2</c:v>
                </c:pt>
                <c:pt idx="479">
                  <c:v>8.5860000000000006E-2</c:v>
                </c:pt>
                <c:pt idx="480">
                  <c:v>8.6083999999999994E-2</c:v>
                </c:pt>
                <c:pt idx="481">
                  <c:v>8.6305999999999994E-2</c:v>
                </c:pt>
                <c:pt idx="482">
                  <c:v>8.653000000000001E-2</c:v>
                </c:pt>
                <c:pt idx="483">
                  <c:v>8.6747999999999992E-2</c:v>
                </c:pt>
                <c:pt idx="484">
                  <c:v>8.6972000000000008E-2</c:v>
                </c:pt>
                <c:pt idx="485">
                  <c:v>8.7195999999999996E-2</c:v>
                </c:pt>
                <c:pt idx="486">
                  <c:v>8.7415999999999994E-2</c:v>
                </c:pt>
                <c:pt idx="487">
                  <c:v>8.7639999999999996E-2</c:v>
                </c:pt>
                <c:pt idx="488">
                  <c:v>8.7863999999999998E-2</c:v>
                </c:pt>
                <c:pt idx="489">
                  <c:v>8.808400000000001E-2</c:v>
                </c:pt>
                <c:pt idx="490">
                  <c:v>8.8303999999999994E-2</c:v>
                </c:pt>
                <c:pt idx="491">
                  <c:v>8.8527999999999996E-2</c:v>
                </c:pt>
                <c:pt idx="492">
                  <c:v>8.8751999999999998E-2</c:v>
                </c:pt>
                <c:pt idx="493">
                  <c:v>8.8971999999999996E-2</c:v>
                </c:pt>
                <c:pt idx="494">
                  <c:v>8.9221999999999996E-2</c:v>
                </c:pt>
                <c:pt idx="495">
                  <c:v>8.9473999999999998E-2</c:v>
                </c:pt>
                <c:pt idx="496">
                  <c:v>8.972200000000001E-2</c:v>
                </c:pt>
                <c:pt idx="497">
                  <c:v>8.9971999999999996E-2</c:v>
                </c:pt>
                <c:pt idx="498">
                  <c:v>9.0223999999999999E-2</c:v>
                </c:pt>
                <c:pt idx="499">
                  <c:v>9.0470000000000009E-2</c:v>
                </c:pt>
                <c:pt idx="500">
                  <c:v>9.0723999999999999E-2</c:v>
                </c:pt>
                <c:pt idx="501">
                  <c:v>9.0973999999999999E-2</c:v>
                </c:pt>
                <c:pt idx="502">
                  <c:v>9.1221999999999998E-2</c:v>
                </c:pt>
                <c:pt idx="503">
                  <c:v>9.1474E-2</c:v>
                </c:pt>
                <c:pt idx="504">
                  <c:v>9.1721999999999998E-2</c:v>
                </c:pt>
                <c:pt idx="505">
                  <c:v>9.1971999999999998E-2</c:v>
                </c:pt>
                <c:pt idx="506">
                  <c:v>9.2222000000000012E-2</c:v>
                </c:pt>
                <c:pt idx="507">
                  <c:v>9.2471999999999999E-2</c:v>
                </c:pt>
                <c:pt idx="508">
                  <c:v>9.2721999999999999E-2</c:v>
                </c:pt>
                <c:pt idx="509">
                  <c:v>9.2971999999999999E-2</c:v>
                </c:pt>
                <c:pt idx="510">
                  <c:v>9.325E-2</c:v>
                </c:pt>
                <c:pt idx="511">
                  <c:v>9.3528E-2</c:v>
                </c:pt>
                <c:pt idx="512">
                  <c:v>9.3806E-2</c:v>
                </c:pt>
                <c:pt idx="513">
                  <c:v>9.4084000000000001E-2</c:v>
                </c:pt>
                <c:pt idx="514">
                  <c:v>9.4362000000000001E-2</c:v>
                </c:pt>
                <c:pt idx="515">
                  <c:v>9.4638000000000014E-2</c:v>
                </c:pt>
                <c:pt idx="516">
                  <c:v>9.4918000000000002E-2</c:v>
                </c:pt>
                <c:pt idx="517">
                  <c:v>9.5196000000000003E-2</c:v>
                </c:pt>
                <c:pt idx="518">
                  <c:v>9.5474000000000003E-2</c:v>
                </c:pt>
                <c:pt idx="519">
                  <c:v>9.5749999999999988E-2</c:v>
                </c:pt>
                <c:pt idx="520">
                  <c:v>9.6028000000000002E-2</c:v>
                </c:pt>
                <c:pt idx="521">
                  <c:v>9.6305999999999989E-2</c:v>
                </c:pt>
                <c:pt idx="522">
                  <c:v>9.6584000000000003E-2</c:v>
                </c:pt>
                <c:pt idx="523">
                  <c:v>9.686199999999999E-2</c:v>
                </c:pt>
                <c:pt idx="524">
                  <c:v>9.7140000000000004E-2</c:v>
                </c:pt>
                <c:pt idx="525">
                  <c:v>9.7416000000000003E-2</c:v>
                </c:pt>
                <c:pt idx="526">
                  <c:v>9.7696000000000005E-2</c:v>
                </c:pt>
                <c:pt idx="527">
                  <c:v>9.7973999999999992E-2</c:v>
                </c:pt>
                <c:pt idx="528">
                  <c:v>9.824999999999999E-2</c:v>
                </c:pt>
                <c:pt idx="529">
                  <c:v>9.8528000000000004E-2</c:v>
                </c:pt>
                <c:pt idx="530">
                  <c:v>9.8808000000000007E-2</c:v>
                </c:pt>
                <c:pt idx="531">
                  <c:v>9.9111999999999992E-2</c:v>
                </c:pt>
                <c:pt idx="532">
                  <c:v>9.9390000000000006E-2</c:v>
                </c:pt>
                <c:pt idx="533">
                  <c:v>9.9665999999999991E-2</c:v>
                </c:pt>
                <c:pt idx="534">
                  <c:v>9.9974000000000007E-2</c:v>
                </c:pt>
                <c:pt idx="535">
                  <c:v>0.10027799999999999</c:v>
                </c:pt>
                <c:pt idx="536">
                  <c:v>0.10058400000000001</c:v>
                </c:pt>
                <c:pt idx="537">
                  <c:v>0.10089000000000001</c:v>
                </c:pt>
                <c:pt idx="538">
                  <c:v>0.10119400000000001</c:v>
                </c:pt>
                <c:pt idx="539">
                  <c:v>0.10152799999999999</c:v>
                </c:pt>
                <c:pt idx="540">
                  <c:v>0.10186199999999999</c:v>
                </c:pt>
                <c:pt idx="541">
                  <c:v>0.10216599999999999</c:v>
                </c:pt>
                <c:pt idx="542">
                  <c:v>0.10247199999999999</c:v>
                </c:pt>
                <c:pt idx="543">
                  <c:v>0.10280599999999999</c:v>
                </c:pt>
                <c:pt idx="544">
                  <c:v>0.103112</c:v>
                </c:pt>
                <c:pt idx="545">
                  <c:v>0.103446</c:v>
                </c:pt>
                <c:pt idx="546">
                  <c:v>0.10377800000000001</c:v>
                </c:pt>
                <c:pt idx="547">
                  <c:v>0.104112</c:v>
                </c:pt>
                <c:pt idx="548">
                  <c:v>0.104444</c:v>
                </c:pt>
                <c:pt idx="549">
                  <c:v>0.10478</c:v>
                </c:pt>
                <c:pt idx="550">
                  <c:v>0.10511200000000001</c:v>
                </c:pt>
                <c:pt idx="551">
                  <c:v>0.10544600000000001</c:v>
                </c:pt>
                <c:pt idx="552">
                  <c:v>0.105778</c:v>
                </c:pt>
                <c:pt idx="553">
                  <c:v>0.106112</c:v>
                </c:pt>
                <c:pt idx="554">
                  <c:v>0.106446</c:v>
                </c:pt>
                <c:pt idx="555">
                  <c:v>0.106778</c:v>
                </c:pt>
                <c:pt idx="556">
                  <c:v>0.107112</c:v>
                </c:pt>
                <c:pt idx="557">
                  <c:v>0.10744400000000001</c:v>
                </c:pt>
                <c:pt idx="558">
                  <c:v>0.10777799999999998</c:v>
                </c:pt>
                <c:pt idx="559">
                  <c:v>0.108112</c:v>
                </c:pt>
                <c:pt idx="560">
                  <c:v>0.10847200000000001</c:v>
                </c:pt>
                <c:pt idx="561">
                  <c:v>0.10883599999999999</c:v>
                </c:pt>
                <c:pt idx="562">
                  <c:v>0.109194</c:v>
                </c:pt>
                <c:pt idx="563">
                  <c:v>0.109556</c:v>
                </c:pt>
                <c:pt idx="564">
                  <c:v>0.109916</c:v>
                </c:pt>
                <c:pt idx="565">
                  <c:v>0.11030799999999999</c:v>
                </c:pt>
                <c:pt idx="566">
                  <c:v>0.11069599999999999</c:v>
                </c:pt>
                <c:pt idx="567">
                  <c:v>0.111056</c:v>
                </c:pt>
                <c:pt idx="568">
                  <c:v>0.111416</c:v>
                </c:pt>
                <c:pt idx="569">
                  <c:v>0.11180799999999999</c:v>
                </c:pt>
                <c:pt idx="570">
                  <c:v>0.112194</c:v>
                </c:pt>
                <c:pt idx="571">
                  <c:v>0.11258599999999999</c:v>
                </c:pt>
                <c:pt idx="572">
                  <c:v>0.112972</c:v>
                </c:pt>
                <c:pt idx="573">
                  <c:v>0.113362</c:v>
                </c:pt>
                <c:pt idx="574">
                  <c:v>0.11375</c:v>
                </c:pt>
                <c:pt idx="575">
                  <c:v>0.11416800000000001</c:v>
                </c:pt>
                <c:pt idx="576">
                  <c:v>0.11458399999999999</c:v>
                </c:pt>
                <c:pt idx="577">
                  <c:v>0.11500199999999999</c:v>
                </c:pt>
                <c:pt idx="578">
                  <c:v>0.115416</c:v>
                </c:pt>
                <c:pt idx="579">
                  <c:v>0.11583399999999999</c:v>
                </c:pt>
                <c:pt idx="580">
                  <c:v>0.11625000000000001</c:v>
                </c:pt>
                <c:pt idx="581">
                  <c:v>0.11666600000000001</c:v>
                </c:pt>
                <c:pt idx="582">
                  <c:v>0.11708399999999999</c:v>
                </c:pt>
                <c:pt idx="583">
                  <c:v>0.11749999999999999</c:v>
                </c:pt>
                <c:pt idx="584">
                  <c:v>0.11791800000000001</c:v>
                </c:pt>
                <c:pt idx="585">
                  <c:v>0.11836199999999999</c:v>
                </c:pt>
                <c:pt idx="586">
                  <c:v>0.11878</c:v>
                </c:pt>
                <c:pt idx="587">
                  <c:v>0.11919600000000001</c:v>
                </c:pt>
                <c:pt idx="588">
                  <c:v>0.11964000000000001</c:v>
                </c:pt>
                <c:pt idx="589">
                  <c:v>0.120084</c:v>
                </c:pt>
                <c:pt idx="590">
                  <c:v>0.120556</c:v>
                </c:pt>
                <c:pt idx="591">
                  <c:v>0.12103</c:v>
                </c:pt>
                <c:pt idx="592">
                  <c:v>0.121474</c:v>
                </c:pt>
                <c:pt idx="593">
                  <c:v>0.121946</c:v>
                </c:pt>
                <c:pt idx="594">
                  <c:v>0.122416</c:v>
                </c:pt>
                <c:pt idx="595">
                  <c:v>0.122888</c:v>
                </c:pt>
                <c:pt idx="596">
                  <c:v>0.123362</c:v>
                </c:pt>
                <c:pt idx="597">
                  <c:v>0.123862</c:v>
                </c:pt>
                <c:pt idx="598">
                  <c:v>0.124362</c:v>
                </c:pt>
                <c:pt idx="599">
                  <c:v>0.124834</c:v>
                </c:pt>
                <c:pt idx="600">
                  <c:v>0.125332</c:v>
                </c:pt>
                <c:pt idx="601">
                  <c:v>0.125834</c:v>
                </c:pt>
                <c:pt idx="602">
                  <c:v>0.126334</c:v>
                </c:pt>
                <c:pt idx="603">
                  <c:v>0.126834</c:v>
                </c:pt>
                <c:pt idx="604">
                  <c:v>0.127334</c:v>
                </c:pt>
                <c:pt idx="605">
                  <c:v>0.127834</c:v>
                </c:pt>
                <c:pt idx="606">
                  <c:v>0.128332</c:v>
                </c:pt>
                <c:pt idx="607">
                  <c:v>0.128862</c:v>
                </c:pt>
                <c:pt idx="608">
                  <c:v>0.12939000000000001</c:v>
                </c:pt>
                <c:pt idx="609">
                  <c:v>0.12991800000000001</c:v>
                </c:pt>
                <c:pt idx="610">
                  <c:v>0.130472</c:v>
                </c:pt>
                <c:pt idx="611">
                  <c:v>0.13102800000000001</c:v>
                </c:pt>
                <c:pt idx="612">
                  <c:v>0.13161199999999998</c:v>
                </c:pt>
                <c:pt idx="613">
                  <c:v>0.13219400000000001</c:v>
                </c:pt>
                <c:pt idx="614">
                  <c:v>0.13280400000000001</c:v>
                </c:pt>
                <c:pt idx="615">
                  <c:v>0.13341799999999998</c:v>
                </c:pt>
                <c:pt idx="616">
                  <c:v>0.13405600000000001</c:v>
                </c:pt>
                <c:pt idx="617">
                  <c:v>0.13469400000000001</c:v>
                </c:pt>
                <c:pt idx="618">
                  <c:v>0.13533400000000001</c:v>
                </c:pt>
                <c:pt idx="619">
                  <c:v>0.13600000000000001</c:v>
                </c:pt>
                <c:pt idx="620">
                  <c:v>0.13666600000000001</c:v>
                </c:pt>
                <c:pt idx="621">
                  <c:v>0.13733399999999998</c:v>
                </c:pt>
                <c:pt idx="622">
                  <c:v>0.13805600000000001</c:v>
                </c:pt>
                <c:pt idx="623">
                  <c:v>0.13880599999999998</c:v>
                </c:pt>
                <c:pt idx="624">
                  <c:v>0.13961199999999999</c:v>
                </c:pt>
                <c:pt idx="625">
                  <c:v>0.14044399999999999</c:v>
                </c:pt>
              </c:numCache>
            </c:numRef>
          </c:cat>
          <c:val>
            <c:numRef>
              <c:f>'A12-5'!$F$2:$F$627</c:f>
              <c:numCache>
                <c:formatCode>0.00</c:formatCode>
                <c:ptCount val="626"/>
                <c:pt idx="0">
                  <c:v>0</c:v>
                </c:pt>
                <c:pt idx="1">
                  <c:v>0.23314048928201453</c:v>
                </c:pt>
                <c:pt idx="2">
                  <c:v>0.23314048928201453</c:v>
                </c:pt>
                <c:pt idx="3">
                  <c:v>0.23314048928201453</c:v>
                </c:pt>
                <c:pt idx="4">
                  <c:v>0.23314048928201453</c:v>
                </c:pt>
                <c:pt idx="5">
                  <c:v>0.23314048928201453</c:v>
                </c:pt>
                <c:pt idx="6">
                  <c:v>0.23314048928201453</c:v>
                </c:pt>
                <c:pt idx="7">
                  <c:v>0.23314048928201453</c:v>
                </c:pt>
                <c:pt idx="8">
                  <c:v>0.23314048928201453</c:v>
                </c:pt>
                <c:pt idx="9">
                  <c:v>0.23314048928201453</c:v>
                </c:pt>
                <c:pt idx="10">
                  <c:v>0.23314048928201453</c:v>
                </c:pt>
                <c:pt idx="11">
                  <c:v>0.23314048928201453</c:v>
                </c:pt>
                <c:pt idx="12">
                  <c:v>0.23314048928201453</c:v>
                </c:pt>
                <c:pt idx="13">
                  <c:v>0.23314048928201453</c:v>
                </c:pt>
                <c:pt idx="14">
                  <c:v>0.23314048928201453</c:v>
                </c:pt>
                <c:pt idx="15">
                  <c:v>0.23314048928201453</c:v>
                </c:pt>
                <c:pt idx="16">
                  <c:v>0.23314048928201453</c:v>
                </c:pt>
                <c:pt idx="17">
                  <c:v>0.23856243525380511</c:v>
                </c:pt>
                <c:pt idx="18">
                  <c:v>0.23856243525380511</c:v>
                </c:pt>
                <c:pt idx="19">
                  <c:v>0.23314048928201453</c:v>
                </c:pt>
                <c:pt idx="20">
                  <c:v>0.23856243525380511</c:v>
                </c:pt>
                <c:pt idx="21">
                  <c:v>0.23856243525380511</c:v>
                </c:pt>
                <c:pt idx="22">
                  <c:v>0.23856243525380511</c:v>
                </c:pt>
                <c:pt idx="23">
                  <c:v>0.23856243525380511</c:v>
                </c:pt>
                <c:pt idx="24">
                  <c:v>0.23856243525380511</c:v>
                </c:pt>
                <c:pt idx="25">
                  <c:v>0.23856243525380511</c:v>
                </c:pt>
                <c:pt idx="26">
                  <c:v>0.23856243525380511</c:v>
                </c:pt>
                <c:pt idx="27">
                  <c:v>0.23856243525380511</c:v>
                </c:pt>
                <c:pt idx="28">
                  <c:v>0.24398438122559568</c:v>
                </c:pt>
                <c:pt idx="29">
                  <c:v>0.24398438122559568</c:v>
                </c:pt>
                <c:pt idx="30">
                  <c:v>0.24398438122559568</c:v>
                </c:pt>
                <c:pt idx="31">
                  <c:v>0.24398438122559568</c:v>
                </c:pt>
                <c:pt idx="32">
                  <c:v>0.24398438122559568</c:v>
                </c:pt>
                <c:pt idx="33">
                  <c:v>0.24398438122559568</c:v>
                </c:pt>
                <c:pt idx="34">
                  <c:v>0.24398438122559568</c:v>
                </c:pt>
                <c:pt idx="35">
                  <c:v>0.24398438122559568</c:v>
                </c:pt>
                <c:pt idx="36">
                  <c:v>0.24398438122559568</c:v>
                </c:pt>
                <c:pt idx="37">
                  <c:v>0.24940632719738623</c:v>
                </c:pt>
                <c:pt idx="38">
                  <c:v>0.24940632719738623</c:v>
                </c:pt>
                <c:pt idx="39">
                  <c:v>0.24940632719738623</c:v>
                </c:pt>
                <c:pt idx="40">
                  <c:v>0.24940632719738623</c:v>
                </c:pt>
                <c:pt idx="41">
                  <c:v>0.24940632719738623</c:v>
                </c:pt>
                <c:pt idx="42">
                  <c:v>0.24940632719738623</c:v>
                </c:pt>
                <c:pt idx="43">
                  <c:v>0.24940632719738623</c:v>
                </c:pt>
                <c:pt idx="44">
                  <c:v>0.25482827316917683</c:v>
                </c:pt>
                <c:pt idx="45">
                  <c:v>0.25482827316917683</c:v>
                </c:pt>
                <c:pt idx="46">
                  <c:v>0.25482827316917683</c:v>
                </c:pt>
                <c:pt idx="47">
                  <c:v>0.25482827316917683</c:v>
                </c:pt>
                <c:pt idx="48">
                  <c:v>0.26025021914096741</c:v>
                </c:pt>
                <c:pt idx="49">
                  <c:v>0.26567216511275799</c:v>
                </c:pt>
                <c:pt idx="50">
                  <c:v>0.26567216511275799</c:v>
                </c:pt>
                <c:pt idx="51">
                  <c:v>0.27109411108454856</c:v>
                </c:pt>
                <c:pt idx="52">
                  <c:v>0.27109411108454856</c:v>
                </c:pt>
                <c:pt idx="53">
                  <c:v>0.27109411108454856</c:v>
                </c:pt>
                <c:pt idx="54">
                  <c:v>0.27651605705633919</c:v>
                </c:pt>
                <c:pt idx="55">
                  <c:v>0.28735994899992034</c:v>
                </c:pt>
                <c:pt idx="56">
                  <c:v>0.29820384094350144</c:v>
                </c:pt>
                <c:pt idx="57">
                  <c:v>0.30904773288708265</c:v>
                </c:pt>
                <c:pt idx="58">
                  <c:v>0.29820384094350144</c:v>
                </c:pt>
                <c:pt idx="59">
                  <c:v>0.28735994899992034</c:v>
                </c:pt>
                <c:pt idx="60">
                  <c:v>0.28193800302812977</c:v>
                </c:pt>
                <c:pt idx="61">
                  <c:v>0.28193800302812977</c:v>
                </c:pt>
                <c:pt idx="62">
                  <c:v>0.28193800302812977</c:v>
                </c:pt>
                <c:pt idx="63">
                  <c:v>0.29278189497171092</c:v>
                </c:pt>
                <c:pt idx="64">
                  <c:v>0.30362578691529202</c:v>
                </c:pt>
                <c:pt idx="65">
                  <c:v>0.31989799984062472</c:v>
                </c:pt>
                <c:pt idx="66">
                  <c:v>0.33073551677424495</c:v>
                </c:pt>
                <c:pt idx="67">
                  <c:v>0.34157303370786518</c:v>
                </c:pt>
                <c:pt idx="68">
                  <c:v>0.35241055064148535</c:v>
                </c:pt>
                <c:pt idx="69">
                  <c:v>0.35241055064148535</c:v>
                </c:pt>
                <c:pt idx="70">
                  <c:v>0.35241055064148535</c:v>
                </c:pt>
                <c:pt idx="71">
                  <c:v>0.35241055064148535</c:v>
                </c:pt>
                <c:pt idx="72">
                  <c:v>0.35786118415810025</c:v>
                </c:pt>
                <c:pt idx="73">
                  <c:v>0.35241055064148535</c:v>
                </c:pt>
                <c:pt idx="74">
                  <c:v>0.35241055064148535</c:v>
                </c:pt>
                <c:pt idx="75">
                  <c:v>0.35241055064148535</c:v>
                </c:pt>
                <c:pt idx="76">
                  <c:v>0.35241055064148535</c:v>
                </c:pt>
                <c:pt idx="77">
                  <c:v>0.35241055064148535</c:v>
                </c:pt>
                <c:pt idx="78">
                  <c:v>0.36327994262491037</c:v>
                </c:pt>
                <c:pt idx="79">
                  <c:v>0.36327994262491037</c:v>
                </c:pt>
                <c:pt idx="80">
                  <c:v>0.36327994262491037</c:v>
                </c:pt>
                <c:pt idx="81">
                  <c:v>0.38495497649215082</c:v>
                </c:pt>
                <c:pt idx="82">
                  <c:v>0.40663001035939123</c:v>
                </c:pt>
                <c:pt idx="83">
                  <c:v>0.41208064387600613</c:v>
                </c:pt>
                <c:pt idx="84">
                  <c:v>0.41749940234281624</c:v>
                </c:pt>
                <c:pt idx="85">
                  <c:v>0.42833691927643647</c:v>
                </c:pt>
                <c:pt idx="86">
                  <c:v>0.42833691927643647</c:v>
                </c:pt>
                <c:pt idx="87">
                  <c:v>0.43375567774324647</c:v>
                </c:pt>
                <c:pt idx="88">
                  <c:v>0.43375567774324647</c:v>
                </c:pt>
                <c:pt idx="89">
                  <c:v>0.43917443621005658</c:v>
                </c:pt>
                <c:pt idx="90">
                  <c:v>0.43917443621005658</c:v>
                </c:pt>
                <c:pt idx="91">
                  <c:v>0.43375567774324647</c:v>
                </c:pt>
                <c:pt idx="92">
                  <c:v>0.43375567774324647</c:v>
                </c:pt>
                <c:pt idx="93">
                  <c:v>0.43375567774324647</c:v>
                </c:pt>
                <c:pt idx="94">
                  <c:v>0.43375567774324647</c:v>
                </c:pt>
                <c:pt idx="95">
                  <c:v>0.43375567774324647</c:v>
                </c:pt>
                <c:pt idx="96">
                  <c:v>0.43375567774324647</c:v>
                </c:pt>
                <c:pt idx="97">
                  <c:v>0.43375567774324647</c:v>
                </c:pt>
                <c:pt idx="98">
                  <c:v>0.43375567774324647</c:v>
                </c:pt>
                <c:pt idx="99">
                  <c:v>0.43375567774324647</c:v>
                </c:pt>
                <c:pt idx="100">
                  <c:v>0.43917443621005658</c:v>
                </c:pt>
                <c:pt idx="101">
                  <c:v>0.43917443621005658</c:v>
                </c:pt>
                <c:pt idx="102">
                  <c:v>0.43917443621005658</c:v>
                </c:pt>
                <c:pt idx="103">
                  <c:v>0.43917443621005658</c:v>
                </c:pt>
                <c:pt idx="104">
                  <c:v>0.4445931946768667</c:v>
                </c:pt>
                <c:pt idx="105">
                  <c:v>0.4445931946768667</c:v>
                </c:pt>
                <c:pt idx="106">
                  <c:v>0.4445931946768667</c:v>
                </c:pt>
                <c:pt idx="107">
                  <c:v>0.4445931946768667</c:v>
                </c:pt>
                <c:pt idx="108">
                  <c:v>0.45001195314367681</c:v>
                </c:pt>
                <c:pt idx="109">
                  <c:v>0.45001195314367681</c:v>
                </c:pt>
                <c:pt idx="110">
                  <c:v>0.45543071161048693</c:v>
                </c:pt>
                <c:pt idx="111">
                  <c:v>0.46084947007729699</c:v>
                </c:pt>
                <c:pt idx="112">
                  <c:v>0.46084947007729699</c:v>
                </c:pt>
                <c:pt idx="113">
                  <c:v>0.47171886206072194</c:v>
                </c:pt>
                <c:pt idx="114">
                  <c:v>0.4933938959279624</c:v>
                </c:pt>
                <c:pt idx="115">
                  <c:v>0.5150689297952028</c:v>
                </c:pt>
                <c:pt idx="116">
                  <c:v>0.53677583871224799</c:v>
                </c:pt>
                <c:pt idx="117">
                  <c:v>0.55845087257948844</c:v>
                </c:pt>
                <c:pt idx="118">
                  <c:v>0.58015778149653363</c:v>
                </c:pt>
                <c:pt idx="119">
                  <c:v>0.60183281536377409</c:v>
                </c:pt>
                <c:pt idx="120">
                  <c:v>0.62350784923101454</c:v>
                </c:pt>
                <c:pt idx="121">
                  <c:v>0.64521475814805973</c:v>
                </c:pt>
                <c:pt idx="122">
                  <c:v>0.66688979201530019</c:v>
                </c:pt>
                <c:pt idx="123">
                  <c:v>0.68859670093234537</c:v>
                </c:pt>
                <c:pt idx="124">
                  <c:v>0.71027173479958561</c:v>
                </c:pt>
                <c:pt idx="125">
                  <c:v>0.73194676866682606</c:v>
                </c:pt>
                <c:pt idx="126">
                  <c:v>0.75365367758387114</c:v>
                </c:pt>
                <c:pt idx="127">
                  <c:v>0.77532871145111171</c:v>
                </c:pt>
                <c:pt idx="128">
                  <c:v>0.79703562036815678</c:v>
                </c:pt>
                <c:pt idx="129">
                  <c:v>0.82412941270220741</c:v>
                </c:pt>
                <c:pt idx="130">
                  <c:v>0.84580444656944787</c:v>
                </c:pt>
                <c:pt idx="131">
                  <c:v>0.86751135548649294</c:v>
                </c:pt>
                <c:pt idx="132">
                  <c:v>0.8891863893537334</c:v>
                </c:pt>
                <c:pt idx="133">
                  <c:v>0.91089329827077858</c:v>
                </c:pt>
                <c:pt idx="134">
                  <c:v>0.93256833213801904</c:v>
                </c:pt>
                <c:pt idx="135">
                  <c:v>0.9542433660052595</c:v>
                </c:pt>
                <c:pt idx="136">
                  <c:v>0.97595027492230457</c:v>
                </c:pt>
                <c:pt idx="137">
                  <c:v>0.99762530878954492</c:v>
                </c:pt>
                <c:pt idx="138">
                  <c:v>1.0193322177065902</c:v>
                </c:pt>
                <c:pt idx="139">
                  <c:v>1.0410072515738307</c:v>
                </c:pt>
                <c:pt idx="140">
                  <c:v>1.0626822854410711</c:v>
                </c:pt>
                <c:pt idx="141">
                  <c:v>1.0843891943581163</c:v>
                </c:pt>
                <c:pt idx="142">
                  <c:v>1.1060642282253568</c:v>
                </c:pt>
                <c:pt idx="143">
                  <c:v>1.127771137142402</c:v>
                </c:pt>
                <c:pt idx="144">
                  <c:v>1.1494461710096424</c:v>
                </c:pt>
                <c:pt idx="145">
                  <c:v>1.1711212048768826</c:v>
                </c:pt>
                <c:pt idx="146">
                  <c:v>1.1928281137939276</c:v>
                </c:pt>
                <c:pt idx="147">
                  <c:v>1.2145031476611681</c:v>
                </c:pt>
                <c:pt idx="148">
                  <c:v>1.2362100565782135</c:v>
                </c:pt>
                <c:pt idx="149">
                  <c:v>1.2578850904454539</c:v>
                </c:pt>
                <c:pt idx="150">
                  <c:v>1.2795601243126944</c:v>
                </c:pt>
                <c:pt idx="151">
                  <c:v>1.3012670332297394</c:v>
                </c:pt>
                <c:pt idx="152">
                  <c:v>1.3229420670969798</c:v>
                </c:pt>
                <c:pt idx="153">
                  <c:v>1.3446489760140252</c:v>
                </c:pt>
                <c:pt idx="154">
                  <c:v>1.3663240098812657</c:v>
                </c:pt>
                <c:pt idx="155">
                  <c:v>1.3879990437485059</c:v>
                </c:pt>
                <c:pt idx="156">
                  <c:v>1.4097059526655511</c:v>
                </c:pt>
                <c:pt idx="157">
                  <c:v>1.4313809865327916</c:v>
                </c:pt>
                <c:pt idx="158">
                  <c:v>1.453056020400032</c:v>
                </c:pt>
                <c:pt idx="159">
                  <c:v>1.4747629293170772</c:v>
                </c:pt>
                <c:pt idx="160">
                  <c:v>1.4964379631843177</c:v>
                </c:pt>
                <c:pt idx="161">
                  <c:v>1.5181448721013628</c:v>
                </c:pt>
                <c:pt idx="162">
                  <c:v>1.5398199059686033</c:v>
                </c:pt>
                <c:pt idx="163">
                  <c:v>1.5614949398358435</c:v>
                </c:pt>
                <c:pt idx="164">
                  <c:v>1.5832018487528887</c:v>
                </c:pt>
                <c:pt idx="165">
                  <c:v>1.604876882620129</c:v>
                </c:pt>
                <c:pt idx="166">
                  <c:v>1.6265837915371746</c:v>
                </c:pt>
                <c:pt idx="167">
                  <c:v>1.6482588254044148</c:v>
                </c:pt>
                <c:pt idx="168">
                  <c:v>1.6699338592716553</c:v>
                </c:pt>
                <c:pt idx="169">
                  <c:v>1.6916407681887002</c:v>
                </c:pt>
                <c:pt idx="170">
                  <c:v>1.7133158020559407</c:v>
                </c:pt>
                <c:pt idx="171">
                  <c:v>1.7350227109729859</c:v>
                </c:pt>
                <c:pt idx="172">
                  <c:v>1.7566977448402263</c:v>
                </c:pt>
                <c:pt idx="173">
                  <c:v>1.7783727787074668</c:v>
                </c:pt>
                <c:pt idx="174">
                  <c:v>1.800079687624512</c:v>
                </c:pt>
                <c:pt idx="175">
                  <c:v>1.8217547214917524</c:v>
                </c:pt>
                <c:pt idx="176">
                  <c:v>1.8434616304087976</c:v>
                </c:pt>
                <c:pt idx="177">
                  <c:v>1.8651366642760381</c:v>
                </c:pt>
                <c:pt idx="178">
                  <c:v>1.8868116981432785</c:v>
                </c:pt>
                <c:pt idx="179">
                  <c:v>1.9139373655271337</c:v>
                </c:pt>
                <c:pt idx="180">
                  <c:v>1.9356123993943741</c:v>
                </c:pt>
                <c:pt idx="181">
                  <c:v>1.9573193083114193</c:v>
                </c:pt>
                <c:pt idx="182">
                  <c:v>1.9789943421786598</c:v>
                </c:pt>
                <c:pt idx="183">
                  <c:v>2.0006693760459</c:v>
                </c:pt>
                <c:pt idx="184">
                  <c:v>2.0223762849629452</c:v>
                </c:pt>
                <c:pt idx="185">
                  <c:v>2.0494700772969958</c:v>
                </c:pt>
                <c:pt idx="186">
                  <c:v>2.076595744680851</c:v>
                </c:pt>
                <c:pt idx="187">
                  <c:v>2.0982707785480916</c:v>
                </c:pt>
                <c:pt idx="188">
                  <c:v>2.1199776874651368</c:v>
                </c:pt>
                <c:pt idx="189">
                  <c:v>2.1416527213323766</c:v>
                </c:pt>
                <c:pt idx="190">
                  <c:v>2.1633277551996177</c:v>
                </c:pt>
                <c:pt idx="191">
                  <c:v>2.1904534225834729</c:v>
                </c:pt>
                <c:pt idx="192">
                  <c:v>2.2121284564507135</c:v>
                </c:pt>
                <c:pt idx="193">
                  <c:v>2.2338353653677587</c:v>
                </c:pt>
                <c:pt idx="194">
                  <c:v>2.255510399234999</c:v>
                </c:pt>
                <c:pt idx="195">
                  <c:v>2.2826360666188541</c:v>
                </c:pt>
                <c:pt idx="196">
                  <c:v>2.3043111004860948</c:v>
                </c:pt>
                <c:pt idx="197">
                  <c:v>2.325986134353335</c:v>
                </c:pt>
                <c:pt idx="198">
                  <c:v>2.3531118017371901</c:v>
                </c:pt>
                <c:pt idx="199">
                  <c:v>2.3802055940712412</c:v>
                </c:pt>
                <c:pt idx="200">
                  <c:v>2.4073312614550963</c:v>
                </c:pt>
                <c:pt idx="201">
                  <c:v>2.4344250537891465</c:v>
                </c:pt>
                <c:pt idx="202">
                  <c:v>2.4615507211730021</c:v>
                </c:pt>
                <c:pt idx="203">
                  <c:v>2.4886445135070527</c:v>
                </c:pt>
                <c:pt idx="204">
                  <c:v>2.5103514224240975</c:v>
                </c:pt>
                <c:pt idx="205">
                  <c:v>2.5320264562913386</c:v>
                </c:pt>
                <c:pt idx="206">
                  <c:v>2.5537333652083838</c:v>
                </c:pt>
                <c:pt idx="207">
                  <c:v>2.5754083990756236</c:v>
                </c:pt>
                <c:pt idx="208">
                  <c:v>2.5970834329428638</c:v>
                </c:pt>
                <c:pt idx="209">
                  <c:v>2.6187903418599094</c:v>
                </c:pt>
                <c:pt idx="210">
                  <c:v>2.6404653757271497</c:v>
                </c:pt>
                <c:pt idx="211">
                  <c:v>2.6621722846441949</c:v>
                </c:pt>
                <c:pt idx="212">
                  <c:v>2.6838473185114351</c:v>
                </c:pt>
                <c:pt idx="213">
                  <c:v>2.7109411108454862</c:v>
                </c:pt>
                <c:pt idx="214">
                  <c:v>2.7326480197625314</c:v>
                </c:pt>
                <c:pt idx="215">
                  <c:v>2.7597418120965815</c:v>
                </c:pt>
                <c:pt idx="216">
                  <c:v>2.7814487210136267</c:v>
                </c:pt>
                <c:pt idx="217">
                  <c:v>2.8031237548808674</c:v>
                </c:pt>
                <c:pt idx="218">
                  <c:v>2.8247987887481072</c:v>
                </c:pt>
                <c:pt idx="219">
                  <c:v>2.8465056976651533</c:v>
                </c:pt>
                <c:pt idx="220">
                  <c:v>2.8735994899992034</c:v>
                </c:pt>
                <c:pt idx="221">
                  <c:v>2.8953063989162482</c:v>
                </c:pt>
                <c:pt idx="222">
                  <c:v>2.9169814327834893</c:v>
                </c:pt>
                <c:pt idx="223">
                  <c:v>2.9386883417005345</c:v>
                </c:pt>
                <c:pt idx="224">
                  <c:v>2.9603633755677743</c:v>
                </c:pt>
                <c:pt idx="225">
                  <c:v>2.9874571679018254</c:v>
                </c:pt>
                <c:pt idx="226">
                  <c:v>3.0091640768188705</c:v>
                </c:pt>
                <c:pt idx="227">
                  <c:v>3.0308391106861103</c:v>
                </c:pt>
                <c:pt idx="228">
                  <c:v>3.0579647780699659</c:v>
                </c:pt>
                <c:pt idx="229">
                  <c:v>3.0796398119372066</c:v>
                </c:pt>
                <c:pt idx="230">
                  <c:v>3.1013467208542518</c:v>
                </c:pt>
                <c:pt idx="231">
                  <c:v>3.123021754721492</c:v>
                </c:pt>
                <c:pt idx="232">
                  <c:v>3.1501155470555426</c:v>
                </c:pt>
                <c:pt idx="233">
                  <c:v>3.1718224559725878</c:v>
                </c:pt>
                <c:pt idx="234">
                  <c:v>3.1989799984062479</c:v>
                </c:pt>
                <c:pt idx="235">
                  <c:v>3.2206550322734881</c:v>
                </c:pt>
                <c:pt idx="236">
                  <c:v>3.2477488246075383</c:v>
                </c:pt>
                <c:pt idx="237">
                  <c:v>3.269423858474779</c:v>
                </c:pt>
                <c:pt idx="238">
                  <c:v>3.2965176508088296</c:v>
                </c:pt>
                <c:pt idx="239">
                  <c:v>3.3181926846760699</c:v>
                </c:pt>
                <c:pt idx="240">
                  <c:v>3.3452864770101205</c:v>
                </c:pt>
                <c:pt idx="241">
                  <c:v>3.3669615108773607</c:v>
                </c:pt>
                <c:pt idx="242">
                  <c:v>3.3940553032114114</c:v>
                </c:pt>
                <c:pt idx="243">
                  <c:v>3.421149095545462</c:v>
                </c:pt>
                <c:pt idx="244">
                  <c:v>3.4482428878795126</c:v>
                </c:pt>
                <c:pt idx="245">
                  <c:v>3.4699179217467528</c:v>
                </c:pt>
                <c:pt idx="246">
                  <c:v>3.4915929556139935</c:v>
                </c:pt>
                <c:pt idx="247">
                  <c:v>3.5132679894812333</c:v>
                </c:pt>
                <c:pt idx="248">
                  <c:v>3.5349430233484744</c:v>
                </c:pt>
                <c:pt idx="249">
                  <c:v>3.5566180572157142</c:v>
                </c:pt>
                <c:pt idx="250">
                  <c:v>3.5786118415810022</c:v>
                </c:pt>
                <c:pt idx="251">
                  <c:v>3.6057056339150533</c:v>
                </c:pt>
                <c:pt idx="252">
                  <c:v>3.6273806677822935</c:v>
                </c:pt>
                <c:pt idx="253">
                  <c:v>3.6490557016495342</c:v>
                </c:pt>
                <c:pt idx="254">
                  <c:v>3.6761494939835844</c:v>
                </c:pt>
                <c:pt idx="255">
                  <c:v>3.7032432863176354</c:v>
                </c:pt>
                <c:pt idx="256">
                  <c:v>3.7303370786516856</c:v>
                </c:pt>
                <c:pt idx="257">
                  <c:v>3.7574308709857362</c:v>
                </c:pt>
                <c:pt idx="258">
                  <c:v>3.7845246633197869</c:v>
                </c:pt>
                <c:pt idx="259">
                  <c:v>3.8061996971870271</c:v>
                </c:pt>
                <c:pt idx="260">
                  <c:v>3.8332934895210777</c:v>
                </c:pt>
                <c:pt idx="261">
                  <c:v>3.8603872818551284</c:v>
                </c:pt>
                <c:pt idx="262">
                  <c:v>3.8874810741891785</c:v>
                </c:pt>
                <c:pt idx="263">
                  <c:v>3.9145748665232292</c:v>
                </c:pt>
                <c:pt idx="264">
                  <c:v>3.9416686588572794</c:v>
                </c:pt>
                <c:pt idx="265">
                  <c:v>3.9633436927245205</c:v>
                </c:pt>
                <c:pt idx="266">
                  <c:v>3.9904374850585707</c:v>
                </c:pt>
                <c:pt idx="267">
                  <c:v>4.0175312773926208</c:v>
                </c:pt>
                <c:pt idx="268">
                  <c:v>4.0392063112598615</c:v>
                </c:pt>
                <c:pt idx="269">
                  <c:v>4.0608813451271022</c:v>
                </c:pt>
                <c:pt idx="270">
                  <c:v>4.0825563789943429</c:v>
                </c:pt>
                <c:pt idx="271">
                  <c:v>4.1042314128615827</c:v>
                </c:pt>
                <c:pt idx="272">
                  <c:v>4.131643955693681</c:v>
                </c:pt>
                <c:pt idx="273">
                  <c:v>4.1587377480277317</c:v>
                </c:pt>
                <c:pt idx="274">
                  <c:v>4.1804127818949723</c:v>
                </c:pt>
                <c:pt idx="275">
                  <c:v>4.2183440911626429</c:v>
                </c:pt>
                <c:pt idx="276">
                  <c:v>4.2562754004303134</c:v>
                </c:pt>
                <c:pt idx="277">
                  <c:v>4.2942067096979839</c:v>
                </c:pt>
                <c:pt idx="278">
                  <c:v>4.3267192604988454</c:v>
                </c:pt>
                <c:pt idx="279">
                  <c:v>4.3592318112997051</c:v>
                </c:pt>
                <c:pt idx="280">
                  <c:v>4.3971631205673756</c:v>
                </c:pt>
                <c:pt idx="281">
                  <c:v>4.435094429835047</c:v>
                </c:pt>
                <c:pt idx="282">
                  <c:v>4.4730257391027184</c:v>
                </c:pt>
                <c:pt idx="283">
                  <c:v>4.5055382899035781</c:v>
                </c:pt>
                <c:pt idx="284">
                  <c:v>4.5434695991712486</c:v>
                </c:pt>
                <c:pt idx="285">
                  <c:v>4.5814009084389191</c:v>
                </c:pt>
                <c:pt idx="286">
                  <c:v>4.6139134592397797</c:v>
                </c:pt>
                <c:pt idx="287">
                  <c:v>4.6518447685074511</c:v>
                </c:pt>
                <c:pt idx="288">
                  <c:v>4.6900948282731685</c:v>
                </c:pt>
                <c:pt idx="289">
                  <c:v>4.7226073790740299</c:v>
                </c:pt>
                <c:pt idx="290">
                  <c:v>4.7551199298748905</c:v>
                </c:pt>
                <c:pt idx="291">
                  <c:v>4.7876324806757511</c:v>
                </c:pt>
                <c:pt idx="292">
                  <c:v>4.8255637899434216</c:v>
                </c:pt>
                <c:pt idx="293">
                  <c:v>4.8580763407442822</c:v>
                </c:pt>
                <c:pt idx="294">
                  <c:v>4.8960076500119527</c:v>
                </c:pt>
                <c:pt idx="295">
                  <c:v>4.9285202008128142</c:v>
                </c:pt>
                <c:pt idx="296">
                  <c:v>4.9664515100804847</c:v>
                </c:pt>
                <c:pt idx="297">
                  <c:v>4.9989640608813453</c:v>
                </c:pt>
                <c:pt idx="298">
                  <c:v>5.0314766116822058</c:v>
                </c:pt>
                <c:pt idx="299">
                  <c:v>5.0639891624830673</c:v>
                </c:pt>
                <c:pt idx="300">
                  <c:v>5.1019204717507369</c:v>
                </c:pt>
                <c:pt idx="301">
                  <c:v>5.1344330225515984</c:v>
                </c:pt>
                <c:pt idx="302">
                  <c:v>5.1723643318192689</c:v>
                </c:pt>
                <c:pt idx="303">
                  <c:v>5.2048768826201286</c:v>
                </c:pt>
                <c:pt idx="304">
                  <c:v>5.2377081839190378</c:v>
                </c:pt>
                <c:pt idx="305">
                  <c:v>5.2756394931867083</c:v>
                </c:pt>
                <c:pt idx="306">
                  <c:v>5.3081520439875698</c:v>
                </c:pt>
                <c:pt idx="307">
                  <c:v>5.3406645947884304</c:v>
                </c:pt>
                <c:pt idx="308">
                  <c:v>5.3785959040561009</c:v>
                </c:pt>
                <c:pt idx="309">
                  <c:v>5.4111084548569615</c:v>
                </c:pt>
                <c:pt idx="310">
                  <c:v>5.443621005657822</c:v>
                </c:pt>
                <c:pt idx="311">
                  <c:v>5.4761335564586826</c:v>
                </c:pt>
                <c:pt idx="312">
                  <c:v>5.5086461072595423</c:v>
                </c:pt>
                <c:pt idx="313">
                  <c:v>5.5411586580604038</c:v>
                </c:pt>
                <c:pt idx="314">
                  <c:v>5.5736712088612643</c:v>
                </c:pt>
                <c:pt idx="315">
                  <c:v>5.6224400350625539</c:v>
                </c:pt>
                <c:pt idx="316">
                  <c:v>5.6657901027970361</c:v>
                </c:pt>
                <c:pt idx="317">
                  <c:v>5.7145589289983265</c:v>
                </c:pt>
                <c:pt idx="318">
                  <c:v>5.7579089967328079</c:v>
                </c:pt>
                <c:pt idx="319">
                  <c:v>5.8015778149653361</c:v>
                </c:pt>
                <c:pt idx="320">
                  <c:v>5.8449278826998174</c:v>
                </c:pt>
                <c:pt idx="321">
                  <c:v>5.888277950434297</c:v>
                </c:pt>
                <c:pt idx="322">
                  <c:v>5.9316280181687793</c:v>
                </c:pt>
                <c:pt idx="323">
                  <c:v>5.9749780859032589</c:v>
                </c:pt>
                <c:pt idx="324">
                  <c:v>6.0183281536377411</c:v>
                </c:pt>
                <c:pt idx="325">
                  <c:v>6.0616782213722207</c:v>
                </c:pt>
                <c:pt idx="326">
                  <c:v>6.105028289106702</c:v>
                </c:pt>
                <c:pt idx="327">
                  <c:v>6.1537971153079933</c:v>
                </c:pt>
                <c:pt idx="328">
                  <c:v>6.1971471830424729</c:v>
                </c:pt>
                <c:pt idx="329">
                  <c:v>6.2404972507769552</c:v>
                </c:pt>
                <c:pt idx="330">
                  <c:v>6.2892660769782456</c:v>
                </c:pt>
                <c:pt idx="331">
                  <c:v>6.3329348952107747</c:v>
                </c:pt>
                <c:pt idx="332">
                  <c:v>6.3762849629452543</c:v>
                </c:pt>
                <c:pt idx="333">
                  <c:v>6.4196350306797365</c:v>
                </c:pt>
                <c:pt idx="334">
                  <c:v>6.4684038568810269</c:v>
                </c:pt>
                <c:pt idx="335">
                  <c:v>6.5117539246155074</c:v>
                </c:pt>
                <c:pt idx="336">
                  <c:v>6.5551039923499888</c:v>
                </c:pt>
                <c:pt idx="337">
                  <c:v>6.5984540600844683</c:v>
                </c:pt>
                <c:pt idx="338">
                  <c:v>6.6472228862857596</c:v>
                </c:pt>
                <c:pt idx="339">
                  <c:v>6.690572954020241</c:v>
                </c:pt>
                <c:pt idx="340">
                  <c:v>6.7393417802215323</c:v>
                </c:pt>
                <c:pt idx="341">
                  <c:v>6.7826918479560128</c:v>
                </c:pt>
                <c:pt idx="342">
                  <c:v>6.8314606741573041</c:v>
                </c:pt>
                <c:pt idx="343">
                  <c:v>6.8805482508566422</c:v>
                </c:pt>
                <c:pt idx="344">
                  <c:v>6.9238983185911236</c:v>
                </c:pt>
                <c:pt idx="345">
                  <c:v>6.972667144792414</c:v>
                </c:pt>
                <c:pt idx="346">
                  <c:v>7.0322734879273252</c:v>
                </c:pt>
                <c:pt idx="347">
                  <c:v>7.0972985895290464</c:v>
                </c:pt>
                <c:pt idx="348">
                  <c:v>7.1569049326639576</c:v>
                </c:pt>
                <c:pt idx="349">
                  <c:v>7.2165112757988696</c:v>
                </c:pt>
                <c:pt idx="350">
                  <c:v>7.2815363774005899</c:v>
                </c:pt>
                <c:pt idx="351">
                  <c:v>7.3411427205355011</c:v>
                </c:pt>
                <c:pt idx="352">
                  <c:v>7.4061678221372222</c:v>
                </c:pt>
                <c:pt idx="353">
                  <c:v>7.4660929157701812</c:v>
                </c:pt>
                <c:pt idx="354">
                  <c:v>7.5256992589050924</c:v>
                </c:pt>
                <c:pt idx="355">
                  <c:v>7.5853056020400036</c:v>
                </c:pt>
                <c:pt idx="356">
                  <c:v>7.6503307036417247</c:v>
                </c:pt>
                <c:pt idx="357">
                  <c:v>7.7153558052434468</c:v>
                </c:pt>
                <c:pt idx="358">
                  <c:v>7.780380906845167</c:v>
                </c:pt>
                <c:pt idx="359">
                  <c:v>7.8454060084468882</c:v>
                </c:pt>
                <c:pt idx="360">
                  <c:v>7.8995935931149894</c:v>
                </c:pt>
                <c:pt idx="361">
                  <c:v>7.9595186867479484</c:v>
                </c:pt>
                <c:pt idx="362">
                  <c:v>8.0137062714160496</c:v>
                </c:pt>
                <c:pt idx="363">
                  <c:v>8.0733126145509608</c:v>
                </c:pt>
                <c:pt idx="364">
                  <c:v>8.1275001992190603</c:v>
                </c:pt>
                <c:pt idx="365">
                  <c:v>8.1816877838871633</c:v>
                </c:pt>
                <c:pt idx="366">
                  <c:v>8.2358753685552628</c:v>
                </c:pt>
                <c:pt idx="367">
                  <c:v>8.2900629532233641</c:v>
                </c:pt>
                <c:pt idx="368">
                  <c:v>8.3496692963582753</c:v>
                </c:pt>
                <c:pt idx="369">
                  <c:v>8.4201131564268081</c:v>
                </c:pt>
                <c:pt idx="370">
                  <c:v>8.4905570164953392</c:v>
                </c:pt>
                <c:pt idx="371">
                  <c:v>8.566738385528728</c:v>
                </c:pt>
                <c:pt idx="372">
                  <c:v>8.6371822455972609</c:v>
                </c:pt>
                <c:pt idx="373">
                  <c:v>8.7076261056657902</c:v>
                </c:pt>
                <c:pt idx="374">
                  <c:v>8.7834887242011312</c:v>
                </c:pt>
                <c:pt idx="375">
                  <c:v>8.8539325842696641</c:v>
                </c:pt>
                <c:pt idx="376">
                  <c:v>8.9297952028050052</c:v>
                </c:pt>
                <c:pt idx="377">
                  <c:v>9.0056578213403444</c:v>
                </c:pt>
                <c:pt idx="378">
                  <c:v>9.076420431906925</c:v>
                </c:pt>
                <c:pt idx="379">
                  <c:v>9.1522830504422679</c:v>
                </c:pt>
                <c:pt idx="380">
                  <c:v>9.2281456689776089</c:v>
                </c:pt>
                <c:pt idx="381">
                  <c:v>9.29858952904614</c:v>
                </c:pt>
                <c:pt idx="382">
                  <c:v>9.3744521475814828</c:v>
                </c:pt>
                <c:pt idx="383">
                  <c:v>9.4503147661168239</c:v>
                </c:pt>
                <c:pt idx="384">
                  <c:v>9.5207586261853532</c:v>
                </c:pt>
                <c:pt idx="385">
                  <c:v>9.5857837277870761</c:v>
                </c:pt>
                <c:pt idx="386">
                  <c:v>9.6565463383536549</c:v>
                </c:pt>
                <c:pt idx="387">
                  <c:v>9.7215714399553761</c:v>
                </c:pt>
                <c:pt idx="388">
                  <c:v>9.7974340584907171</c:v>
                </c:pt>
                <c:pt idx="389">
                  <c:v>9.8732966770260582</c:v>
                </c:pt>
                <c:pt idx="390">
                  <c:v>9.9491592955613992</c:v>
                </c:pt>
                <c:pt idx="391">
                  <c:v>10.03044067256355</c:v>
                </c:pt>
                <c:pt idx="392">
                  <c:v>10.106303291098893</c:v>
                </c:pt>
                <c:pt idx="393">
                  <c:v>10.182484660132282</c:v>
                </c:pt>
                <c:pt idx="394">
                  <c:v>10.263766037134433</c:v>
                </c:pt>
                <c:pt idx="395">
                  <c:v>10.339628655669776</c:v>
                </c:pt>
                <c:pt idx="396">
                  <c:v>10.420910032671927</c:v>
                </c:pt>
                <c:pt idx="397">
                  <c:v>10.496772651207268</c:v>
                </c:pt>
                <c:pt idx="398">
                  <c:v>10.57805402820942</c:v>
                </c:pt>
                <c:pt idx="399">
                  <c:v>10.659335405211571</c:v>
                </c:pt>
                <c:pt idx="400">
                  <c:v>10.740935532711772</c:v>
                </c:pt>
                <c:pt idx="401">
                  <c:v>10.822216909713923</c:v>
                </c:pt>
                <c:pt idx="402">
                  <c:v>10.903498286716074</c:v>
                </c:pt>
                <c:pt idx="403">
                  <c:v>10.984779663718225</c:v>
                </c:pt>
                <c:pt idx="404">
                  <c:v>11.071479799187186</c:v>
                </c:pt>
                <c:pt idx="405">
                  <c:v>11.152761176189339</c:v>
                </c:pt>
                <c:pt idx="406">
                  <c:v>11.250617579089967</c:v>
                </c:pt>
                <c:pt idx="407">
                  <c:v>11.34815523149255</c:v>
                </c:pt>
                <c:pt idx="408">
                  <c:v>11.445692883895131</c:v>
                </c:pt>
                <c:pt idx="409">
                  <c:v>11.532393019364095</c:v>
                </c:pt>
                <c:pt idx="410">
                  <c:v>11.629930671766676</c:v>
                </c:pt>
                <c:pt idx="411">
                  <c:v>11.727468324169257</c:v>
                </c:pt>
                <c:pt idx="412">
                  <c:v>11.814487210136267</c:v>
                </c:pt>
                <c:pt idx="413">
                  <c:v>11.917443621005658</c:v>
                </c:pt>
                <c:pt idx="414">
                  <c:v>12.014981273408239</c:v>
                </c:pt>
                <c:pt idx="415">
                  <c:v>12.101681408877203</c:v>
                </c:pt>
                <c:pt idx="416">
                  <c:v>12.199219061279784</c:v>
                </c:pt>
                <c:pt idx="417">
                  <c:v>12.285919196748745</c:v>
                </c:pt>
                <c:pt idx="418">
                  <c:v>12.383775599649375</c:v>
                </c:pt>
                <c:pt idx="419">
                  <c:v>12.470475735118336</c:v>
                </c:pt>
                <c:pt idx="420">
                  <c:v>12.557175870587299</c:v>
                </c:pt>
                <c:pt idx="421">
                  <c:v>12.66013228145669</c:v>
                </c:pt>
                <c:pt idx="422">
                  <c:v>12.757669933859273</c:v>
                </c:pt>
                <c:pt idx="423">
                  <c:v>12.860626344728665</c:v>
                </c:pt>
                <c:pt idx="424">
                  <c:v>12.963901506096104</c:v>
                </c:pt>
                <c:pt idx="425">
                  <c:v>13.072276675432306</c:v>
                </c:pt>
                <c:pt idx="426">
                  <c:v>13.175233086301697</c:v>
                </c:pt>
                <c:pt idx="427">
                  <c:v>13.283608255637901</c:v>
                </c:pt>
                <c:pt idx="428">
                  <c:v>13.386564666507292</c:v>
                </c:pt>
                <c:pt idx="429">
                  <c:v>13.48983982787473</c:v>
                </c:pt>
                <c:pt idx="430">
                  <c:v>13.598214997210935</c:v>
                </c:pt>
                <c:pt idx="431">
                  <c:v>13.706590166547137</c:v>
                </c:pt>
                <c:pt idx="432">
                  <c:v>13.814965335883338</c:v>
                </c:pt>
                <c:pt idx="433">
                  <c:v>13.92334050521954</c:v>
                </c:pt>
                <c:pt idx="434">
                  <c:v>14.032034425053791</c:v>
                </c:pt>
                <c:pt idx="435">
                  <c:v>14.140409594389991</c:v>
                </c:pt>
                <c:pt idx="436">
                  <c:v>14.248784763726194</c:v>
                </c:pt>
                <c:pt idx="437">
                  <c:v>14.362578691529205</c:v>
                </c:pt>
                <c:pt idx="438">
                  <c:v>14.470953860865409</c:v>
                </c:pt>
                <c:pt idx="439">
                  <c:v>14.585066539166467</c:v>
                </c:pt>
                <c:pt idx="440">
                  <c:v>14.698860466969482</c:v>
                </c:pt>
                <c:pt idx="441">
                  <c:v>14.807235636305682</c:v>
                </c:pt>
                <c:pt idx="442">
                  <c:v>14.921029564108697</c:v>
                </c:pt>
                <c:pt idx="443">
                  <c:v>15.034823491911707</c:v>
                </c:pt>
                <c:pt idx="444">
                  <c:v>15.143517411745956</c:v>
                </c:pt>
                <c:pt idx="445">
                  <c:v>15.25731133954897</c:v>
                </c:pt>
                <c:pt idx="446">
                  <c:v>15.371105267351981</c:v>
                </c:pt>
                <c:pt idx="447">
                  <c:v>15.501155470555423</c:v>
                </c:pt>
                <c:pt idx="448">
                  <c:v>15.636624432225677</c:v>
                </c:pt>
                <c:pt idx="449">
                  <c:v>15.766993385927165</c:v>
                </c:pt>
                <c:pt idx="450">
                  <c:v>15.897043589130611</c:v>
                </c:pt>
                <c:pt idx="451">
                  <c:v>16.027093792334053</c:v>
                </c:pt>
                <c:pt idx="452">
                  <c:v>16.162562754004302</c:v>
                </c:pt>
                <c:pt idx="453">
                  <c:v>16.292931707705794</c:v>
                </c:pt>
                <c:pt idx="454">
                  <c:v>16.422981910909236</c:v>
                </c:pt>
                <c:pt idx="455">
                  <c:v>16.553032114112678</c:v>
                </c:pt>
                <c:pt idx="456">
                  <c:v>16.688501075782931</c:v>
                </c:pt>
                <c:pt idx="457">
                  <c:v>16.824288787951236</c:v>
                </c:pt>
                <c:pt idx="458">
                  <c:v>16.954338991154675</c:v>
                </c:pt>
                <c:pt idx="459">
                  <c:v>17.089807952824927</c:v>
                </c:pt>
                <c:pt idx="460">
                  <c:v>17.225276914495179</c:v>
                </c:pt>
                <c:pt idx="461">
                  <c:v>17.361064626663481</c:v>
                </c:pt>
                <c:pt idx="462">
                  <c:v>17.496533588333733</c:v>
                </c:pt>
                <c:pt idx="463">
                  <c:v>17.632002550003982</c:v>
                </c:pt>
                <c:pt idx="464">
                  <c:v>17.772890270141051</c:v>
                </c:pt>
                <c:pt idx="465">
                  <c:v>17.908677982309349</c:v>
                </c:pt>
                <c:pt idx="466">
                  <c:v>18.044146943979602</c:v>
                </c:pt>
                <c:pt idx="467">
                  <c:v>18.18503466411666</c:v>
                </c:pt>
                <c:pt idx="468">
                  <c:v>18.342178659654159</c:v>
                </c:pt>
                <c:pt idx="469">
                  <c:v>18.499641405689697</c:v>
                </c:pt>
                <c:pt idx="470">
                  <c:v>18.656785401227186</c:v>
                </c:pt>
                <c:pt idx="471">
                  <c:v>18.808510638297875</c:v>
                </c:pt>
                <c:pt idx="472">
                  <c:v>18.949717108932983</c:v>
                </c:pt>
                <c:pt idx="473">
                  <c:v>19.101442346003665</c:v>
                </c:pt>
                <c:pt idx="474">
                  <c:v>19.242330066140727</c:v>
                </c:pt>
                <c:pt idx="475">
                  <c:v>19.383217786277793</c:v>
                </c:pt>
                <c:pt idx="476">
                  <c:v>19.524424256912901</c:v>
                </c:pt>
                <c:pt idx="477">
                  <c:v>19.692405769384017</c:v>
                </c:pt>
                <c:pt idx="478">
                  <c:v>19.854968523388319</c:v>
                </c:pt>
                <c:pt idx="479">
                  <c:v>20.012112518925811</c:v>
                </c:pt>
                <c:pt idx="480">
                  <c:v>20.174994023428166</c:v>
                </c:pt>
                <c:pt idx="481">
                  <c:v>20.337556777432464</c:v>
                </c:pt>
                <c:pt idx="482">
                  <c:v>20.500119531436766</c:v>
                </c:pt>
                <c:pt idx="483">
                  <c:v>20.668419794405931</c:v>
                </c:pt>
                <c:pt idx="484">
                  <c:v>20.830982548410233</c:v>
                </c:pt>
                <c:pt idx="485">
                  <c:v>20.993545302414535</c:v>
                </c:pt>
                <c:pt idx="486">
                  <c:v>21.161845565383697</c:v>
                </c:pt>
                <c:pt idx="487">
                  <c:v>21.329827077854809</c:v>
                </c:pt>
                <c:pt idx="488">
                  <c:v>21.497808590325924</c:v>
                </c:pt>
                <c:pt idx="489">
                  <c:v>21.66579010279704</c:v>
                </c:pt>
                <c:pt idx="490">
                  <c:v>21.828671607299388</c:v>
                </c:pt>
                <c:pt idx="491">
                  <c:v>21.9966531197705</c:v>
                </c:pt>
                <c:pt idx="492">
                  <c:v>22.159215873774805</c:v>
                </c:pt>
                <c:pt idx="493">
                  <c:v>22.327516136743967</c:v>
                </c:pt>
                <c:pt idx="494">
                  <c:v>22.511753924615508</c:v>
                </c:pt>
                <c:pt idx="495">
                  <c:v>22.701410470953864</c:v>
                </c:pt>
                <c:pt idx="496">
                  <c:v>22.885967009323455</c:v>
                </c:pt>
                <c:pt idx="497">
                  <c:v>23.07562355566181</c:v>
                </c:pt>
                <c:pt idx="498">
                  <c:v>23.259861343533352</c:v>
                </c:pt>
                <c:pt idx="499">
                  <c:v>23.44983664036975</c:v>
                </c:pt>
                <c:pt idx="500">
                  <c:v>23.634074428241298</c:v>
                </c:pt>
                <c:pt idx="501">
                  <c:v>23.823730974579647</c:v>
                </c:pt>
                <c:pt idx="502">
                  <c:v>24.013706271416048</c:v>
                </c:pt>
                <c:pt idx="503">
                  <c:v>24.203362817754407</c:v>
                </c:pt>
                <c:pt idx="504">
                  <c:v>24.393019364092755</c:v>
                </c:pt>
                <c:pt idx="505">
                  <c:v>24.58299466092916</c:v>
                </c:pt>
                <c:pt idx="506">
                  <c:v>24.772651207267511</c:v>
                </c:pt>
                <c:pt idx="507">
                  <c:v>24.962307753605867</c:v>
                </c:pt>
                <c:pt idx="508">
                  <c:v>25.152283050442268</c:v>
                </c:pt>
                <c:pt idx="509">
                  <c:v>25.347358355247433</c:v>
                </c:pt>
                <c:pt idx="510">
                  <c:v>25.559008685951074</c:v>
                </c:pt>
                <c:pt idx="511">
                  <c:v>25.770340266156669</c:v>
                </c:pt>
                <c:pt idx="512">
                  <c:v>25.981671846362264</c:v>
                </c:pt>
                <c:pt idx="513">
                  <c:v>26.193322177065902</c:v>
                </c:pt>
                <c:pt idx="514">
                  <c:v>26.404653757271497</c:v>
                </c:pt>
                <c:pt idx="515">
                  <c:v>26.621722846441951</c:v>
                </c:pt>
                <c:pt idx="516">
                  <c:v>26.838473185114353</c:v>
                </c:pt>
                <c:pt idx="517">
                  <c:v>27.055223523786758</c:v>
                </c:pt>
                <c:pt idx="518">
                  <c:v>27.272292612957209</c:v>
                </c:pt>
                <c:pt idx="519">
                  <c:v>27.494461710096427</c:v>
                </c:pt>
                <c:pt idx="520">
                  <c:v>27.716949557733685</c:v>
                </c:pt>
                <c:pt idx="521">
                  <c:v>27.9391186548729</c:v>
                </c:pt>
                <c:pt idx="522">
                  <c:v>28.161287752012115</c:v>
                </c:pt>
                <c:pt idx="523">
                  <c:v>28.389194358116185</c:v>
                </c:pt>
                <c:pt idx="524">
                  <c:v>28.6113634552554</c:v>
                </c:pt>
                <c:pt idx="525">
                  <c:v>28.839270061359471</c:v>
                </c:pt>
                <c:pt idx="526">
                  <c:v>29.066857916965496</c:v>
                </c:pt>
                <c:pt idx="527">
                  <c:v>29.294445772571517</c:v>
                </c:pt>
                <c:pt idx="528">
                  <c:v>29.522352378675595</c:v>
                </c:pt>
                <c:pt idx="529">
                  <c:v>29.749940234281617</c:v>
                </c:pt>
                <c:pt idx="530">
                  <c:v>29.977846840385691</c:v>
                </c:pt>
                <c:pt idx="531">
                  <c:v>30.221690971392142</c:v>
                </c:pt>
                <c:pt idx="532">
                  <c:v>30.449278826998167</c:v>
                </c:pt>
                <c:pt idx="533">
                  <c:v>30.677185433102238</c:v>
                </c:pt>
                <c:pt idx="534">
                  <c:v>30.931867081042316</c:v>
                </c:pt>
                <c:pt idx="535">
                  <c:v>31.181448721013627</c:v>
                </c:pt>
                <c:pt idx="536">
                  <c:v>31.436130368953705</c:v>
                </c:pt>
                <c:pt idx="537">
                  <c:v>31.685712008925012</c:v>
                </c:pt>
                <c:pt idx="538">
                  <c:v>31.935612399394373</c:v>
                </c:pt>
                <c:pt idx="539">
                  <c:v>32.200175312773929</c:v>
                </c:pt>
                <c:pt idx="540">
                  <c:v>32.461550721173005</c:v>
                </c:pt>
                <c:pt idx="541">
                  <c:v>32.710176109650178</c:v>
                </c:pt>
                <c:pt idx="542">
                  <c:v>32.958801498127343</c:v>
                </c:pt>
                <c:pt idx="543">
                  <c:v>33.226551916487374</c:v>
                </c:pt>
                <c:pt idx="544">
                  <c:v>33.475177304964539</c:v>
                </c:pt>
                <c:pt idx="545">
                  <c:v>33.739740218344089</c:v>
                </c:pt>
                <c:pt idx="546">
                  <c:v>34.017053151645555</c:v>
                </c:pt>
                <c:pt idx="547">
                  <c:v>34.287991074986053</c:v>
                </c:pt>
                <c:pt idx="548">
                  <c:v>34.552553988365602</c:v>
                </c:pt>
                <c:pt idx="549">
                  <c:v>34.823491911706114</c:v>
                </c:pt>
                <c:pt idx="550">
                  <c:v>35.094429835046618</c:v>
                </c:pt>
                <c:pt idx="551">
                  <c:v>35.371742768348078</c:v>
                </c:pt>
                <c:pt idx="552">
                  <c:v>35.655430711610485</c:v>
                </c:pt>
                <c:pt idx="553">
                  <c:v>35.929556139931471</c:v>
                </c:pt>
                <c:pt idx="554">
                  <c:v>36.200494063271975</c:v>
                </c:pt>
                <c:pt idx="555">
                  <c:v>36.484182006534382</c:v>
                </c:pt>
                <c:pt idx="556">
                  <c:v>36.771057454777271</c:v>
                </c:pt>
                <c:pt idx="557">
                  <c:v>37.057932903020159</c:v>
                </c:pt>
                <c:pt idx="558">
                  <c:v>37.341620846282574</c:v>
                </c:pt>
                <c:pt idx="559">
                  <c:v>37.628496294525462</c:v>
                </c:pt>
                <c:pt idx="560">
                  <c:v>37.931309267670734</c:v>
                </c:pt>
                <c:pt idx="561">
                  <c:v>38.234122240816006</c:v>
                </c:pt>
                <c:pt idx="562">
                  <c:v>38.543310223922234</c:v>
                </c:pt>
                <c:pt idx="563">
                  <c:v>38.849310702047973</c:v>
                </c:pt>
                <c:pt idx="564">
                  <c:v>39.1584986851542</c:v>
                </c:pt>
                <c:pt idx="565">
                  <c:v>39.483624193162804</c:v>
                </c:pt>
                <c:pt idx="566">
                  <c:v>39.802374691210453</c:v>
                </c:pt>
                <c:pt idx="567">
                  <c:v>40.105187664355732</c:v>
                </c:pt>
                <c:pt idx="568">
                  <c:v>40.414375647461952</c:v>
                </c:pt>
                <c:pt idx="569">
                  <c:v>40.739501155470556</c:v>
                </c:pt>
                <c:pt idx="570">
                  <c:v>41.064626663479167</c:v>
                </c:pt>
                <c:pt idx="571">
                  <c:v>41.389752171487771</c:v>
                </c:pt>
                <c:pt idx="572">
                  <c:v>41.711690174515894</c:v>
                </c:pt>
                <c:pt idx="573">
                  <c:v>42.036815682524505</c:v>
                </c:pt>
                <c:pt idx="574">
                  <c:v>42.361941190533109</c:v>
                </c:pt>
                <c:pt idx="575">
                  <c:v>42.709379233405059</c:v>
                </c:pt>
                <c:pt idx="576">
                  <c:v>43.05044226631604</c:v>
                </c:pt>
                <c:pt idx="577">
                  <c:v>43.391505299227028</c:v>
                </c:pt>
                <c:pt idx="578">
                  <c:v>43.732568332138023</c:v>
                </c:pt>
                <c:pt idx="579">
                  <c:v>44.086381384970913</c:v>
                </c:pt>
                <c:pt idx="580">
                  <c:v>44.433819427842856</c:v>
                </c:pt>
                <c:pt idx="581">
                  <c:v>44.784444975695273</c:v>
                </c:pt>
                <c:pt idx="582">
                  <c:v>45.13825802852817</c:v>
                </c:pt>
                <c:pt idx="583">
                  <c:v>45.495258586341542</c:v>
                </c:pt>
                <c:pt idx="584">
                  <c:v>45.852259144154914</c:v>
                </c:pt>
                <c:pt idx="585">
                  <c:v>46.231572236831624</c:v>
                </c:pt>
                <c:pt idx="586">
                  <c:v>46.59176029962547</c:v>
                </c:pt>
                <c:pt idx="587">
                  <c:v>46.948760857438849</c:v>
                </c:pt>
                <c:pt idx="588">
                  <c:v>47.321698940154597</c:v>
                </c:pt>
                <c:pt idx="589">
                  <c:v>47.691449517889872</c:v>
                </c:pt>
                <c:pt idx="590">
                  <c:v>48.077137620527537</c:v>
                </c:pt>
                <c:pt idx="591">
                  <c:v>48.456450713204241</c:v>
                </c:pt>
                <c:pt idx="592">
                  <c:v>48.823013785959041</c:v>
                </c:pt>
                <c:pt idx="593">
                  <c:v>49.2087018885967</c:v>
                </c:pt>
                <c:pt idx="594">
                  <c:v>49.600765001195313</c:v>
                </c:pt>
                <c:pt idx="595">
                  <c:v>49.989640608813453</c:v>
                </c:pt>
                <c:pt idx="596">
                  <c:v>50.381703721412066</c:v>
                </c:pt>
                <c:pt idx="597">
                  <c:v>50.792891863893537</c:v>
                </c:pt>
                <c:pt idx="598">
                  <c:v>51.19770499641406</c:v>
                </c:pt>
                <c:pt idx="599">
                  <c:v>51.589768109012674</c:v>
                </c:pt>
                <c:pt idx="600">
                  <c:v>52.000956251494145</c:v>
                </c:pt>
                <c:pt idx="601">
                  <c:v>52.408956888995142</c:v>
                </c:pt>
                <c:pt idx="602">
                  <c:v>52.826520041437568</c:v>
                </c:pt>
                <c:pt idx="603">
                  <c:v>53.244083193880002</c:v>
                </c:pt>
                <c:pt idx="604">
                  <c:v>53.661646346322421</c:v>
                </c:pt>
                <c:pt idx="605">
                  <c:v>54.072834488803892</c:v>
                </c:pt>
                <c:pt idx="606">
                  <c:v>54.490397641246318</c:v>
                </c:pt>
                <c:pt idx="607">
                  <c:v>54.923898318591128</c:v>
                </c:pt>
                <c:pt idx="608">
                  <c:v>55.347836480994509</c:v>
                </c:pt>
                <c:pt idx="609">
                  <c:v>55.774962148378357</c:v>
                </c:pt>
                <c:pt idx="610">
                  <c:v>56.224400350625551</c:v>
                </c:pt>
                <c:pt idx="611">
                  <c:v>56.657901027970361</c:v>
                </c:pt>
                <c:pt idx="612">
                  <c:v>57.110526735198029</c:v>
                </c:pt>
                <c:pt idx="613">
                  <c:v>57.559964937445216</c:v>
                </c:pt>
                <c:pt idx="614">
                  <c:v>58.018965654633845</c:v>
                </c:pt>
                <c:pt idx="615">
                  <c:v>58.481153876802935</c:v>
                </c:pt>
                <c:pt idx="616">
                  <c:v>58.946529603952506</c:v>
                </c:pt>
                <c:pt idx="617">
                  <c:v>59.408717826121602</c:v>
                </c:pt>
                <c:pt idx="618">
                  <c:v>59.864531038329751</c:v>
                </c:pt>
                <c:pt idx="619">
                  <c:v>60.339469280420751</c:v>
                </c:pt>
                <c:pt idx="620">
                  <c:v>60.80803251255081</c:v>
                </c:pt>
                <c:pt idx="621">
                  <c:v>61.279783249661335</c:v>
                </c:pt>
                <c:pt idx="622">
                  <c:v>61.770659016654726</c:v>
                </c:pt>
                <c:pt idx="623">
                  <c:v>62.264722288628583</c:v>
                </c:pt>
                <c:pt idx="624">
                  <c:v>62.752410550641493</c:v>
                </c:pt>
                <c:pt idx="625">
                  <c:v>63.112598613435338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1-46D2-A7C8-ADC3A9DAC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958447"/>
        <c:axId val="650915327"/>
      </c:lineChart>
      <c:catAx>
        <c:axId val="2014958447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0915327"/>
        <c:crosses val="autoZero"/>
        <c:auto val="1"/>
        <c:lblAlgn val="ctr"/>
        <c:lblOffset val="100"/>
        <c:noMultiLvlLbl val="0"/>
      </c:catAx>
      <c:valAx>
        <c:axId val="6509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495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580605651131731E-2"/>
          <c:y val="0.13632793280890942"/>
          <c:w val="0.81533003085573674"/>
          <c:h val="0.7004633568918911"/>
        </c:manualLayout>
      </c:layout>
      <c:lineChart>
        <c:grouping val="standard"/>
        <c:varyColors val="0"/>
        <c:ser>
          <c:idx val="5"/>
          <c:order val="0"/>
          <c:tx>
            <c:v>A12-1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'A12-1'!$C$2:$C$649</c:f>
              <c:numCache>
                <c:formatCode>0.00</c:formatCode>
                <c:ptCount val="648"/>
                <c:pt idx="0">
                  <c:v>0</c:v>
                </c:pt>
                <c:pt idx="1">
                  <c:v>6.9310000000000005E-3</c:v>
                </c:pt>
                <c:pt idx="2">
                  <c:v>6.9849999999999999E-3</c:v>
                </c:pt>
                <c:pt idx="3">
                  <c:v>7.0408000000000007E-3</c:v>
                </c:pt>
                <c:pt idx="4">
                  <c:v>7.0965999999999998E-3</c:v>
                </c:pt>
                <c:pt idx="5">
                  <c:v>7.1506E-3</c:v>
                </c:pt>
                <c:pt idx="6">
                  <c:v>7.2063999999999991E-3</c:v>
                </c:pt>
                <c:pt idx="7">
                  <c:v>7.2621999999999999E-3</c:v>
                </c:pt>
                <c:pt idx="8">
                  <c:v>7.3179999999999999E-3</c:v>
                </c:pt>
                <c:pt idx="9">
                  <c:v>7.3740000000000003E-3</c:v>
                </c:pt>
                <c:pt idx="10">
                  <c:v>7.4297999999999994E-3</c:v>
                </c:pt>
                <c:pt idx="11">
                  <c:v>7.5116000000000002E-3</c:v>
                </c:pt>
                <c:pt idx="12">
                  <c:v>7.5953999999999995E-3</c:v>
                </c:pt>
                <c:pt idx="13">
                  <c:v>7.6792000000000006E-3</c:v>
                </c:pt>
                <c:pt idx="14">
                  <c:v>7.7627999999999994E-3</c:v>
                </c:pt>
                <c:pt idx="15">
                  <c:v>7.8466000000000004E-3</c:v>
                </c:pt>
                <c:pt idx="16">
                  <c:v>7.9286000000000009E-3</c:v>
                </c:pt>
                <c:pt idx="17">
                  <c:v>8.0122000000000006E-3</c:v>
                </c:pt>
                <c:pt idx="18">
                  <c:v>8.094200000000001E-3</c:v>
                </c:pt>
                <c:pt idx="19">
                  <c:v>8.179800000000001E-3</c:v>
                </c:pt>
                <c:pt idx="20">
                  <c:v>8.2616000000000009E-3</c:v>
                </c:pt>
                <c:pt idx="21">
                  <c:v>8.3453999999999993E-3</c:v>
                </c:pt>
                <c:pt idx="22">
                  <c:v>8.4291999999999995E-3</c:v>
                </c:pt>
                <c:pt idx="23">
                  <c:v>8.5109999999999995E-3</c:v>
                </c:pt>
                <c:pt idx="24">
                  <c:v>8.5965999999999994E-3</c:v>
                </c:pt>
                <c:pt idx="25">
                  <c:v>8.6803999999999996E-3</c:v>
                </c:pt>
                <c:pt idx="26">
                  <c:v>8.7624E-3</c:v>
                </c:pt>
                <c:pt idx="27">
                  <c:v>8.8459999999999997E-3</c:v>
                </c:pt>
                <c:pt idx="28">
                  <c:v>8.9280000000000002E-3</c:v>
                </c:pt>
                <c:pt idx="29">
                  <c:v>9.0118000000000004E-3</c:v>
                </c:pt>
                <c:pt idx="30">
                  <c:v>9.0974000000000003E-3</c:v>
                </c:pt>
                <c:pt idx="31">
                  <c:v>9.1792000000000002E-3</c:v>
                </c:pt>
                <c:pt idx="32">
                  <c:v>9.2630000000000004E-3</c:v>
                </c:pt>
                <c:pt idx="33">
                  <c:v>9.3448000000000003E-3</c:v>
                </c:pt>
                <c:pt idx="34">
                  <c:v>9.4286000000000005E-3</c:v>
                </c:pt>
                <c:pt idx="35">
                  <c:v>9.512399999999999E-3</c:v>
                </c:pt>
                <c:pt idx="36">
                  <c:v>9.5962000000000009E-3</c:v>
                </c:pt>
                <c:pt idx="37">
                  <c:v>9.6797999999999988E-3</c:v>
                </c:pt>
                <c:pt idx="38">
                  <c:v>9.761800000000001E-3</c:v>
                </c:pt>
                <c:pt idx="39">
                  <c:v>9.8455999999999995E-3</c:v>
                </c:pt>
                <c:pt idx="40">
                  <c:v>9.9292000000000009E-3</c:v>
                </c:pt>
                <c:pt idx="41">
                  <c:v>1.0013000000000001E-2</c:v>
                </c:pt>
                <c:pt idx="42">
                  <c:v>1.0095E-2</c:v>
                </c:pt>
                <c:pt idx="43">
                  <c:v>1.0178599999999999E-2</c:v>
                </c:pt>
                <c:pt idx="44">
                  <c:v>1.02606E-2</c:v>
                </c:pt>
                <c:pt idx="45">
                  <c:v>1.0346200000000002E-2</c:v>
                </c:pt>
                <c:pt idx="46">
                  <c:v>1.043E-2</c:v>
                </c:pt>
                <c:pt idx="47">
                  <c:v>1.0513600000000001E-2</c:v>
                </c:pt>
                <c:pt idx="48">
                  <c:v>1.05956E-2</c:v>
                </c:pt>
                <c:pt idx="49">
                  <c:v>1.0679399999999999E-2</c:v>
                </c:pt>
                <c:pt idx="50">
                  <c:v>1.0763E-2</c:v>
                </c:pt>
                <c:pt idx="51">
                  <c:v>1.08468E-2</c:v>
                </c:pt>
                <c:pt idx="52">
                  <c:v>1.0958600000000001E-2</c:v>
                </c:pt>
                <c:pt idx="53">
                  <c:v>1.1068400000000001E-2</c:v>
                </c:pt>
                <c:pt idx="54">
                  <c:v>1.1178200000000001E-2</c:v>
                </c:pt>
                <c:pt idx="55">
                  <c:v>1.1263799999999999E-2</c:v>
                </c:pt>
                <c:pt idx="56">
                  <c:v>1.1373599999999999E-2</c:v>
                </c:pt>
                <c:pt idx="57">
                  <c:v>1.1485199999999999E-2</c:v>
                </c:pt>
                <c:pt idx="58">
                  <c:v>1.1596800000000001E-2</c:v>
                </c:pt>
                <c:pt idx="59">
                  <c:v>1.1706600000000001E-2</c:v>
                </c:pt>
                <c:pt idx="60">
                  <c:v>1.18166E-2</c:v>
                </c:pt>
                <c:pt idx="61">
                  <c:v>1.19282E-2</c:v>
                </c:pt>
                <c:pt idx="62">
                  <c:v>1.20398E-2</c:v>
                </c:pt>
                <c:pt idx="63">
                  <c:v>1.21516E-2</c:v>
                </c:pt>
                <c:pt idx="64">
                  <c:v>1.22614E-2</c:v>
                </c:pt>
                <c:pt idx="65">
                  <c:v>1.2374799999999998E-2</c:v>
                </c:pt>
                <c:pt idx="66">
                  <c:v>1.24866E-2</c:v>
                </c:pt>
                <c:pt idx="67">
                  <c:v>1.2596400000000001E-2</c:v>
                </c:pt>
                <c:pt idx="68">
                  <c:v>1.2707999999999999E-2</c:v>
                </c:pt>
                <c:pt idx="69">
                  <c:v>1.28196E-2</c:v>
                </c:pt>
                <c:pt idx="70">
                  <c:v>1.2929400000000001E-2</c:v>
                </c:pt>
                <c:pt idx="71">
                  <c:v>1.3039199999999999E-2</c:v>
                </c:pt>
                <c:pt idx="72">
                  <c:v>1.3150999999999999E-2</c:v>
                </c:pt>
                <c:pt idx="73">
                  <c:v>1.3262599999999999E-2</c:v>
                </c:pt>
                <c:pt idx="74">
                  <c:v>1.33724E-2</c:v>
                </c:pt>
                <c:pt idx="75">
                  <c:v>1.34842E-2</c:v>
                </c:pt>
                <c:pt idx="76">
                  <c:v>1.35958E-2</c:v>
                </c:pt>
                <c:pt idx="77">
                  <c:v>1.37056E-2</c:v>
                </c:pt>
                <c:pt idx="78">
                  <c:v>1.38172E-2</c:v>
                </c:pt>
                <c:pt idx="79">
                  <c:v>1.3929E-2</c:v>
                </c:pt>
                <c:pt idx="80">
                  <c:v>1.40406E-2</c:v>
                </c:pt>
                <c:pt idx="81">
                  <c:v>1.4152199999999998E-2</c:v>
                </c:pt>
                <c:pt idx="82">
                  <c:v>1.4263999999999999E-2</c:v>
                </c:pt>
                <c:pt idx="83">
                  <c:v>1.4375599999999999E-2</c:v>
                </c:pt>
                <c:pt idx="84">
                  <c:v>1.4511400000000001E-2</c:v>
                </c:pt>
                <c:pt idx="85">
                  <c:v>1.4651000000000001E-2</c:v>
                </c:pt>
                <c:pt idx="86">
                  <c:v>1.4790600000000001E-2</c:v>
                </c:pt>
                <c:pt idx="87">
                  <c:v>1.49284E-2</c:v>
                </c:pt>
                <c:pt idx="88">
                  <c:v>1.5068E-2</c:v>
                </c:pt>
                <c:pt idx="89">
                  <c:v>1.5207599999999998E-2</c:v>
                </c:pt>
                <c:pt idx="90">
                  <c:v>1.5345200000000002E-2</c:v>
                </c:pt>
                <c:pt idx="91">
                  <c:v>1.54848E-2</c:v>
                </c:pt>
                <c:pt idx="92">
                  <c:v>1.56244E-2</c:v>
                </c:pt>
                <c:pt idx="93">
                  <c:v>1.5762200000000001E-2</c:v>
                </c:pt>
                <c:pt idx="94">
                  <c:v>1.5901800000000001E-2</c:v>
                </c:pt>
                <c:pt idx="95">
                  <c:v>1.6041399999999997E-2</c:v>
                </c:pt>
                <c:pt idx="96">
                  <c:v>1.6178999999999999E-2</c:v>
                </c:pt>
                <c:pt idx="97">
                  <c:v>1.6318600000000003E-2</c:v>
                </c:pt>
                <c:pt idx="98">
                  <c:v>1.64564E-2</c:v>
                </c:pt>
                <c:pt idx="99">
                  <c:v>1.6596E-2</c:v>
                </c:pt>
                <c:pt idx="100">
                  <c:v>1.67356E-2</c:v>
                </c:pt>
                <c:pt idx="101">
                  <c:v>1.6873199999999998E-2</c:v>
                </c:pt>
                <c:pt idx="102">
                  <c:v>1.7012799999999998E-2</c:v>
                </c:pt>
                <c:pt idx="103">
                  <c:v>1.7152400000000002E-2</c:v>
                </c:pt>
                <c:pt idx="104">
                  <c:v>1.7290199999999999E-2</c:v>
                </c:pt>
                <c:pt idx="105">
                  <c:v>1.7427999999999999E-2</c:v>
                </c:pt>
                <c:pt idx="106">
                  <c:v>1.75674E-2</c:v>
                </c:pt>
                <c:pt idx="107">
                  <c:v>1.7705200000000001E-2</c:v>
                </c:pt>
                <c:pt idx="108">
                  <c:v>1.7846600000000001E-2</c:v>
                </c:pt>
                <c:pt idx="109">
                  <c:v>1.7986200000000001E-2</c:v>
                </c:pt>
                <c:pt idx="110">
                  <c:v>1.8149999999999999E-2</c:v>
                </c:pt>
                <c:pt idx="111">
                  <c:v>1.8291399999999999E-2</c:v>
                </c:pt>
                <c:pt idx="112">
                  <c:v>1.84572E-2</c:v>
                </c:pt>
                <c:pt idx="113">
                  <c:v>1.8622799999999998E-2</c:v>
                </c:pt>
                <c:pt idx="114">
                  <c:v>1.87902E-2</c:v>
                </c:pt>
                <c:pt idx="115">
                  <c:v>1.8956000000000001E-2</c:v>
                </c:pt>
                <c:pt idx="116">
                  <c:v>1.9123399999999999E-2</c:v>
                </c:pt>
                <c:pt idx="117">
                  <c:v>1.9289000000000001E-2</c:v>
                </c:pt>
                <c:pt idx="118">
                  <c:v>1.9456600000000001E-2</c:v>
                </c:pt>
                <c:pt idx="119">
                  <c:v>1.9623999999999999E-2</c:v>
                </c:pt>
                <c:pt idx="120">
                  <c:v>1.97898E-2</c:v>
                </c:pt>
                <c:pt idx="121">
                  <c:v>1.9959000000000001E-2</c:v>
                </c:pt>
                <c:pt idx="122">
                  <c:v>2.0122000000000001E-2</c:v>
                </c:pt>
                <c:pt idx="123">
                  <c:v>2.0289999999999999E-2</c:v>
                </c:pt>
                <c:pt idx="124">
                  <c:v>2.0457999999999997E-2</c:v>
                </c:pt>
                <c:pt idx="125">
                  <c:v>2.0623999999999997E-2</c:v>
                </c:pt>
                <c:pt idx="126">
                  <c:v>2.0792000000000001E-2</c:v>
                </c:pt>
                <c:pt idx="127">
                  <c:v>2.0956000000000002E-2</c:v>
                </c:pt>
                <c:pt idx="128">
                  <c:v>2.1122000000000002E-2</c:v>
                </c:pt>
                <c:pt idx="129">
                  <c:v>2.129E-2</c:v>
                </c:pt>
                <c:pt idx="130">
                  <c:v>2.1455999999999999E-2</c:v>
                </c:pt>
                <c:pt idx="131">
                  <c:v>2.1623999999999997E-2</c:v>
                </c:pt>
                <c:pt idx="132">
                  <c:v>2.1791999999999999E-2</c:v>
                </c:pt>
                <c:pt idx="133">
                  <c:v>2.1984E-2</c:v>
                </c:pt>
                <c:pt idx="134">
                  <c:v>2.2179999999999998E-2</c:v>
                </c:pt>
                <c:pt idx="135">
                  <c:v>2.2374000000000002E-2</c:v>
                </c:pt>
                <c:pt idx="136">
                  <c:v>2.2568000000000001E-2</c:v>
                </c:pt>
                <c:pt idx="137">
                  <c:v>2.2761999999999998E-2</c:v>
                </c:pt>
                <c:pt idx="138">
                  <c:v>2.2930000000000002E-2</c:v>
                </c:pt>
                <c:pt idx="139">
                  <c:v>2.3123999999999999E-2</c:v>
                </c:pt>
                <c:pt idx="140">
                  <c:v>2.3316E-2</c:v>
                </c:pt>
                <c:pt idx="141">
                  <c:v>2.3485999999999996E-2</c:v>
                </c:pt>
                <c:pt idx="142">
                  <c:v>2.368E-2</c:v>
                </c:pt>
                <c:pt idx="143">
                  <c:v>2.3845999999999999E-2</c:v>
                </c:pt>
                <c:pt idx="144">
                  <c:v>2.4039999999999999E-2</c:v>
                </c:pt>
                <c:pt idx="145">
                  <c:v>2.4205999999999998E-2</c:v>
                </c:pt>
                <c:pt idx="146">
                  <c:v>2.4402E-2</c:v>
                </c:pt>
                <c:pt idx="147">
                  <c:v>2.4597999999999998E-2</c:v>
                </c:pt>
                <c:pt idx="148">
                  <c:v>2.4733999999999999E-2</c:v>
                </c:pt>
                <c:pt idx="149">
                  <c:v>2.4929999999999997E-2</c:v>
                </c:pt>
                <c:pt idx="150">
                  <c:v>2.5068E-2</c:v>
                </c:pt>
                <c:pt idx="151">
                  <c:v>2.5264000000000002E-2</c:v>
                </c:pt>
                <c:pt idx="152">
                  <c:v>2.5455999999999999E-2</c:v>
                </c:pt>
                <c:pt idx="153">
                  <c:v>2.5649999999999999E-2</c:v>
                </c:pt>
                <c:pt idx="154">
                  <c:v>2.5817999999999997E-2</c:v>
                </c:pt>
                <c:pt idx="155">
                  <c:v>2.6041999999999999E-2</c:v>
                </c:pt>
                <c:pt idx="156">
                  <c:v>2.6234E-2</c:v>
                </c:pt>
                <c:pt idx="157">
                  <c:v>2.6427999999999997E-2</c:v>
                </c:pt>
                <c:pt idx="158">
                  <c:v>2.6623999999999998E-2</c:v>
                </c:pt>
                <c:pt idx="159">
                  <c:v>2.6817999999999998E-2</c:v>
                </c:pt>
                <c:pt idx="160">
                  <c:v>2.6983999999999998E-2</c:v>
                </c:pt>
                <c:pt idx="161">
                  <c:v>2.7178000000000001E-2</c:v>
                </c:pt>
                <c:pt idx="162">
                  <c:v>2.7373999999999999E-2</c:v>
                </c:pt>
                <c:pt idx="163">
                  <c:v>2.7568000000000002E-2</c:v>
                </c:pt>
                <c:pt idx="164">
                  <c:v>2.7761999999999998E-2</c:v>
                </c:pt>
                <c:pt idx="165">
                  <c:v>2.7955999999999998E-2</c:v>
                </c:pt>
                <c:pt idx="166">
                  <c:v>2.8152E-2</c:v>
                </c:pt>
                <c:pt idx="167">
                  <c:v>2.8346E-2</c:v>
                </c:pt>
                <c:pt idx="168">
                  <c:v>2.8539999999999999E-2</c:v>
                </c:pt>
                <c:pt idx="169">
                  <c:v>2.8734000000000003E-2</c:v>
                </c:pt>
                <c:pt idx="170">
                  <c:v>2.8929999999999997E-2</c:v>
                </c:pt>
                <c:pt idx="171">
                  <c:v>2.9125999999999999E-2</c:v>
                </c:pt>
                <c:pt idx="172">
                  <c:v>2.9289999999999997E-2</c:v>
                </c:pt>
                <c:pt idx="173">
                  <c:v>2.9456000000000003E-2</c:v>
                </c:pt>
                <c:pt idx="174">
                  <c:v>2.9622000000000002E-2</c:v>
                </c:pt>
                <c:pt idx="175">
                  <c:v>2.9790000000000001E-2</c:v>
                </c:pt>
                <c:pt idx="176">
                  <c:v>2.9957999999999999E-2</c:v>
                </c:pt>
                <c:pt idx="177">
                  <c:v>3.0095999999999998E-2</c:v>
                </c:pt>
                <c:pt idx="178">
                  <c:v>3.0234E-2</c:v>
                </c:pt>
                <c:pt idx="179">
                  <c:v>3.0373999999999998E-2</c:v>
                </c:pt>
                <c:pt idx="180">
                  <c:v>3.0539999999999998E-2</c:v>
                </c:pt>
                <c:pt idx="181">
                  <c:v>3.0679999999999999E-2</c:v>
                </c:pt>
                <c:pt idx="182">
                  <c:v>3.0817999999999998E-2</c:v>
                </c:pt>
                <c:pt idx="183">
                  <c:v>3.0956000000000001E-2</c:v>
                </c:pt>
                <c:pt idx="184">
                  <c:v>3.1095999999999999E-2</c:v>
                </c:pt>
                <c:pt idx="185">
                  <c:v>3.1234000000000001E-2</c:v>
                </c:pt>
                <c:pt idx="186">
                  <c:v>3.1345999999999999E-2</c:v>
                </c:pt>
                <c:pt idx="187">
                  <c:v>3.1486E-2</c:v>
                </c:pt>
                <c:pt idx="188">
                  <c:v>3.1623999999999999E-2</c:v>
                </c:pt>
                <c:pt idx="189">
                  <c:v>3.1733999999999998E-2</c:v>
                </c:pt>
                <c:pt idx="190">
                  <c:v>3.1874E-2</c:v>
                </c:pt>
                <c:pt idx="191">
                  <c:v>3.1983999999999999E-2</c:v>
                </c:pt>
                <c:pt idx="192">
                  <c:v>3.2124E-2</c:v>
                </c:pt>
                <c:pt idx="193">
                  <c:v>3.2236000000000001E-2</c:v>
                </c:pt>
                <c:pt idx="194">
                  <c:v>3.2346E-2</c:v>
                </c:pt>
                <c:pt idx="195">
                  <c:v>3.2483999999999999E-2</c:v>
                </c:pt>
                <c:pt idx="196">
                  <c:v>3.2593999999999998E-2</c:v>
                </c:pt>
                <c:pt idx="197">
                  <c:v>3.2736000000000001E-2</c:v>
                </c:pt>
                <c:pt idx="198">
                  <c:v>3.2875999999999996E-2</c:v>
                </c:pt>
                <c:pt idx="199">
                  <c:v>3.2986000000000001E-2</c:v>
                </c:pt>
                <c:pt idx="200">
                  <c:v>3.3124000000000001E-2</c:v>
                </c:pt>
                <c:pt idx="201">
                  <c:v>3.3262E-2</c:v>
                </c:pt>
                <c:pt idx="202">
                  <c:v>3.3402000000000001E-2</c:v>
                </c:pt>
                <c:pt idx="203">
                  <c:v>3.3537999999999998E-2</c:v>
                </c:pt>
                <c:pt idx="204">
                  <c:v>3.3680000000000002E-2</c:v>
                </c:pt>
                <c:pt idx="205">
                  <c:v>3.3792000000000003E-2</c:v>
                </c:pt>
                <c:pt idx="206">
                  <c:v>3.3928E-2</c:v>
                </c:pt>
                <c:pt idx="207">
                  <c:v>3.4040000000000001E-2</c:v>
                </c:pt>
                <c:pt idx="208">
                  <c:v>3.4178E-2</c:v>
                </c:pt>
                <c:pt idx="209">
                  <c:v>3.4290000000000001E-2</c:v>
                </c:pt>
                <c:pt idx="210">
                  <c:v>3.4430000000000002E-2</c:v>
                </c:pt>
                <c:pt idx="211">
                  <c:v>3.4568000000000002E-2</c:v>
                </c:pt>
                <c:pt idx="212">
                  <c:v>3.4706000000000001E-2</c:v>
                </c:pt>
                <c:pt idx="213">
                  <c:v>3.4817999999999995E-2</c:v>
                </c:pt>
                <c:pt idx="214">
                  <c:v>3.4956000000000001E-2</c:v>
                </c:pt>
                <c:pt idx="215">
                  <c:v>3.5094E-2</c:v>
                </c:pt>
                <c:pt idx="216">
                  <c:v>3.5236000000000003E-2</c:v>
                </c:pt>
                <c:pt idx="217">
                  <c:v>3.5373999999999996E-2</c:v>
                </c:pt>
                <c:pt idx="218">
                  <c:v>3.5512000000000002E-2</c:v>
                </c:pt>
                <c:pt idx="219">
                  <c:v>3.5651999999999996E-2</c:v>
                </c:pt>
                <c:pt idx="220">
                  <c:v>3.5790000000000002E-2</c:v>
                </c:pt>
                <c:pt idx="221">
                  <c:v>3.5901999999999996E-2</c:v>
                </c:pt>
                <c:pt idx="222">
                  <c:v>3.6040000000000003E-2</c:v>
                </c:pt>
                <c:pt idx="223">
                  <c:v>3.6152000000000004E-2</c:v>
                </c:pt>
                <c:pt idx="224">
                  <c:v>3.6290000000000003E-2</c:v>
                </c:pt>
                <c:pt idx="225">
                  <c:v>3.6402000000000004E-2</c:v>
                </c:pt>
                <c:pt idx="226">
                  <c:v>3.6539999999999996E-2</c:v>
                </c:pt>
                <c:pt idx="227">
                  <c:v>3.6651999999999997E-2</c:v>
                </c:pt>
                <c:pt idx="228">
                  <c:v>3.6762000000000003E-2</c:v>
                </c:pt>
                <c:pt idx="229">
                  <c:v>3.6901999999999997E-2</c:v>
                </c:pt>
                <c:pt idx="230">
                  <c:v>3.7012000000000003E-2</c:v>
                </c:pt>
                <c:pt idx="231">
                  <c:v>3.7124000000000004E-2</c:v>
                </c:pt>
                <c:pt idx="232">
                  <c:v>3.7233999999999996E-2</c:v>
                </c:pt>
                <c:pt idx="233">
                  <c:v>3.7345999999999997E-2</c:v>
                </c:pt>
                <c:pt idx="234">
                  <c:v>3.7457999999999998E-2</c:v>
                </c:pt>
                <c:pt idx="235">
                  <c:v>3.7595999999999997E-2</c:v>
                </c:pt>
                <c:pt idx="236">
                  <c:v>3.7707999999999998E-2</c:v>
                </c:pt>
                <c:pt idx="237">
                  <c:v>3.7817999999999997E-2</c:v>
                </c:pt>
                <c:pt idx="238">
                  <c:v>3.7957999999999999E-2</c:v>
                </c:pt>
                <c:pt idx="239">
                  <c:v>3.8095999999999998E-2</c:v>
                </c:pt>
                <c:pt idx="240">
                  <c:v>3.8235999999999999E-2</c:v>
                </c:pt>
                <c:pt idx="241">
                  <c:v>3.8373999999999998E-2</c:v>
                </c:pt>
                <c:pt idx="242">
                  <c:v>3.8511999999999998E-2</c:v>
                </c:pt>
                <c:pt idx="243">
                  <c:v>3.8650000000000004E-2</c:v>
                </c:pt>
                <c:pt idx="244">
                  <c:v>3.8789999999999998E-2</c:v>
                </c:pt>
                <c:pt idx="245">
                  <c:v>3.8927999999999997E-2</c:v>
                </c:pt>
                <c:pt idx="246">
                  <c:v>3.9039999999999998E-2</c:v>
                </c:pt>
                <c:pt idx="247">
                  <c:v>3.918E-2</c:v>
                </c:pt>
                <c:pt idx="248">
                  <c:v>3.9289999999999999E-2</c:v>
                </c:pt>
                <c:pt idx="249">
                  <c:v>3.9427999999999998E-2</c:v>
                </c:pt>
                <c:pt idx="250">
                  <c:v>3.9567999999999999E-2</c:v>
                </c:pt>
                <c:pt idx="251">
                  <c:v>3.968E-2</c:v>
                </c:pt>
                <c:pt idx="252">
                  <c:v>3.9817999999999999E-2</c:v>
                </c:pt>
                <c:pt idx="253">
                  <c:v>3.993E-2</c:v>
                </c:pt>
                <c:pt idx="254">
                  <c:v>4.0067999999999999E-2</c:v>
                </c:pt>
                <c:pt idx="255">
                  <c:v>4.018E-2</c:v>
                </c:pt>
                <c:pt idx="256">
                  <c:v>4.0292000000000001E-2</c:v>
                </c:pt>
                <c:pt idx="257">
                  <c:v>4.0401999999999993E-2</c:v>
                </c:pt>
                <c:pt idx="258">
                  <c:v>4.0511999999999999E-2</c:v>
                </c:pt>
                <c:pt idx="259">
                  <c:v>4.0624E-2</c:v>
                </c:pt>
                <c:pt idx="260">
                  <c:v>4.0708000000000001E-2</c:v>
                </c:pt>
                <c:pt idx="261">
                  <c:v>4.0818E-2</c:v>
                </c:pt>
                <c:pt idx="262">
                  <c:v>4.0930000000000001E-2</c:v>
                </c:pt>
                <c:pt idx="263">
                  <c:v>4.1012000000000007E-2</c:v>
                </c:pt>
                <c:pt idx="264">
                  <c:v>4.1093999999999999E-2</c:v>
                </c:pt>
                <c:pt idx="265">
                  <c:v>4.1180000000000001E-2</c:v>
                </c:pt>
                <c:pt idx="266">
                  <c:v>4.1264000000000002E-2</c:v>
                </c:pt>
                <c:pt idx="267">
                  <c:v>4.1374000000000001E-2</c:v>
                </c:pt>
                <c:pt idx="268">
                  <c:v>4.1458000000000002E-2</c:v>
                </c:pt>
                <c:pt idx="269">
                  <c:v>4.1542000000000003E-2</c:v>
                </c:pt>
                <c:pt idx="270">
                  <c:v>4.1622000000000006E-2</c:v>
                </c:pt>
                <c:pt idx="271">
                  <c:v>4.1734E-2</c:v>
                </c:pt>
                <c:pt idx="272">
                  <c:v>4.1818000000000001E-2</c:v>
                </c:pt>
                <c:pt idx="273">
                  <c:v>4.1900000000000007E-2</c:v>
                </c:pt>
                <c:pt idx="274">
                  <c:v>4.1985999999999996E-2</c:v>
                </c:pt>
                <c:pt idx="275">
                  <c:v>4.2068000000000001E-2</c:v>
                </c:pt>
                <c:pt idx="276">
                  <c:v>4.2152000000000002E-2</c:v>
                </c:pt>
                <c:pt idx="277">
                  <c:v>4.2234000000000001E-2</c:v>
                </c:pt>
                <c:pt idx="278">
                  <c:v>4.2317999999999995E-2</c:v>
                </c:pt>
                <c:pt idx="279">
                  <c:v>4.2428E-2</c:v>
                </c:pt>
                <c:pt idx="280">
                  <c:v>4.2512000000000001E-2</c:v>
                </c:pt>
                <c:pt idx="281">
                  <c:v>4.2595999999999995E-2</c:v>
                </c:pt>
                <c:pt idx="282">
                  <c:v>4.2708000000000003E-2</c:v>
                </c:pt>
                <c:pt idx="283">
                  <c:v>4.2790000000000002E-2</c:v>
                </c:pt>
                <c:pt idx="284">
                  <c:v>4.2873999999999995E-2</c:v>
                </c:pt>
                <c:pt idx="285">
                  <c:v>4.2986000000000003E-2</c:v>
                </c:pt>
                <c:pt idx="286">
                  <c:v>4.3070000000000004E-2</c:v>
                </c:pt>
                <c:pt idx="287">
                  <c:v>4.3178000000000001E-2</c:v>
                </c:pt>
                <c:pt idx="288">
                  <c:v>4.3262000000000002E-2</c:v>
                </c:pt>
                <c:pt idx="289">
                  <c:v>4.3346000000000003E-2</c:v>
                </c:pt>
                <c:pt idx="290">
                  <c:v>4.3429999999999996E-2</c:v>
                </c:pt>
                <c:pt idx="291">
                  <c:v>4.3513999999999997E-2</c:v>
                </c:pt>
                <c:pt idx="292">
                  <c:v>4.3596000000000003E-2</c:v>
                </c:pt>
                <c:pt idx="293">
                  <c:v>4.3678000000000002E-2</c:v>
                </c:pt>
                <c:pt idx="294">
                  <c:v>4.3761999999999995E-2</c:v>
                </c:pt>
                <c:pt idx="295">
                  <c:v>4.3848000000000005E-2</c:v>
                </c:pt>
                <c:pt idx="296">
                  <c:v>4.3929999999999997E-2</c:v>
                </c:pt>
                <c:pt idx="297">
                  <c:v>4.4013999999999998E-2</c:v>
                </c:pt>
                <c:pt idx="298">
                  <c:v>4.4096000000000003E-2</c:v>
                </c:pt>
                <c:pt idx="299">
                  <c:v>4.4177999999999995E-2</c:v>
                </c:pt>
                <c:pt idx="300">
                  <c:v>4.4261999999999996E-2</c:v>
                </c:pt>
                <c:pt idx="301">
                  <c:v>4.4345999999999997E-2</c:v>
                </c:pt>
                <c:pt idx="302">
                  <c:v>4.4429999999999997E-2</c:v>
                </c:pt>
                <c:pt idx="303">
                  <c:v>4.4512000000000003E-2</c:v>
                </c:pt>
                <c:pt idx="304">
                  <c:v>4.4595999999999997E-2</c:v>
                </c:pt>
                <c:pt idx="305">
                  <c:v>4.4679999999999997E-2</c:v>
                </c:pt>
                <c:pt idx="306">
                  <c:v>4.4790000000000003E-2</c:v>
                </c:pt>
                <c:pt idx="307">
                  <c:v>4.4901999999999997E-2</c:v>
                </c:pt>
                <c:pt idx="308">
                  <c:v>4.5011999999999996E-2</c:v>
                </c:pt>
                <c:pt idx="309">
                  <c:v>4.5124000000000004E-2</c:v>
                </c:pt>
                <c:pt idx="310">
                  <c:v>4.5233999999999996E-2</c:v>
                </c:pt>
                <c:pt idx="311">
                  <c:v>4.5346000000000004E-2</c:v>
                </c:pt>
                <c:pt idx="312">
                  <c:v>4.5456000000000003E-2</c:v>
                </c:pt>
                <c:pt idx="313">
                  <c:v>4.5567999999999997E-2</c:v>
                </c:pt>
                <c:pt idx="314">
                  <c:v>4.5678000000000003E-2</c:v>
                </c:pt>
                <c:pt idx="315">
                  <c:v>4.5789999999999997E-2</c:v>
                </c:pt>
                <c:pt idx="316">
                  <c:v>4.5902000000000005E-2</c:v>
                </c:pt>
                <c:pt idx="317">
                  <c:v>4.6013999999999999E-2</c:v>
                </c:pt>
                <c:pt idx="318">
                  <c:v>4.6123999999999998E-2</c:v>
                </c:pt>
                <c:pt idx="319">
                  <c:v>4.6207999999999999E-2</c:v>
                </c:pt>
                <c:pt idx="320">
                  <c:v>4.6317999999999998E-2</c:v>
                </c:pt>
                <c:pt idx="321">
                  <c:v>4.6429999999999999E-2</c:v>
                </c:pt>
                <c:pt idx="322">
                  <c:v>4.6539999999999998E-2</c:v>
                </c:pt>
                <c:pt idx="323">
                  <c:v>4.6623999999999999E-2</c:v>
                </c:pt>
                <c:pt idx="324">
                  <c:v>4.6736000000000007E-2</c:v>
                </c:pt>
                <c:pt idx="325">
                  <c:v>4.6848000000000001E-2</c:v>
                </c:pt>
                <c:pt idx="326">
                  <c:v>4.6958E-2</c:v>
                </c:pt>
                <c:pt idx="327">
                  <c:v>4.7039999999999998E-2</c:v>
                </c:pt>
                <c:pt idx="328">
                  <c:v>4.7151999999999999E-2</c:v>
                </c:pt>
                <c:pt idx="329">
                  <c:v>4.7264E-2</c:v>
                </c:pt>
                <c:pt idx="330">
                  <c:v>4.7373999999999999E-2</c:v>
                </c:pt>
                <c:pt idx="331">
                  <c:v>4.7483999999999998E-2</c:v>
                </c:pt>
                <c:pt idx="332">
                  <c:v>4.7595999999999999E-2</c:v>
                </c:pt>
                <c:pt idx="333">
                  <c:v>4.7708E-2</c:v>
                </c:pt>
                <c:pt idx="334">
                  <c:v>4.7815999999999997E-2</c:v>
                </c:pt>
                <c:pt idx="335">
                  <c:v>4.7927999999999998E-2</c:v>
                </c:pt>
                <c:pt idx="336">
                  <c:v>4.8039999999999999E-2</c:v>
                </c:pt>
                <c:pt idx="337">
                  <c:v>4.8121999999999998E-2</c:v>
                </c:pt>
                <c:pt idx="338">
                  <c:v>4.8234000000000006E-2</c:v>
                </c:pt>
                <c:pt idx="339">
                  <c:v>4.8346E-2</c:v>
                </c:pt>
                <c:pt idx="340">
                  <c:v>4.8457999999999994E-2</c:v>
                </c:pt>
                <c:pt idx="341">
                  <c:v>4.854E-2</c:v>
                </c:pt>
                <c:pt idx="342">
                  <c:v>4.8652000000000001E-2</c:v>
                </c:pt>
                <c:pt idx="343">
                  <c:v>4.8734E-2</c:v>
                </c:pt>
                <c:pt idx="344">
                  <c:v>4.8844000000000005E-2</c:v>
                </c:pt>
                <c:pt idx="345">
                  <c:v>4.8986000000000002E-2</c:v>
                </c:pt>
                <c:pt idx="346">
                  <c:v>4.9124000000000001E-2</c:v>
                </c:pt>
                <c:pt idx="347">
                  <c:v>4.9236000000000002E-2</c:v>
                </c:pt>
                <c:pt idx="348">
                  <c:v>4.9371999999999999E-2</c:v>
                </c:pt>
                <c:pt idx="349">
                  <c:v>4.9512E-2</c:v>
                </c:pt>
                <c:pt idx="350">
                  <c:v>4.9623999999999995E-2</c:v>
                </c:pt>
                <c:pt idx="351">
                  <c:v>4.9762000000000001E-2</c:v>
                </c:pt>
                <c:pt idx="352">
                  <c:v>4.9901999999999995E-2</c:v>
                </c:pt>
                <c:pt idx="353">
                  <c:v>5.0014000000000003E-2</c:v>
                </c:pt>
                <c:pt idx="354">
                  <c:v>5.0122E-2</c:v>
                </c:pt>
                <c:pt idx="355">
                  <c:v>5.0262000000000001E-2</c:v>
                </c:pt>
                <c:pt idx="356">
                  <c:v>5.0374000000000002E-2</c:v>
                </c:pt>
                <c:pt idx="357">
                  <c:v>5.0484000000000001E-2</c:v>
                </c:pt>
                <c:pt idx="358">
                  <c:v>5.0595999999999995E-2</c:v>
                </c:pt>
                <c:pt idx="359">
                  <c:v>5.0708000000000003E-2</c:v>
                </c:pt>
                <c:pt idx="360">
                  <c:v>5.0846000000000002E-2</c:v>
                </c:pt>
                <c:pt idx="361">
                  <c:v>5.0957999999999996E-2</c:v>
                </c:pt>
                <c:pt idx="362">
                  <c:v>5.1067999999999995E-2</c:v>
                </c:pt>
                <c:pt idx="363">
                  <c:v>5.1180000000000003E-2</c:v>
                </c:pt>
                <c:pt idx="364">
                  <c:v>5.1291999999999997E-2</c:v>
                </c:pt>
                <c:pt idx="365">
                  <c:v>5.1403999999999998E-2</c:v>
                </c:pt>
                <c:pt idx="366">
                  <c:v>5.1513999999999997E-2</c:v>
                </c:pt>
                <c:pt idx="367">
                  <c:v>5.1622000000000001E-2</c:v>
                </c:pt>
                <c:pt idx="368">
                  <c:v>5.1734000000000002E-2</c:v>
                </c:pt>
                <c:pt idx="369">
                  <c:v>5.1844000000000001E-2</c:v>
                </c:pt>
                <c:pt idx="370">
                  <c:v>5.1955999999999995E-2</c:v>
                </c:pt>
                <c:pt idx="371">
                  <c:v>5.2068000000000003E-2</c:v>
                </c:pt>
                <c:pt idx="372">
                  <c:v>5.2179999999999997E-2</c:v>
                </c:pt>
                <c:pt idx="373">
                  <c:v>5.2291999999999998E-2</c:v>
                </c:pt>
                <c:pt idx="374">
                  <c:v>5.2401999999999997E-2</c:v>
                </c:pt>
                <c:pt idx="375">
                  <c:v>5.2511999999999996E-2</c:v>
                </c:pt>
                <c:pt idx="376">
                  <c:v>5.2649999999999995E-2</c:v>
                </c:pt>
                <c:pt idx="377">
                  <c:v>5.2789999999999997E-2</c:v>
                </c:pt>
                <c:pt idx="378">
                  <c:v>5.2930000000000005E-2</c:v>
                </c:pt>
                <c:pt idx="379">
                  <c:v>5.3067999999999997E-2</c:v>
                </c:pt>
                <c:pt idx="380">
                  <c:v>5.3205999999999996E-2</c:v>
                </c:pt>
                <c:pt idx="381">
                  <c:v>5.3345999999999998E-2</c:v>
                </c:pt>
                <c:pt idx="382">
                  <c:v>5.3483999999999997E-2</c:v>
                </c:pt>
                <c:pt idx="383">
                  <c:v>5.3623999999999998E-2</c:v>
                </c:pt>
                <c:pt idx="384">
                  <c:v>5.3764000000000006E-2</c:v>
                </c:pt>
                <c:pt idx="385">
                  <c:v>5.3901999999999999E-2</c:v>
                </c:pt>
                <c:pt idx="386">
                  <c:v>5.4039999999999998E-2</c:v>
                </c:pt>
                <c:pt idx="387">
                  <c:v>5.4179999999999999E-2</c:v>
                </c:pt>
                <c:pt idx="388">
                  <c:v>5.4317999999999998E-2</c:v>
                </c:pt>
                <c:pt idx="389">
                  <c:v>5.4457999999999999E-2</c:v>
                </c:pt>
                <c:pt idx="390">
                  <c:v>5.4595999999999999E-2</c:v>
                </c:pt>
                <c:pt idx="391">
                  <c:v>5.4733999999999998E-2</c:v>
                </c:pt>
                <c:pt idx="392">
                  <c:v>5.4873999999999999E-2</c:v>
                </c:pt>
                <c:pt idx="393">
                  <c:v>5.5014E-2</c:v>
                </c:pt>
                <c:pt idx="394">
                  <c:v>5.5152E-2</c:v>
                </c:pt>
                <c:pt idx="395">
                  <c:v>5.5292000000000001E-2</c:v>
                </c:pt>
                <c:pt idx="396">
                  <c:v>5.543E-2</c:v>
                </c:pt>
                <c:pt idx="397">
                  <c:v>5.5566000000000004E-2</c:v>
                </c:pt>
                <c:pt idx="398">
                  <c:v>5.5705999999999999E-2</c:v>
                </c:pt>
                <c:pt idx="399">
                  <c:v>5.5846E-2</c:v>
                </c:pt>
                <c:pt idx="400">
                  <c:v>5.6012000000000006E-2</c:v>
                </c:pt>
                <c:pt idx="401">
                  <c:v>5.6152000000000001E-2</c:v>
                </c:pt>
                <c:pt idx="402">
                  <c:v>5.6287999999999998E-2</c:v>
                </c:pt>
                <c:pt idx="403">
                  <c:v>5.6458000000000001E-2</c:v>
                </c:pt>
                <c:pt idx="404">
                  <c:v>5.6624000000000001E-2</c:v>
                </c:pt>
                <c:pt idx="405">
                  <c:v>5.6764000000000002E-2</c:v>
                </c:pt>
                <c:pt idx="406">
                  <c:v>5.6929999999999994E-2</c:v>
                </c:pt>
                <c:pt idx="407">
                  <c:v>5.7093999999999999E-2</c:v>
                </c:pt>
                <c:pt idx="408">
                  <c:v>5.7234E-2</c:v>
                </c:pt>
                <c:pt idx="409">
                  <c:v>5.7401999999999995E-2</c:v>
                </c:pt>
                <c:pt idx="410">
                  <c:v>5.7568000000000001E-2</c:v>
                </c:pt>
                <c:pt idx="411">
                  <c:v>5.7733999999999994E-2</c:v>
                </c:pt>
                <c:pt idx="412">
                  <c:v>5.7901999999999995E-2</c:v>
                </c:pt>
                <c:pt idx="413">
                  <c:v>5.8040000000000001E-2</c:v>
                </c:pt>
                <c:pt idx="414">
                  <c:v>5.8179999999999996E-2</c:v>
                </c:pt>
                <c:pt idx="415">
                  <c:v>5.8318000000000002E-2</c:v>
                </c:pt>
                <c:pt idx="416">
                  <c:v>5.8457999999999996E-2</c:v>
                </c:pt>
                <c:pt idx="417">
                  <c:v>5.8596000000000002E-2</c:v>
                </c:pt>
                <c:pt idx="418">
                  <c:v>5.8735999999999997E-2</c:v>
                </c:pt>
                <c:pt idx="419">
                  <c:v>5.8902000000000003E-2</c:v>
                </c:pt>
                <c:pt idx="420">
                  <c:v>5.9067999999999996E-2</c:v>
                </c:pt>
                <c:pt idx="421">
                  <c:v>5.9236000000000004E-2</c:v>
                </c:pt>
                <c:pt idx="422">
                  <c:v>5.9400000000000001E-2</c:v>
                </c:pt>
                <c:pt idx="423">
                  <c:v>5.9568000000000003E-2</c:v>
                </c:pt>
                <c:pt idx="424">
                  <c:v>5.9733999999999995E-2</c:v>
                </c:pt>
                <c:pt idx="425">
                  <c:v>5.9901999999999997E-2</c:v>
                </c:pt>
                <c:pt idx="426">
                  <c:v>6.0068000000000003E-2</c:v>
                </c:pt>
                <c:pt idx="427">
                  <c:v>6.0233999999999996E-2</c:v>
                </c:pt>
                <c:pt idx="428">
                  <c:v>6.0373999999999997E-2</c:v>
                </c:pt>
                <c:pt idx="429">
                  <c:v>6.0540000000000004E-2</c:v>
                </c:pt>
                <c:pt idx="430">
                  <c:v>6.0708000000000005E-2</c:v>
                </c:pt>
                <c:pt idx="431">
                  <c:v>6.0873999999999998E-2</c:v>
                </c:pt>
                <c:pt idx="432">
                  <c:v>6.1040000000000004E-2</c:v>
                </c:pt>
                <c:pt idx="433">
                  <c:v>6.1207999999999999E-2</c:v>
                </c:pt>
                <c:pt idx="434">
                  <c:v>6.1374000000000005E-2</c:v>
                </c:pt>
                <c:pt idx="435">
                  <c:v>6.1513999999999999E-2</c:v>
                </c:pt>
                <c:pt idx="436">
                  <c:v>6.1677999999999997E-2</c:v>
                </c:pt>
                <c:pt idx="437">
                  <c:v>6.1845999999999998E-2</c:v>
                </c:pt>
                <c:pt idx="438">
                  <c:v>6.2011999999999998E-2</c:v>
                </c:pt>
                <c:pt idx="439">
                  <c:v>6.2179999999999999E-2</c:v>
                </c:pt>
                <c:pt idx="440">
                  <c:v>6.2346000000000006E-2</c:v>
                </c:pt>
                <c:pt idx="441">
                  <c:v>6.2511999999999998E-2</c:v>
                </c:pt>
                <c:pt idx="442">
                  <c:v>6.2677999999999998E-2</c:v>
                </c:pt>
                <c:pt idx="443">
                  <c:v>6.2845999999999999E-2</c:v>
                </c:pt>
                <c:pt idx="444">
                  <c:v>6.3011999999999999E-2</c:v>
                </c:pt>
                <c:pt idx="445">
                  <c:v>6.3177999999999998E-2</c:v>
                </c:pt>
                <c:pt idx="446">
                  <c:v>6.3346E-2</c:v>
                </c:pt>
                <c:pt idx="447">
                  <c:v>6.3511999999999999E-2</c:v>
                </c:pt>
                <c:pt idx="448">
                  <c:v>6.368E-2</c:v>
                </c:pt>
                <c:pt idx="449">
                  <c:v>6.3846E-2</c:v>
                </c:pt>
                <c:pt idx="450">
                  <c:v>6.4011999999999999E-2</c:v>
                </c:pt>
                <c:pt idx="451">
                  <c:v>6.4208000000000001E-2</c:v>
                </c:pt>
                <c:pt idx="452">
                  <c:v>6.4374000000000001E-2</c:v>
                </c:pt>
                <c:pt idx="453">
                  <c:v>6.454E-2</c:v>
                </c:pt>
                <c:pt idx="454">
                  <c:v>6.4706E-2</c:v>
                </c:pt>
                <c:pt idx="455">
                  <c:v>6.4902000000000001E-2</c:v>
                </c:pt>
                <c:pt idx="456">
                  <c:v>6.5068000000000001E-2</c:v>
                </c:pt>
                <c:pt idx="457">
                  <c:v>6.5236000000000002E-2</c:v>
                </c:pt>
                <c:pt idx="458">
                  <c:v>6.5402000000000002E-2</c:v>
                </c:pt>
                <c:pt idx="459">
                  <c:v>6.5568000000000001E-2</c:v>
                </c:pt>
                <c:pt idx="460">
                  <c:v>6.5734000000000001E-2</c:v>
                </c:pt>
                <c:pt idx="461">
                  <c:v>6.5902000000000002E-2</c:v>
                </c:pt>
                <c:pt idx="462">
                  <c:v>6.6070000000000004E-2</c:v>
                </c:pt>
                <c:pt idx="463">
                  <c:v>6.6262000000000001E-2</c:v>
                </c:pt>
                <c:pt idx="464">
                  <c:v>6.6428000000000001E-2</c:v>
                </c:pt>
                <c:pt idx="465">
                  <c:v>6.6622000000000001E-2</c:v>
                </c:pt>
                <c:pt idx="466">
                  <c:v>6.6818000000000002E-2</c:v>
                </c:pt>
                <c:pt idx="467">
                  <c:v>6.7012000000000002E-2</c:v>
                </c:pt>
                <c:pt idx="468">
                  <c:v>6.7206000000000002E-2</c:v>
                </c:pt>
                <c:pt idx="469">
                  <c:v>6.7402000000000004E-2</c:v>
                </c:pt>
                <c:pt idx="470">
                  <c:v>6.7596000000000003E-2</c:v>
                </c:pt>
                <c:pt idx="471">
                  <c:v>6.7790000000000003E-2</c:v>
                </c:pt>
                <c:pt idx="472">
                  <c:v>6.7956000000000003E-2</c:v>
                </c:pt>
                <c:pt idx="473">
                  <c:v>6.8152000000000004E-2</c:v>
                </c:pt>
                <c:pt idx="474">
                  <c:v>6.8319999999999992E-2</c:v>
                </c:pt>
                <c:pt idx="475">
                  <c:v>6.8514000000000005E-2</c:v>
                </c:pt>
                <c:pt idx="476">
                  <c:v>6.8705999999999989E-2</c:v>
                </c:pt>
                <c:pt idx="477">
                  <c:v>6.8900000000000003E-2</c:v>
                </c:pt>
                <c:pt idx="478">
                  <c:v>6.9096000000000005E-2</c:v>
                </c:pt>
                <c:pt idx="479">
                  <c:v>6.9290000000000004E-2</c:v>
                </c:pt>
                <c:pt idx="480">
                  <c:v>6.9484000000000004E-2</c:v>
                </c:pt>
                <c:pt idx="481">
                  <c:v>6.9680000000000006E-2</c:v>
                </c:pt>
                <c:pt idx="482">
                  <c:v>6.9874000000000006E-2</c:v>
                </c:pt>
                <c:pt idx="483">
                  <c:v>7.0068000000000005E-2</c:v>
                </c:pt>
                <c:pt idx="484">
                  <c:v>7.0262000000000005E-2</c:v>
                </c:pt>
                <c:pt idx="485">
                  <c:v>7.0456000000000005E-2</c:v>
                </c:pt>
                <c:pt idx="486">
                  <c:v>7.0651999999999993E-2</c:v>
                </c:pt>
                <c:pt idx="487">
                  <c:v>7.0846000000000006E-2</c:v>
                </c:pt>
                <c:pt idx="488">
                  <c:v>7.1040000000000006E-2</c:v>
                </c:pt>
                <c:pt idx="489">
                  <c:v>7.1261999999999992E-2</c:v>
                </c:pt>
                <c:pt idx="490">
                  <c:v>7.1458000000000008E-2</c:v>
                </c:pt>
                <c:pt idx="491">
                  <c:v>7.1651999999999993E-2</c:v>
                </c:pt>
                <c:pt idx="492">
                  <c:v>7.1845999999999993E-2</c:v>
                </c:pt>
                <c:pt idx="493">
                  <c:v>7.2041999999999995E-2</c:v>
                </c:pt>
                <c:pt idx="494">
                  <c:v>7.2236000000000009E-2</c:v>
                </c:pt>
                <c:pt idx="495">
                  <c:v>7.2427999999999992E-2</c:v>
                </c:pt>
                <c:pt idx="496">
                  <c:v>7.2622000000000006E-2</c:v>
                </c:pt>
                <c:pt idx="497">
                  <c:v>7.2817999999999994E-2</c:v>
                </c:pt>
                <c:pt idx="498">
                  <c:v>7.3040000000000008E-2</c:v>
                </c:pt>
                <c:pt idx="499">
                  <c:v>7.3261999999999994E-2</c:v>
                </c:pt>
                <c:pt idx="500">
                  <c:v>7.3485999999999996E-2</c:v>
                </c:pt>
                <c:pt idx="501">
                  <c:v>7.3707999999999996E-2</c:v>
                </c:pt>
                <c:pt idx="502">
                  <c:v>7.3929999999999996E-2</c:v>
                </c:pt>
                <c:pt idx="503">
                  <c:v>7.4149999999999994E-2</c:v>
                </c:pt>
                <c:pt idx="504">
                  <c:v>7.4373999999999996E-2</c:v>
                </c:pt>
                <c:pt idx="505">
                  <c:v>7.4595999999999996E-2</c:v>
                </c:pt>
                <c:pt idx="506">
                  <c:v>7.4787999999999993E-2</c:v>
                </c:pt>
                <c:pt idx="507">
                  <c:v>7.5011999999999995E-2</c:v>
                </c:pt>
                <c:pt idx="508">
                  <c:v>7.5235999999999997E-2</c:v>
                </c:pt>
                <c:pt idx="509">
                  <c:v>7.5457999999999997E-2</c:v>
                </c:pt>
                <c:pt idx="510">
                  <c:v>7.5679999999999997E-2</c:v>
                </c:pt>
                <c:pt idx="511">
                  <c:v>7.5901999999999997E-2</c:v>
                </c:pt>
                <c:pt idx="512">
                  <c:v>7.6123999999999997E-2</c:v>
                </c:pt>
                <c:pt idx="513">
                  <c:v>7.6344000000000009E-2</c:v>
                </c:pt>
                <c:pt idx="514">
                  <c:v>7.6567999999999997E-2</c:v>
                </c:pt>
                <c:pt idx="515">
                  <c:v>7.6789999999999997E-2</c:v>
                </c:pt>
                <c:pt idx="516">
                  <c:v>7.7039999999999997E-2</c:v>
                </c:pt>
                <c:pt idx="517">
                  <c:v>7.7289999999999998E-2</c:v>
                </c:pt>
                <c:pt idx="518">
                  <c:v>7.7542E-2</c:v>
                </c:pt>
                <c:pt idx="519">
                  <c:v>7.7789999999999998E-2</c:v>
                </c:pt>
                <c:pt idx="520">
                  <c:v>7.8039999999999998E-2</c:v>
                </c:pt>
                <c:pt idx="521">
                  <c:v>7.8289999999999998E-2</c:v>
                </c:pt>
                <c:pt idx="522">
                  <c:v>7.8511999999999998E-2</c:v>
                </c:pt>
                <c:pt idx="523">
                  <c:v>7.8761999999999999E-2</c:v>
                </c:pt>
                <c:pt idx="524">
                  <c:v>7.9011999999999999E-2</c:v>
                </c:pt>
                <c:pt idx="525">
                  <c:v>7.9261999999999999E-2</c:v>
                </c:pt>
                <c:pt idx="526">
                  <c:v>7.9511999999999999E-2</c:v>
                </c:pt>
                <c:pt idx="527">
                  <c:v>7.9762E-2</c:v>
                </c:pt>
                <c:pt idx="528">
                  <c:v>8.0014000000000002E-2</c:v>
                </c:pt>
                <c:pt idx="529">
                  <c:v>8.0262E-2</c:v>
                </c:pt>
                <c:pt idx="530">
                  <c:v>8.0512E-2</c:v>
                </c:pt>
                <c:pt idx="531">
                  <c:v>8.0764000000000002E-2</c:v>
                </c:pt>
                <c:pt idx="532">
                  <c:v>8.1012000000000001E-2</c:v>
                </c:pt>
                <c:pt idx="533">
                  <c:v>8.1264000000000003E-2</c:v>
                </c:pt>
                <c:pt idx="534">
                  <c:v>8.1511999999999987E-2</c:v>
                </c:pt>
                <c:pt idx="535">
                  <c:v>8.1762000000000001E-2</c:v>
                </c:pt>
                <c:pt idx="536">
                  <c:v>8.2012000000000002E-2</c:v>
                </c:pt>
                <c:pt idx="537">
                  <c:v>8.2264000000000004E-2</c:v>
                </c:pt>
                <c:pt idx="538">
                  <c:v>8.2512000000000002E-2</c:v>
                </c:pt>
                <c:pt idx="539">
                  <c:v>8.2761999999999988E-2</c:v>
                </c:pt>
                <c:pt idx="540">
                  <c:v>8.3013999999999991E-2</c:v>
                </c:pt>
                <c:pt idx="541">
                  <c:v>8.3262000000000003E-2</c:v>
                </c:pt>
                <c:pt idx="542">
                  <c:v>8.3512000000000003E-2</c:v>
                </c:pt>
                <c:pt idx="543">
                  <c:v>8.3762000000000003E-2</c:v>
                </c:pt>
                <c:pt idx="544">
                  <c:v>8.4011999999999989E-2</c:v>
                </c:pt>
                <c:pt idx="545">
                  <c:v>8.4262000000000004E-2</c:v>
                </c:pt>
                <c:pt idx="546">
                  <c:v>8.4540000000000004E-2</c:v>
                </c:pt>
                <c:pt idx="547">
                  <c:v>8.4818000000000005E-2</c:v>
                </c:pt>
                <c:pt idx="548">
                  <c:v>8.5096000000000005E-2</c:v>
                </c:pt>
                <c:pt idx="549">
                  <c:v>8.5374000000000005E-2</c:v>
                </c:pt>
                <c:pt idx="550">
                  <c:v>8.5648000000000002E-2</c:v>
                </c:pt>
                <c:pt idx="551">
                  <c:v>8.5930000000000006E-2</c:v>
                </c:pt>
                <c:pt idx="552">
                  <c:v>8.6207999999999993E-2</c:v>
                </c:pt>
                <c:pt idx="553">
                  <c:v>8.6484000000000005E-2</c:v>
                </c:pt>
                <c:pt idx="554">
                  <c:v>8.6763999999999994E-2</c:v>
                </c:pt>
                <c:pt idx="555">
                  <c:v>8.7040000000000006E-2</c:v>
                </c:pt>
                <c:pt idx="556">
                  <c:v>8.7317999999999993E-2</c:v>
                </c:pt>
                <c:pt idx="557">
                  <c:v>8.7596000000000007E-2</c:v>
                </c:pt>
                <c:pt idx="558">
                  <c:v>8.7902000000000008E-2</c:v>
                </c:pt>
                <c:pt idx="559">
                  <c:v>8.8179999999999994E-2</c:v>
                </c:pt>
                <c:pt idx="560">
                  <c:v>8.8485999999999995E-2</c:v>
                </c:pt>
                <c:pt idx="561">
                  <c:v>8.8789999999999994E-2</c:v>
                </c:pt>
                <c:pt idx="562">
                  <c:v>8.9095999999999995E-2</c:v>
                </c:pt>
                <c:pt idx="563">
                  <c:v>8.9399999999999993E-2</c:v>
                </c:pt>
                <c:pt idx="564">
                  <c:v>8.970800000000001E-2</c:v>
                </c:pt>
                <c:pt idx="565">
                  <c:v>9.0012000000000009E-2</c:v>
                </c:pt>
                <c:pt idx="566">
                  <c:v>9.0315999999999994E-2</c:v>
                </c:pt>
                <c:pt idx="567">
                  <c:v>9.0623999999999996E-2</c:v>
                </c:pt>
                <c:pt idx="568">
                  <c:v>9.0928000000000009E-2</c:v>
                </c:pt>
                <c:pt idx="569">
                  <c:v>9.1233999999999996E-2</c:v>
                </c:pt>
                <c:pt idx="570">
                  <c:v>9.1539999999999996E-2</c:v>
                </c:pt>
                <c:pt idx="571">
                  <c:v>9.1843999999999995E-2</c:v>
                </c:pt>
                <c:pt idx="572">
                  <c:v>9.2149999999999996E-2</c:v>
                </c:pt>
                <c:pt idx="573">
                  <c:v>9.2455999999999997E-2</c:v>
                </c:pt>
                <c:pt idx="574">
                  <c:v>9.2761999999999997E-2</c:v>
                </c:pt>
                <c:pt idx="575">
                  <c:v>9.3095999999999998E-2</c:v>
                </c:pt>
                <c:pt idx="576">
                  <c:v>9.3429999999999999E-2</c:v>
                </c:pt>
                <c:pt idx="577">
                  <c:v>9.3764E-2</c:v>
                </c:pt>
                <c:pt idx="578">
                  <c:v>9.4095999999999999E-2</c:v>
                </c:pt>
                <c:pt idx="579">
                  <c:v>9.443E-2</c:v>
                </c:pt>
                <c:pt idx="580">
                  <c:v>9.4761999999999999E-2</c:v>
                </c:pt>
                <c:pt idx="581">
                  <c:v>9.5096000000000014E-2</c:v>
                </c:pt>
                <c:pt idx="582">
                  <c:v>9.5429999999999987E-2</c:v>
                </c:pt>
                <c:pt idx="583">
                  <c:v>9.5762E-2</c:v>
                </c:pt>
                <c:pt idx="584">
                  <c:v>9.6096000000000001E-2</c:v>
                </c:pt>
                <c:pt idx="585">
                  <c:v>9.6457999999999988E-2</c:v>
                </c:pt>
                <c:pt idx="586">
                  <c:v>9.6815999999999999E-2</c:v>
                </c:pt>
                <c:pt idx="587">
                  <c:v>9.7180000000000002E-2</c:v>
                </c:pt>
                <c:pt idx="588">
                  <c:v>9.7540000000000002E-2</c:v>
                </c:pt>
                <c:pt idx="589">
                  <c:v>9.7902000000000003E-2</c:v>
                </c:pt>
                <c:pt idx="590">
                  <c:v>9.8262000000000002E-2</c:v>
                </c:pt>
                <c:pt idx="591">
                  <c:v>9.8623999999999989E-2</c:v>
                </c:pt>
                <c:pt idx="592">
                  <c:v>9.8984000000000003E-2</c:v>
                </c:pt>
                <c:pt idx="593">
                  <c:v>9.934599999999999E-2</c:v>
                </c:pt>
                <c:pt idx="594">
                  <c:v>9.9708000000000005E-2</c:v>
                </c:pt>
                <c:pt idx="595">
                  <c:v>0.100068</c:v>
                </c:pt>
                <c:pt idx="596">
                  <c:v>0.100428</c:v>
                </c:pt>
                <c:pt idx="597">
                  <c:v>0.10079200000000001</c:v>
                </c:pt>
                <c:pt idx="598">
                  <c:v>0.10115</c:v>
                </c:pt>
                <c:pt idx="599">
                  <c:v>0.10154199999999999</c:v>
                </c:pt>
                <c:pt idx="600">
                  <c:v>0.101928</c:v>
                </c:pt>
                <c:pt idx="601">
                  <c:v>0.10231799999999999</c:v>
                </c:pt>
                <c:pt idx="602">
                  <c:v>0.10268000000000001</c:v>
                </c:pt>
                <c:pt idx="603">
                  <c:v>0.10307000000000001</c:v>
                </c:pt>
                <c:pt idx="604">
                  <c:v>0.10345800000000001</c:v>
                </c:pt>
                <c:pt idx="605">
                  <c:v>0.10384600000000001</c:v>
                </c:pt>
                <c:pt idx="606">
                  <c:v>0.10423400000000001</c:v>
                </c:pt>
                <c:pt idx="607">
                  <c:v>0.104626</c:v>
                </c:pt>
                <c:pt idx="608">
                  <c:v>0.10503999999999999</c:v>
                </c:pt>
                <c:pt idx="609">
                  <c:v>0.105458</c:v>
                </c:pt>
                <c:pt idx="610">
                  <c:v>0.10587400000000001</c:v>
                </c:pt>
                <c:pt idx="611">
                  <c:v>0.106318</c:v>
                </c:pt>
                <c:pt idx="612">
                  <c:v>0.106762</c:v>
                </c:pt>
                <c:pt idx="613">
                  <c:v>0.10718</c:v>
                </c:pt>
                <c:pt idx="614">
                  <c:v>0.107624</c:v>
                </c:pt>
                <c:pt idx="615">
                  <c:v>0.10806800000000001</c:v>
                </c:pt>
                <c:pt idx="616">
                  <c:v>0.108512</c:v>
                </c:pt>
                <c:pt idx="617">
                  <c:v>0.108958</c:v>
                </c:pt>
                <c:pt idx="618">
                  <c:v>0.1094</c:v>
                </c:pt>
                <c:pt idx="619">
                  <c:v>0.10984400000000001</c:v>
                </c:pt>
                <c:pt idx="620">
                  <c:v>0.11029</c:v>
                </c:pt>
                <c:pt idx="621">
                  <c:v>0.110736</c:v>
                </c:pt>
                <c:pt idx="622">
                  <c:v>0.11117800000000001</c:v>
                </c:pt>
                <c:pt idx="623">
                  <c:v>0.111624</c:v>
                </c:pt>
                <c:pt idx="624">
                  <c:v>0.11207</c:v>
                </c:pt>
                <c:pt idx="625">
                  <c:v>0.112512</c:v>
                </c:pt>
                <c:pt idx="626">
                  <c:v>0.112986</c:v>
                </c:pt>
                <c:pt idx="627">
                  <c:v>0.11345599999999999</c:v>
                </c:pt>
                <c:pt idx="628">
                  <c:v>0.11393</c:v>
                </c:pt>
                <c:pt idx="629">
                  <c:v>0.114402</c:v>
                </c:pt>
                <c:pt idx="630">
                  <c:v>0.114902</c:v>
                </c:pt>
                <c:pt idx="631">
                  <c:v>0.115402</c:v>
                </c:pt>
                <c:pt idx="632">
                  <c:v>0.11590199999999999</c:v>
                </c:pt>
                <c:pt idx="633">
                  <c:v>0.1164</c:v>
                </c:pt>
                <c:pt idx="634">
                  <c:v>0.11692999999999999</c:v>
                </c:pt>
                <c:pt idx="635">
                  <c:v>0.11745799999999999</c:v>
                </c:pt>
                <c:pt idx="636">
                  <c:v>0.11798600000000001</c:v>
                </c:pt>
                <c:pt idx="637">
                  <c:v>0.11851399999999999</c:v>
                </c:pt>
                <c:pt idx="638">
                  <c:v>0.11906800000000001</c:v>
                </c:pt>
                <c:pt idx="639">
                  <c:v>0.11962400000000001</c:v>
                </c:pt>
                <c:pt idx="640">
                  <c:v>0.12017799999999999</c:v>
                </c:pt>
                <c:pt idx="641">
                  <c:v>0.120764</c:v>
                </c:pt>
                <c:pt idx="642">
                  <c:v>0.121318</c:v>
                </c:pt>
                <c:pt idx="643">
                  <c:v>0.12190200000000001</c:v>
                </c:pt>
                <c:pt idx="644">
                  <c:v>0.122484</c:v>
                </c:pt>
                <c:pt idx="645">
                  <c:v>0.123096</c:v>
                </c:pt>
                <c:pt idx="646">
                  <c:v>0.123736</c:v>
                </c:pt>
                <c:pt idx="647">
                  <c:v>0.12454000000000001</c:v>
                </c:pt>
              </c:numCache>
            </c:numRef>
          </c:cat>
          <c:val>
            <c:numRef>
              <c:f>'A12-1'!$F$2:$F$649</c:f>
              <c:numCache>
                <c:formatCode>0.00</c:formatCode>
                <c:ptCount val="648"/>
                <c:pt idx="0">
                  <c:v>0</c:v>
                </c:pt>
                <c:pt idx="1">
                  <c:v>0.29820384094350144</c:v>
                </c:pt>
                <c:pt idx="2">
                  <c:v>0.30362578691529202</c:v>
                </c:pt>
                <c:pt idx="3">
                  <c:v>0.30362578691529202</c:v>
                </c:pt>
                <c:pt idx="4">
                  <c:v>0.30362578691529202</c:v>
                </c:pt>
                <c:pt idx="5">
                  <c:v>0.30904773288708265</c:v>
                </c:pt>
                <c:pt idx="6">
                  <c:v>0.30904773288708265</c:v>
                </c:pt>
                <c:pt idx="7">
                  <c:v>0.31446967885887328</c:v>
                </c:pt>
                <c:pt idx="8">
                  <c:v>0.31446967885887328</c:v>
                </c:pt>
                <c:pt idx="9">
                  <c:v>0.31989799984062472</c:v>
                </c:pt>
                <c:pt idx="10">
                  <c:v>0.31989799984062472</c:v>
                </c:pt>
                <c:pt idx="11">
                  <c:v>0.31989799984062472</c:v>
                </c:pt>
                <c:pt idx="12">
                  <c:v>0.32531675830743484</c:v>
                </c:pt>
                <c:pt idx="13">
                  <c:v>0.33073551677424495</c:v>
                </c:pt>
                <c:pt idx="14">
                  <c:v>0.33073551677424495</c:v>
                </c:pt>
                <c:pt idx="15">
                  <c:v>0.32531675830743484</c:v>
                </c:pt>
                <c:pt idx="16">
                  <c:v>0.30904773288708265</c:v>
                </c:pt>
                <c:pt idx="17">
                  <c:v>0.29278189497171092</c:v>
                </c:pt>
                <c:pt idx="18">
                  <c:v>0.27651605705633919</c:v>
                </c:pt>
                <c:pt idx="19">
                  <c:v>0.27109411108454856</c:v>
                </c:pt>
                <c:pt idx="20">
                  <c:v>0.27109411108454856</c:v>
                </c:pt>
                <c:pt idx="21">
                  <c:v>0.27109411108454856</c:v>
                </c:pt>
                <c:pt idx="22">
                  <c:v>0.27109411108454856</c:v>
                </c:pt>
                <c:pt idx="23">
                  <c:v>0.27109411108454856</c:v>
                </c:pt>
                <c:pt idx="24">
                  <c:v>0.27109411108454856</c:v>
                </c:pt>
                <c:pt idx="25">
                  <c:v>0.27109411108454856</c:v>
                </c:pt>
                <c:pt idx="26">
                  <c:v>0.27651605705633919</c:v>
                </c:pt>
                <c:pt idx="27">
                  <c:v>0.28193800302812977</c:v>
                </c:pt>
                <c:pt idx="28">
                  <c:v>0.28735994899992034</c:v>
                </c:pt>
                <c:pt idx="29">
                  <c:v>0.29278189497171092</c:v>
                </c:pt>
                <c:pt idx="30">
                  <c:v>0.30362578691529202</c:v>
                </c:pt>
                <c:pt idx="31">
                  <c:v>0.30904773288708265</c:v>
                </c:pt>
                <c:pt idx="32">
                  <c:v>0.31446967885887328</c:v>
                </c:pt>
                <c:pt idx="33">
                  <c:v>0.31989799984062472</c:v>
                </c:pt>
                <c:pt idx="34">
                  <c:v>0.32531675830743484</c:v>
                </c:pt>
                <c:pt idx="35">
                  <c:v>0.33073551677424495</c:v>
                </c:pt>
                <c:pt idx="36">
                  <c:v>0.33615427524105507</c:v>
                </c:pt>
                <c:pt idx="37">
                  <c:v>0.34157303370786518</c:v>
                </c:pt>
                <c:pt idx="38">
                  <c:v>0.34157303370786518</c:v>
                </c:pt>
                <c:pt idx="39">
                  <c:v>0.34157303370786518</c:v>
                </c:pt>
                <c:pt idx="40">
                  <c:v>0.34157303370786518</c:v>
                </c:pt>
                <c:pt idx="41">
                  <c:v>0.34157303370786518</c:v>
                </c:pt>
                <c:pt idx="42">
                  <c:v>0.34157303370786518</c:v>
                </c:pt>
                <c:pt idx="43">
                  <c:v>0.34157303370786518</c:v>
                </c:pt>
                <c:pt idx="44">
                  <c:v>0.34157303370786518</c:v>
                </c:pt>
                <c:pt idx="45">
                  <c:v>0.34157303370786518</c:v>
                </c:pt>
                <c:pt idx="46">
                  <c:v>0.34157303370786518</c:v>
                </c:pt>
                <c:pt idx="47">
                  <c:v>0.34157303370786518</c:v>
                </c:pt>
                <c:pt idx="48">
                  <c:v>0.34157303370786518</c:v>
                </c:pt>
                <c:pt idx="49">
                  <c:v>0.34157303370786518</c:v>
                </c:pt>
                <c:pt idx="50">
                  <c:v>0.34157303370786518</c:v>
                </c:pt>
                <c:pt idx="51">
                  <c:v>0.34157303370786518</c:v>
                </c:pt>
                <c:pt idx="52">
                  <c:v>0.34157303370786518</c:v>
                </c:pt>
                <c:pt idx="53">
                  <c:v>0.34157303370786518</c:v>
                </c:pt>
                <c:pt idx="54">
                  <c:v>0.34157303370786518</c:v>
                </c:pt>
                <c:pt idx="55">
                  <c:v>0.34157303370786518</c:v>
                </c:pt>
                <c:pt idx="56">
                  <c:v>0.34157303370786518</c:v>
                </c:pt>
                <c:pt idx="57">
                  <c:v>0.3469917921746753</c:v>
                </c:pt>
                <c:pt idx="58">
                  <c:v>0.3469917921746753</c:v>
                </c:pt>
                <c:pt idx="59">
                  <c:v>0.3469917921746753</c:v>
                </c:pt>
                <c:pt idx="60">
                  <c:v>0.3469917921746753</c:v>
                </c:pt>
                <c:pt idx="61">
                  <c:v>0.3469917921746753</c:v>
                </c:pt>
                <c:pt idx="62">
                  <c:v>0.35241055064148535</c:v>
                </c:pt>
                <c:pt idx="63">
                  <c:v>0.35241055064148535</c:v>
                </c:pt>
                <c:pt idx="64">
                  <c:v>0.35241055064148535</c:v>
                </c:pt>
                <c:pt idx="65">
                  <c:v>0.35241055064148535</c:v>
                </c:pt>
                <c:pt idx="66">
                  <c:v>0.35786118415810025</c:v>
                </c:pt>
                <c:pt idx="67">
                  <c:v>0.36869870109172048</c:v>
                </c:pt>
                <c:pt idx="68">
                  <c:v>0.3741174595585306</c:v>
                </c:pt>
                <c:pt idx="69">
                  <c:v>0.39037373495896088</c:v>
                </c:pt>
                <c:pt idx="70">
                  <c:v>0.395792493425771</c:v>
                </c:pt>
                <c:pt idx="71">
                  <c:v>0.40121125189258111</c:v>
                </c:pt>
                <c:pt idx="72">
                  <c:v>0.40663001035939123</c:v>
                </c:pt>
                <c:pt idx="73">
                  <c:v>0.40663001035939123</c:v>
                </c:pt>
                <c:pt idx="74">
                  <c:v>0.41208064387600613</c:v>
                </c:pt>
                <c:pt idx="75">
                  <c:v>0.41208064387600613</c:v>
                </c:pt>
                <c:pt idx="76">
                  <c:v>0.41208064387600613</c:v>
                </c:pt>
                <c:pt idx="77">
                  <c:v>0.41208064387600613</c:v>
                </c:pt>
                <c:pt idx="78">
                  <c:v>0.41208064387600613</c:v>
                </c:pt>
                <c:pt idx="79">
                  <c:v>0.41749940234281624</c:v>
                </c:pt>
                <c:pt idx="80">
                  <c:v>0.41749940234281624</c:v>
                </c:pt>
                <c:pt idx="81">
                  <c:v>0.41749940234281624</c:v>
                </c:pt>
                <c:pt idx="82">
                  <c:v>0.41749940234281624</c:v>
                </c:pt>
                <c:pt idx="83">
                  <c:v>0.41749940234281624</c:v>
                </c:pt>
                <c:pt idx="84">
                  <c:v>0.41749940234281624</c:v>
                </c:pt>
                <c:pt idx="85">
                  <c:v>0.41208064387600613</c:v>
                </c:pt>
                <c:pt idx="86">
                  <c:v>0.41749940234281624</c:v>
                </c:pt>
                <c:pt idx="87">
                  <c:v>0.41749940234281624</c:v>
                </c:pt>
                <c:pt idx="88">
                  <c:v>0.41749940234281624</c:v>
                </c:pt>
                <c:pt idx="89">
                  <c:v>0.41749940234281624</c:v>
                </c:pt>
                <c:pt idx="90">
                  <c:v>0.41749940234281624</c:v>
                </c:pt>
                <c:pt idx="91">
                  <c:v>0.41749940234281624</c:v>
                </c:pt>
                <c:pt idx="92">
                  <c:v>0.41749940234281624</c:v>
                </c:pt>
                <c:pt idx="93">
                  <c:v>0.41749940234281624</c:v>
                </c:pt>
                <c:pt idx="94">
                  <c:v>0.41749940234281624</c:v>
                </c:pt>
                <c:pt idx="95">
                  <c:v>0.41749940234281624</c:v>
                </c:pt>
                <c:pt idx="96">
                  <c:v>0.41749940234281624</c:v>
                </c:pt>
                <c:pt idx="97">
                  <c:v>0.41749940234281624</c:v>
                </c:pt>
                <c:pt idx="98">
                  <c:v>0.41749940234281624</c:v>
                </c:pt>
                <c:pt idx="99">
                  <c:v>0.41749940234281624</c:v>
                </c:pt>
                <c:pt idx="100">
                  <c:v>0.41749940234281624</c:v>
                </c:pt>
                <c:pt idx="101">
                  <c:v>0.41749940234281624</c:v>
                </c:pt>
                <c:pt idx="102">
                  <c:v>0.41749940234281624</c:v>
                </c:pt>
                <c:pt idx="103">
                  <c:v>0.41749940234281624</c:v>
                </c:pt>
                <c:pt idx="104">
                  <c:v>0.41749940234281624</c:v>
                </c:pt>
                <c:pt idx="105">
                  <c:v>0.41749940234281624</c:v>
                </c:pt>
                <c:pt idx="106">
                  <c:v>0.41749940234281624</c:v>
                </c:pt>
                <c:pt idx="107">
                  <c:v>0.42291816080962635</c:v>
                </c:pt>
                <c:pt idx="108">
                  <c:v>0.42291816080962635</c:v>
                </c:pt>
                <c:pt idx="109">
                  <c:v>0.42291816080962635</c:v>
                </c:pt>
                <c:pt idx="110">
                  <c:v>0.42291816080962635</c:v>
                </c:pt>
                <c:pt idx="111">
                  <c:v>0.42291816080962635</c:v>
                </c:pt>
                <c:pt idx="112">
                  <c:v>0.42291816080962635</c:v>
                </c:pt>
                <c:pt idx="113">
                  <c:v>0.42833691927643647</c:v>
                </c:pt>
                <c:pt idx="114">
                  <c:v>0.42833691927643647</c:v>
                </c:pt>
                <c:pt idx="115">
                  <c:v>0.42833691927643647</c:v>
                </c:pt>
                <c:pt idx="116">
                  <c:v>0.42833691927643647</c:v>
                </c:pt>
                <c:pt idx="117">
                  <c:v>0.42833691927643647</c:v>
                </c:pt>
                <c:pt idx="118">
                  <c:v>0.42833691927643647</c:v>
                </c:pt>
                <c:pt idx="119">
                  <c:v>0.42833691927643647</c:v>
                </c:pt>
                <c:pt idx="120">
                  <c:v>0.42291816080962635</c:v>
                </c:pt>
                <c:pt idx="121">
                  <c:v>0.42291816080962635</c:v>
                </c:pt>
                <c:pt idx="122">
                  <c:v>0.42833691927643647</c:v>
                </c:pt>
                <c:pt idx="123">
                  <c:v>0.42833691927643647</c:v>
                </c:pt>
                <c:pt idx="124">
                  <c:v>0.42833691927643647</c:v>
                </c:pt>
                <c:pt idx="125">
                  <c:v>0.42833691927643647</c:v>
                </c:pt>
                <c:pt idx="126">
                  <c:v>0.43375567774324647</c:v>
                </c:pt>
                <c:pt idx="127">
                  <c:v>0.43375567774324647</c:v>
                </c:pt>
                <c:pt idx="128">
                  <c:v>0.43917443621005658</c:v>
                </c:pt>
                <c:pt idx="129">
                  <c:v>0.4445931946768667</c:v>
                </c:pt>
                <c:pt idx="130">
                  <c:v>0.4445931946768667</c:v>
                </c:pt>
                <c:pt idx="131">
                  <c:v>0.45001195314367681</c:v>
                </c:pt>
                <c:pt idx="132">
                  <c:v>0.46084947007729699</c:v>
                </c:pt>
                <c:pt idx="133">
                  <c:v>0.4662682285441071</c:v>
                </c:pt>
                <c:pt idx="134">
                  <c:v>0.47713762052753206</c:v>
                </c:pt>
                <c:pt idx="135">
                  <c:v>0.4933938959279624</c:v>
                </c:pt>
                <c:pt idx="136">
                  <c:v>0.5150689297952028</c:v>
                </c:pt>
                <c:pt idx="137">
                  <c:v>0.53135708024543793</c:v>
                </c:pt>
                <c:pt idx="138">
                  <c:v>0.55303211411267839</c:v>
                </c:pt>
                <c:pt idx="139">
                  <c:v>0.57470714797991873</c:v>
                </c:pt>
                <c:pt idx="140">
                  <c:v>0.59099529843015386</c:v>
                </c:pt>
                <c:pt idx="141">
                  <c:v>0.61267033229739432</c:v>
                </c:pt>
                <c:pt idx="142">
                  <c:v>0.62350784923101454</c:v>
                </c:pt>
                <c:pt idx="143">
                  <c:v>0.64521475814805973</c:v>
                </c:pt>
                <c:pt idx="144">
                  <c:v>0.66147103354848991</c:v>
                </c:pt>
                <c:pt idx="145">
                  <c:v>0.68314606741573036</c:v>
                </c:pt>
                <c:pt idx="146">
                  <c:v>0.70485297633277555</c:v>
                </c:pt>
                <c:pt idx="147">
                  <c:v>0.71569049326639578</c:v>
                </c:pt>
                <c:pt idx="148">
                  <c:v>0.73736552713363612</c:v>
                </c:pt>
                <c:pt idx="149">
                  <c:v>0.75365367758387114</c:v>
                </c:pt>
                <c:pt idx="150">
                  <c:v>0.77532871145111171</c:v>
                </c:pt>
                <c:pt idx="151">
                  <c:v>0.79158498685154199</c:v>
                </c:pt>
                <c:pt idx="152">
                  <c:v>0.81329189576858729</c:v>
                </c:pt>
                <c:pt idx="153">
                  <c:v>0.83496692963582764</c:v>
                </c:pt>
                <c:pt idx="154">
                  <c:v>0.85667383855287293</c:v>
                </c:pt>
                <c:pt idx="155">
                  <c:v>0.87834887242011317</c:v>
                </c:pt>
                <c:pt idx="156">
                  <c:v>0.90002390628735363</c:v>
                </c:pt>
                <c:pt idx="157">
                  <c:v>0.92173081520439881</c:v>
                </c:pt>
                <c:pt idx="158">
                  <c:v>0.94340584907163927</c:v>
                </c:pt>
                <c:pt idx="159">
                  <c:v>0.96511275798868434</c:v>
                </c:pt>
                <c:pt idx="160">
                  <c:v>0.9867877918559248</c:v>
                </c:pt>
                <c:pt idx="161">
                  <c:v>1.0084628257231654</c:v>
                </c:pt>
                <c:pt idx="162">
                  <c:v>1.0301697346402106</c:v>
                </c:pt>
                <c:pt idx="163">
                  <c:v>1.0518447685074508</c:v>
                </c:pt>
                <c:pt idx="164">
                  <c:v>1.073551677424496</c:v>
                </c:pt>
                <c:pt idx="165">
                  <c:v>1.0952267112917364</c:v>
                </c:pt>
                <c:pt idx="166">
                  <c:v>1.1169017451589769</c:v>
                </c:pt>
                <c:pt idx="167">
                  <c:v>1.1386086540760219</c:v>
                </c:pt>
                <c:pt idx="168">
                  <c:v>1.1602836879432625</c:v>
                </c:pt>
                <c:pt idx="169">
                  <c:v>1.1819905968603077</c:v>
                </c:pt>
                <c:pt idx="170">
                  <c:v>1.2036656307275482</c:v>
                </c:pt>
                <c:pt idx="171">
                  <c:v>1.2253406645947886</c:v>
                </c:pt>
                <c:pt idx="172">
                  <c:v>1.2470475735118336</c:v>
                </c:pt>
                <c:pt idx="173">
                  <c:v>1.2687226073790741</c:v>
                </c:pt>
                <c:pt idx="174">
                  <c:v>1.2904295162961195</c:v>
                </c:pt>
                <c:pt idx="175">
                  <c:v>1.3121045501633599</c:v>
                </c:pt>
                <c:pt idx="176">
                  <c:v>1.3337795840306004</c:v>
                </c:pt>
                <c:pt idx="177">
                  <c:v>1.3554864929476453</c:v>
                </c:pt>
                <c:pt idx="178">
                  <c:v>1.3771615268148856</c:v>
                </c:pt>
                <c:pt idx="179">
                  <c:v>1.398836560682126</c:v>
                </c:pt>
                <c:pt idx="180">
                  <c:v>1.4205434695991712</c:v>
                </c:pt>
                <c:pt idx="181">
                  <c:v>1.4422185034664117</c:v>
                </c:pt>
                <c:pt idx="182">
                  <c:v>1.4639254123834569</c:v>
                </c:pt>
                <c:pt idx="183">
                  <c:v>1.4856004462506973</c:v>
                </c:pt>
                <c:pt idx="184">
                  <c:v>1.5072754801179378</c:v>
                </c:pt>
                <c:pt idx="185">
                  <c:v>1.528982389034983</c:v>
                </c:pt>
                <c:pt idx="186">
                  <c:v>1.5506574229022234</c:v>
                </c:pt>
                <c:pt idx="187">
                  <c:v>1.5723643318192686</c:v>
                </c:pt>
                <c:pt idx="188">
                  <c:v>1.5940393656865091</c:v>
                </c:pt>
                <c:pt idx="189">
                  <c:v>1.6157143995537495</c:v>
                </c:pt>
                <c:pt idx="190">
                  <c:v>1.6374213084707945</c:v>
                </c:pt>
                <c:pt idx="191">
                  <c:v>1.6590963423380349</c:v>
                </c:pt>
                <c:pt idx="192">
                  <c:v>1.6808032512550803</c:v>
                </c:pt>
                <c:pt idx="193">
                  <c:v>1.7024782851223208</c:v>
                </c:pt>
                <c:pt idx="194">
                  <c:v>1.724153318989561</c:v>
                </c:pt>
                <c:pt idx="195">
                  <c:v>1.7458602279066062</c:v>
                </c:pt>
                <c:pt idx="196">
                  <c:v>1.7675352617738467</c:v>
                </c:pt>
                <c:pt idx="197">
                  <c:v>1.7892421706908919</c:v>
                </c:pt>
                <c:pt idx="198">
                  <c:v>1.8109172045581323</c:v>
                </c:pt>
                <c:pt idx="199">
                  <c:v>1.8325922384253726</c:v>
                </c:pt>
                <c:pt idx="200">
                  <c:v>1.854299147342418</c:v>
                </c:pt>
                <c:pt idx="201">
                  <c:v>1.8759741812096582</c:v>
                </c:pt>
                <c:pt idx="202">
                  <c:v>1.8976810901267032</c:v>
                </c:pt>
                <c:pt idx="203">
                  <c:v>1.9193561239939438</c:v>
                </c:pt>
                <c:pt idx="204">
                  <c:v>1.9410311578611843</c:v>
                </c:pt>
                <c:pt idx="205">
                  <c:v>1.9627380667782295</c:v>
                </c:pt>
                <c:pt idx="206">
                  <c:v>1.9844131006454699</c:v>
                </c:pt>
                <c:pt idx="207">
                  <c:v>2.0061200095625149</c:v>
                </c:pt>
                <c:pt idx="208">
                  <c:v>2.0277950434297556</c:v>
                </c:pt>
                <c:pt idx="209">
                  <c:v>2.0494700772969958</c:v>
                </c:pt>
                <c:pt idx="210">
                  <c:v>2.071176986214041</c:v>
                </c:pt>
                <c:pt idx="211">
                  <c:v>2.0928520200812812</c:v>
                </c:pt>
                <c:pt idx="212">
                  <c:v>2.1145589289983264</c:v>
                </c:pt>
                <c:pt idx="213">
                  <c:v>2.1362339628655671</c:v>
                </c:pt>
                <c:pt idx="214">
                  <c:v>2.1579089967328073</c:v>
                </c:pt>
                <c:pt idx="215">
                  <c:v>2.1796159056498525</c:v>
                </c:pt>
                <c:pt idx="216">
                  <c:v>2.2012909395170932</c:v>
                </c:pt>
                <c:pt idx="217">
                  <c:v>2.2229978484341379</c:v>
                </c:pt>
                <c:pt idx="218">
                  <c:v>2.2446728823013791</c:v>
                </c:pt>
                <c:pt idx="219">
                  <c:v>2.2663479161686189</c:v>
                </c:pt>
                <c:pt idx="220">
                  <c:v>2.288054825085664</c:v>
                </c:pt>
                <c:pt idx="221">
                  <c:v>2.3097298589529052</c:v>
                </c:pt>
                <c:pt idx="222">
                  <c:v>2.331404892820145</c:v>
                </c:pt>
                <c:pt idx="223">
                  <c:v>2.3531118017371901</c:v>
                </c:pt>
                <c:pt idx="224">
                  <c:v>2.3747868356044308</c:v>
                </c:pt>
                <c:pt idx="225">
                  <c:v>2.396493744521476</c:v>
                </c:pt>
                <c:pt idx="226">
                  <c:v>2.4181687783887162</c:v>
                </c:pt>
                <c:pt idx="227">
                  <c:v>2.4398438122559565</c:v>
                </c:pt>
                <c:pt idx="228">
                  <c:v>2.4615507211730021</c:v>
                </c:pt>
                <c:pt idx="229">
                  <c:v>2.4832257550402423</c:v>
                </c:pt>
                <c:pt idx="230">
                  <c:v>2.5049326639572875</c:v>
                </c:pt>
                <c:pt idx="231">
                  <c:v>2.5266076978245278</c:v>
                </c:pt>
                <c:pt idx="232">
                  <c:v>2.5482827316917684</c:v>
                </c:pt>
                <c:pt idx="233">
                  <c:v>2.5699896406088136</c:v>
                </c:pt>
                <c:pt idx="234">
                  <c:v>2.5916646744760539</c:v>
                </c:pt>
                <c:pt idx="235">
                  <c:v>2.6133715833930991</c:v>
                </c:pt>
                <c:pt idx="236">
                  <c:v>2.6350466172603397</c:v>
                </c:pt>
                <c:pt idx="237">
                  <c:v>2.65672165112758</c:v>
                </c:pt>
                <c:pt idx="238">
                  <c:v>2.6784285600446252</c:v>
                </c:pt>
                <c:pt idx="239">
                  <c:v>2.7001035939118658</c:v>
                </c:pt>
                <c:pt idx="240">
                  <c:v>2.721810502828911</c:v>
                </c:pt>
                <c:pt idx="241">
                  <c:v>2.7434855366961508</c:v>
                </c:pt>
                <c:pt idx="242">
                  <c:v>2.7651605705633919</c:v>
                </c:pt>
                <c:pt idx="243">
                  <c:v>2.7868674794804367</c:v>
                </c:pt>
                <c:pt idx="244">
                  <c:v>2.8085425133476773</c:v>
                </c:pt>
                <c:pt idx="245">
                  <c:v>2.8302494222647225</c:v>
                </c:pt>
                <c:pt idx="246">
                  <c:v>2.8519244561319628</c:v>
                </c:pt>
                <c:pt idx="247">
                  <c:v>2.8735994899992034</c:v>
                </c:pt>
                <c:pt idx="248">
                  <c:v>2.8953063989162482</c:v>
                </c:pt>
                <c:pt idx="249">
                  <c:v>2.9169814327834893</c:v>
                </c:pt>
                <c:pt idx="250">
                  <c:v>2.9386883417005345</c:v>
                </c:pt>
                <c:pt idx="251">
                  <c:v>2.9603633755677743</c:v>
                </c:pt>
                <c:pt idx="252">
                  <c:v>2.982038409435015</c:v>
                </c:pt>
                <c:pt idx="253">
                  <c:v>3.0037453183520597</c:v>
                </c:pt>
                <c:pt idx="254">
                  <c:v>3.0254203522193008</c:v>
                </c:pt>
                <c:pt idx="255">
                  <c:v>3.047127261136346</c:v>
                </c:pt>
                <c:pt idx="256">
                  <c:v>3.0688022950035858</c:v>
                </c:pt>
                <c:pt idx="257">
                  <c:v>3.0904773288708269</c:v>
                </c:pt>
                <c:pt idx="258">
                  <c:v>3.1121842377878717</c:v>
                </c:pt>
                <c:pt idx="259">
                  <c:v>3.1338592716551119</c:v>
                </c:pt>
                <c:pt idx="260">
                  <c:v>3.1555661805721571</c:v>
                </c:pt>
                <c:pt idx="261">
                  <c:v>3.1826599729062077</c:v>
                </c:pt>
                <c:pt idx="262">
                  <c:v>3.2043987568730579</c:v>
                </c:pt>
                <c:pt idx="263">
                  <c:v>3.2260737907402981</c:v>
                </c:pt>
                <c:pt idx="264">
                  <c:v>3.2477488246075383</c:v>
                </c:pt>
                <c:pt idx="265">
                  <c:v>3.269423858474779</c:v>
                </c:pt>
                <c:pt idx="266">
                  <c:v>3.2910988923420192</c:v>
                </c:pt>
                <c:pt idx="267">
                  <c:v>3.3181926846760699</c:v>
                </c:pt>
                <c:pt idx="268">
                  <c:v>3.3398677185433105</c:v>
                </c:pt>
                <c:pt idx="269">
                  <c:v>3.3615427524105508</c:v>
                </c:pt>
                <c:pt idx="270">
                  <c:v>3.3832177862777915</c:v>
                </c:pt>
                <c:pt idx="271">
                  <c:v>3.4103115786118416</c:v>
                </c:pt>
                <c:pt idx="272">
                  <c:v>3.4319866124790823</c:v>
                </c:pt>
                <c:pt idx="273">
                  <c:v>3.4536616463463221</c:v>
                </c:pt>
                <c:pt idx="274">
                  <c:v>3.4753366802135632</c:v>
                </c:pt>
                <c:pt idx="275">
                  <c:v>3.497011714080803</c:v>
                </c:pt>
                <c:pt idx="276">
                  <c:v>3.5186867479480441</c:v>
                </c:pt>
                <c:pt idx="277">
                  <c:v>3.5403617818152839</c:v>
                </c:pt>
                <c:pt idx="278">
                  <c:v>3.5620368156825246</c:v>
                </c:pt>
                <c:pt idx="279">
                  <c:v>3.589449358514623</c:v>
                </c:pt>
                <c:pt idx="280">
                  <c:v>3.6111243923818637</c:v>
                </c:pt>
                <c:pt idx="281">
                  <c:v>3.6327994262491035</c:v>
                </c:pt>
                <c:pt idx="282">
                  <c:v>3.6598932185831541</c:v>
                </c:pt>
                <c:pt idx="283">
                  <c:v>3.6815682524503943</c:v>
                </c:pt>
                <c:pt idx="284">
                  <c:v>3.7032432863176354</c:v>
                </c:pt>
                <c:pt idx="285">
                  <c:v>3.7303370786516856</c:v>
                </c:pt>
                <c:pt idx="286">
                  <c:v>3.7520121125189259</c:v>
                </c:pt>
                <c:pt idx="287">
                  <c:v>3.7791059048529765</c:v>
                </c:pt>
                <c:pt idx="288">
                  <c:v>3.8007809387202172</c:v>
                </c:pt>
                <c:pt idx="289">
                  <c:v>3.8224559725874574</c:v>
                </c:pt>
                <c:pt idx="290">
                  <c:v>3.8441310064546976</c:v>
                </c:pt>
                <c:pt idx="291">
                  <c:v>3.8658060403219383</c:v>
                </c:pt>
                <c:pt idx="292">
                  <c:v>3.8874810741891785</c:v>
                </c:pt>
                <c:pt idx="293">
                  <c:v>3.9091561080564192</c:v>
                </c:pt>
                <c:pt idx="294">
                  <c:v>3.9308311419236595</c:v>
                </c:pt>
                <c:pt idx="295">
                  <c:v>3.9525061757908997</c:v>
                </c:pt>
                <c:pt idx="296">
                  <c:v>3.9741812096581404</c:v>
                </c:pt>
                <c:pt idx="297">
                  <c:v>3.9958562435253806</c:v>
                </c:pt>
                <c:pt idx="298">
                  <c:v>4.0175312773926208</c:v>
                </c:pt>
                <c:pt idx="299">
                  <c:v>4.0392063112598615</c:v>
                </c:pt>
                <c:pt idx="300">
                  <c:v>4.0608813451271022</c:v>
                </c:pt>
                <c:pt idx="301">
                  <c:v>4.0825563789943429</c:v>
                </c:pt>
                <c:pt idx="302">
                  <c:v>4.1042314128615827</c:v>
                </c:pt>
                <c:pt idx="303">
                  <c:v>4.1262251972268702</c:v>
                </c:pt>
                <c:pt idx="304">
                  <c:v>4.1479002310941109</c:v>
                </c:pt>
                <c:pt idx="305">
                  <c:v>4.1695752649613516</c:v>
                </c:pt>
                <c:pt idx="306">
                  <c:v>4.2020878157622121</c:v>
                </c:pt>
                <c:pt idx="307">
                  <c:v>4.2346003665630727</c:v>
                </c:pt>
                <c:pt idx="308">
                  <c:v>4.2671129173639342</c:v>
                </c:pt>
                <c:pt idx="309">
                  <c:v>4.2996254681647939</c:v>
                </c:pt>
                <c:pt idx="310">
                  <c:v>4.3321380189656553</c:v>
                </c:pt>
                <c:pt idx="311">
                  <c:v>4.3700693282333258</c:v>
                </c:pt>
                <c:pt idx="312">
                  <c:v>4.4025818790341864</c:v>
                </c:pt>
                <c:pt idx="313">
                  <c:v>4.435094429835047</c:v>
                </c:pt>
                <c:pt idx="314">
                  <c:v>4.4730257391027184</c:v>
                </c:pt>
                <c:pt idx="315">
                  <c:v>4.5055382899035781</c:v>
                </c:pt>
                <c:pt idx="316">
                  <c:v>4.5434695991712486</c:v>
                </c:pt>
                <c:pt idx="317">
                  <c:v>4.5814009084389191</c:v>
                </c:pt>
                <c:pt idx="318">
                  <c:v>4.6139134592397797</c:v>
                </c:pt>
                <c:pt idx="319">
                  <c:v>4.6464260100406412</c:v>
                </c:pt>
                <c:pt idx="320">
                  <c:v>4.6846760698063594</c:v>
                </c:pt>
                <c:pt idx="321">
                  <c:v>4.7226073790740299</c:v>
                </c:pt>
                <c:pt idx="322">
                  <c:v>4.7551199298748905</c:v>
                </c:pt>
                <c:pt idx="323">
                  <c:v>4.7876324806757511</c:v>
                </c:pt>
                <c:pt idx="324">
                  <c:v>4.8255637899434216</c:v>
                </c:pt>
                <c:pt idx="325">
                  <c:v>4.863495099211093</c:v>
                </c:pt>
                <c:pt idx="326">
                  <c:v>4.9014264084787635</c:v>
                </c:pt>
                <c:pt idx="327">
                  <c:v>4.9339389592796241</c:v>
                </c:pt>
                <c:pt idx="328">
                  <c:v>4.9718702685472946</c:v>
                </c:pt>
                <c:pt idx="329">
                  <c:v>5.0098015778149652</c:v>
                </c:pt>
                <c:pt idx="330">
                  <c:v>5.0477328870826366</c:v>
                </c:pt>
                <c:pt idx="331">
                  <c:v>5.0856641963503071</c:v>
                </c:pt>
                <c:pt idx="332">
                  <c:v>5.1235955056179776</c:v>
                </c:pt>
                <c:pt idx="333">
                  <c:v>5.161526814885649</c:v>
                </c:pt>
                <c:pt idx="334">
                  <c:v>5.1994581241533195</c:v>
                </c:pt>
                <c:pt idx="335">
                  <c:v>5.2377081839190378</c:v>
                </c:pt>
                <c:pt idx="336">
                  <c:v>5.2702207347198984</c:v>
                </c:pt>
                <c:pt idx="337">
                  <c:v>5.3027332855207598</c:v>
                </c:pt>
                <c:pt idx="338">
                  <c:v>5.3406645947884304</c:v>
                </c:pt>
                <c:pt idx="339">
                  <c:v>5.3785959040561009</c:v>
                </c:pt>
                <c:pt idx="340">
                  <c:v>5.4165272133237714</c:v>
                </c:pt>
                <c:pt idx="341">
                  <c:v>5.4490397641246311</c:v>
                </c:pt>
                <c:pt idx="342">
                  <c:v>5.4869710733923016</c:v>
                </c:pt>
                <c:pt idx="343">
                  <c:v>5.5194836241931631</c:v>
                </c:pt>
                <c:pt idx="344">
                  <c:v>5.5574149334608336</c:v>
                </c:pt>
                <c:pt idx="345">
                  <c:v>5.606183759662124</c:v>
                </c:pt>
                <c:pt idx="346">
                  <c:v>5.6549525858634162</c:v>
                </c:pt>
                <c:pt idx="347">
                  <c:v>5.6983026535978967</c:v>
                </c:pt>
                <c:pt idx="348">
                  <c:v>5.747071479799188</c:v>
                </c:pt>
                <c:pt idx="349">
                  <c:v>5.796159056498527</c:v>
                </c:pt>
                <c:pt idx="350">
                  <c:v>5.8395091242330066</c:v>
                </c:pt>
                <c:pt idx="351">
                  <c:v>5.888277950434297</c:v>
                </c:pt>
                <c:pt idx="352">
                  <c:v>5.9370467766355883</c:v>
                </c:pt>
                <c:pt idx="353">
                  <c:v>5.9803968443700697</c:v>
                </c:pt>
                <c:pt idx="354">
                  <c:v>6.0237469121045502</c:v>
                </c:pt>
                <c:pt idx="355">
                  <c:v>6.0725157383058415</c:v>
                </c:pt>
                <c:pt idx="356">
                  <c:v>6.1158658060403228</c:v>
                </c:pt>
                <c:pt idx="357">
                  <c:v>6.1592158737748033</c:v>
                </c:pt>
                <c:pt idx="358">
                  <c:v>6.2025659415092838</c:v>
                </c:pt>
                <c:pt idx="359">
                  <c:v>6.2513347677105751</c:v>
                </c:pt>
                <c:pt idx="360">
                  <c:v>6.3001035939118655</c:v>
                </c:pt>
                <c:pt idx="361">
                  <c:v>6.3437724121443946</c:v>
                </c:pt>
                <c:pt idx="362">
                  <c:v>6.387122479878875</c:v>
                </c:pt>
                <c:pt idx="363">
                  <c:v>6.4304725476133564</c:v>
                </c:pt>
                <c:pt idx="364">
                  <c:v>6.4738226153478369</c:v>
                </c:pt>
                <c:pt idx="365">
                  <c:v>6.5171726830823182</c:v>
                </c:pt>
                <c:pt idx="366">
                  <c:v>6.5605227508167987</c:v>
                </c:pt>
                <c:pt idx="367">
                  <c:v>6.60929157701809</c:v>
                </c:pt>
                <c:pt idx="368">
                  <c:v>6.6526416447525705</c:v>
                </c:pt>
                <c:pt idx="369">
                  <c:v>6.7014104709538609</c:v>
                </c:pt>
                <c:pt idx="370">
                  <c:v>6.7447605386883422</c:v>
                </c:pt>
                <c:pt idx="371">
                  <c:v>6.7881106064228227</c:v>
                </c:pt>
                <c:pt idx="372">
                  <c:v>6.836879432624114</c:v>
                </c:pt>
                <c:pt idx="373">
                  <c:v>6.8805482508566422</c:v>
                </c:pt>
                <c:pt idx="374">
                  <c:v>6.9293170770579327</c:v>
                </c:pt>
                <c:pt idx="375">
                  <c:v>6.972667144792414</c:v>
                </c:pt>
                <c:pt idx="376">
                  <c:v>7.0322734879273252</c:v>
                </c:pt>
                <c:pt idx="377">
                  <c:v>7.0864610725954256</c:v>
                </c:pt>
                <c:pt idx="378">
                  <c:v>7.1460674157303377</c:v>
                </c:pt>
                <c:pt idx="379">
                  <c:v>7.200255000398438</c:v>
                </c:pt>
                <c:pt idx="380">
                  <c:v>7.2598613435333492</c:v>
                </c:pt>
                <c:pt idx="381">
                  <c:v>7.3194676866682613</c:v>
                </c:pt>
                <c:pt idx="382">
                  <c:v>7.3790740298031716</c:v>
                </c:pt>
                <c:pt idx="383">
                  <c:v>7.4335803649693206</c:v>
                </c:pt>
                <c:pt idx="384">
                  <c:v>7.4931867081042327</c:v>
                </c:pt>
                <c:pt idx="385">
                  <c:v>7.5527930512391421</c:v>
                </c:pt>
                <c:pt idx="386">
                  <c:v>7.6123993943740542</c:v>
                </c:pt>
                <c:pt idx="387">
                  <c:v>7.6720057375089654</c:v>
                </c:pt>
                <c:pt idx="388">
                  <c:v>7.7316120806438766</c:v>
                </c:pt>
                <c:pt idx="389">
                  <c:v>7.7912184237787878</c:v>
                </c:pt>
                <c:pt idx="390">
                  <c:v>7.850824766913699</c:v>
                </c:pt>
                <c:pt idx="391">
                  <c:v>7.9104311100486102</c:v>
                </c:pt>
                <c:pt idx="392">
                  <c:v>7.9703562036815683</c:v>
                </c:pt>
                <c:pt idx="393">
                  <c:v>8.0299625468164795</c:v>
                </c:pt>
                <c:pt idx="394">
                  <c:v>8.0895688899513907</c:v>
                </c:pt>
                <c:pt idx="395">
                  <c:v>8.1437564746194919</c:v>
                </c:pt>
                <c:pt idx="396">
                  <c:v>8.2033628177544031</c:v>
                </c:pt>
                <c:pt idx="397">
                  <c:v>8.2629691608893143</c:v>
                </c:pt>
                <c:pt idx="398">
                  <c:v>8.3225755040242255</c:v>
                </c:pt>
                <c:pt idx="399">
                  <c:v>8.3821818471591385</c:v>
                </c:pt>
                <c:pt idx="400">
                  <c:v>8.4526257072276678</c:v>
                </c:pt>
                <c:pt idx="401">
                  <c:v>8.5179695593274367</c:v>
                </c:pt>
                <c:pt idx="402">
                  <c:v>8.5829946609291579</c:v>
                </c:pt>
                <c:pt idx="403">
                  <c:v>8.6588572794644989</c:v>
                </c:pt>
                <c:pt idx="404">
                  <c:v>8.7347198979998399</c:v>
                </c:pt>
                <c:pt idx="405">
                  <c:v>8.7997449996015611</c:v>
                </c:pt>
                <c:pt idx="406">
                  <c:v>8.8756076181369039</c:v>
                </c:pt>
                <c:pt idx="407">
                  <c:v>8.951470236672245</c:v>
                </c:pt>
                <c:pt idx="408">
                  <c:v>9.0164953382739661</c:v>
                </c:pt>
                <c:pt idx="409">
                  <c:v>9.0926767073073549</c:v>
                </c:pt>
                <c:pt idx="410">
                  <c:v>9.1685393258426977</c:v>
                </c:pt>
                <c:pt idx="411">
                  <c:v>9.2444019443780387</c:v>
                </c:pt>
                <c:pt idx="412">
                  <c:v>9.320264562913378</c:v>
                </c:pt>
                <c:pt idx="413">
                  <c:v>9.3852896645151009</c:v>
                </c:pt>
                <c:pt idx="414">
                  <c:v>9.4503147661168239</c:v>
                </c:pt>
                <c:pt idx="415">
                  <c:v>9.5153398677185432</c:v>
                </c:pt>
                <c:pt idx="416">
                  <c:v>9.5857837277870761</c:v>
                </c:pt>
                <c:pt idx="417">
                  <c:v>9.6511275798868432</c:v>
                </c:pt>
                <c:pt idx="418">
                  <c:v>9.7215714399553761</c:v>
                </c:pt>
                <c:pt idx="419">
                  <c:v>9.7974340584907171</c:v>
                </c:pt>
                <c:pt idx="420">
                  <c:v>9.8787154354928699</c:v>
                </c:pt>
                <c:pt idx="421">
                  <c:v>9.9599968124950209</c:v>
                </c:pt>
                <c:pt idx="422">
                  <c:v>10.046696947963982</c:v>
                </c:pt>
                <c:pt idx="423">
                  <c:v>10.127978324966135</c:v>
                </c:pt>
                <c:pt idx="424">
                  <c:v>10.209578452466333</c:v>
                </c:pt>
                <c:pt idx="425">
                  <c:v>10.290859829468484</c:v>
                </c:pt>
                <c:pt idx="426">
                  <c:v>10.377559964937445</c:v>
                </c:pt>
                <c:pt idx="427">
                  <c:v>10.458841341939598</c:v>
                </c:pt>
                <c:pt idx="428">
                  <c:v>10.534703960474937</c:v>
                </c:pt>
                <c:pt idx="429">
                  <c:v>10.621404095943902</c:v>
                </c:pt>
                <c:pt idx="430">
                  <c:v>10.708422981910909</c:v>
                </c:pt>
                <c:pt idx="431">
                  <c:v>10.795123117379871</c:v>
                </c:pt>
                <c:pt idx="432">
                  <c:v>10.881823252848832</c:v>
                </c:pt>
                <c:pt idx="433">
                  <c:v>10.968523388317795</c:v>
                </c:pt>
                <c:pt idx="434">
                  <c:v>11.055223523786756</c:v>
                </c:pt>
                <c:pt idx="435">
                  <c:v>11.131086142322097</c:v>
                </c:pt>
                <c:pt idx="436">
                  <c:v>11.22320503625787</c:v>
                </c:pt>
                <c:pt idx="437">
                  <c:v>11.31564268069169</c:v>
                </c:pt>
                <c:pt idx="438">
                  <c:v>11.407761574627461</c:v>
                </c:pt>
                <c:pt idx="439">
                  <c:v>11.499880468563232</c:v>
                </c:pt>
                <c:pt idx="440">
                  <c:v>11.591999362499005</c:v>
                </c:pt>
                <c:pt idx="441">
                  <c:v>11.689537014901587</c:v>
                </c:pt>
                <c:pt idx="442">
                  <c:v>11.781655908837358</c:v>
                </c:pt>
                <c:pt idx="443">
                  <c:v>11.879512311737988</c:v>
                </c:pt>
                <c:pt idx="444">
                  <c:v>11.971631205673759</c:v>
                </c:pt>
                <c:pt idx="445">
                  <c:v>12.069168858076342</c:v>
                </c:pt>
                <c:pt idx="446">
                  <c:v>12.166706510478923</c:v>
                </c:pt>
                <c:pt idx="447">
                  <c:v>12.264244162881505</c:v>
                </c:pt>
                <c:pt idx="448">
                  <c:v>12.356681807315326</c:v>
                </c:pt>
                <c:pt idx="449">
                  <c:v>12.454219459717907</c:v>
                </c:pt>
                <c:pt idx="450">
                  <c:v>12.551757112120487</c:v>
                </c:pt>
                <c:pt idx="451">
                  <c:v>12.66013228145669</c:v>
                </c:pt>
                <c:pt idx="452">
                  <c:v>12.757669933859273</c:v>
                </c:pt>
                <c:pt idx="453">
                  <c:v>12.855207586261855</c:v>
                </c:pt>
                <c:pt idx="454">
                  <c:v>12.953063989162484</c:v>
                </c:pt>
                <c:pt idx="455">
                  <c:v>13.061439158498686</c:v>
                </c:pt>
                <c:pt idx="456">
                  <c:v>13.158976810901267</c:v>
                </c:pt>
                <c:pt idx="457">
                  <c:v>13.25651446330385</c:v>
                </c:pt>
                <c:pt idx="458">
                  <c:v>13.35405211570643</c:v>
                </c:pt>
                <c:pt idx="459">
                  <c:v>13.451908518607061</c:v>
                </c:pt>
                <c:pt idx="460">
                  <c:v>13.549446171009643</c:v>
                </c:pt>
                <c:pt idx="461">
                  <c:v>13.646983823412224</c:v>
                </c:pt>
                <c:pt idx="462">
                  <c:v>13.744521475814807</c:v>
                </c:pt>
                <c:pt idx="463">
                  <c:v>13.852896645151009</c:v>
                </c:pt>
                <c:pt idx="464">
                  <c:v>13.950434297553592</c:v>
                </c:pt>
                <c:pt idx="465">
                  <c:v>14.06454697585465</c:v>
                </c:pt>
                <c:pt idx="466">
                  <c:v>14.178340903657663</c:v>
                </c:pt>
                <c:pt idx="467">
                  <c:v>14.297553589927485</c:v>
                </c:pt>
                <c:pt idx="468">
                  <c:v>14.416766276197309</c:v>
                </c:pt>
                <c:pt idx="469">
                  <c:v>14.535978962467128</c:v>
                </c:pt>
                <c:pt idx="470">
                  <c:v>14.655510399234998</c:v>
                </c:pt>
                <c:pt idx="471">
                  <c:v>14.774723085504821</c:v>
                </c:pt>
                <c:pt idx="472">
                  <c:v>14.883098254841023</c:v>
                </c:pt>
                <c:pt idx="473">
                  <c:v>15.002310941110848</c:v>
                </c:pt>
                <c:pt idx="474">
                  <c:v>15.111004860945096</c:v>
                </c:pt>
                <c:pt idx="475">
                  <c:v>15.23563630568173</c:v>
                </c:pt>
                <c:pt idx="476">
                  <c:v>15.354848991951551</c:v>
                </c:pt>
                <c:pt idx="477">
                  <c:v>15.479480436688183</c:v>
                </c:pt>
                <c:pt idx="478">
                  <c:v>15.604111881424817</c:v>
                </c:pt>
                <c:pt idx="479">
                  <c:v>15.729062076659496</c:v>
                </c:pt>
                <c:pt idx="480">
                  <c:v>15.859112279862938</c:v>
                </c:pt>
                <c:pt idx="481">
                  <c:v>15.98374372459957</c:v>
                </c:pt>
                <c:pt idx="482">
                  <c:v>16.108375169336203</c:v>
                </c:pt>
                <c:pt idx="483">
                  <c:v>16.233325364570881</c:v>
                </c:pt>
                <c:pt idx="484">
                  <c:v>16.363375567774327</c:v>
                </c:pt>
                <c:pt idx="485">
                  <c:v>16.488007012510955</c:v>
                </c:pt>
                <c:pt idx="486">
                  <c:v>16.612638457247588</c:v>
                </c:pt>
                <c:pt idx="487">
                  <c:v>16.74300741094908</c:v>
                </c:pt>
                <c:pt idx="488">
                  <c:v>16.873057614152525</c:v>
                </c:pt>
                <c:pt idx="489">
                  <c:v>17.019364092756398</c:v>
                </c:pt>
                <c:pt idx="490">
                  <c:v>17.149414295959836</c:v>
                </c:pt>
                <c:pt idx="491">
                  <c:v>17.290620766594952</c:v>
                </c:pt>
                <c:pt idx="492">
                  <c:v>17.426089728265204</c:v>
                </c:pt>
                <c:pt idx="493">
                  <c:v>17.561558689935456</c:v>
                </c:pt>
                <c:pt idx="494">
                  <c:v>17.697027651605708</c:v>
                </c:pt>
                <c:pt idx="495">
                  <c:v>17.83281536377401</c:v>
                </c:pt>
                <c:pt idx="496">
                  <c:v>17.968284325444262</c:v>
                </c:pt>
                <c:pt idx="497">
                  <c:v>18.103753287114511</c:v>
                </c:pt>
                <c:pt idx="498">
                  <c:v>18.260897282652007</c:v>
                </c:pt>
                <c:pt idx="499">
                  <c:v>18.412941270220735</c:v>
                </c:pt>
                <c:pt idx="500">
                  <c:v>18.57008526575823</c:v>
                </c:pt>
                <c:pt idx="501">
                  <c:v>18.721810502828912</c:v>
                </c:pt>
                <c:pt idx="502">
                  <c:v>18.873535739899594</c:v>
                </c:pt>
                <c:pt idx="503">
                  <c:v>19.025579727468326</c:v>
                </c:pt>
                <c:pt idx="504">
                  <c:v>19.182723723005818</c:v>
                </c:pt>
                <c:pt idx="505">
                  <c:v>19.334448960076504</c:v>
                </c:pt>
                <c:pt idx="506">
                  <c:v>19.475336680213562</c:v>
                </c:pt>
                <c:pt idx="507">
                  <c:v>19.6327994262491</c:v>
                </c:pt>
                <c:pt idx="508">
                  <c:v>19.78452466331979</c:v>
                </c:pt>
                <c:pt idx="509">
                  <c:v>19.936249900390472</c:v>
                </c:pt>
                <c:pt idx="510">
                  <c:v>20.09913140489282</c:v>
                </c:pt>
                <c:pt idx="511">
                  <c:v>20.256275400430315</c:v>
                </c:pt>
                <c:pt idx="512">
                  <c:v>20.408000637500997</c:v>
                </c:pt>
                <c:pt idx="513">
                  <c:v>20.565144633038486</c:v>
                </c:pt>
                <c:pt idx="514">
                  <c:v>20.717188620607224</c:v>
                </c:pt>
                <c:pt idx="515">
                  <c:v>20.874332616144713</c:v>
                </c:pt>
                <c:pt idx="516">
                  <c:v>21.053151645549445</c:v>
                </c:pt>
                <c:pt idx="517">
                  <c:v>21.23228942545223</c:v>
                </c:pt>
                <c:pt idx="518">
                  <c:v>21.405689696390152</c:v>
                </c:pt>
                <c:pt idx="519">
                  <c:v>21.584508725794887</c:v>
                </c:pt>
                <c:pt idx="520">
                  <c:v>21.763646505697665</c:v>
                </c:pt>
                <c:pt idx="521">
                  <c:v>21.9424655351024</c:v>
                </c:pt>
                <c:pt idx="522">
                  <c:v>22.105028289106706</c:v>
                </c:pt>
                <c:pt idx="523">
                  <c:v>22.284166069009483</c:v>
                </c:pt>
                <c:pt idx="524">
                  <c:v>22.462985098414219</c:v>
                </c:pt>
                <c:pt idx="525">
                  <c:v>22.641804127818954</c:v>
                </c:pt>
                <c:pt idx="526">
                  <c:v>22.826360666188542</c:v>
                </c:pt>
                <c:pt idx="527">
                  <c:v>23.016017212526897</c:v>
                </c:pt>
                <c:pt idx="528">
                  <c:v>23.200255000398439</c:v>
                </c:pt>
                <c:pt idx="529">
                  <c:v>23.39023029723484</c:v>
                </c:pt>
                <c:pt idx="530">
                  <c:v>23.579886843573195</c:v>
                </c:pt>
                <c:pt idx="531">
                  <c:v>23.764124631444737</c:v>
                </c:pt>
                <c:pt idx="532">
                  <c:v>23.954099928281138</c:v>
                </c:pt>
                <c:pt idx="533">
                  <c:v>24.149175233086304</c:v>
                </c:pt>
                <c:pt idx="534">
                  <c:v>24.338831779424659</c:v>
                </c:pt>
                <c:pt idx="535">
                  <c:v>24.53422583472787</c:v>
                </c:pt>
                <c:pt idx="536">
                  <c:v>24.734719897999842</c:v>
                </c:pt>
                <c:pt idx="537">
                  <c:v>24.935213961271813</c:v>
                </c:pt>
                <c:pt idx="538">
                  <c:v>25.136026775041838</c:v>
                </c:pt>
                <c:pt idx="539">
                  <c:v>25.331102079847003</c:v>
                </c:pt>
                <c:pt idx="540">
                  <c:v>25.531914893617024</c:v>
                </c:pt>
                <c:pt idx="541">
                  <c:v>25.726990198422186</c:v>
                </c:pt>
                <c:pt idx="542">
                  <c:v>25.927484261694158</c:v>
                </c:pt>
                <c:pt idx="543">
                  <c:v>26.133715833930992</c:v>
                </c:pt>
                <c:pt idx="544">
                  <c:v>26.328791138736154</c:v>
                </c:pt>
                <c:pt idx="545">
                  <c:v>26.529285202008129</c:v>
                </c:pt>
                <c:pt idx="546">
                  <c:v>26.75177304964539</c:v>
                </c:pt>
                <c:pt idx="547">
                  <c:v>26.973942146784609</c:v>
                </c:pt>
                <c:pt idx="548">
                  <c:v>27.191011235955056</c:v>
                </c:pt>
                <c:pt idx="549">
                  <c:v>27.413180333094274</c:v>
                </c:pt>
                <c:pt idx="550">
                  <c:v>27.629930671766676</c:v>
                </c:pt>
                <c:pt idx="551">
                  <c:v>27.852418519403937</c:v>
                </c:pt>
                <c:pt idx="552">
                  <c:v>28.069168858076342</c:v>
                </c:pt>
                <c:pt idx="553">
                  <c:v>28.291656705713606</c:v>
                </c:pt>
                <c:pt idx="554">
                  <c:v>28.513825802852818</c:v>
                </c:pt>
                <c:pt idx="555">
                  <c:v>28.735994899992033</c:v>
                </c:pt>
                <c:pt idx="556">
                  <c:v>28.963901506096104</c:v>
                </c:pt>
                <c:pt idx="557">
                  <c:v>29.186070603235319</c:v>
                </c:pt>
                <c:pt idx="558">
                  <c:v>29.430233484739823</c:v>
                </c:pt>
                <c:pt idx="559">
                  <c:v>29.657821340345848</c:v>
                </c:pt>
                <c:pt idx="560">
                  <c:v>29.901665471352302</c:v>
                </c:pt>
                <c:pt idx="561">
                  <c:v>30.140409594389993</c:v>
                </c:pt>
                <c:pt idx="562">
                  <c:v>30.389672483863258</c:v>
                </c:pt>
                <c:pt idx="563">
                  <c:v>30.628416606900949</c:v>
                </c:pt>
                <c:pt idx="564">
                  <c:v>30.883098254841027</c:v>
                </c:pt>
                <c:pt idx="565">
                  <c:v>31.132679894812338</c:v>
                </c:pt>
                <c:pt idx="566">
                  <c:v>31.387361542752416</c:v>
                </c:pt>
                <c:pt idx="567">
                  <c:v>31.636943182723723</c:v>
                </c:pt>
                <c:pt idx="568">
                  <c:v>31.887799824687228</c:v>
                </c:pt>
                <c:pt idx="569">
                  <c:v>32.139612718144875</c:v>
                </c:pt>
                <c:pt idx="570">
                  <c:v>32.40098812654395</c:v>
                </c:pt>
                <c:pt idx="571">
                  <c:v>32.655988524982071</c:v>
                </c:pt>
                <c:pt idx="572">
                  <c:v>32.910988923420192</c:v>
                </c:pt>
                <c:pt idx="573">
                  <c:v>33.159614311897364</c:v>
                </c:pt>
                <c:pt idx="574">
                  <c:v>33.414614710335485</c:v>
                </c:pt>
                <c:pt idx="575">
                  <c:v>33.691927643636944</c:v>
                </c:pt>
                <c:pt idx="576">
                  <c:v>33.969240576938404</c:v>
                </c:pt>
                <c:pt idx="577">
                  <c:v>34.243366005259389</c:v>
                </c:pt>
                <c:pt idx="578">
                  <c:v>34.520678938560842</c:v>
                </c:pt>
                <c:pt idx="579">
                  <c:v>34.797991871862301</c:v>
                </c:pt>
                <c:pt idx="580">
                  <c:v>35.075304805163761</c:v>
                </c:pt>
                <c:pt idx="581">
                  <c:v>35.349430233484746</c:v>
                </c:pt>
                <c:pt idx="582">
                  <c:v>35.620368156825243</c:v>
                </c:pt>
                <c:pt idx="583">
                  <c:v>35.89768109012671</c:v>
                </c:pt>
                <c:pt idx="584">
                  <c:v>36.181369033389117</c:v>
                </c:pt>
                <c:pt idx="585">
                  <c:v>36.477806996573442</c:v>
                </c:pt>
                <c:pt idx="586">
                  <c:v>36.783807474699181</c:v>
                </c:pt>
                <c:pt idx="587">
                  <c:v>37.086620447844453</c:v>
                </c:pt>
                <c:pt idx="588">
                  <c:v>37.383058411028763</c:v>
                </c:pt>
                <c:pt idx="589">
                  <c:v>37.682683879193569</c:v>
                </c:pt>
                <c:pt idx="590">
                  <c:v>37.979121842377879</c:v>
                </c:pt>
                <c:pt idx="591">
                  <c:v>38.285122320503625</c:v>
                </c:pt>
                <c:pt idx="592">
                  <c:v>38.587935293648897</c:v>
                </c:pt>
                <c:pt idx="593">
                  <c:v>38.884373256833221</c:v>
                </c:pt>
                <c:pt idx="594">
                  <c:v>39.19037373495896</c:v>
                </c:pt>
                <c:pt idx="595">
                  <c:v>39.493186708104233</c:v>
                </c:pt>
                <c:pt idx="596">
                  <c:v>39.795999681249505</c:v>
                </c:pt>
                <c:pt idx="597">
                  <c:v>40.105187664355732</c:v>
                </c:pt>
                <c:pt idx="598">
                  <c:v>40.414375647461952</c:v>
                </c:pt>
                <c:pt idx="599">
                  <c:v>40.752251175392466</c:v>
                </c:pt>
                <c:pt idx="600">
                  <c:v>41.086939198342499</c:v>
                </c:pt>
                <c:pt idx="601">
                  <c:v>41.424814726273006</c:v>
                </c:pt>
                <c:pt idx="602">
                  <c:v>41.737190214359714</c:v>
                </c:pt>
                <c:pt idx="603">
                  <c:v>42.075065742290221</c:v>
                </c:pt>
                <c:pt idx="604">
                  <c:v>42.409753765240261</c:v>
                </c:pt>
                <c:pt idx="605">
                  <c:v>42.74125428320982</c:v>
                </c:pt>
                <c:pt idx="606">
                  <c:v>43.07594230615986</c:v>
                </c:pt>
                <c:pt idx="607">
                  <c:v>43.420192844051321</c:v>
                </c:pt>
                <c:pt idx="608">
                  <c:v>43.777193401864693</c:v>
                </c:pt>
                <c:pt idx="609">
                  <c:v>44.12781894971711</c:v>
                </c:pt>
                <c:pt idx="610">
                  <c:v>44.481632002550008</c:v>
                </c:pt>
                <c:pt idx="611">
                  <c:v>44.845007570324334</c:v>
                </c:pt>
                <c:pt idx="612">
                  <c:v>45.208383138098654</c:v>
                </c:pt>
                <c:pt idx="613">
                  <c:v>45.555821180970604</c:v>
                </c:pt>
                <c:pt idx="614">
                  <c:v>45.922384253725404</c:v>
                </c:pt>
                <c:pt idx="615">
                  <c:v>46.285759821499717</c:v>
                </c:pt>
                <c:pt idx="616">
                  <c:v>46.661885409195961</c:v>
                </c:pt>
                <c:pt idx="617">
                  <c:v>47.028448481950761</c:v>
                </c:pt>
                <c:pt idx="618">
                  <c:v>47.398199059686036</c:v>
                </c:pt>
                <c:pt idx="619">
                  <c:v>47.76794963742131</c:v>
                </c:pt>
                <c:pt idx="620">
                  <c:v>48.147262730098014</c:v>
                </c:pt>
                <c:pt idx="621">
                  <c:v>48.520200812813776</c:v>
                </c:pt>
                <c:pt idx="622">
                  <c:v>48.896326400510006</c:v>
                </c:pt>
                <c:pt idx="623">
                  <c:v>49.291577018089093</c:v>
                </c:pt>
                <c:pt idx="624">
                  <c:v>49.674077615746285</c:v>
                </c:pt>
                <c:pt idx="625">
                  <c:v>50.059765718383936</c:v>
                </c:pt>
                <c:pt idx="626">
                  <c:v>50.461391345923978</c:v>
                </c:pt>
                <c:pt idx="627">
                  <c:v>50.863016973464028</c:v>
                </c:pt>
                <c:pt idx="628">
                  <c:v>51.264642601004063</c:v>
                </c:pt>
                <c:pt idx="629">
                  <c:v>51.666268228544119</c:v>
                </c:pt>
                <c:pt idx="630">
                  <c:v>52.083831380986531</c:v>
                </c:pt>
                <c:pt idx="631">
                  <c:v>52.495019523468009</c:v>
                </c:pt>
                <c:pt idx="632">
                  <c:v>52.912582675910436</c:v>
                </c:pt>
                <c:pt idx="633">
                  <c:v>53.323770818391914</c:v>
                </c:pt>
                <c:pt idx="634">
                  <c:v>53.757271495736717</c:v>
                </c:pt>
                <c:pt idx="635">
                  <c:v>54.187584668101053</c:v>
                </c:pt>
                <c:pt idx="636">
                  <c:v>54.614710335484908</c:v>
                </c:pt>
                <c:pt idx="637">
                  <c:v>55.038648497888282</c:v>
                </c:pt>
                <c:pt idx="638">
                  <c:v>55.472149175233092</c:v>
                </c:pt>
                <c:pt idx="639">
                  <c:v>55.905649852577902</c:v>
                </c:pt>
                <c:pt idx="640">
                  <c:v>56.34552553988366</c:v>
                </c:pt>
                <c:pt idx="641">
                  <c:v>56.794963742130847</c:v>
                </c:pt>
                <c:pt idx="642">
                  <c:v>57.228464419475657</c:v>
                </c:pt>
                <c:pt idx="643">
                  <c:v>57.677902621722851</c:v>
                </c:pt>
                <c:pt idx="644">
                  <c:v>58.127340823970037</c:v>
                </c:pt>
                <c:pt idx="645">
                  <c:v>58.583154036178186</c:v>
                </c:pt>
                <c:pt idx="646">
                  <c:v>59.038967248386328</c:v>
                </c:pt>
                <c:pt idx="647">
                  <c:v>59.504342975535899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3-4EEE-A882-7EFB1DB560F0}"/>
            </c:ext>
          </c:extLst>
        </c:ser>
        <c:ser>
          <c:idx val="1"/>
          <c:order val="1"/>
          <c:tx>
            <c:strRef>
              <c:f>{"A12-2"}</c:f>
              <c:strCache>
                <c:ptCount val="1"/>
                <c:pt idx="0">
                  <c:v>A12-2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'A12-1'!$C$2:$C$649</c:f>
              <c:numCache>
                <c:formatCode>0.00</c:formatCode>
                <c:ptCount val="648"/>
                <c:pt idx="0">
                  <c:v>0</c:v>
                </c:pt>
                <c:pt idx="1">
                  <c:v>6.9310000000000005E-3</c:v>
                </c:pt>
                <c:pt idx="2">
                  <c:v>6.9849999999999999E-3</c:v>
                </c:pt>
                <c:pt idx="3">
                  <c:v>7.0408000000000007E-3</c:v>
                </c:pt>
                <c:pt idx="4">
                  <c:v>7.0965999999999998E-3</c:v>
                </c:pt>
                <c:pt idx="5">
                  <c:v>7.1506E-3</c:v>
                </c:pt>
                <c:pt idx="6">
                  <c:v>7.2063999999999991E-3</c:v>
                </c:pt>
                <c:pt idx="7">
                  <c:v>7.2621999999999999E-3</c:v>
                </c:pt>
                <c:pt idx="8">
                  <c:v>7.3179999999999999E-3</c:v>
                </c:pt>
                <c:pt idx="9">
                  <c:v>7.3740000000000003E-3</c:v>
                </c:pt>
                <c:pt idx="10">
                  <c:v>7.4297999999999994E-3</c:v>
                </c:pt>
                <c:pt idx="11">
                  <c:v>7.5116000000000002E-3</c:v>
                </c:pt>
                <c:pt idx="12">
                  <c:v>7.5953999999999995E-3</c:v>
                </c:pt>
                <c:pt idx="13">
                  <c:v>7.6792000000000006E-3</c:v>
                </c:pt>
                <c:pt idx="14">
                  <c:v>7.7627999999999994E-3</c:v>
                </c:pt>
                <c:pt idx="15">
                  <c:v>7.8466000000000004E-3</c:v>
                </c:pt>
                <c:pt idx="16">
                  <c:v>7.9286000000000009E-3</c:v>
                </c:pt>
                <c:pt idx="17">
                  <c:v>8.0122000000000006E-3</c:v>
                </c:pt>
                <c:pt idx="18">
                  <c:v>8.094200000000001E-3</c:v>
                </c:pt>
                <c:pt idx="19">
                  <c:v>8.179800000000001E-3</c:v>
                </c:pt>
                <c:pt idx="20">
                  <c:v>8.2616000000000009E-3</c:v>
                </c:pt>
                <c:pt idx="21">
                  <c:v>8.3453999999999993E-3</c:v>
                </c:pt>
                <c:pt idx="22">
                  <c:v>8.4291999999999995E-3</c:v>
                </c:pt>
                <c:pt idx="23">
                  <c:v>8.5109999999999995E-3</c:v>
                </c:pt>
                <c:pt idx="24">
                  <c:v>8.5965999999999994E-3</c:v>
                </c:pt>
                <c:pt idx="25">
                  <c:v>8.6803999999999996E-3</c:v>
                </c:pt>
                <c:pt idx="26">
                  <c:v>8.7624E-3</c:v>
                </c:pt>
                <c:pt idx="27">
                  <c:v>8.8459999999999997E-3</c:v>
                </c:pt>
                <c:pt idx="28">
                  <c:v>8.9280000000000002E-3</c:v>
                </c:pt>
                <c:pt idx="29">
                  <c:v>9.0118000000000004E-3</c:v>
                </c:pt>
                <c:pt idx="30">
                  <c:v>9.0974000000000003E-3</c:v>
                </c:pt>
                <c:pt idx="31">
                  <c:v>9.1792000000000002E-3</c:v>
                </c:pt>
                <c:pt idx="32">
                  <c:v>9.2630000000000004E-3</c:v>
                </c:pt>
                <c:pt idx="33">
                  <c:v>9.3448000000000003E-3</c:v>
                </c:pt>
                <c:pt idx="34">
                  <c:v>9.4286000000000005E-3</c:v>
                </c:pt>
                <c:pt idx="35">
                  <c:v>9.512399999999999E-3</c:v>
                </c:pt>
                <c:pt idx="36">
                  <c:v>9.5962000000000009E-3</c:v>
                </c:pt>
                <c:pt idx="37">
                  <c:v>9.6797999999999988E-3</c:v>
                </c:pt>
                <c:pt idx="38">
                  <c:v>9.761800000000001E-3</c:v>
                </c:pt>
                <c:pt idx="39">
                  <c:v>9.8455999999999995E-3</c:v>
                </c:pt>
                <c:pt idx="40">
                  <c:v>9.9292000000000009E-3</c:v>
                </c:pt>
                <c:pt idx="41">
                  <c:v>1.0013000000000001E-2</c:v>
                </c:pt>
                <c:pt idx="42">
                  <c:v>1.0095E-2</c:v>
                </c:pt>
                <c:pt idx="43">
                  <c:v>1.0178599999999999E-2</c:v>
                </c:pt>
                <c:pt idx="44">
                  <c:v>1.02606E-2</c:v>
                </c:pt>
                <c:pt idx="45">
                  <c:v>1.0346200000000002E-2</c:v>
                </c:pt>
                <c:pt idx="46">
                  <c:v>1.043E-2</c:v>
                </c:pt>
                <c:pt idx="47">
                  <c:v>1.0513600000000001E-2</c:v>
                </c:pt>
                <c:pt idx="48">
                  <c:v>1.05956E-2</c:v>
                </c:pt>
                <c:pt idx="49">
                  <c:v>1.0679399999999999E-2</c:v>
                </c:pt>
                <c:pt idx="50">
                  <c:v>1.0763E-2</c:v>
                </c:pt>
                <c:pt idx="51">
                  <c:v>1.08468E-2</c:v>
                </c:pt>
                <c:pt idx="52">
                  <c:v>1.0958600000000001E-2</c:v>
                </c:pt>
                <c:pt idx="53">
                  <c:v>1.1068400000000001E-2</c:v>
                </c:pt>
                <c:pt idx="54">
                  <c:v>1.1178200000000001E-2</c:v>
                </c:pt>
                <c:pt idx="55">
                  <c:v>1.1263799999999999E-2</c:v>
                </c:pt>
                <c:pt idx="56">
                  <c:v>1.1373599999999999E-2</c:v>
                </c:pt>
                <c:pt idx="57">
                  <c:v>1.1485199999999999E-2</c:v>
                </c:pt>
                <c:pt idx="58">
                  <c:v>1.1596800000000001E-2</c:v>
                </c:pt>
                <c:pt idx="59">
                  <c:v>1.1706600000000001E-2</c:v>
                </c:pt>
                <c:pt idx="60">
                  <c:v>1.18166E-2</c:v>
                </c:pt>
                <c:pt idx="61">
                  <c:v>1.19282E-2</c:v>
                </c:pt>
                <c:pt idx="62">
                  <c:v>1.20398E-2</c:v>
                </c:pt>
                <c:pt idx="63">
                  <c:v>1.21516E-2</c:v>
                </c:pt>
                <c:pt idx="64">
                  <c:v>1.22614E-2</c:v>
                </c:pt>
                <c:pt idx="65">
                  <c:v>1.2374799999999998E-2</c:v>
                </c:pt>
                <c:pt idx="66">
                  <c:v>1.24866E-2</c:v>
                </c:pt>
                <c:pt idx="67">
                  <c:v>1.2596400000000001E-2</c:v>
                </c:pt>
                <c:pt idx="68">
                  <c:v>1.2707999999999999E-2</c:v>
                </c:pt>
                <c:pt idx="69">
                  <c:v>1.28196E-2</c:v>
                </c:pt>
                <c:pt idx="70">
                  <c:v>1.2929400000000001E-2</c:v>
                </c:pt>
                <c:pt idx="71">
                  <c:v>1.3039199999999999E-2</c:v>
                </c:pt>
                <c:pt idx="72">
                  <c:v>1.3150999999999999E-2</c:v>
                </c:pt>
                <c:pt idx="73">
                  <c:v>1.3262599999999999E-2</c:v>
                </c:pt>
                <c:pt idx="74">
                  <c:v>1.33724E-2</c:v>
                </c:pt>
                <c:pt idx="75">
                  <c:v>1.34842E-2</c:v>
                </c:pt>
                <c:pt idx="76">
                  <c:v>1.35958E-2</c:v>
                </c:pt>
                <c:pt idx="77">
                  <c:v>1.37056E-2</c:v>
                </c:pt>
                <c:pt idx="78">
                  <c:v>1.38172E-2</c:v>
                </c:pt>
                <c:pt idx="79">
                  <c:v>1.3929E-2</c:v>
                </c:pt>
                <c:pt idx="80">
                  <c:v>1.40406E-2</c:v>
                </c:pt>
                <c:pt idx="81">
                  <c:v>1.4152199999999998E-2</c:v>
                </c:pt>
                <c:pt idx="82">
                  <c:v>1.4263999999999999E-2</c:v>
                </c:pt>
                <c:pt idx="83">
                  <c:v>1.4375599999999999E-2</c:v>
                </c:pt>
                <c:pt idx="84">
                  <c:v>1.4511400000000001E-2</c:v>
                </c:pt>
                <c:pt idx="85">
                  <c:v>1.4651000000000001E-2</c:v>
                </c:pt>
                <c:pt idx="86">
                  <c:v>1.4790600000000001E-2</c:v>
                </c:pt>
                <c:pt idx="87">
                  <c:v>1.49284E-2</c:v>
                </c:pt>
                <c:pt idx="88">
                  <c:v>1.5068E-2</c:v>
                </c:pt>
                <c:pt idx="89">
                  <c:v>1.5207599999999998E-2</c:v>
                </c:pt>
                <c:pt idx="90">
                  <c:v>1.5345200000000002E-2</c:v>
                </c:pt>
                <c:pt idx="91">
                  <c:v>1.54848E-2</c:v>
                </c:pt>
                <c:pt idx="92">
                  <c:v>1.56244E-2</c:v>
                </c:pt>
                <c:pt idx="93">
                  <c:v>1.5762200000000001E-2</c:v>
                </c:pt>
                <c:pt idx="94">
                  <c:v>1.5901800000000001E-2</c:v>
                </c:pt>
                <c:pt idx="95">
                  <c:v>1.6041399999999997E-2</c:v>
                </c:pt>
                <c:pt idx="96">
                  <c:v>1.6178999999999999E-2</c:v>
                </c:pt>
                <c:pt idx="97">
                  <c:v>1.6318600000000003E-2</c:v>
                </c:pt>
                <c:pt idx="98">
                  <c:v>1.64564E-2</c:v>
                </c:pt>
                <c:pt idx="99">
                  <c:v>1.6596E-2</c:v>
                </c:pt>
                <c:pt idx="100">
                  <c:v>1.67356E-2</c:v>
                </c:pt>
                <c:pt idx="101">
                  <c:v>1.6873199999999998E-2</c:v>
                </c:pt>
                <c:pt idx="102">
                  <c:v>1.7012799999999998E-2</c:v>
                </c:pt>
                <c:pt idx="103">
                  <c:v>1.7152400000000002E-2</c:v>
                </c:pt>
                <c:pt idx="104">
                  <c:v>1.7290199999999999E-2</c:v>
                </c:pt>
                <c:pt idx="105">
                  <c:v>1.7427999999999999E-2</c:v>
                </c:pt>
                <c:pt idx="106">
                  <c:v>1.75674E-2</c:v>
                </c:pt>
                <c:pt idx="107">
                  <c:v>1.7705200000000001E-2</c:v>
                </c:pt>
                <c:pt idx="108">
                  <c:v>1.7846600000000001E-2</c:v>
                </c:pt>
                <c:pt idx="109">
                  <c:v>1.7986200000000001E-2</c:v>
                </c:pt>
                <c:pt idx="110">
                  <c:v>1.8149999999999999E-2</c:v>
                </c:pt>
                <c:pt idx="111">
                  <c:v>1.8291399999999999E-2</c:v>
                </c:pt>
                <c:pt idx="112">
                  <c:v>1.84572E-2</c:v>
                </c:pt>
                <c:pt idx="113">
                  <c:v>1.8622799999999998E-2</c:v>
                </c:pt>
                <c:pt idx="114">
                  <c:v>1.87902E-2</c:v>
                </c:pt>
                <c:pt idx="115">
                  <c:v>1.8956000000000001E-2</c:v>
                </c:pt>
                <c:pt idx="116">
                  <c:v>1.9123399999999999E-2</c:v>
                </c:pt>
                <c:pt idx="117">
                  <c:v>1.9289000000000001E-2</c:v>
                </c:pt>
                <c:pt idx="118">
                  <c:v>1.9456600000000001E-2</c:v>
                </c:pt>
                <c:pt idx="119">
                  <c:v>1.9623999999999999E-2</c:v>
                </c:pt>
                <c:pt idx="120">
                  <c:v>1.97898E-2</c:v>
                </c:pt>
                <c:pt idx="121">
                  <c:v>1.9959000000000001E-2</c:v>
                </c:pt>
                <c:pt idx="122">
                  <c:v>2.0122000000000001E-2</c:v>
                </c:pt>
                <c:pt idx="123">
                  <c:v>2.0289999999999999E-2</c:v>
                </c:pt>
                <c:pt idx="124">
                  <c:v>2.0457999999999997E-2</c:v>
                </c:pt>
                <c:pt idx="125">
                  <c:v>2.0623999999999997E-2</c:v>
                </c:pt>
                <c:pt idx="126">
                  <c:v>2.0792000000000001E-2</c:v>
                </c:pt>
                <c:pt idx="127">
                  <c:v>2.0956000000000002E-2</c:v>
                </c:pt>
                <c:pt idx="128">
                  <c:v>2.1122000000000002E-2</c:v>
                </c:pt>
                <c:pt idx="129">
                  <c:v>2.129E-2</c:v>
                </c:pt>
                <c:pt idx="130">
                  <c:v>2.1455999999999999E-2</c:v>
                </c:pt>
                <c:pt idx="131">
                  <c:v>2.1623999999999997E-2</c:v>
                </c:pt>
                <c:pt idx="132">
                  <c:v>2.1791999999999999E-2</c:v>
                </c:pt>
                <c:pt idx="133">
                  <c:v>2.1984E-2</c:v>
                </c:pt>
                <c:pt idx="134">
                  <c:v>2.2179999999999998E-2</c:v>
                </c:pt>
                <c:pt idx="135">
                  <c:v>2.2374000000000002E-2</c:v>
                </c:pt>
                <c:pt idx="136">
                  <c:v>2.2568000000000001E-2</c:v>
                </c:pt>
                <c:pt idx="137">
                  <c:v>2.2761999999999998E-2</c:v>
                </c:pt>
                <c:pt idx="138">
                  <c:v>2.2930000000000002E-2</c:v>
                </c:pt>
                <c:pt idx="139">
                  <c:v>2.3123999999999999E-2</c:v>
                </c:pt>
                <c:pt idx="140">
                  <c:v>2.3316E-2</c:v>
                </c:pt>
                <c:pt idx="141">
                  <c:v>2.3485999999999996E-2</c:v>
                </c:pt>
                <c:pt idx="142">
                  <c:v>2.368E-2</c:v>
                </c:pt>
                <c:pt idx="143">
                  <c:v>2.3845999999999999E-2</c:v>
                </c:pt>
                <c:pt idx="144">
                  <c:v>2.4039999999999999E-2</c:v>
                </c:pt>
                <c:pt idx="145">
                  <c:v>2.4205999999999998E-2</c:v>
                </c:pt>
                <c:pt idx="146">
                  <c:v>2.4402E-2</c:v>
                </c:pt>
                <c:pt idx="147">
                  <c:v>2.4597999999999998E-2</c:v>
                </c:pt>
                <c:pt idx="148">
                  <c:v>2.4733999999999999E-2</c:v>
                </c:pt>
                <c:pt idx="149">
                  <c:v>2.4929999999999997E-2</c:v>
                </c:pt>
                <c:pt idx="150">
                  <c:v>2.5068E-2</c:v>
                </c:pt>
                <c:pt idx="151">
                  <c:v>2.5264000000000002E-2</c:v>
                </c:pt>
                <c:pt idx="152">
                  <c:v>2.5455999999999999E-2</c:v>
                </c:pt>
                <c:pt idx="153">
                  <c:v>2.5649999999999999E-2</c:v>
                </c:pt>
                <c:pt idx="154">
                  <c:v>2.5817999999999997E-2</c:v>
                </c:pt>
                <c:pt idx="155">
                  <c:v>2.6041999999999999E-2</c:v>
                </c:pt>
                <c:pt idx="156">
                  <c:v>2.6234E-2</c:v>
                </c:pt>
                <c:pt idx="157">
                  <c:v>2.6427999999999997E-2</c:v>
                </c:pt>
                <c:pt idx="158">
                  <c:v>2.6623999999999998E-2</c:v>
                </c:pt>
                <c:pt idx="159">
                  <c:v>2.6817999999999998E-2</c:v>
                </c:pt>
                <c:pt idx="160">
                  <c:v>2.6983999999999998E-2</c:v>
                </c:pt>
                <c:pt idx="161">
                  <c:v>2.7178000000000001E-2</c:v>
                </c:pt>
                <c:pt idx="162">
                  <c:v>2.7373999999999999E-2</c:v>
                </c:pt>
                <c:pt idx="163">
                  <c:v>2.7568000000000002E-2</c:v>
                </c:pt>
                <c:pt idx="164">
                  <c:v>2.7761999999999998E-2</c:v>
                </c:pt>
                <c:pt idx="165">
                  <c:v>2.7955999999999998E-2</c:v>
                </c:pt>
                <c:pt idx="166">
                  <c:v>2.8152E-2</c:v>
                </c:pt>
                <c:pt idx="167">
                  <c:v>2.8346E-2</c:v>
                </c:pt>
                <c:pt idx="168">
                  <c:v>2.8539999999999999E-2</c:v>
                </c:pt>
                <c:pt idx="169">
                  <c:v>2.8734000000000003E-2</c:v>
                </c:pt>
                <c:pt idx="170">
                  <c:v>2.8929999999999997E-2</c:v>
                </c:pt>
                <c:pt idx="171">
                  <c:v>2.9125999999999999E-2</c:v>
                </c:pt>
                <c:pt idx="172">
                  <c:v>2.9289999999999997E-2</c:v>
                </c:pt>
                <c:pt idx="173">
                  <c:v>2.9456000000000003E-2</c:v>
                </c:pt>
                <c:pt idx="174">
                  <c:v>2.9622000000000002E-2</c:v>
                </c:pt>
                <c:pt idx="175">
                  <c:v>2.9790000000000001E-2</c:v>
                </c:pt>
                <c:pt idx="176">
                  <c:v>2.9957999999999999E-2</c:v>
                </c:pt>
                <c:pt idx="177">
                  <c:v>3.0095999999999998E-2</c:v>
                </c:pt>
                <c:pt idx="178">
                  <c:v>3.0234E-2</c:v>
                </c:pt>
                <c:pt idx="179">
                  <c:v>3.0373999999999998E-2</c:v>
                </c:pt>
                <c:pt idx="180">
                  <c:v>3.0539999999999998E-2</c:v>
                </c:pt>
                <c:pt idx="181">
                  <c:v>3.0679999999999999E-2</c:v>
                </c:pt>
                <c:pt idx="182">
                  <c:v>3.0817999999999998E-2</c:v>
                </c:pt>
                <c:pt idx="183">
                  <c:v>3.0956000000000001E-2</c:v>
                </c:pt>
                <c:pt idx="184">
                  <c:v>3.1095999999999999E-2</c:v>
                </c:pt>
                <c:pt idx="185">
                  <c:v>3.1234000000000001E-2</c:v>
                </c:pt>
                <c:pt idx="186">
                  <c:v>3.1345999999999999E-2</c:v>
                </c:pt>
                <c:pt idx="187">
                  <c:v>3.1486E-2</c:v>
                </c:pt>
                <c:pt idx="188">
                  <c:v>3.1623999999999999E-2</c:v>
                </c:pt>
                <c:pt idx="189">
                  <c:v>3.1733999999999998E-2</c:v>
                </c:pt>
                <c:pt idx="190">
                  <c:v>3.1874E-2</c:v>
                </c:pt>
                <c:pt idx="191">
                  <c:v>3.1983999999999999E-2</c:v>
                </c:pt>
                <c:pt idx="192">
                  <c:v>3.2124E-2</c:v>
                </c:pt>
                <c:pt idx="193">
                  <c:v>3.2236000000000001E-2</c:v>
                </c:pt>
                <c:pt idx="194">
                  <c:v>3.2346E-2</c:v>
                </c:pt>
                <c:pt idx="195">
                  <c:v>3.2483999999999999E-2</c:v>
                </c:pt>
                <c:pt idx="196">
                  <c:v>3.2593999999999998E-2</c:v>
                </c:pt>
                <c:pt idx="197">
                  <c:v>3.2736000000000001E-2</c:v>
                </c:pt>
                <c:pt idx="198">
                  <c:v>3.2875999999999996E-2</c:v>
                </c:pt>
                <c:pt idx="199">
                  <c:v>3.2986000000000001E-2</c:v>
                </c:pt>
                <c:pt idx="200">
                  <c:v>3.3124000000000001E-2</c:v>
                </c:pt>
                <c:pt idx="201">
                  <c:v>3.3262E-2</c:v>
                </c:pt>
                <c:pt idx="202">
                  <c:v>3.3402000000000001E-2</c:v>
                </c:pt>
                <c:pt idx="203">
                  <c:v>3.3537999999999998E-2</c:v>
                </c:pt>
                <c:pt idx="204">
                  <c:v>3.3680000000000002E-2</c:v>
                </c:pt>
                <c:pt idx="205">
                  <c:v>3.3792000000000003E-2</c:v>
                </c:pt>
                <c:pt idx="206">
                  <c:v>3.3928E-2</c:v>
                </c:pt>
                <c:pt idx="207">
                  <c:v>3.4040000000000001E-2</c:v>
                </c:pt>
                <c:pt idx="208">
                  <c:v>3.4178E-2</c:v>
                </c:pt>
                <c:pt idx="209">
                  <c:v>3.4290000000000001E-2</c:v>
                </c:pt>
                <c:pt idx="210">
                  <c:v>3.4430000000000002E-2</c:v>
                </c:pt>
                <c:pt idx="211">
                  <c:v>3.4568000000000002E-2</c:v>
                </c:pt>
                <c:pt idx="212">
                  <c:v>3.4706000000000001E-2</c:v>
                </c:pt>
                <c:pt idx="213">
                  <c:v>3.4817999999999995E-2</c:v>
                </c:pt>
                <c:pt idx="214">
                  <c:v>3.4956000000000001E-2</c:v>
                </c:pt>
                <c:pt idx="215">
                  <c:v>3.5094E-2</c:v>
                </c:pt>
                <c:pt idx="216">
                  <c:v>3.5236000000000003E-2</c:v>
                </c:pt>
                <c:pt idx="217">
                  <c:v>3.5373999999999996E-2</c:v>
                </c:pt>
                <c:pt idx="218">
                  <c:v>3.5512000000000002E-2</c:v>
                </c:pt>
                <c:pt idx="219">
                  <c:v>3.5651999999999996E-2</c:v>
                </c:pt>
                <c:pt idx="220">
                  <c:v>3.5790000000000002E-2</c:v>
                </c:pt>
                <c:pt idx="221">
                  <c:v>3.5901999999999996E-2</c:v>
                </c:pt>
                <c:pt idx="222">
                  <c:v>3.6040000000000003E-2</c:v>
                </c:pt>
                <c:pt idx="223">
                  <c:v>3.6152000000000004E-2</c:v>
                </c:pt>
                <c:pt idx="224">
                  <c:v>3.6290000000000003E-2</c:v>
                </c:pt>
                <c:pt idx="225">
                  <c:v>3.6402000000000004E-2</c:v>
                </c:pt>
                <c:pt idx="226">
                  <c:v>3.6539999999999996E-2</c:v>
                </c:pt>
                <c:pt idx="227">
                  <c:v>3.6651999999999997E-2</c:v>
                </c:pt>
                <c:pt idx="228">
                  <c:v>3.6762000000000003E-2</c:v>
                </c:pt>
                <c:pt idx="229">
                  <c:v>3.6901999999999997E-2</c:v>
                </c:pt>
                <c:pt idx="230">
                  <c:v>3.7012000000000003E-2</c:v>
                </c:pt>
                <c:pt idx="231">
                  <c:v>3.7124000000000004E-2</c:v>
                </c:pt>
                <c:pt idx="232">
                  <c:v>3.7233999999999996E-2</c:v>
                </c:pt>
                <c:pt idx="233">
                  <c:v>3.7345999999999997E-2</c:v>
                </c:pt>
                <c:pt idx="234">
                  <c:v>3.7457999999999998E-2</c:v>
                </c:pt>
                <c:pt idx="235">
                  <c:v>3.7595999999999997E-2</c:v>
                </c:pt>
                <c:pt idx="236">
                  <c:v>3.7707999999999998E-2</c:v>
                </c:pt>
                <c:pt idx="237">
                  <c:v>3.7817999999999997E-2</c:v>
                </c:pt>
                <c:pt idx="238">
                  <c:v>3.7957999999999999E-2</c:v>
                </c:pt>
                <c:pt idx="239">
                  <c:v>3.8095999999999998E-2</c:v>
                </c:pt>
                <c:pt idx="240">
                  <c:v>3.8235999999999999E-2</c:v>
                </c:pt>
                <c:pt idx="241">
                  <c:v>3.8373999999999998E-2</c:v>
                </c:pt>
                <c:pt idx="242">
                  <c:v>3.8511999999999998E-2</c:v>
                </c:pt>
                <c:pt idx="243">
                  <c:v>3.8650000000000004E-2</c:v>
                </c:pt>
                <c:pt idx="244">
                  <c:v>3.8789999999999998E-2</c:v>
                </c:pt>
                <c:pt idx="245">
                  <c:v>3.8927999999999997E-2</c:v>
                </c:pt>
                <c:pt idx="246">
                  <c:v>3.9039999999999998E-2</c:v>
                </c:pt>
                <c:pt idx="247">
                  <c:v>3.918E-2</c:v>
                </c:pt>
                <c:pt idx="248">
                  <c:v>3.9289999999999999E-2</c:v>
                </c:pt>
                <c:pt idx="249">
                  <c:v>3.9427999999999998E-2</c:v>
                </c:pt>
                <c:pt idx="250">
                  <c:v>3.9567999999999999E-2</c:v>
                </c:pt>
                <c:pt idx="251">
                  <c:v>3.968E-2</c:v>
                </c:pt>
                <c:pt idx="252">
                  <c:v>3.9817999999999999E-2</c:v>
                </c:pt>
                <c:pt idx="253">
                  <c:v>3.993E-2</c:v>
                </c:pt>
                <c:pt idx="254">
                  <c:v>4.0067999999999999E-2</c:v>
                </c:pt>
                <c:pt idx="255">
                  <c:v>4.018E-2</c:v>
                </c:pt>
                <c:pt idx="256">
                  <c:v>4.0292000000000001E-2</c:v>
                </c:pt>
                <c:pt idx="257">
                  <c:v>4.0401999999999993E-2</c:v>
                </c:pt>
                <c:pt idx="258">
                  <c:v>4.0511999999999999E-2</c:v>
                </c:pt>
                <c:pt idx="259">
                  <c:v>4.0624E-2</c:v>
                </c:pt>
                <c:pt idx="260">
                  <c:v>4.0708000000000001E-2</c:v>
                </c:pt>
                <c:pt idx="261">
                  <c:v>4.0818E-2</c:v>
                </c:pt>
                <c:pt idx="262">
                  <c:v>4.0930000000000001E-2</c:v>
                </c:pt>
                <c:pt idx="263">
                  <c:v>4.1012000000000007E-2</c:v>
                </c:pt>
                <c:pt idx="264">
                  <c:v>4.1093999999999999E-2</c:v>
                </c:pt>
                <c:pt idx="265">
                  <c:v>4.1180000000000001E-2</c:v>
                </c:pt>
                <c:pt idx="266">
                  <c:v>4.1264000000000002E-2</c:v>
                </c:pt>
                <c:pt idx="267">
                  <c:v>4.1374000000000001E-2</c:v>
                </c:pt>
                <c:pt idx="268">
                  <c:v>4.1458000000000002E-2</c:v>
                </c:pt>
                <c:pt idx="269">
                  <c:v>4.1542000000000003E-2</c:v>
                </c:pt>
                <c:pt idx="270">
                  <c:v>4.1622000000000006E-2</c:v>
                </c:pt>
                <c:pt idx="271">
                  <c:v>4.1734E-2</c:v>
                </c:pt>
                <c:pt idx="272">
                  <c:v>4.1818000000000001E-2</c:v>
                </c:pt>
                <c:pt idx="273">
                  <c:v>4.1900000000000007E-2</c:v>
                </c:pt>
                <c:pt idx="274">
                  <c:v>4.1985999999999996E-2</c:v>
                </c:pt>
                <c:pt idx="275">
                  <c:v>4.2068000000000001E-2</c:v>
                </c:pt>
                <c:pt idx="276">
                  <c:v>4.2152000000000002E-2</c:v>
                </c:pt>
                <c:pt idx="277">
                  <c:v>4.2234000000000001E-2</c:v>
                </c:pt>
                <c:pt idx="278">
                  <c:v>4.2317999999999995E-2</c:v>
                </c:pt>
                <c:pt idx="279">
                  <c:v>4.2428E-2</c:v>
                </c:pt>
                <c:pt idx="280">
                  <c:v>4.2512000000000001E-2</c:v>
                </c:pt>
                <c:pt idx="281">
                  <c:v>4.2595999999999995E-2</c:v>
                </c:pt>
                <c:pt idx="282">
                  <c:v>4.2708000000000003E-2</c:v>
                </c:pt>
                <c:pt idx="283">
                  <c:v>4.2790000000000002E-2</c:v>
                </c:pt>
                <c:pt idx="284">
                  <c:v>4.2873999999999995E-2</c:v>
                </c:pt>
                <c:pt idx="285">
                  <c:v>4.2986000000000003E-2</c:v>
                </c:pt>
                <c:pt idx="286">
                  <c:v>4.3070000000000004E-2</c:v>
                </c:pt>
                <c:pt idx="287">
                  <c:v>4.3178000000000001E-2</c:v>
                </c:pt>
                <c:pt idx="288">
                  <c:v>4.3262000000000002E-2</c:v>
                </c:pt>
                <c:pt idx="289">
                  <c:v>4.3346000000000003E-2</c:v>
                </c:pt>
                <c:pt idx="290">
                  <c:v>4.3429999999999996E-2</c:v>
                </c:pt>
                <c:pt idx="291">
                  <c:v>4.3513999999999997E-2</c:v>
                </c:pt>
                <c:pt idx="292">
                  <c:v>4.3596000000000003E-2</c:v>
                </c:pt>
                <c:pt idx="293">
                  <c:v>4.3678000000000002E-2</c:v>
                </c:pt>
                <c:pt idx="294">
                  <c:v>4.3761999999999995E-2</c:v>
                </c:pt>
                <c:pt idx="295">
                  <c:v>4.3848000000000005E-2</c:v>
                </c:pt>
                <c:pt idx="296">
                  <c:v>4.3929999999999997E-2</c:v>
                </c:pt>
                <c:pt idx="297">
                  <c:v>4.4013999999999998E-2</c:v>
                </c:pt>
                <c:pt idx="298">
                  <c:v>4.4096000000000003E-2</c:v>
                </c:pt>
                <c:pt idx="299">
                  <c:v>4.4177999999999995E-2</c:v>
                </c:pt>
                <c:pt idx="300">
                  <c:v>4.4261999999999996E-2</c:v>
                </c:pt>
                <c:pt idx="301">
                  <c:v>4.4345999999999997E-2</c:v>
                </c:pt>
                <c:pt idx="302">
                  <c:v>4.4429999999999997E-2</c:v>
                </c:pt>
                <c:pt idx="303">
                  <c:v>4.4512000000000003E-2</c:v>
                </c:pt>
                <c:pt idx="304">
                  <c:v>4.4595999999999997E-2</c:v>
                </c:pt>
                <c:pt idx="305">
                  <c:v>4.4679999999999997E-2</c:v>
                </c:pt>
                <c:pt idx="306">
                  <c:v>4.4790000000000003E-2</c:v>
                </c:pt>
                <c:pt idx="307">
                  <c:v>4.4901999999999997E-2</c:v>
                </c:pt>
                <c:pt idx="308">
                  <c:v>4.5011999999999996E-2</c:v>
                </c:pt>
                <c:pt idx="309">
                  <c:v>4.5124000000000004E-2</c:v>
                </c:pt>
                <c:pt idx="310">
                  <c:v>4.5233999999999996E-2</c:v>
                </c:pt>
                <c:pt idx="311">
                  <c:v>4.5346000000000004E-2</c:v>
                </c:pt>
                <c:pt idx="312">
                  <c:v>4.5456000000000003E-2</c:v>
                </c:pt>
                <c:pt idx="313">
                  <c:v>4.5567999999999997E-2</c:v>
                </c:pt>
                <c:pt idx="314">
                  <c:v>4.5678000000000003E-2</c:v>
                </c:pt>
                <c:pt idx="315">
                  <c:v>4.5789999999999997E-2</c:v>
                </c:pt>
                <c:pt idx="316">
                  <c:v>4.5902000000000005E-2</c:v>
                </c:pt>
                <c:pt idx="317">
                  <c:v>4.6013999999999999E-2</c:v>
                </c:pt>
                <c:pt idx="318">
                  <c:v>4.6123999999999998E-2</c:v>
                </c:pt>
                <c:pt idx="319">
                  <c:v>4.6207999999999999E-2</c:v>
                </c:pt>
                <c:pt idx="320">
                  <c:v>4.6317999999999998E-2</c:v>
                </c:pt>
                <c:pt idx="321">
                  <c:v>4.6429999999999999E-2</c:v>
                </c:pt>
                <c:pt idx="322">
                  <c:v>4.6539999999999998E-2</c:v>
                </c:pt>
                <c:pt idx="323">
                  <c:v>4.6623999999999999E-2</c:v>
                </c:pt>
                <c:pt idx="324">
                  <c:v>4.6736000000000007E-2</c:v>
                </c:pt>
                <c:pt idx="325">
                  <c:v>4.6848000000000001E-2</c:v>
                </c:pt>
                <c:pt idx="326">
                  <c:v>4.6958E-2</c:v>
                </c:pt>
                <c:pt idx="327">
                  <c:v>4.7039999999999998E-2</c:v>
                </c:pt>
                <c:pt idx="328">
                  <c:v>4.7151999999999999E-2</c:v>
                </c:pt>
                <c:pt idx="329">
                  <c:v>4.7264E-2</c:v>
                </c:pt>
                <c:pt idx="330">
                  <c:v>4.7373999999999999E-2</c:v>
                </c:pt>
                <c:pt idx="331">
                  <c:v>4.7483999999999998E-2</c:v>
                </c:pt>
                <c:pt idx="332">
                  <c:v>4.7595999999999999E-2</c:v>
                </c:pt>
                <c:pt idx="333">
                  <c:v>4.7708E-2</c:v>
                </c:pt>
                <c:pt idx="334">
                  <c:v>4.7815999999999997E-2</c:v>
                </c:pt>
                <c:pt idx="335">
                  <c:v>4.7927999999999998E-2</c:v>
                </c:pt>
                <c:pt idx="336">
                  <c:v>4.8039999999999999E-2</c:v>
                </c:pt>
                <c:pt idx="337">
                  <c:v>4.8121999999999998E-2</c:v>
                </c:pt>
                <c:pt idx="338">
                  <c:v>4.8234000000000006E-2</c:v>
                </c:pt>
                <c:pt idx="339">
                  <c:v>4.8346E-2</c:v>
                </c:pt>
                <c:pt idx="340">
                  <c:v>4.8457999999999994E-2</c:v>
                </c:pt>
                <c:pt idx="341">
                  <c:v>4.854E-2</c:v>
                </c:pt>
                <c:pt idx="342">
                  <c:v>4.8652000000000001E-2</c:v>
                </c:pt>
                <c:pt idx="343">
                  <c:v>4.8734E-2</c:v>
                </c:pt>
                <c:pt idx="344">
                  <c:v>4.8844000000000005E-2</c:v>
                </c:pt>
                <c:pt idx="345">
                  <c:v>4.8986000000000002E-2</c:v>
                </c:pt>
                <c:pt idx="346">
                  <c:v>4.9124000000000001E-2</c:v>
                </c:pt>
                <c:pt idx="347">
                  <c:v>4.9236000000000002E-2</c:v>
                </c:pt>
                <c:pt idx="348">
                  <c:v>4.9371999999999999E-2</c:v>
                </c:pt>
                <c:pt idx="349">
                  <c:v>4.9512E-2</c:v>
                </c:pt>
                <c:pt idx="350">
                  <c:v>4.9623999999999995E-2</c:v>
                </c:pt>
                <c:pt idx="351">
                  <c:v>4.9762000000000001E-2</c:v>
                </c:pt>
                <c:pt idx="352">
                  <c:v>4.9901999999999995E-2</c:v>
                </c:pt>
                <c:pt idx="353">
                  <c:v>5.0014000000000003E-2</c:v>
                </c:pt>
                <c:pt idx="354">
                  <c:v>5.0122E-2</c:v>
                </c:pt>
                <c:pt idx="355">
                  <c:v>5.0262000000000001E-2</c:v>
                </c:pt>
                <c:pt idx="356">
                  <c:v>5.0374000000000002E-2</c:v>
                </c:pt>
                <c:pt idx="357">
                  <c:v>5.0484000000000001E-2</c:v>
                </c:pt>
                <c:pt idx="358">
                  <c:v>5.0595999999999995E-2</c:v>
                </c:pt>
                <c:pt idx="359">
                  <c:v>5.0708000000000003E-2</c:v>
                </c:pt>
                <c:pt idx="360">
                  <c:v>5.0846000000000002E-2</c:v>
                </c:pt>
                <c:pt idx="361">
                  <c:v>5.0957999999999996E-2</c:v>
                </c:pt>
                <c:pt idx="362">
                  <c:v>5.1067999999999995E-2</c:v>
                </c:pt>
                <c:pt idx="363">
                  <c:v>5.1180000000000003E-2</c:v>
                </c:pt>
                <c:pt idx="364">
                  <c:v>5.1291999999999997E-2</c:v>
                </c:pt>
                <c:pt idx="365">
                  <c:v>5.1403999999999998E-2</c:v>
                </c:pt>
                <c:pt idx="366">
                  <c:v>5.1513999999999997E-2</c:v>
                </c:pt>
                <c:pt idx="367">
                  <c:v>5.1622000000000001E-2</c:v>
                </c:pt>
                <c:pt idx="368">
                  <c:v>5.1734000000000002E-2</c:v>
                </c:pt>
                <c:pt idx="369">
                  <c:v>5.1844000000000001E-2</c:v>
                </c:pt>
                <c:pt idx="370">
                  <c:v>5.1955999999999995E-2</c:v>
                </c:pt>
                <c:pt idx="371">
                  <c:v>5.2068000000000003E-2</c:v>
                </c:pt>
                <c:pt idx="372">
                  <c:v>5.2179999999999997E-2</c:v>
                </c:pt>
                <c:pt idx="373">
                  <c:v>5.2291999999999998E-2</c:v>
                </c:pt>
                <c:pt idx="374">
                  <c:v>5.2401999999999997E-2</c:v>
                </c:pt>
                <c:pt idx="375">
                  <c:v>5.2511999999999996E-2</c:v>
                </c:pt>
                <c:pt idx="376">
                  <c:v>5.2649999999999995E-2</c:v>
                </c:pt>
                <c:pt idx="377">
                  <c:v>5.2789999999999997E-2</c:v>
                </c:pt>
                <c:pt idx="378">
                  <c:v>5.2930000000000005E-2</c:v>
                </c:pt>
                <c:pt idx="379">
                  <c:v>5.3067999999999997E-2</c:v>
                </c:pt>
                <c:pt idx="380">
                  <c:v>5.3205999999999996E-2</c:v>
                </c:pt>
                <c:pt idx="381">
                  <c:v>5.3345999999999998E-2</c:v>
                </c:pt>
                <c:pt idx="382">
                  <c:v>5.3483999999999997E-2</c:v>
                </c:pt>
                <c:pt idx="383">
                  <c:v>5.3623999999999998E-2</c:v>
                </c:pt>
                <c:pt idx="384">
                  <c:v>5.3764000000000006E-2</c:v>
                </c:pt>
                <c:pt idx="385">
                  <c:v>5.3901999999999999E-2</c:v>
                </c:pt>
                <c:pt idx="386">
                  <c:v>5.4039999999999998E-2</c:v>
                </c:pt>
                <c:pt idx="387">
                  <c:v>5.4179999999999999E-2</c:v>
                </c:pt>
                <c:pt idx="388">
                  <c:v>5.4317999999999998E-2</c:v>
                </c:pt>
                <c:pt idx="389">
                  <c:v>5.4457999999999999E-2</c:v>
                </c:pt>
                <c:pt idx="390">
                  <c:v>5.4595999999999999E-2</c:v>
                </c:pt>
                <c:pt idx="391">
                  <c:v>5.4733999999999998E-2</c:v>
                </c:pt>
                <c:pt idx="392">
                  <c:v>5.4873999999999999E-2</c:v>
                </c:pt>
                <c:pt idx="393">
                  <c:v>5.5014E-2</c:v>
                </c:pt>
                <c:pt idx="394">
                  <c:v>5.5152E-2</c:v>
                </c:pt>
                <c:pt idx="395">
                  <c:v>5.5292000000000001E-2</c:v>
                </c:pt>
                <c:pt idx="396">
                  <c:v>5.543E-2</c:v>
                </c:pt>
                <c:pt idx="397">
                  <c:v>5.5566000000000004E-2</c:v>
                </c:pt>
                <c:pt idx="398">
                  <c:v>5.5705999999999999E-2</c:v>
                </c:pt>
                <c:pt idx="399">
                  <c:v>5.5846E-2</c:v>
                </c:pt>
                <c:pt idx="400">
                  <c:v>5.6012000000000006E-2</c:v>
                </c:pt>
                <c:pt idx="401">
                  <c:v>5.6152000000000001E-2</c:v>
                </c:pt>
                <c:pt idx="402">
                  <c:v>5.6287999999999998E-2</c:v>
                </c:pt>
                <c:pt idx="403">
                  <c:v>5.6458000000000001E-2</c:v>
                </c:pt>
                <c:pt idx="404">
                  <c:v>5.6624000000000001E-2</c:v>
                </c:pt>
                <c:pt idx="405">
                  <c:v>5.6764000000000002E-2</c:v>
                </c:pt>
                <c:pt idx="406">
                  <c:v>5.6929999999999994E-2</c:v>
                </c:pt>
                <c:pt idx="407">
                  <c:v>5.7093999999999999E-2</c:v>
                </c:pt>
                <c:pt idx="408">
                  <c:v>5.7234E-2</c:v>
                </c:pt>
                <c:pt idx="409">
                  <c:v>5.7401999999999995E-2</c:v>
                </c:pt>
                <c:pt idx="410">
                  <c:v>5.7568000000000001E-2</c:v>
                </c:pt>
                <c:pt idx="411">
                  <c:v>5.7733999999999994E-2</c:v>
                </c:pt>
                <c:pt idx="412">
                  <c:v>5.7901999999999995E-2</c:v>
                </c:pt>
                <c:pt idx="413">
                  <c:v>5.8040000000000001E-2</c:v>
                </c:pt>
                <c:pt idx="414">
                  <c:v>5.8179999999999996E-2</c:v>
                </c:pt>
                <c:pt idx="415">
                  <c:v>5.8318000000000002E-2</c:v>
                </c:pt>
                <c:pt idx="416">
                  <c:v>5.8457999999999996E-2</c:v>
                </c:pt>
                <c:pt idx="417">
                  <c:v>5.8596000000000002E-2</c:v>
                </c:pt>
                <c:pt idx="418">
                  <c:v>5.8735999999999997E-2</c:v>
                </c:pt>
                <c:pt idx="419">
                  <c:v>5.8902000000000003E-2</c:v>
                </c:pt>
                <c:pt idx="420">
                  <c:v>5.9067999999999996E-2</c:v>
                </c:pt>
                <c:pt idx="421">
                  <c:v>5.9236000000000004E-2</c:v>
                </c:pt>
                <c:pt idx="422">
                  <c:v>5.9400000000000001E-2</c:v>
                </c:pt>
                <c:pt idx="423">
                  <c:v>5.9568000000000003E-2</c:v>
                </c:pt>
                <c:pt idx="424">
                  <c:v>5.9733999999999995E-2</c:v>
                </c:pt>
                <c:pt idx="425">
                  <c:v>5.9901999999999997E-2</c:v>
                </c:pt>
                <c:pt idx="426">
                  <c:v>6.0068000000000003E-2</c:v>
                </c:pt>
                <c:pt idx="427">
                  <c:v>6.0233999999999996E-2</c:v>
                </c:pt>
                <c:pt idx="428">
                  <c:v>6.0373999999999997E-2</c:v>
                </c:pt>
                <c:pt idx="429">
                  <c:v>6.0540000000000004E-2</c:v>
                </c:pt>
                <c:pt idx="430">
                  <c:v>6.0708000000000005E-2</c:v>
                </c:pt>
                <c:pt idx="431">
                  <c:v>6.0873999999999998E-2</c:v>
                </c:pt>
                <c:pt idx="432">
                  <c:v>6.1040000000000004E-2</c:v>
                </c:pt>
                <c:pt idx="433">
                  <c:v>6.1207999999999999E-2</c:v>
                </c:pt>
                <c:pt idx="434">
                  <c:v>6.1374000000000005E-2</c:v>
                </c:pt>
                <c:pt idx="435">
                  <c:v>6.1513999999999999E-2</c:v>
                </c:pt>
                <c:pt idx="436">
                  <c:v>6.1677999999999997E-2</c:v>
                </c:pt>
                <c:pt idx="437">
                  <c:v>6.1845999999999998E-2</c:v>
                </c:pt>
                <c:pt idx="438">
                  <c:v>6.2011999999999998E-2</c:v>
                </c:pt>
                <c:pt idx="439">
                  <c:v>6.2179999999999999E-2</c:v>
                </c:pt>
                <c:pt idx="440">
                  <c:v>6.2346000000000006E-2</c:v>
                </c:pt>
                <c:pt idx="441">
                  <c:v>6.2511999999999998E-2</c:v>
                </c:pt>
                <c:pt idx="442">
                  <c:v>6.2677999999999998E-2</c:v>
                </c:pt>
                <c:pt idx="443">
                  <c:v>6.2845999999999999E-2</c:v>
                </c:pt>
                <c:pt idx="444">
                  <c:v>6.3011999999999999E-2</c:v>
                </c:pt>
                <c:pt idx="445">
                  <c:v>6.3177999999999998E-2</c:v>
                </c:pt>
                <c:pt idx="446">
                  <c:v>6.3346E-2</c:v>
                </c:pt>
                <c:pt idx="447">
                  <c:v>6.3511999999999999E-2</c:v>
                </c:pt>
                <c:pt idx="448">
                  <c:v>6.368E-2</c:v>
                </c:pt>
                <c:pt idx="449">
                  <c:v>6.3846E-2</c:v>
                </c:pt>
                <c:pt idx="450">
                  <c:v>6.4011999999999999E-2</c:v>
                </c:pt>
                <c:pt idx="451">
                  <c:v>6.4208000000000001E-2</c:v>
                </c:pt>
                <c:pt idx="452">
                  <c:v>6.4374000000000001E-2</c:v>
                </c:pt>
                <c:pt idx="453">
                  <c:v>6.454E-2</c:v>
                </c:pt>
                <c:pt idx="454">
                  <c:v>6.4706E-2</c:v>
                </c:pt>
                <c:pt idx="455">
                  <c:v>6.4902000000000001E-2</c:v>
                </c:pt>
                <c:pt idx="456">
                  <c:v>6.5068000000000001E-2</c:v>
                </c:pt>
                <c:pt idx="457">
                  <c:v>6.5236000000000002E-2</c:v>
                </c:pt>
                <c:pt idx="458">
                  <c:v>6.5402000000000002E-2</c:v>
                </c:pt>
                <c:pt idx="459">
                  <c:v>6.5568000000000001E-2</c:v>
                </c:pt>
                <c:pt idx="460">
                  <c:v>6.5734000000000001E-2</c:v>
                </c:pt>
                <c:pt idx="461">
                  <c:v>6.5902000000000002E-2</c:v>
                </c:pt>
                <c:pt idx="462">
                  <c:v>6.6070000000000004E-2</c:v>
                </c:pt>
                <c:pt idx="463">
                  <c:v>6.6262000000000001E-2</c:v>
                </c:pt>
                <c:pt idx="464">
                  <c:v>6.6428000000000001E-2</c:v>
                </c:pt>
                <c:pt idx="465">
                  <c:v>6.6622000000000001E-2</c:v>
                </c:pt>
                <c:pt idx="466">
                  <c:v>6.6818000000000002E-2</c:v>
                </c:pt>
                <c:pt idx="467">
                  <c:v>6.7012000000000002E-2</c:v>
                </c:pt>
                <c:pt idx="468">
                  <c:v>6.7206000000000002E-2</c:v>
                </c:pt>
                <c:pt idx="469">
                  <c:v>6.7402000000000004E-2</c:v>
                </c:pt>
                <c:pt idx="470">
                  <c:v>6.7596000000000003E-2</c:v>
                </c:pt>
                <c:pt idx="471">
                  <c:v>6.7790000000000003E-2</c:v>
                </c:pt>
                <c:pt idx="472">
                  <c:v>6.7956000000000003E-2</c:v>
                </c:pt>
                <c:pt idx="473">
                  <c:v>6.8152000000000004E-2</c:v>
                </c:pt>
                <c:pt idx="474">
                  <c:v>6.8319999999999992E-2</c:v>
                </c:pt>
                <c:pt idx="475">
                  <c:v>6.8514000000000005E-2</c:v>
                </c:pt>
                <c:pt idx="476">
                  <c:v>6.8705999999999989E-2</c:v>
                </c:pt>
                <c:pt idx="477">
                  <c:v>6.8900000000000003E-2</c:v>
                </c:pt>
                <c:pt idx="478">
                  <c:v>6.9096000000000005E-2</c:v>
                </c:pt>
                <c:pt idx="479">
                  <c:v>6.9290000000000004E-2</c:v>
                </c:pt>
                <c:pt idx="480">
                  <c:v>6.9484000000000004E-2</c:v>
                </c:pt>
                <c:pt idx="481">
                  <c:v>6.9680000000000006E-2</c:v>
                </c:pt>
                <c:pt idx="482">
                  <c:v>6.9874000000000006E-2</c:v>
                </c:pt>
                <c:pt idx="483">
                  <c:v>7.0068000000000005E-2</c:v>
                </c:pt>
                <c:pt idx="484">
                  <c:v>7.0262000000000005E-2</c:v>
                </c:pt>
                <c:pt idx="485">
                  <c:v>7.0456000000000005E-2</c:v>
                </c:pt>
                <c:pt idx="486">
                  <c:v>7.0651999999999993E-2</c:v>
                </c:pt>
                <c:pt idx="487">
                  <c:v>7.0846000000000006E-2</c:v>
                </c:pt>
                <c:pt idx="488">
                  <c:v>7.1040000000000006E-2</c:v>
                </c:pt>
                <c:pt idx="489">
                  <c:v>7.1261999999999992E-2</c:v>
                </c:pt>
                <c:pt idx="490">
                  <c:v>7.1458000000000008E-2</c:v>
                </c:pt>
                <c:pt idx="491">
                  <c:v>7.1651999999999993E-2</c:v>
                </c:pt>
                <c:pt idx="492">
                  <c:v>7.1845999999999993E-2</c:v>
                </c:pt>
                <c:pt idx="493">
                  <c:v>7.2041999999999995E-2</c:v>
                </c:pt>
                <c:pt idx="494">
                  <c:v>7.2236000000000009E-2</c:v>
                </c:pt>
                <c:pt idx="495">
                  <c:v>7.2427999999999992E-2</c:v>
                </c:pt>
                <c:pt idx="496">
                  <c:v>7.2622000000000006E-2</c:v>
                </c:pt>
                <c:pt idx="497">
                  <c:v>7.2817999999999994E-2</c:v>
                </c:pt>
                <c:pt idx="498">
                  <c:v>7.3040000000000008E-2</c:v>
                </c:pt>
                <c:pt idx="499">
                  <c:v>7.3261999999999994E-2</c:v>
                </c:pt>
                <c:pt idx="500">
                  <c:v>7.3485999999999996E-2</c:v>
                </c:pt>
                <c:pt idx="501">
                  <c:v>7.3707999999999996E-2</c:v>
                </c:pt>
                <c:pt idx="502">
                  <c:v>7.3929999999999996E-2</c:v>
                </c:pt>
                <c:pt idx="503">
                  <c:v>7.4149999999999994E-2</c:v>
                </c:pt>
                <c:pt idx="504">
                  <c:v>7.4373999999999996E-2</c:v>
                </c:pt>
                <c:pt idx="505">
                  <c:v>7.4595999999999996E-2</c:v>
                </c:pt>
                <c:pt idx="506">
                  <c:v>7.4787999999999993E-2</c:v>
                </c:pt>
                <c:pt idx="507">
                  <c:v>7.5011999999999995E-2</c:v>
                </c:pt>
                <c:pt idx="508">
                  <c:v>7.5235999999999997E-2</c:v>
                </c:pt>
                <c:pt idx="509">
                  <c:v>7.5457999999999997E-2</c:v>
                </c:pt>
                <c:pt idx="510">
                  <c:v>7.5679999999999997E-2</c:v>
                </c:pt>
                <c:pt idx="511">
                  <c:v>7.5901999999999997E-2</c:v>
                </c:pt>
                <c:pt idx="512">
                  <c:v>7.6123999999999997E-2</c:v>
                </c:pt>
                <c:pt idx="513">
                  <c:v>7.6344000000000009E-2</c:v>
                </c:pt>
                <c:pt idx="514">
                  <c:v>7.6567999999999997E-2</c:v>
                </c:pt>
                <c:pt idx="515">
                  <c:v>7.6789999999999997E-2</c:v>
                </c:pt>
                <c:pt idx="516">
                  <c:v>7.7039999999999997E-2</c:v>
                </c:pt>
                <c:pt idx="517">
                  <c:v>7.7289999999999998E-2</c:v>
                </c:pt>
                <c:pt idx="518">
                  <c:v>7.7542E-2</c:v>
                </c:pt>
                <c:pt idx="519">
                  <c:v>7.7789999999999998E-2</c:v>
                </c:pt>
                <c:pt idx="520">
                  <c:v>7.8039999999999998E-2</c:v>
                </c:pt>
                <c:pt idx="521">
                  <c:v>7.8289999999999998E-2</c:v>
                </c:pt>
                <c:pt idx="522">
                  <c:v>7.8511999999999998E-2</c:v>
                </c:pt>
                <c:pt idx="523">
                  <c:v>7.8761999999999999E-2</c:v>
                </c:pt>
                <c:pt idx="524">
                  <c:v>7.9011999999999999E-2</c:v>
                </c:pt>
                <c:pt idx="525">
                  <c:v>7.9261999999999999E-2</c:v>
                </c:pt>
                <c:pt idx="526">
                  <c:v>7.9511999999999999E-2</c:v>
                </c:pt>
                <c:pt idx="527">
                  <c:v>7.9762E-2</c:v>
                </c:pt>
                <c:pt idx="528">
                  <c:v>8.0014000000000002E-2</c:v>
                </c:pt>
                <c:pt idx="529">
                  <c:v>8.0262E-2</c:v>
                </c:pt>
                <c:pt idx="530">
                  <c:v>8.0512E-2</c:v>
                </c:pt>
                <c:pt idx="531">
                  <c:v>8.0764000000000002E-2</c:v>
                </c:pt>
                <c:pt idx="532">
                  <c:v>8.1012000000000001E-2</c:v>
                </c:pt>
                <c:pt idx="533">
                  <c:v>8.1264000000000003E-2</c:v>
                </c:pt>
                <c:pt idx="534">
                  <c:v>8.1511999999999987E-2</c:v>
                </c:pt>
                <c:pt idx="535">
                  <c:v>8.1762000000000001E-2</c:v>
                </c:pt>
                <c:pt idx="536">
                  <c:v>8.2012000000000002E-2</c:v>
                </c:pt>
                <c:pt idx="537">
                  <c:v>8.2264000000000004E-2</c:v>
                </c:pt>
                <c:pt idx="538">
                  <c:v>8.2512000000000002E-2</c:v>
                </c:pt>
                <c:pt idx="539">
                  <c:v>8.2761999999999988E-2</c:v>
                </c:pt>
                <c:pt idx="540">
                  <c:v>8.3013999999999991E-2</c:v>
                </c:pt>
                <c:pt idx="541">
                  <c:v>8.3262000000000003E-2</c:v>
                </c:pt>
                <c:pt idx="542">
                  <c:v>8.3512000000000003E-2</c:v>
                </c:pt>
                <c:pt idx="543">
                  <c:v>8.3762000000000003E-2</c:v>
                </c:pt>
                <c:pt idx="544">
                  <c:v>8.4011999999999989E-2</c:v>
                </c:pt>
                <c:pt idx="545">
                  <c:v>8.4262000000000004E-2</c:v>
                </c:pt>
                <c:pt idx="546">
                  <c:v>8.4540000000000004E-2</c:v>
                </c:pt>
                <c:pt idx="547">
                  <c:v>8.4818000000000005E-2</c:v>
                </c:pt>
                <c:pt idx="548">
                  <c:v>8.5096000000000005E-2</c:v>
                </c:pt>
                <c:pt idx="549">
                  <c:v>8.5374000000000005E-2</c:v>
                </c:pt>
                <c:pt idx="550">
                  <c:v>8.5648000000000002E-2</c:v>
                </c:pt>
                <c:pt idx="551">
                  <c:v>8.5930000000000006E-2</c:v>
                </c:pt>
                <c:pt idx="552">
                  <c:v>8.6207999999999993E-2</c:v>
                </c:pt>
                <c:pt idx="553">
                  <c:v>8.6484000000000005E-2</c:v>
                </c:pt>
                <c:pt idx="554">
                  <c:v>8.6763999999999994E-2</c:v>
                </c:pt>
                <c:pt idx="555">
                  <c:v>8.7040000000000006E-2</c:v>
                </c:pt>
                <c:pt idx="556">
                  <c:v>8.7317999999999993E-2</c:v>
                </c:pt>
                <c:pt idx="557">
                  <c:v>8.7596000000000007E-2</c:v>
                </c:pt>
                <c:pt idx="558">
                  <c:v>8.7902000000000008E-2</c:v>
                </c:pt>
                <c:pt idx="559">
                  <c:v>8.8179999999999994E-2</c:v>
                </c:pt>
                <c:pt idx="560">
                  <c:v>8.8485999999999995E-2</c:v>
                </c:pt>
                <c:pt idx="561">
                  <c:v>8.8789999999999994E-2</c:v>
                </c:pt>
                <c:pt idx="562">
                  <c:v>8.9095999999999995E-2</c:v>
                </c:pt>
                <c:pt idx="563">
                  <c:v>8.9399999999999993E-2</c:v>
                </c:pt>
                <c:pt idx="564">
                  <c:v>8.970800000000001E-2</c:v>
                </c:pt>
                <c:pt idx="565">
                  <c:v>9.0012000000000009E-2</c:v>
                </c:pt>
                <c:pt idx="566">
                  <c:v>9.0315999999999994E-2</c:v>
                </c:pt>
                <c:pt idx="567">
                  <c:v>9.0623999999999996E-2</c:v>
                </c:pt>
                <c:pt idx="568">
                  <c:v>9.0928000000000009E-2</c:v>
                </c:pt>
                <c:pt idx="569">
                  <c:v>9.1233999999999996E-2</c:v>
                </c:pt>
                <c:pt idx="570">
                  <c:v>9.1539999999999996E-2</c:v>
                </c:pt>
                <c:pt idx="571">
                  <c:v>9.1843999999999995E-2</c:v>
                </c:pt>
                <c:pt idx="572">
                  <c:v>9.2149999999999996E-2</c:v>
                </c:pt>
                <c:pt idx="573">
                  <c:v>9.2455999999999997E-2</c:v>
                </c:pt>
                <c:pt idx="574">
                  <c:v>9.2761999999999997E-2</c:v>
                </c:pt>
                <c:pt idx="575">
                  <c:v>9.3095999999999998E-2</c:v>
                </c:pt>
                <c:pt idx="576">
                  <c:v>9.3429999999999999E-2</c:v>
                </c:pt>
                <c:pt idx="577">
                  <c:v>9.3764E-2</c:v>
                </c:pt>
                <c:pt idx="578">
                  <c:v>9.4095999999999999E-2</c:v>
                </c:pt>
                <c:pt idx="579">
                  <c:v>9.443E-2</c:v>
                </c:pt>
                <c:pt idx="580">
                  <c:v>9.4761999999999999E-2</c:v>
                </c:pt>
                <c:pt idx="581">
                  <c:v>9.5096000000000014E-2</c:v>
                </c:pt>
                <c:pt idx="582">
                  <c:v>9.5429999999999987E-2</c:v>
                </c:pt>
                <c:pt idx="583">
                  <c:v>9.5762E-2</c:v>
                </c:pt>
                <c:pt idx="584">
                  <c:v>9.6096000000000001E-2</c:v>
                </c:pt>
                <c:pt idx="585">
                  <c:v>9.6457999999999988E-2</c:v>
                </c:pt>
                <c:pt idx="586">
                  <c:v>9.6815999999999999E-2</c:v>
                </c:pt>
                <c:pt idx="587">
                  <c:v>9.7180000000000002E-2</c:v>
                </c:pt>
                <c:pt idx="588">
                  <c:v>9.7540000000000002E-2</c:v>
                </c:pt>
                <c:pt idx="589">
                  <c:v>9.7902000000000003E-2</c:v>
                </c:pt>
                <c:pt idx="590">
                  <c:v>9.8262000000000002E-2</c:v>
                </c:pt>
                <c:pt idx="591">
                  <c:v>9.8623999999999989E-2</c:v>
                </c:pt>
                <c:pt idx="592">
                  <c:v>9.8984000000000003E-2</c:v>
                </c:pt>
                <c:pt idx="593">
                  <c:v>9.934599999999999E-2</c:v>
                </c:pt>
                <c:pt idx="594">
                  <c:v>9.9708000000000005E-2</c:v>
                </c:pt>
                <c:pt idx="595">
                  <c:v>0.100068</c:v>
                </c:pt>
                <c:pt idx="596">
                  <c:v>0.100428</c:v>
                </c:pt>
                <c:pt idx="597">
                  <c:v>0.10079200000000001</c:v>
                </c:pt>
                <c:pt idx="598">
                  <c:v>0.10115</c:v>
                </c:pt>
                <c:pt idx="599">
                  <c:v>0.10154199999999999</c:v>
                </c:pt>
                <c:pt idx="600">
                  <c:v>0.101928</c:v>
                </c:pt>
                <c:pt idx="601">
                  <c:v>0.10231799999999999</c:v>
                </c:pt>
                <c:pt idx="602">
                  <c:v>0.10268000000000001</c:v>
                </c:pt>
                <c:pt idx="603">
                  <c:v>0.10307000000000001</c:v>
                </c:pt>
                <c:pt idx="604">
                  <c:v>0.10345800000000001</c:v>
                </c:pt>
                <c:pt idx="605">
                  <c:v>0.10384600000000001</c:v>
                </c:pt>
                <c:pt idx="606">
                  <c:v>0.10423400000000001</c:v>
                </c:pt>
                <c:pt idx="607">
                  <c:v>0.104626</c:v>
                </c:pt>
                <c:pt idx="608">
                  <c:v>0.10503999999999999</c:v>
                </c:pt>
                <c:pt idx="609">
                  <c:v>0.105458</c:v>
                </c:pt>
                <c:pt idx="610">
                  <c:v>0.10587400000000001</c:v>
                </c:pt>
                <c:pt idx="611">
                  <c:v>0.106318</c:v>
                </c:pt>
                <c:pt idx="612">
                  <c:v>0.106762</c:v>
                </c:pt>
                <c:pt idx="613">
                  <c:v>0.10718</c:v>
                </c:pt>
                <c:pt idx="614">
                  <c:v>0.107624</c:v>
                </c:pt>
                <c:pt idx="615">
                  <c:v>0.10806800000000001</c:v>
                </c:pt>
                <c:pt idx="616">
                  <c:v>0.108512</c:v>
                </c:pt>
                <c:pt idx="617">
                  <c:v>0.108958</c:v>
                </c:pt>
                <c:pt idx="618">
                  <c:v>0.1094</c:v>
                </c:pt>
                <c:pt idx="619">
                  <c:v>0.10984400000000001</c:v>
                </c:pt>
                <c:pt idx="620">
                  <c:v>0.11029</c:v>
                </c:pt>
                <c:pt idx="621">
                  <c:v>0.110736</c:v>
                </c:pt>
                <c:pt idx="622">
                  <c:v>0.11117800000000001</c:v>
                </c:pt>
                <c:pt idx="623">
                  <c:v>0.111624</c:v>
                </c:pt>
                <c:pt idx="624">
                  <c:v>0.11207</c:v>
                </c:pt>
                <c:pt idx="625">
                  <c:v>0.112512</c:v>
                </c:pt>
                <c:pt idx="626">
                  <c:v>0.112986</c:v>
                </c:pt>
                <c:pt idx="627">
                  <c:v>0.11345599999999999</c:v>
                </c:pt>
                <c:pt idx="628">
                  <c:v>0.11393</c:v>
                </c:pt>
                <c:pt idx="629">
                  <c:v>0.114402</c:v>
                </c:pt>
                <c:pt idx="630">
                  <c:v>0.114902</c:v>
                </c:pt>
                <c:pt idx="631">
                  <c:v>0.115402</c:v>
                </c:pt>
                <c:pt idx="632">
                  <c:v>0.11590199999999999</c:v>
                </c:pt>
                <c:pt idx="633">
                  <c:v>0.1164</c:v>
                </c:pt>
                <c:pt idx="634">
                  <c:v>0.11692999999999999</c:v>
                </c:pt>
                <c:pt idx="635">
                  <c:v>0.11745799999999999</c:v>
                </c:pt>
                <c:pt idx="636">
                  <c:v>0.11798600000000001</c:v>
                </c:pt>
                <c:pt idx="637">
                  <c:v>0.11851399999999999</c:v>
                </c:pt>
                <c:pt idx="638">
                  <c:v>0.11906800000000001</c:v>
                </c:pt>
                <c:pt idx="639">
                  <c:v>0.11962400000000001</c:v>
                </c:pt>
                <c:pt idx="640">
                  <c:v>0.12017799999999999</c:v>
                </c:pt>
                <c:pt idx="641">
                  <c:v>0.120764</c:v>
                </c:pt>
                <c:pt idx="642">
                  <c:v>0.121318</c:v>
                </c:pt>
                <c:pt idx="643">
                  <c:v>0.12190200000000001</c:v>
                </c:pt>
                <c:pt idx="644">
                  <c:v>0.122484</c:v>
                </c:pt>
                <c:pt idx="645">
                  <c:v>0.123096</c:v>
                </c:pt>
                <c:pt idx="646">
                  <c:v>0.123736</c:v>
                </c:pt>
                <c:pt idx="647">
                  <c:v>0.12454000000000001</c:v>
                </c:pt>
              </c:numCache>
            </c:numRef>
          </c:cat>
          <c:val>
            <c:numRef>
              <c:f>'A12-2'!$F$2:$F$649</c:f>
              <c:numCache>
                <c:formatCode>0.00</c:formatCode>
                <c:ptCount val="648"/>
                <c:pt idx="0">
                  <c:v>0</c:v>
                </c:pt>
                <c:pt idx="1">
                  <c:v>5.4219459717905812E-3</c:v>
                </c:pt>
                <c:pt idx="2">
                  <c:v>0.13012670332297394</c:v>
                </c:pt>
                <c:pt idx="3">
                  <c:v>0.13554864929476454</c:v>
                </c:pt>
                <c:pt idx="4">
                  <c:v>0.14097059526655512</c:v>
                </c:pt>
                <c:pt idx="5">
                  <c:v>0.14097059526655512</c:v>
                </c:pt>
                <c:pt idx="6">
                  <c:v>0.14639254123834569</c:v>
                </c:pt>
                <c:pt idx="7">
                  <c:v>0.1518144872101363</c:v>
                </c:pt>
                <c:pt idx="8">
                  <c:v>0.1518144872101363</c:v>
                </c:pt>
                <c:pt idx="9">
                  <c:v>0.15723643318192687</c:v>
                </c:pt>
                <c:pt idx="10">
                  <c:v>0.16265837915371742</c:v>
                </c:pt>
                <c:pt idx="11">
                  <c:v>0.16265837915371742</c:v>
                </c:pt>
                <c:pt idx="12">
                  <c:v>0.16808032512550805</c:v>
                </c:pt>
                <c:pt idx="13">
                  <c:v>0.16808032512550805</c:v>
                </c:pt>
                <c:pt idx="14">
                  <c:v>0.1735022710972986</c:v>
                </c:pt>
                <c:pt idx="15">
                  <c:v>0.1735022710972986</c:v>
                </c:pt>
                <c:pt idx="16">
                  <c:v>0.17892421706908918</c:v>
                </c:pt>
                <c:pt idx="17">
                  <c:v>0.18434616304087975</c:v>
                </c:pt>
                <c:pt idx="18">
                  <c:v>0.18434616304087975</c:v>
                </c:pt>
                <c:pt idx="19">
                  <c:v>0.18976810901267036</c:v>
                </c:pt>
                <c:pt idx="20">
                  <c:v>0.1951900549844609</c:v>
                </c:pt>
                <c:pt idx="21">
                  <c:v>0.20061200095625151</c:v>
                </c:pt>
                <c:pt idx="22">
                  <c:v>0.20061200095625151</c:v>
                </c:pt>
                <c:pt idx="23">
                  <c:v>0.20061200095625151</c:v>
                </c:pt>
                <c:pt idx="24">
                  <c:v>0.20603394692804208</c:v>
                </c:pt>
                <c:pt idx="25">
                  <c:v>0.21145589289983266</c:v>
                </c:pt>
                <c:pt idx="26">
                  <c:v>0.21687783887162324</c:v>
                </c:pt>
                <c:pt idx="27">
                  <c:v>0.22229978484341384</c:v>
                </c:pt>
                <c:pt idx="28">
                  <c:v>0.22772173081520442</c:v>
                </c:pt>
                <c:pt idx="29">
                  <c:v>0.22772173081520442</c:v>
                </c:pt>
                <c:pt idx="30">
                  <c:v>0.23856243525380511</c:v>
                </c:pt>
                <c:pt idx="31">
                  <c:v>0.24398438122559568</c:v>
                </c:pt>
                <c:pt idx="32">
                  <c:v>0.24398438122559568</c:v>
                </c:pt>
                <c:pt idx="33">
                  <c:v>0.25482827316917683</c:v>
                </c:pt>
                <c:pt idx="34">
                  <c:v>0.25482827316917683</c:v>
                </c:pt>
                <c:pt idx="35">
                  <c:v>0.26567216511275799</c:v>
                </c:pt>
                <c:pt idx="36">
                  <c:v>0.26567216511275799</c:v>
                </c:pt>
                <c:pt idx="37">
                  <c:v>0.27651605705633919</c:v>
                </c:pt>
                <c:pt idx="38">
                  <c:v>0.28193800302812977</c:v>
                </c:pt>
                <c:pt idx="39">
                  <c:v>0.28193800302812977</c:v>
                </c:pt>
                <c:pt idx="40">
                  <c:v>0.28735994899992034</c:v>
                </c:pt>
                <c:pt idx="41">
                  <c:v>0.29820384094350144</c:v>
                </c:pt>
                <c:pt idx="42">
                  <c:v>0.30362578691529202</c:v>
                </c:pt>
                <c:pt idx="43">
                  <c:v>0.31446967885887328</c:v>
                </c:pt>
                <c:pt idx="44">
                  <c:v>0.32531675830743484</c:v>
                </c:pt>
                <c:pt idx="45">
                  <c:v>0.33615427524105507</c:v>
                </c:pt>
                <c:pt idx="46">
                  <c:v>0.34157303370786518</c:v>
                </c:pt>
                <c:pt idx="47">
                  <c:v>0.3469917921746753</c:v>
                </c:pt>
                <c:pt idx="48">
                  <c:v>0.36327994262491037</c:v>
                </c:pt>
                <c:pt idx="49">
                  <c:v>0.36869870109172048</c:v>
                </c:pt>
                <c:pt idx="50">
                  <c:v>0.37953621802534071</c:v>
                </c:pt>
                <c:pt idx="51">
                  <c:v>0.38495497649215082</c:v>
                </c:pt>
                <c:pt idx="52">
                  <c:v>0.39037373495896088</c:v>
                </c:pt>
                <c:pt idx="53">
                  <c:v>0.395792493425771</c:v>
                </c:pt>
                <c:pt idx="54">
                  <c:v>0.41208064387600613</c:v>
                </c:pt>
                <c:pt idx="55">
                  <c:v>0.41749940234281624</c:v>
                </c:pt>
                <c:pt idx="56">
                  <c:v>0.42833691927643647</c:v>
                </c:pt>
                <c:pt idx="57">
                  <c:v>0.43917443621005658</c:v>
                </c:pt>
                <c:pt idx="58">
                  <c:v>0.45001195314367681</c:v>
                </c:pt>
                <c:pt idx="59">
                  <c:v>0.46084947007729699</c:v>
                </c:pt>
                <c:pt idx="60">
                  <c:v>0.4662682285441071</c:v>
                </c:pt>
                <c:pt idx="61">
                  <c:v>0.47713762052753206</c:v>
                </c:pt>
                <c:pt idx="62">
                  <c:v>0.48255637899434217</c:v>
                </c:pt>
                <c:pt idx="63">
                  <c:v>0.4933938959279624</c:v>
                </c:pt>
                <c:pt idx="64">
                  <c:v>0.50423141286158268</c:v>
                </c:pt>
                <c:pt idx="65">
                  <c:v>0.50965017132839274</c:v>
                </c:pt>
                <c:pt idx="66">
                  <c:v>0.52048768826201297</c:v>
                </c:pt>
                <c:pt idx="67">
                  <c:v>0.53135708024543793</c:v>
                </c:pt>
                <c:pt idx="68">
                  <c:v>0.54219459717905816</c:v>
                </c:pt>
                <c:pt idx="69">
                  <c:v>0.55303211411267839</c:v>
                </c:pt>
                <c:pt idx="70">
                  <c:v>0.5638696310462985</c:v>
                </c:pt>
                <c:pt idx="71">
                  <c:v>0.56928838951310867</c:v>
                </c:pt>
                <c:pt idx="72">
                  <c:v>0.58557653996334369</c:v>
                </c:pt>
                <c:pt idx="73">
                  <c:v>0.59641405689696381</c:v>
                </c:pt>
                <c:pt idx="74">
                  <c:v>0.60725157383058403</c:v>
                </c:pt>
                <c:pt idx="75">
                  <c:v>0.61808909076420426</c:v>
                </c:pt>
                <c:pt idx="76">
                  <c:v>0.6289266076978246</c:v>
                </c:pt>
                <c:pt idx="77">
                  <c:v>0.64521475814805973</c:v>
                </c:pt>
                <c:pt idx="78">
                  <c:v>0.65605227508167996</c:v>
                </c:pt>
                <c:pt idx="79">
                  <c:v>0.67230855048211013</c:v>
                </c:pt>
                <c:pt idx="80">
                  <c:v>0.68314606741573036</c:v>
                </c:pt>
                <c:pt idx="81">
                  <c:v>0.69943421786596549</c:v>
                </c:pt>
                <c:pt idx="82">
                  <c:v>0.71569049326639578</c:v>
                </c:pt>
                <c:pt idx="83">
                  <c:v>0.73194676866682606</c:v>
                </c:pt>
                <c:pt idx="84">
                  <c:v>0.74823491911706119</c:v>
                </c:pt>
                <c:pt idx="85">
                  <c:v>0.76449119451749148</c:v>
                </c:pt>
                <c:pt idx="86">
                  <c:v>0.78074746991792177</c:v>
                </c:pt>
                <c:pt idx="87">
                  <c:v>0.79703562036815678</c:v>
                </c:pt>
                <c:pt idx="88">
                  <c:v>0.81329189576858729</c:v>
                </c:pt>
                <c:pt idx="89">
                  <c:v>0.83496692963582764</c:v>
                </c:pt>
                <c:pt idx="90">
                  <c:v>0.85125508008606265</c:v>
                </c:pt>
                <c:pt idx="91">
                  <c:v>0.86209259701968288</c:v>
                </c:pt>
                <c:pt idx="92">
                  <c:v>0.87834887242011317</c:v>
                </c:pt>
                <c:pt idx="93">
                  <c:v>0.89460514782054346</c:v>
                </c:pt>
                <c:pt idx="94">
                  <c:v>0.91089329827077858</c:v>
                </c:pt>
                <c:pt idx="95">
                  <c:v>0.92714957367120898</c:v>
                </c:pt>
                <c:pt idx="96">
                  <c:v>0.94340584907163927</c:v>
                </c:pt>
                <c:pt idx="97">
                  <c:v>0.9542433660052595</c:v>
                </c:pt>
                <c:pt idx="98">
                  <c:v>0.97053151645549451</c:v>
                </c:pt>
                <c:pt idx="99">
                  <c:v>0.9867877918559248</c:v>
                </c:pt>
                <c:pt idx="100">
                  <c:v>1.0084628257231654</c:v>
                </c:pt>
                <c:pt idx="101">
                  <c:v>1.0247509761734004</c:v>
                </c:pt>
                <c:pt idx="102">
                  <c:v>1.0410072515738307</c:v>
                </c:pt>
                <c:pt idx="103">
                  <c:v>1.0572635269742607</c:v>
                </c:pt>
                <c:pt idx="104">
                  <c:v>1.0789704358913064</c:v>
                </c:pt>
                <c:pt idx="105">
                  <c:v>1.0952267112917364</c:v>
                </c:pt>
                <c:pt idx="106">
                  <c:v>1.1169017451589769</c:v>
                </c:pt>
                <c:pt idx="107">
                  <c:v>1.1386086540760219</c:v>
                </c:pt>
                <c:pt idx="108">
                  <c:v>1.1602836879432625</c:v>
                </c:pt>
                <c:pt idx="109">
                  <c:v>1.1819905968603077</c:v>
                </c:pt>
                <c:pt idx="110">
                  <c:v>1.2036656307275482</c:v>
                </c:pt>
                <c:pt idx="111">
                  <c:v>1.2253406645947886</c:v>
                </c:pt>
                <c:pt idx="112">
                  <c:v>1.2470475735118336</c:v>
                </c:pt>
                <c:pt idx="113">
                  <c:v>1.2687226073790741</c:v>
                </c:pt>
                <c:pt idx="114">
                  <c:v>1.2904295162961195</c:v>
                </c:pt>
                <c:pt idx="115">
                  <c:v>1.3066857916965495</c:v>
                </c:pt>
                <c:pt idx="116">
                  <c:v>1.32836082556379</c:v>
                </c:pt>
                <c:pt idx="117">
                  <c:v>1.3500677344808349</c:v>
                </c:pt>
                <c:pt idx="118">
                  <c:v>1.3717427683480754</c:v>
                </c:pt>
                <c:pt idx="119">
                  <c:v>1.3934178022153161</c:v>
                </c:pt>
                <c:pt idx="120">
                  <c:v>1.4151247111323613</c:v>
                </c:pt>
                <c:pt idx="121">
                  <c:v>1.4367997449996017</c:v>
                </c:pt>
                <c:pt idx="122">
                  <c:v>1.4585066539166467</c:v>
                </c:pt>
                <c:pt idx="123">
                  <c:v>1.4801816877838871</c:v>
                </c:pt>
                <c:pt idx="124">
                  <c:v>1.5018567216511276</c:v>
                </c:pt>
                <c:pt idx="125">
                  <c:v>1.523563630568173</c:v>
                </c:pt>
                <c:pt idx="126">
                  <c:v>1.5452386644354135</c:v>
                </c:pt>
                <c:pt idx="127">
                  <c:v>1.5669455733524584</c:v>
                </c:pt>
                <c:pt idx="128">
                  <c:v>1.5886206072196989</c:v>
                </c:pt>
                <c:pt idx="129">
                  <c:v>1.6102956410869393</c:v>
                </c:pt>
                <c:pt idx="130">
                  <c:v>1.6320025500039845</c:v>
                </c:pt>
                <c:pt idx="131">
                  <c:v>1.653677583871225</c:v>
                </c:pt>
                <c:pt idx="132">
                  <c:v>1.6753844927882702</c:v>
                </c:pt>
                <c:pt idx="133">
                  <c:v>1.6970595266555106</c:v>
                </c:pt>
                <c:pt idx="134">
                  <c:v>1.7187345605227509</c:v>
                </c:pt>
                <c:pt idx="135">
                  <c:v>1.7404414694397958</c:v>
                </c:pt>
                <c:pt idx="136">
                  <c:v>1.7621165033070363</c:v>
                </c:pt>
                <c:pt idx="137">
                  <c:v>1.7838234122240819</c:v>
                </c:pt>
                <c:pt idx="138">
                  <c:v>1.8054984460913222</c:v>
                </c:pt>
                <c:pt idx="139">
                  <c:v>1.8271734799585626</c:v>
                </c:pt>
                <c:pt idx="140">
                  <c:v>1.8488803888756076</c:v>
                </c:pt>
                <c:pt idx="141">
                  <c:v>1.870555422742848</c:v>
                </c:pt>
                <c:pt idx="142">
                  <c:v>1.8922304566100885</c:v>
                </c:pt>
                <c:pt idx="143">
                  <c:v>1.9139373655271337</c:v>
                </c:pt>
                <c:pt idx="144">
                  <c:v>1.9356123993943741</c:v>
                </c:pt>
                <c:pt idx="145">
                  <c:v>1.9573193083114193</c:v>
                </c:pt>
                <c:pt idx="146">
                  <c:v>1.9789943421786598</c:v>
                </c:pt>
                <c:pt idx="147">
                  <c:v>2.0006693760459</c:v>
                </c:pt>
                <c:pt idx="148">
                  <c:v>2.0223762849629452</c:v>
                </c:pt>
                <c:pt idx="149">
                  <c:v>2.0440513188301854</c:v>
                </c:pt>
                <c:pt idx="150">
                  <c:v>2.0657582277472311</c:v>
                </c:pt>
                <c:pt idx="151">
                  <c:v>2.0874332616144713</c:v>
                </c:pt>
                <c:pt idx="152">
                  <c:v>2.109108295481712</c:v>
                </c:pt>
                <c:pt idx="153">
                  <c:v>2.1308152043987572</c:v>
                </c:pt>
                <c:pt idx="154">
                  <c:v>2.1524902382659974</c:v>
                </c:pt>
                <c:pt idx="155">
                  <c:v>2.1741971471830426</c:v>
                </c:pt>
                <c:pt idx="156">
                  <c:v>2.1958721810502828</c:v>
                </c:pt>
                <c:pt idx="157">
                  <c:v>2.2175472149175235</c:v>
                </c:pt>
                <c:pt idx="158">
                  <c:v>2.2392541238345687</c:v>
                </c:pt>
                <c:pt idx="159">
                  <c:v>2.2609291577018089</c:v>
                </c:pt>
                <c:pt idx="160">
                  <c:v>2.2826360666188541</c:v>
                </c:pt>
                <c:pt idx="161">
                  <c:v>2.3043111004860948</c:v>
                </c:pt>
                <c:pt idx="162">
                  <c:v>2.325986134353335</c:v>
                </c:pt>
                <c:pt idx="163">
                  <c:v>2.3476930432703802</c:v>
                </c:pt>
                <c:pt idx="164">
                  <c:v>2.3693680771376204</c:v>
                </c:pt>
                <c:pt idx="165">
                  <c:v>2.3910749860546661</c:v>
                </c:pt>
                <c:pt idx="166">
                  <c:v>2.4181687783887162</c:v>
                </c:pt>
                <c:pt idx="167">
                  <c:v>2.4398438122559565</c:v>
                </c:pt>
                <c:pt idx="168">
                  <c:v>2.4615507211730021</c:v>
                </c:pt>
                <c:pt idx="169">
                  <c:v>2.4832257550402423</c:v>
                </c:pt>
                <c:pt idx="170">
                  <c:v>2.5049326639572875</c:v>
                </c:pt>
                <c:pt idx="171">
                  <c:v>2.5266076978245278</c:v>
                </c:pt>
                <c:pt idx="172">
                  <c:v>2.5482827316917684</c:v>
                </c:pt>
                <c:pt idx="173">
                  <c:v>2.5699896406088136</c:v>
                </c:pt>
                <c:pt idx="174">
                  <c:v>2.5916646744760539</c:v>
                </c:pt>
                <c:pt idx="175">
                  <c:v>2.6133715833930991</c:v>
                </c:pt>
                <c:pt idx="176">
                  <c:v>2.6350466172603397</c:v>
                </c:pt>
                <c:pt idx="177">
                  <c:v>2.65672165112758</c:v>
                </c:pt>
                <c:pt idx="178">
                  <c:v>2.6784285600446252</c:v>
                </c:pt>
                <c:pt idx="179">
                  <c:v>2.7001035939118658</c:v>
                </c:pt>
                <c:pt idx="180">
                  <c:v>2.721810502828911</c:v>
                </c:pt>
                <c:pt idx="181">
                  <c:v>2.7434855366961508</c:v>
                </c:pt>
                <c:pt idx="182">
                  <c:v>2.7705793290302019</c:v>
                </c:pt>
                <c:pt idx="183">
                  <c:v>2.7922862379472471</c:v>
                </c:pt>
                <c:pt idx="184">
                  <c:v>2.8139612718144873</c:v>
                </c:pt>
                <c:pt idx="185">
                  <c:v>2.8356681807315325</c:v>
                </c:pt>
                <c:pt idx="186">
                  <c:v>2.8573432145987732</c:v>
                </c:pt>
                <c:pt idx="187">
                  <c:v>2.8790182484660134</c:v>
                </c:pt>
                <c:pt idx="188">
                  <c:v>2.9007251573830586</c:v>
                </c:pt>
                <c:pt idx="189">
                  <c:v>2.9224001912502993</c:v>
                </c:pt>
                <c:pt idx="190">
                  <c:v>2.9441071001673444</c:v>
                </c:pt>
                <c:pt idx="191">
                  <c:v>2.9712008925013946</c:v>
                </c:pt>
                <c:pt idx="192">
                  <c:v>2.9929078014184398</c:v>
                </c:pt>
                <c:pt idx="193">
                  <c:v>3.0145828352856805</c:v>
                </c:pt>
                <c:pt idx="194">
                  <c:v>3.0416766276197307</c:v>
                </c:pt>
                <c:pt idx="195">
                  <c:v>3.0633835365367759</c:v>
                </c:pt>
                <c:pt idx="196">
                  <c:v>3.0850585704040165</c:v>
                </c:pt>
                <c:pt idx="197">
                  <c:v>3.1067654793210617</c:v>
                </c:pt>
                <c:pt idx="198">
                  <c:v>3.1338592716551119</c:v>
                </c:pt>
                <c:pt idx="199">
                  <c:v>3.1555661805721571</c:v>
                </c:pt>
                <c:pt idx="200">
                  <c:v>3.1772412144393978</c:v>
                </c:pt>
                <c:pt idx="201">
                  <c:v>3.1989799984062479</c:v>
                </c:pt>
                <c:pt idx="202">
                  <c:v>3.2206550322734881</c:v>
                </c:pt>
                <c:pt idx="203">
                  <c:v>3.2423300661407284</c:v>
                </c:pt>
                <c:pt idx="204">
                  <c:v>3.2640051000079691</c:v>
                </c:pt>
                <c:pt idx="205">
                  <c:v>3.2910988923420192</c:v>
                </c:pt>
                <c:pt idx="206">
                  <c:v>3.3127739262092604</c:v>
                </c:pt>
                <c:pt idx="207">
                  <c:v>3.3344489600765002</c:v>
                </c:pt>
                <c:pt idx="208">
                  <c:v>3.3561239939437413</c:v>
                </c:pt>
                <c:pt idx="209">
                  <c:v>3.3832177862777915</c:v>
                </c:pt>
                <c:pt idx="210">
                  <c:v>3.4048928201450313</c:v>
                </c:pt>
                <c:pt idx="211">
                  <c:v>3.4265678540122724</c:v>
                </c:pt>
                <c:pt idx="212">
                  <c:v>3.4536616463463221</c:v>
                </c:pt>
                <c:pt idx="213">
                  <c:v>3.4753366802135632</c:v>
                </c:pt>
                <c:pt idx="214">
                  <c:v>3.5024304725476134</c:v>
                </c:pt>
                <c:pt idx="215">
                  <c:v>3.5241055064148541</c:v>
                </c:pt>
                <c:pt idx="216">
                  <c:v>3.5457805402820943</c:v>
                </c:pt>
                <c:pt idx="217">
                  <c:v>3.5731930831141923</c:v>
                </c:pt>
                <c:pt idx="218">
                  <c:v>3.6002868754482433</c:v>
                </c:pt>
                <c:pt idx="219">
                  <c:v>3.6219619093154831</c:v>
                </c:pt>
                <c:pt idx="220">
                  <c:v>3.6490557016495342</c:v>
                </c:pt>
                <c:pt idx="221">
                  <c:v>3.6761494939835844</c:v>
                </c:pt>
                <c:pt idx="222">
                  <c:v>3.6978245278508255</c:v>
                </c:pt>
                <c:pt idx="223">
                  <c:v>3.7249183201848752</c:v>
                </c:pt>
                <c:pt idx="224">
                  <c:v>3.7520121125189259</c:v>
                </c:pt>
                <c:pt idx="225">
                  <c:v>3.7791059048529765</c:v>
                </c:pt>
                <c:pt idx="226">
                  <c:v>3.8061996971870271</c:v>
                </c:pt>
                <c:pt idx="227">
                  <c:v>3.8332934895210777</c:v>
                </c:pt>
                <c:pt idx="228">
                  <c:v>3.8603872818551284</c:v>
                </c:pt>
                <c:pt idx="229">
                  <c:v>3.8874810741891785</c:v>
                </c:pt>
                <c:pt idx="230">
                  <c:v>3.9091561080564192</c:v>
                </c:pt>
                <c:pt idx="231">
                  <c:v>3.9362499003904694</c:v>
                </c:pt>
                <c:pt idx="232">
                  <c:v>3.9579249342577101</c:v>
                </c:pt>
                <c:pt idx="233">
                  <c:v>3.9850187265917603</c:v>
                </c:pt>
                <c:pt idx="234">
                  <c:v>4.0066937604590009</c:v>
                </c:pt>
                <c:pt idx="235">
                  <c:v>4.0337875527930516</c:v>
                </c:pt>
                <c:pt idx="236">
                  <c:v>4.0554625866602922</c:v>
                </c:pt>
                <c:pt idx="237">
                  <c:v>4.0825563789943429</c:v>
                </c:pt>
                <c:pt idx="238">
                  <c:v>4.1042314128615827</c:v>
                </c:pt>
                <c:pt idx="239">
                  <c:v>4.131643955693681</c:v>
                </c:pt>
                <c:pt idx="240">
                  <c:v>4.1533189895609217</c:v>
                </c:pt>
                <c:pt idx="241">
                  <c:v>4.1749940234281615</c:v>
                </c:pt>
                <c:pt idx="242">
                  <c:v>4.2129253326958329</c:v>
                </c:pt>
                <c:pt idx="243">
                  <c:v>4.2508566419635034</c:v>
                </c:pt>
                <c:pt idx="244">
                  <c:v>4.283369192764364</c:v>
                </c:pt>
                <c:pt idx="245">
                  <c:v>4.3213005020320345</c:v>
                </c:pt>
                <c:pt idx="246">
                  <c:v>4.3538130528328951</c:v>
                </c:pt>
                <c:pt idx="247">
                  <c:v>4.3917443621005656</c:v>
                </c:pt>
                <c:pt idx="248">
                  <c:v>4.4242569129014271</c:v>
                </c:pt>
                <c:pt idx="249">
                  <c:v>4.4567694637022877</c:v>
                </c:pt>
                <c:pt idx="250">
                  <c:v>4.4892820145031482</c:v>
                </c:pt>
                <c:pt idx="251">
                  <c:v>4.5272133237708179</c:v>
                </c:pt>
                <c:pt idx="252">
                  <c:v>4.5597258745716802</c:v>
                </c:pt>
                <c:pt idx="253">
                  <c:v>4.5922384253725399</c:v>
                </c:pt>
                <c:pt idx="254">
                  <c:v>4.6247509761734005</c:v>
                </c:pt>
                <c:pt idx="255">
                  <c:v>4.6572635269742619</c:v>
                </c:pt>
                <c:pt idx="256">
                  <c:v>4.6900948282731685</c:v>
                </c:pt>
                <c:pt idx="257">
                  <c:v>4.7280261375408408</c:v>
                </c:pt>
                <c:pt idx="258">
                  <c:v>4.7605386883417005</c:v>
                </c:pt>
                <c:pt idx="259">
                  <c:v>4.793051239142561</c:v>
                </c:pt>
                <c:pt idx="260">
                  <c:v>4.8255637899434216</c:v>
                </c:pt>
                <c:pt idx="261">
                  <c:v>4.8580763407442822</c:v>
                </c:pt>
                <c:pt idx="262">
                  <c:v>4.8960076500119527</c:v>
                </c:pt>
                <c:pt idx="263">
                  <c:v>4.9285202008128142</c:v>
                </c:pt>
                <c:pt idx="264">
                  <c:v>4.9610327516136747</c:v>
                </c:pt>
                <c:pt idx="265">
                  <c:v>4.9935453024145353</c:v>
                </c:pt>
                <c:pt idx="266">
                  <c:v>5.0260578532153968</c:v>
                </c:pt>
                <c:pt idx="267">
                  <c:v>5.0585704040162565</c:v>
                </c:pt>
                <c:pt idx="268">
                  <c:v>5.091082954817117</c:v>
                </c:pt>
                <c:pt idx="269">
                  <c:v>5.1344330225515984</c:v>
                </c:pt>
                <c:pt idx="270">
                  <c:v>5.1723643318192689</c:v>
                </c:pt>
                <c:pt idx="271">
                  <c:v>5.2048768826201286</c:v>
                </c:pt>
                <c:pt idx="272">
                  <c:v>5.2377081839190378</c:v>
                </c:pt>
                <c:pt idx="273">
                  <c:v>5.2702207347198984</c:v>
                </c:pt>
                <c:pt idx="274">
                  <c:v>5.3027332855207598</c:v>
                </c:pt>
                <c:pt idx="275">
                  <c:v>5.3352458363216195</c:v>
                </c:pt>
                <c:pt idx="276">
                  <c:v>5.3677583871224801</c:v>
                </c:pt>
                <c:pt idx="277">
                  <c:v>5.4002709379233398</c:v>
                </c:pt>
                <c:pt idx="278">
                  <c:v>5.4327834887242012</c:v>
                </c:pt>
                <c:pt idx="279">
                  <c:v>5.4652960395250627</c:v>
                </c:pt>
                <c:pt idx="280">
                  <c:v>5.4978085903259224</c:v>
                </c:pt>
                <c:pt idx="281">
                  <c:v>5.5303211411267839</c:v>
                </c:pt>
                <c:pt idx="282">
                  <c:v>5.5682524503944544</c:v>
                </c:pt>
                <c:pt idx="283">
                  <c:v>5.6116025181289348</c:v>
                </c:pt>
                <c:pt idx="284">
                  <c:v>5.6549525858634162</c:v>
                </c:pt>
                <c:pt idx="285">
                  <c:v>5.6983026535978967</c:v>
                </c:pt>
                <c:pt idx="286">
                  <c:v>5.747071479799188</c:v>
                </c:pt>
                <c:pt idx="287">
                  <c:v>5.7907402980317153</c:v>
                </c:pt>
                <c:pt idx="288">
                  <c:v>5.8395091242330066</c:v>
                </c:pt>
                <c:pt idx="289">
                  <c:v>5.882859191967488</c:v>
                </c:pt>
                <c:pt idx="290">
                  <c:v>5.9262092597019684</c:v>
                </c:pt>
                <c:pt idx="291">
                  <c:v>5.9695593274364498</c:v>
                </c:pt>
                <c:pt idx="292">
                  <c:v>6.0183281536377411</c:v>
                </c:pt>
                <c:pt idx="293">
                  <c:v>6.0616782213722207</c:v>
                </c:pt>
                <c:pt idx="294">
                  <c:v>6.1104470475735111</c:v>
                </c:pt>
                <c:pt idx="295">
                  <c:v>6.1537971153079933</c:v>
                </c:pt>
                <c:pt idx="296">
                  <c:v>6.2025659415092838</c:v>
                </c:pt>
                <c:pt idx="297">
                  <c:v>6.2459160092437642</c:v>
                </c:pt>
                <c:pt idx="298">
                  <c:v>6.2892660769782456</c:v>
                </c:pt>
                <c:pt idx="299">
                  <c:v>6.3383536536775837</c:v>
                </c:pt>
                <c:pt idx="300">
                  <c:v>6.3817037214120651</c:v>
                </c:pt>
                <c:pt idx="301">
                  <c:v>6.4250537891465456</c:v>
                </c:pt>
                <c:pt idx="302">
                  <c:v>6.4738226153478369</c:v>
                </c:pt>
                <c:pt idx="303">
                  <c:v>6.5171726830823182</c:v>
                </c:pt>
                <c:pt idx="304">
                  <c:v>6.5659415092836086</c:v>
                </c:pt>
                <c:pt idx="305">
                  <c:v>6.60929157701809</c:v>
                </c:pt>
                <c:pt idx="306">
                  <c:v>6.6526416447525705</c:v>
                </c:pt>
                <c:pt idx="307">
                  <c:v>6.6959917124870509</c:v>
                </c:pt>
                <c:pt idx="308">
                  <c:v>6.7447605386883422</c:v>
                </c:pt>
                <c:pt idx="309">
                  <c:v>6.7881106064228227</c:v>
                </c:pt>
                <c:pt idx="310">
                  <c:v>6.836879432624114</c:v>
                </c:pt>
                <c:pt idx="311">
                  <c:v>6.8859670093234522</c:v>
                </c:pt>
                <c:pt idx="312">
                  <c:v>6.9293170770579327</c:v>
                </c:pt>
                <c:pt idx="313">
                  <c:v>6.978085903259224</c:v>
                </c:pt>
                <c:pt idx="314">
                  <c:v>7.043111004860946</c:v>
                </c:pt>
                <c:pt idx="315">
                  <c:v>7.1027173479958572</c:v>
                </c:pt>
                <c:pt idx="316">
                  <c:v>7.1677424495975783</c:v>
                </c:pt>
                <c:pt idx="317">
                  <c:v>7.2273487927324895</c:v>
                </c:pt>
                <c:pt idx="318">
                  <c:v>7.2869551358674007</c:v>
                </c:pt>
                <c:pt idx="319">
                  <c:v>7.3519802374691219</c:v>
                </c:pt>
                <c:pt idx="320">
                  <c:v>7.4119053311020808</c:v>
                </c:pt>
                <c:pt idx="321">
                  <c:v>7.4715116742369911</c:v>
                </c:pt>
                <c:pt idx="322">
                  <c:v>7.5256992589050924</c:v>
                </c:pt>
                <c:pt idx="323">
                  <c:v>7.5907243605068127</c:v>
                </c:pt>
                <c:pt idx="324">
                  <c:v>7.6557494621085347</c:v>
                </c:pt>
                <c:pt idx="325">
                  <c:v>7.7099370467766359</c:v>
                </c:pt>
                <c:pt idx="326">
                  <c:v>7.7749621483783571</c:v>
                </c:pt>
                <c:pt idx="327">
                  <c:v>7.8399872499800791</c:v>
                </c:pt>
                <c:pt idx="328">
                  <c:v>7.8995935931149894</c:v>
                </c:pt>
                <c:pt idx="329">
                  <c:v>7.9537811777830907</c:v>
                </c:pt>
                <c:pt idx="330">
                  <c:v>8.0191250298828596</c:v>
                </c:pt>
                <c:pt idx="331">
                  <c:v>8.0841501314845807</c:v>
                </c:pt>
                <c:pt idx="332">
                  <c:v>8.1491752330863019</c:v>
                </c:pt>
                <c:pt idx="333">
                  <c:v>8.214200334688023</c:v>
                </c:pt>
                <c:pt idx="334">
                  <c:v>8.2738066778229342</c:v>
                </c:pt>
                <c:pt idx="335">
                  <c:v>8.3279942624910355</c:v>
                </c:pt>
                <c:pt idx="336">
                  <c:v>8.3930193640927566</c:v>
                </c:pt>
                <c:pt idx="337">
                  <c:v>8.4580444656944795</c:v>
                </c:pt>
                <c:pt idx="338">
                  <c:v>8.5233883177942467</c:v>
                </c:pt>
                <c:pt idx="339">
                  <c:v>8.5884134193959678</c:v>
                </c:pt>
                <c:pt idx="340">
                  <c:v>8.6588572794644989</c:v>
                </c:pt>
                <c:pt idx="341">
                  <c:v>8.7238823810662218</c:v>
                </c:pt>
                <c:pt idx="342">
                  <c:v>8.788907482667943</c:v>
                </c:pt>
                <c:pt idx="343">
                  <c:v>8.8593513427364741</c:v>
                </c:pt>
                <c:pt idx="344">
                  <c:v>8.9297952028050052</c:v>
                </c:pt>
                <c:pt idx="345">
                  <c:v>8.9948203044067263</c:v>
                </c:pt>
                <c:pt idx="346">
                  <c:v>9.0655829149733052</c:v>
                </c:pt>
                <c:pt idx="347">
                  <c:v>9.136026775041838</c:v>
                </c:pt>
                <c:pt idx="348">
                  <c:v>9.2064706351103673</c:v>
                </c:pt>
                <c:pt idx="349">
                  <c:v>9.2714957367120885</c:v>
                </c:pt>
                <c:pt idx="350">
                  <c:v>9.3419395967806214</c:v>
                </c:pt>
                <c:pt idx="351">
                  <c:v>9.4069646983823425</c:v>
                </c:pt>
                <c:pt idx="352">
                  <c:v>9.4774085584508718</c:v>
                </c:pt>
                <c:pt idx="353">
                  <c:v>9.5478524185194065</c:v>
                </c:pt>
                <c:pt idx="354">
                  <c:v>9.6186150290859818</c:v>
                </c:pt>
                <c:pt idx="355">
                  <c:v>9.6890588891545164</c:v>
                </c:pt>
                <c:pt idx="356">
                  <c:v>9.7540839907562358</c:v>
                </c:pt>
                <c:pt idx="357">
                  <c:v>9.8299466092915786</c:v>
                </c:pt>
                <c:pt idx="358">
                  <c:v>9.9112279862937296</c:v>
                </c:pt>
                <c:pt idx="359">
                  <c:v>9.9979281217626905</c:v>
                </c:pt>
                <c:pt idx="360">
                  <c:v>10.084628257231653</c:v>
                </c:pt>
                <c:pt idx="361">
                  <c:v>10.166228384731852</c:v>
                </c:pt>
                <c:pt idx="362">
                  <c:v>10.242091003267193</c:v>
                </c:pt>
                <c:pt idx="363">
                  <c:v>10.328791138736156</c:v>
                </c:pt>
                <c:pt idx="364">
                  <c:v>10.415491274205117</c:v>
                </c:pt>
                <c:pt idx="365">
                  <c:v>10.502191409674078</c:v>
                </c:pt>
                <c:pt idx="366">
                  <c:v>10.57805402820942</c:v>
                </c:pt>
                <c:pt idx="367">
                  <c:v>10.664754163678381</c:v>
                </c:pt>
                <c:pt idx="368">
                  <c:v>10.75177304964539</c:v>
                </c:pt>
                <c:pt idx="369">
                  <c:v>10.838473185114353</c:v>
                </c:pt>
                <c:pt idx="370">
                  <c:v>10.925173320583314</c:v>
                </c:pt>
                <c:pt idx="371">
                  <c:v>11.011873456052276</c:v>
                </c:pt>
                <c:pt idx="372">
                  <c:v>11.087736074587617</c:v>
                </c:pt>
                <c:pt idx="373">
                  <c:v>11.174436210056578</c:v>
                </c:pt>
                <c:pt idx="374">
                  <c:v>11.261455096023589</c:v>
                </c:pt>
                <c:pt idx="375">
                  <c:v>11.35357398995936</c:v>
                </c:pt>
                <c:pt idx="376">
                  <c:v>11.445692883895131</c:v>
                </c:pt>
                <c:pt idx="377">
                  <c:v>11.532393019364095</c:v>
                </c:pt>
                <c:pt idx="378">
                  <c:v>11.624511913299866</c:v>
                </c:pt>
                <c:pt idx="379">
                  <c:v>11.716630807235635</c:v>
                </c:pt>
                <c:pt idx="380">
                  <c:v>11.809068451669457</c:v>
                </c:pt>
                <c:pt idx="381">
                  <c:v>11.906606104072038</c:v>
                </c:pt>
                <c:pt idx="382">
                  <c:v>11.998724998007809</c:v>
                </c:pt>
                <c:pt idx="383">
                  <c:v>12.096262650410392</c:v>
                </c:pt>
                <c:pt idx="384">
                  <c:v>12.193800302812974</c:v>
                </c:pt>
                <c:pt idx="385">
                  <c:v>12.280500438281935</c:v>
                </c:pt>
                <c:pt idx="386">
                  <c:v>12.378356841182564</c:v>
                </c:pt>
                <c:pt idx="387">
                  <c:v>12.475894493585146</c:v>
                </c:pt>
                <c:pt idx="388">
                  <c:v>12.562594629054109</c:v>
                </c:pt>
                <c:pt idx="389">
                  <c:v>12.66013228145669</c:v>
                </c:pt>
                <c:pt idx="390">
                  <c:v>12.757669933859273</c:v>
                </c:pt>
                <c:pt idx="391">
                  <c:v>12.860626344728665</c:v>
                </c:pt>
                <c:pt idx="392">
                  <c:v>12.963901506096104</c:v>
                </c:pt>
                <c:pt idx="393">
                  <c:v>13.061439158498686</c:v>
                </c:pt>
                <c:pt idx="394">
                  <c:v>13.164395569368077</c:v>
                </c:pt>
                <c:pt idx="395">
                  <c:v>13.267351980237471</c:v>
                </c:pt>
                <c:pt idx="396">
                  <c:v>13.37030839110686</c:v>
                </c:pt>
                <c:pt idx="397">
                  <c:v>13.468164794007491</c:v>
                </c:pt>
                <c:pt idx="398">
                  <c:v>13.571121204876883</c:v>
                </c:pt>
                <c:pt idx="399">
                  <c:v>13.674077615746276</c:v>
                </c:pt>
                <c:pt idx="400">
                  <c:v>13.777034026615668</c:v>
                </c:pt>
                <c:pt idx="401">
                  <c:v>13.879990437485059</c:v>
                </c:pt>
                <c:pt idx="402">
                  <c:v>13.999521874252929</c:v>
                </c:pt>
                <c:pt idx="403">
                  <c:v>14.124153318989562</c:v>
                </c:pt>
                <c:pt idx="404">
                  <c:v>14.243366005259386</c:v>
                </c:pt>
                <c:pt idx="405">
                  <c:v>14.362578691529205</c:v>
                </c:pt>
                <c:pt idx="406">
                  <c:v>14.481791377799029</c:v>
                </c:pt>
                <c:pt idx="407">
                  <c:v>14.606741573033709</c:v>
                </c:pt>
                <c:pt idx="408">
                  <c:v>14.725954259303531</c:v>
                </c:pt>
                <c:pt idx="409">
                  <c:v>14.834329428639732</c:v>
                </c:pt>
                <c:pt idx="410">
                  <c:v>14.942704597975936</c:v>
                </c:pt>
                <c:pt idx="411">
                  <c:v>15.061917284245757</c:v>
                </c:pt>
                <c:pt idx="412">
                  <c:v>15.170611204080007</c:v>
                </c:pt>
                <c:pt idx="413">
                  <c:v>15.278986373416208</c:v>
                </c:pt>
                <c:pt idx="414">
                  <c:v>15.39819905968603</c:v>
                </c:pt>
                <c:pt idx="415">
                  <c:v>15.522830504422664</c:v>
                </c:pt>
                <c:pt idx="416">
                  <c:v>15.647780699657345</c:v>
                </c:pt>
                <c:pt idx="417">
                  <c:v>15.766993385927165</c:v>
                </c:pt>
                <c:pt idx="418">
                  <c:v>15.886206072196988</c:v>
                </c:pt>
                <c:pt idx="419">
                  <c:v>16.00541875846681</c:v>
                </c:pt>
                <c:pt idx="420">
                  <c:v>16.124631444736632</c:v>
                </c:pt>
                <c:pt idx="421">
                  <c:v>16.249581639971314</c:v>
                </c:pt>
                <c:pt idx="422">
                  <c:v>16.368794326241137</c:v>
                </c:pt>
                <c:pt idx="423">
                  <c:v>16.493425770977769</c:v>
                </c:pt>
                <c:pt idx="424">
                  <c:v>16.618057215714401</c:v>
                </c:pt>
                <c:pt idx="425">
                  <c:v>16.74300741094908</c:v>
                </c:pt>
                <c:pt idx="426">
                  <c:v>16.889313889552955</c:v>
                </c:pt>
                <c:pt idx="427">
                  <c:v>17.030201609690014</c:v>
                </c:pt>
                <c:pt idx="428">
                  <c:v>17.160251812893456</c:v>
                </c:pt>
                <c:pt idx="429">
                  <c:v>17.301458283528568</c:v>
                </c:pt>
                <c:pt idx="430">
                  <c:v>17.43150848673201</c:v>
                </c:pt>
                <c:pt idx="431">
                  <c:v>17.572396206869072</c:v>
                </c:pt>
                <c:pt idx="432">
                  <c:v>17.702446410072518</c:v>
                </c:pt>
                <c:pt idx="433">
                  <c:v>17.84907163917444</c:v>
                </c:pt>
                <c:pt idx="434">
                  <c:v>17.979121842377879</c:v>
                </c:pt>
                <c:pt idx="435">
                  <c:v>18.125428320981751</c:v>
                </c:pt>
                <c:pt idx="436">
                  <c:v>18.277153558052436</c:v>
                </c:pt>
                <c:pt idx="437">
                  <c:v>18.429197545621165</c:v>
                </c:pt>
                <c:pt idx="438">
                  <c:v>18.580922782691847</c:v>
                </c:pt>
                <c:pt idx="439">
                  <c:v>18.732648019762536</c:v>
                </c:pt>
                <c:pt idx="440">
                  <c:v>18.884373256833218</c:v>
                </c:pt>
                <c:pt idx="441">
                  <c:v>19.036417244401946</c:v>
                </c:pt>
                <c:pt idx="442">
                  <c:v>19.188142481472632</c:v>
                </c:pt>
                <c:pt idx="443">
                  <c:v>19.34528647701012</c:v>
                </c:pt>
                <c:pt idx="444">
                  <c:v>19.491911706112042</c:v>
                </c:pt>
                <c:pt idx="445">
                  <c:v>19.649055701649534</c:v>
                </c:pt>
                <c:pt idx="446">
                  <c:v>19.811618455653836</c:v>
                </c:pt>
                <c:pt idx="447">
                  <c:v>19.968762451191331</c:v>
                </c:pt>
                <c:pt idx="448">
                  <c:v>20.126225197226869</c:v>
                </c:pt>
                <c:pt idx="449">
                  <c:v>20.283369192764365</c:v>
                </c:pt>
                <c:pt idx="450">
                  <c:v>20.440513188301857</c:v>
                </c:pt>
                <c:pt idx="451">
                  <c:v>20.603394692804208</c:v>
                </c:pt>
                <c:pt idx="452">
                  <c:v>20.7605386883417</c:v>
                </c:pt>
                <c:pt idx="453">
                  <c:v>20.917682683879196</c:v>
                </c:pt>
                <c:pt idx="454">
                  <c:v>21.096501713283931</c:v>
                </c:pt>
                <c:pt idx="455">
                  <c:v>21.259383217786279</c:v>
                </c:pt>
                <c:pt idx="456">
                  <c:v>21.438202247191015</c:v>
                </c:pt>
                <c:pt idx="457">
                  <c:v>21.611602518128937</c:v>
                </c:pt>
                <c:pt idx="458">
                  <c:v>21.774484022631288</c:v>
                </c:pt>
                <c:pt idx="459">
                  <c:v>21.947884293569206</c:v>
                </c:pt>
                <c:pt idx="460">
                  <c:v>22.126703322973942</c:v>
                </c:pt>
                <c:pt idx="461">
                  <c:v>22.289584827476293</c:v>
                </c:pt>
                <c:pt idx="462">
                  <c:v>22.468403856881025</c:v>
                </c:pt>
                <c:pt idx="463">
                  <c:v>22.641804127818954</c:v>
                </c:pt>
                <c:pt idx="464">
                  <c:v>22.820941907721732</c:v>
                </c:pt>
                <c:pt idx="465">
                  <c:v>23.005179695593274</c:v>
                </c:pt>
                <c:pt idx="466">
                  <c:v>23.183998724998009</c:v>
                </c:pt>
                <c:pt idx="467">
                  <c:v>23.3685552633676</c:v>
                </c:pt>
                <c:pt idx="468">
                  <c:v>23.552793051239146</c:v>
                </c:pt>
                <c:pt idx="469">
                  <c:v>23.737030839110687</c:v>
                </c:pt>
                <c:pt idx="470">
                  <c:v>23.921587377480279</c:v>
                </c:pt>
                <c:pt idx="471">
                  <c:v>24.105825165351824</c:v>
                </c:pt>
                <c:pt idx="472">
                  <c:v>24.290062953223366</c:v>
                </c:pt>
                <c:pt idx="473">
                  <c:v>24.474619491592957</c:v>
                </c:pt>
                <c:pt idx="474">
                  <c:v>24.675113554864932</c:v>
                </c:pt>
                <c:pt idx="475">
                  <c:v>24.859351342736474</c:v>
                </c:pt>
                <c:pt idx="476">
                  <c:v>25.060164156506499</c:v>
                </c:pt>
                <c:pt idx="477">
                  <c:v>25.26607697824528</c:v>
                </c:pt>
                <c:pt idx="478">
                  <c:v>25.471989799984065</c:v>
                </c:pt>
                <c:pt idx="479">
                  <c:v>25.667383855287277</c:v>
                </c:pt>
                <c:pt idx="480">
                  <c:v>25.878715435492868</c:v>
                </c:pt>
                <c:pt idx="481">
                  <c:v>26.090365766196513</c:v>
                </c:pt>
                <c:pt idx="482">
                  <c:v>26.301697346402104</c:v>
                </c:pt>
                <c:pt idx="483">
                  <c:v>26.496772651207269</c:v>
                </c:pt>
                <c:pt idx="484">
                  <c:v>26.71384174037772</c:v>
                </c:pt>
                <c:pt idx="485">
                  <c:v>26.930592079050125</c:v>
                </c:pt>
                <c:pt idx="486">
                  <c:v>27.15276117618934</c:v>
                </c:pt>
                <c:pt idx="487">
                  <c:v>27.369830265359788</c:v>
                </c:pt>
                <c:pt idx="488">
                  <c:v>27.591999362499006</c:v>
                </c:pt>
                <c:pt idx="489">
                  <c:v>27.814487210136267</c:v>
                </c:pt>
                <c:pt idx="490">
                  <c:v>28.042075065742292</c:v>
                </c:pt>
                <c:pt idx="491">
                  <c:v>28.269981671846363</c:v>
                </c:pt>
                <c:pt idx="492">
                  <c:v>28.492150768985578</c:v>
                </c:pt>
                <c:pt idx="493">
                  <c:v>28.714319866124793</c:v>
                </c:pt>
                <c:pt idx="494">
                  <c:v>28.936807713762057</c:v>
                </c:pt>
                <c:pt idx="495">
                  <c:v>29.153558052434459</c:v>
                </c:pt>
                <c:pt idx="496">
                  <c:v>29.392302175472153</c:v>
                </c:pt>
                <c:pt idx="497">
                  <c:v>29.625308789544984</c:v>
                </c:pt>
                <c:pt idx="498">
                  <c:v>29.863734162084629</c:v>
                </c:pt>
                <c:pt idx="499">
                  <c:v>30.10247828512232</c:v>
                </c:pt>
                <c:pt idx="500">
                  <c:v>30.346322416128778</c:v>
                </c:pt>
                <c:pt idx="501">
                  <c:v>30.585066539166469</c:v>
                </c:pt>
                <c:pt idx="502">
                  <c:v>30.828910670172924</c:v>
                </c:pt>
                <c:pt idx="503">
                  <c:v>31.067654793210615</c:v>
                </c:pt>
                <c:pt idx="504">
                  <c:v>31.311498924217073</c:v>
                </c:pt>
                <c:pt idx="505">
                  <c:v>31.555661805721574</c:v>
                </c:pt>
                <c:pt idx="506">
                  <c:v>31.799505936728028</c:v>
                </c:pt>
                <c:pt idx="507">
                  <c:v>32.043987568730579</c:v>
                </c:pt>
                <c:pt idx="508">
                  <c:v>32.302175472149173</c:v>
                </c:pt>
                <c:pt idx="509">
                  <c:v>32.569925890509204</c:v>
                </c:pt>
                <c:pt idx="510">
                  <c:v>32.824926288947324</c:v>
                </c:pt>
                <c:pt idx="511">
                  <c:v>33.089489202326881</c:v>
                </c:pt>
                <c:pt idx="512">
                  <c:v>33.354052115706438</c:v>
                </c:pt>
                <c:pt idx="513">
                  <c:v>33.615427524105506</c:v>
                </c:pt>
                <c:pt idx="514">
                  <c:v>33.886365447446011</c:v>
                </c:pt>
                <c:pt idx="515">
                  <c:v>34.16367838074747</c:v>
                </c:pt>
                <c:pt idx="516">
                  <c:v>34.444178819029403</c:v>
                </c:pt>
                <c:pt idx="517">
                  <c:v>34.721491752330863</c:v>
                </c:pt>
                <c:pt idx="518">
                  <c:v>34.998804685632322</c:v>
                </c:pt>
                <c:pt idx="519">
                  <c:v>35.276117618933782</c:v>
                </c:pt>
                <c:pt idx="520">
                  <c:v>35.556618057215715</c:v>
                </c:pt>
                <c:pt idx="521">
                  <c:v>35.840306000478137</c:v>
                </c:pt>
                <c:pt idx="522">
                  <c:v>36.120806438760063</c:v>
                </c:pt>
                <c:pt idx="523">
                  <c:v>36.420431906924854</c:v>
                </c:pt>
                <c:pt idx="524">
                  <c:v>36.716869870109178</c:v>
                </c:pt>
                <c:pt idx="525">
                  <c:v>37.016495338273963</c:v>
                </c:pt>
                <c:pt idx="526">
                  <c:v>37.312933301458287</c:v>
                </c:pt>
                <c:pt idx="527">
                  <c:v>37.612558769623078</c:v>
                </c:pt>
                <c:pt idx="528">
                  <c:v>37.908996732807395</c:v>
                </c:pt>
                <c:pt idx="529">
                  <c:v>38.202247191011239</c:v>
                </c:pt>
                <c:pt idx="530">
                  <c:v>38.495497649215082</c:v>
                </c:pt>
                <c:pt idx="531">
                  <c:v>38.795123117379866</c:v>
                </c:pt>
                <c:pt idx="532">
                  <c:v>39.09156108056419</c:v>
                </c:pt>
                <c:pt idx="533">
                  <c:v>39.407124073631365</c:v>
                </c:pt>
                <c:pt idx="534">
                  <c:v>39.725874571679022</c:v>
                </c:pt>
                <c:pt idx="535">
                  <c:v>40.044625069726678</c:v>
                </c:pt>
                <c:pt idx="536">
                  <c:v>40.366563072754808</c:v>
                </c:pt>
                <c:pt idx="537">
                  <c:v>40.682126065821976</c:v>
                </c:pt>
                <c:pt idx="538">
                  <c:v>40.994501553908677</c:v>
                </c:pt>
                <c:pt idx="539">
                  <c:v>41.316439556936807</c:v>
                </c:pt>
                <c:pt idx="540">
                  <c:v>41.635190054984463</c:v>
                </c:pt>
                <c:pt idx="541">
                  <c:v>41.953940553032112</c:v>
                </c:pt>
                <c:pt idx="542">
                  <c:v>42.295003585943107</c:v>
                </c:pt>
                <c:pt idx="543">
                  <c:v>42.626504103912666</c:v>
                </c:pt>
                <c:pt idx="544">
                  <c:v>42.96437963184318</c:v>
                </c:pt>
                <c:pt idx="545">
                  <c:v>43.292692644832258</c:v>
                </c:pt>
                <c:pt idx="546">
                  <c:v>43.630568172762771</c:v>
                </c:pt>
                <c:pt idx="547">
                  <c:v>43.965256195712804</c:v>
                </c:pt>
                <c:pt idx="548">
                  <c:v>44.319069248545709</c:v>
                </c:pt>
                <c:pt idx="549">
                  <c:v>44.653757271495742</c:v>
                </c:pt>
                <c:pt idx="550">
                  <c:v>45.013945334289588</c:v>
                </c:pt>
                <c:pt idx="551">
                  <c:v>45.364570882142004</c:v>
                </c:pt>
                <c:pt idx="552">
                  <c:v>45.721571439955383</c:v>
                </c:pt>
                <c:pt idx="553">
                  <c:v>46.069009482827319</c:v>
                </c:pt>
                <c:pt idx="554">
                  <c:v>46.432385050601646</c:v>
                </c:pt>
                <c:pt idx="555">
                  <c:v>46.792573113395491</c:v>
                </c:pt>
                <c:pt idx="556">
                  <c:v>47.159136186150292</c:v>
                </c:pt>
                <c:pt idx="557">
                  <c:v>47.528886763885566</c:v>
                </c:pt>
                <c:pt idx="558">
                  <c:v>47.898637341620848</c:v>
                </c:pt>
                <c:pt idx="559">
                  <c:v>48.265200414375656</c:v>
                </c:pt>
                <c:pt idx="560">
                  <c:v>48.650888517013314</c:v>
                </c:pt>
                <c:pt idx="561">
                  <c:v>49.036576619650972</c:v>
                </c:pt>
                <c:pt idx="562">
                  <c:v>49.422264722288631</c:v>
                </c:pt>
                <c:pt idx="563">
                  <c:v>49.801577814965341</c:v>
                </c:pt>
                <c:pt idx="564">
                  <c:v>50.184078412622526</c:v>
                </c:pt>
                <c:pt idx="565">
                  <c:v>50.598454060084478</c:v>
                </c:pt>
                <c:pt idx="566">
                  <c:v>50.98732966770261</c:v>
                </c:pt>
                <c:pt idx="567">
                  <c:v>51.395330305203608</c:v>
                </c:pt>
                <c:pt idx="568">
                  <c:v>51.796955932743643</c:v>
                </c:pt>
                <c:pt idx="569">
                  <c:v>52.214519085186069</c:v>
                </c:pt>
                <c:pt idx="570">
                  <c:v>52.612957207745637</c:v>
                </c:pt>
                <c:pt idx="571">
                  <c:v>53.014582835285687</c:v>
                </c:pt>
                <c:pt idx="572">
                  <c:v>53.432145987728106</c:v>
                </c:pt>
                <c:pt idx="573">
                  <c:v>53.846521635190058</c:v>
                </c:pt>
                <c:pt idx="574">
                  <c:v>54.257709777671529</c:v>
                </c:pt>
                <c:pt idx="575">
                  <c:v>54.691210455016339</c:v>
                </c:pt>
                <c:pt idx="576">
                  <c:v>55.124711132361149</c:v>
                </c:pt>
                <c:pt idx="577">
                  <c:v>55.558211809705959</c:v>
                </c:pt>
                <c:pt idx="578">
                  <c:v>56.007650011953146</c:v>
                </c:pt>
                <c:pt idx="579">
                  <c:v>56.441150689297956</c:v>
                </c:pt>
                <c:pt idx="580">
                  <c:v>56.89058889154515</c:v>
                </c:pt>
                <c:pt idx="581">
                  <c:v>57.343214598772818</c:v>
                </c:pt>
                <c:pt idx="582">
                  <c:v>57.786277791059057</c:v>
                </c:pt>
                <c:pt idx="583">
                  <c:v>58.248466013228146</c:v>
                </c:pt>
                <c:pt idx="584">
                  <c:v>58.704279225436295</c:v>
                </c:pt>
                <c:pt idx="585">
                  <c:v>59.176029962546821</c:v>
                </c:pt>
                <c:pt idx="586">
                  <c:v>59.647780699657346</c:v>
                </c:pt>
                <c:pt idx="587">
                  <c:v>60.113156426806924</c:v>
                </c:pt>
                <c:pt idx="588">
                  <c:v>60.58490716391745</c:v>
                </c:pt>
                <c:pt idx="589">
                  <c:v>61.05028289106702</c:v>
                </c:pt>
                <c:pt idx="590">
                  <c:v>61.534783648099449</c:v>
                </c:pt>
                <c:pt idx="591">
                  <c:v>62.022471910112358</c:v>
                </c:pt>
                <c:pt idx="592">
                  <c:v>62.50378516216432</c:v>
                </c:pt>
                <c:pt idx="593">
                  <c:v>63.001035939118658</c:v>
                </c:pt>
                <c:pt idx="594">
                  <c:v>63.491911706112049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D1-44A0-80C8-CF8A5556EA68}"/>
            </c:ext>
          </c:extLst>
        </c:ser>
        <c:ser>
          <c:idx val="2"/>
          <c:order val="2"/>
          <c:tx>
            <c:strRef>
              <c:f>{"A12-3"}</c:f>
              <c:strCache>
                <c:ptCount val="1"/>
                <c:pt idx="0">
                  <c:v>A12-3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'A12-1'!$C$2:$C$649</c:f>
              <c:numCache>
                <c:formatCode>0.00</c:formatCode>
                <c:ptCount val="648"/>
                <c:pt idx="0">
                  <c:v>0</c:v>
                </c:pt>
                <c:pt idx="1">
                  <c:v>6.9310000000000005E-3</c:v>
                </c:pt>
                <c:pt idx="2">
                  <c:v>6.9849999999999999E-3</c:v>
                </c:pt>
                <c:pt idx="3">
                  <c:v>7.0408000000000007E-3</c:v>
                </c:pt>
                <c:pt idx="4">
                  <c:v>7.0965999999999998E-3</c:v>
                </c:pt>
                <c:pt idx="5">
                  <c:v>7.1506E-3</c:v>
                </c:pt>
                <c:pt idx="6">
                  <c:v>7.2063999999999991E-3</c:v>
                </c:pt>
                <c:pt idx="7">
                  <c:v>7.2621999999999999E-3</c:v>
                </c:pt>
                <c:pt idx="8">
                  <c:v>7.3179999999999999E-3</c:v>
                </c:pt>
                <c:pt idx="9">
                  <c:v>7.3740000000000003E-3</c:v>
                </c:pt>
                <c:pt idx="10">
                  <c:v>7.4297999999999994E-3</c:v>
                </c:pt>
                <c:pt idx="11">
                  <c:v>7.5116000000000002E-3</c:v>
                </c:pt>
                <c:pt idx="12">
                  <c:v>7.5953999999999995E-3</c:v>
                </c:pt>
                <c:pt idx="13">
                  <c:v>7.6792000000000006E-3</c:v>
                </c:pt>
                <c:pt idx="14">
                  <c:v>7.7627999999999994E-3</c:v>
                </c:pt>
                <c:pt idx="15">
                  <c:v>7.8466000000000004E-3</c:v>
                </c:pt>
                <c:pt idx="16">
                  <c:v>7.9286000000000009E-3</c:v>
                </c:pt>
                <c:pt idx="17">
                  <c:v>8.0122000000000006E-3</c:v>
                </c:pt>
                <c:pt idx="18">
                  <c:v>8.094200000000001E-3</c:v>
                </c:pt>
                <c:pt idx="19">
                  <c:v>8.179800000000001E-3</c:v>
                </c:pt>
                <c:pt idx="20">
                  <c:v>8.2616000000000009E-3</c:v>
                </c:pt>
                <c:pt idx="21">
                  <c:v>8.3453999999999993E-3</c:v>
                </c:pt>
                <c:pt idx="22">
                  <c:v>8.4291999999999995E-3</c:v>
                </c:pt>
                <c:pt idx="23">
                  <c:v>8.5109999999999995E-3</c:v>
                </c:pt>
                <c:pt idx="24">
                  <c:v>8.5965999999999994E-3</c:v>
                </c:pt>
                <c:pt idx="25">
                  <c:v>8.6803999999999996E-3</c:v>
                </c:pt>
                <c:pt idx="26">
                  <c:v>8.7624E-3</c:v>
                </c:pt>
                <c:pt idx="27">
                  <c:v>8.8459999999999997E-3</c:v>
                </c:pt>
                <c:pt idx="28">
                  <c:v>8.9280000000000002E-3</c:v>
                </c:pt>
                <c:pt idx="29">
                  <c:v>9.0118000000000004E-3</c:v>
                </c:pt>
                <c:pt idx="30">
                  <c:v>9.0974000000000003E-3</c:v>
                </c:pt>
                <c:pt idx="31">
                  <c:v>9.1792000000000002E-3</c:v>
                </c:pt>
                <c:pt idx="32">
                  <c:v>9.2630000000000004E-3</c:v>
                </c:pt>
                <c:pt idx="33">
                  <c:v>9.3448000000000003E-3</c:v>
                </c:pt>
                <c:pt idx="34">
                  <c:v>9.4286000000000005E-3</c:v>
                </c:pt>
                <c:pt idx="35">
                  <c:v>9.512399999999999E-3</c:v>
                </c:pt>
                <c:pt idx="36">
                  <c:v>9.5962000000000009E-3</c:v>
                </c:pt>
                <c:pt idx="37">
                  <c:v>9.6797999999999988E-3</c:v>
                </c:pt>
                <c:pt idx="38">
                  <c:v>9.761800000000001E-3</c:v>
                </c:pt>
                <c:pt idx="39">
                  <c:v>9.8455999999999995E-3</c:v>
                </c:pt>
                <c:pt idx="40">
                  <c:v>9.9292000000000009E-3</c:v>
                </c:pt>
                <c:pt idx="41">
                  <c:v>1.0013000000000001E-2</c:v>
                </c:pt>
                <c:pt idx="42">
                  <c:v>1.0095E-2</c:v>
                </c:pt>
                <c:pt idx="43">
                  <c:v>1.0178599999999999E-2</c:v>
                </c:pt>
                <c:pt idx="44">
                  <c:v>1.02606E-2</c:v>
                </c:pt>
                <c:pt idx="45">
                  <c:v>1.0346200000000002E-2</c:v>
                </c:pt>
                <c:pt idx="46">
                  <c:v>1.043E-2</c:v>
                </c:pt>
                <c:pt idx="47">
                  <c:v>1.0513600000000001E-2</c:v>
                </c:pt>
                <c:pt idx="48">
                  <c:v>1.05956E-2</c:v>
                </c:pt>
                <c:pt idx="49">
                  <c:v>1.0679399999999999E-2</c:v>
                </c:pt>
                <c:pt idx="50">
                  <c:v>1.0763E-2</c:v>
                </c:pt>
                <c:pt idx="51">
                  <c:v>1.08468E-2</c:v>
                </c:pt>
                <c:pt idx="52">
                  <c:v>1.0958600000000001E-2</c:v>
                </c:pt>
                <c:pt idx="53">
                  <c:v>1.1068400000000001E-2</c:v>
                </c:pt>
                <c:pt idx="54">
                  <c:v>1.1178200000000001E-2</c:v>
                </c:pt>
                <c:pt idx="55">
                  <c:v>1.1263799999999999E-2</c:v>
                </c:pt>
                <c:pt idx="56">
                  <c:v>1.1373599999999999E-2</c:v>
                </c:pt>
                <c:pt idx="57">
                  <c:v>1.1485199999999999E-2</c:v>
                </c:pt>
                <c:pt idx="58">
                  <c:v>1.1596800000000001E-2</c:v>
                </c:pt>
                <c:pt idx="59">
                  <c:v>1.1706600000000001E-2</c:v>
                </c:pt>
                <c:pt idx="60">
                  <c:v>1.18166E-2</c:v>
                </c:pt>
                <c:pt idx="61">
                  <c:v>1.19282E-2</c:v>
                </c:pt>
                <c:pt idx="62">
                  <c:v>1.20398E-2</c:v>
                </c:pt>
                <c:pt idx="63">
                  <c:v>1.21516E-2</c:v>
                </c:pt>
                <c:pt idx="64">
                  <c:v>1.22614E-2</c:v>
                </c:pt>
                <c:pt idx="65">
                  <c:v>1.2374799999999998E-2</c:v>
                </c:pt>
                <c:pt idx="66">
                  <c:v>1.24866E-2</c:v>
                </c:pt>
                <c:pt idx="67">
                  <c:v>1.2596400000000001E-2</c:v>
                </c:pt>
                <c:pt idx="68">
                  <c:v>1.2707999999999999E-2</c:v>
                </c:pt>
                <c:pt idx="69">
                  <c:v>1.28196E-2</c:v>
                </c:pt>
                <c:pt idx="70">
                  <c:v>1.2929400000000001E-2</c:v>
                </c:pt>
                <c:pt idx="71">
                  <c:v>1.3039199999999999E-2</c:v>
                </c:pt>
                <c:pt idx="72">
                  <c:v>1.3150999999999999E-2</c:v>
                </c:pt>
                <c:pt idx="73">
                  <c:v>1.3262599999999999E-2</c:v>
                </c:pt>
                <c:pt idx="74">
                  <c:v>1.33724E-2</c:v>
                </c:pt>
                <c:pt idx="75">
                  <c:v>1.34842E-2</c:v>
                </c:pt>
                <c:pt idx="76">
                  <c:v>1.35958E-2</c:v>
                </c:pt>
                <c:pt idx="77">
                  <c:v>1.37056E-2</c:v>
                </c:pt>
                <c:pt idx="78">
                  <c:v>1.38172E-2</c:v>
                </c:pt>
                <c:pt idx="79">
                  <c:v>1.3929E-2</c:v>
                </c:pt>
                <c:pt idx="80">
                  <c:v>1.40406E-2</c:v>
                </c:pt>
                <c:pt idx="81">
                  <c:v>1.4152199999999998E-2</c:v>
                </c:pt>
                <c:pt idx="82">
                  <c:v>1.4263999999999999E-2</c:v>
                </c:pt>
                <c:pt idx="83">
                  <c:v>1.4375599999999999E-2</c:v>
                </c:pt>
                <c:pt idx="84">
                  <c:v>1.4511400000000001E-2</c:v>
                </c:pt>
                <c:pt idx="85">
                  <c:v>1.4651000000000001E-2</c:v>
                </c:pt>
                <c:pt idx="86">
                  <c:v>1.4790600000000001E-2</c:v>
                </c:pt>
                <c:pt idx="87">
                  <c:v>1.49284E-2</c:v>
                </c:pt>
                <c:pt idx="88">
                  <c:v>1.5068E-2</c:v>
                </c:pt>
                <c:pt idx="89">
                  <c:v>1.5207599999999998E-2</c:v>
                </c:pt>
                <c:pt idx="90">
                  <c:v>1.5345200000000002E-2</c:v>
                </c:pt>
                <c:pt idx="91">
                  <c:v>1.54848E-2</c:v>
                </c:pt>
                <c:pt idx="92">
                  <c:v>1.56244E-2</c:v>
                </c:pt>
                <c:pt idx="93">
                  <c:v>1.5762200000000001E-2</c:v>
                </c:pt>
                <c:pt idx="94">
                  <c:v>1.5901800000000001E-2</c:v>
                </c:pt>
                <c:pt idx="95">
                  <c:v>1.6041399999999997E-2</c:v>
                </c:pt>
                <c:pt idx="96">
                  <c:v>1.6178999999999999E-2</c:v>
                </c:pt>
                <c:pt idx="97">
                  <c:v>1.6318600000000003E-2</c:v>
                </c:pt>
                <c:pt idx="98">
                  <c:v>1.64564E-2</c:v>
                </c:pt>
                <c:pt idx="99">
                  <c:v>1.6596E-2</c:v>
                </c:pt>
                <c:pt idx="100">
                  <c:v>1.67356E-2</c:v>
                </c:pt>
                <c:pt idx="101">
                  <c:v>1.6873199999999998E-2</c:v>
                </c:pt>
                <c:pt idx="102">
                  <c:v>1.7012799999999998E-2</c:v>
                </c:pt>
                <c:pt idx="103">
                  <c:v>1.7152400000000002E-2</c:v>
                </c:pt>
                <c:pt idx="104">
                  <c:v>1.7290199999999999E-2</c:v>
                </c:pt>
                <c:pt idx="105">
                  <c:v>1.7427999999999999E-2</c:v>
                </c:pt>
                <c:pt idx="106">
                  <c:v>1.75674E-2</c:v>
                </c:pt>
                <c:pt idx="107">
                  <c:v>1.7705200000000001E-2</c:v>
                </c:pt>
                <c:pt idx="108">
                  <c:v>1.7846600000000001E-2</c:v>
                </c:pt>
                <c:pt idx="109">
                  <c:v>1.7986200000000001E-2</c:v>
                </c:pt>
                <c:pt idx="110">
                  <c:v>1.8149999999999999E-2</c:v>
                </c:pt>
                <c:pt idx="111">
                  <c:v>1.8291399999999999E-2</c:v>
                </c:pt>
                <c:pt idx="112">
                  <c:v>1.84572E-2</c:v>
                </c:pt>
                <c:pt idx="113">
                  <c:v>1.8622799999999998E-2</c:v>
                </c:pt>
                <c:pt idx="114">
                  <c:v>1.87902E-2</c:v>
                </c:pt>
                <c:pt idx="115">
                  <c:v>1.8956000000000001E-2</c:v>
                </c:pt>
                <c:pt idx="116">
                  <c:v>1.9123399999999999E-2</c:v>
                </c:pt>
                <c:pt idx="117">
                  <c:v>1.9289000000000001E-2</c:v>
                </c:pt>
                <c:pt idx="118">
                  <c:v>1.9456600000000001E-2</c:v>
                </c:pt>
                <c:pt idx="119">
                  <c:v>1.9623999999999999E-2</c:v>
                </c:pt>
                <c:pt idx="120">
                  <c:v>1.97898E-2</c:v>
                </c:pt>
                <c:pt idx="121">
                  <c:v>1.9959000000000001E-2</c:v>
                </c:pt>
                <c:pt idx="122">
                  <c:v>2.0122000000000001E-2</c:v>
                </c:pt>
                <c:pt idx="123">
                  <c:v>2.0289999999999999E-2</c:v>
                </c:pt>
                <c:pt idx="124">
                  <c:v>2.0457999999999997E-2</c:v>
                </c:pt>
                <c:pt idx="125">
                  <c:v>2.0623999999999997E-2</c:v>
                </c:pt>
                <c:pt idx="126">
                  <c:v>2.0792000000000001E-2</c:v>
                </c:pt>
                <c:pt idx="127">
                  <c:v>2.0956000000000002E-2</c:v>
                </c:pt>
                <c:pt idx="128">
                  <c:v>2.1122000000000002E-2</c:v>
                </c:pt>
                <c:pt idx="129">
                  <c:v>2.129E-2</c:v>
                </c:pt>
                <c:pt idx="130">
                  <c:v>2.1455999999999999E-2</c:v>
                </c:pt>
                <c:pt idx="131">
                  <c:v>2.1623999999999997E-2</c:v>
                </c:pt>
                <c:pt idx="132">
                  <c:v>2.1791999999999999E-2</c:v>
                </c:pt>
                <c:pt idx="133">
                  <c:v>2.1984E-2</c:v>
                </c:pt>
                <c:pt idx="134">
                  <c:v>2.2179999999999998E-2</c:v>
                </c:pt>
                <c:pt idx="135">
                  <c:v>2.2374000000000002E-2</c:v>
                </c:pt>
                <c:pt idx="136">
                  <c:v>2.2568000000000001E-2</c:v>
                </c:pt>
                <c:pt idx="137">
                  <c:v>2.2761999999999998E-2</c:v>
                </c:pt>
                <c:pt idx="138">
                  <c:v>2.2930000000000002E-2</c:v>
                </c:pt>
                <c:pt idx="139">
                  <c:v>2.3123999999999999E-2</c:v>
                </c:pt>
                <c:pt idx="140">
                  <c:v>2.3316E-2</c:v>
                </c:pt>
                <c:pt idx="141">
                  <c:v>2.3485999999999996E-2</c:v>
                </c:pt>
                <c:pt idx="142">
                  <c:v>2.368E-2</c:v>
                </c:pt>
                <c:pt idx="143">
                  <c:v>2.3845999999999999E-2</c:v>
                </c:pt>
                <c:pt idx="144">
                  <c:v>2.4039999999999999E-2</c:v>
                </c:pt>
                <c:pt idx="145">
                  <c:v>2.4205999999999998E-2</c:v>
                </c:pt>
                <c:pt idx="146">
                  <c:v>2.4402E-2</c:v>
                </c:pt>
                <c:pt idx="147">
                  <c:v>2.4597999999999998E-2</c:v>
                </c:pt>
                <c:pt idx="148">
                  <c:v>2.4733999999999999E-2</c:v>
                </c:pt>
                <c:pt idx="149">
                  <c:v>2.4929999999999997E-2</c:v>
                </c:pt>
                <c:pt idx="150">
                  <c:v>2.5068E-2</c:v>
                </c:pt>
                <c:pt idx="151">
                  <c:v>2.5264000000000002E-2</c:v>
                </c:pt>
                <c:pt idx="152">
                  <c:v>2.5455999999999999E-2</c:v>
                </c:pt>
                <c:pt idx="153">
                  <c:v>2.5649999999999999E-2</c:v>
                </c:pt>
                <c:pt idx="154">
                  <c:v>2.5817999999999997E-2</c:v>
                </c:pt>
                <c:pt idx="155">
                  <c:v>2.6041999999999999E-2</c:v>
                </c:pt>
                <c:pt idx="156">
                  <c:v>2.6234E-2</c:v>
                </c:pt>
                <c:pt idx="157">
                  <c:v>2.6427999999999997E-2</c:v>
                </c:pt>
                <c:pt idx="158">
                  <c:v>2.6623999999999998E-2</c:v>
                </c:pt>
                <c:pt idx="159">
                  <c:v>2.6817999999999998E-2</c:v>
                </c:pt>
                <c:pt idx="160">
                  <c:v>2.6983999999999998E-2</c:v>
                </c:pt>
                <c:pt idx="161">
                  <c:v>2.7178000000000001E-2</c:v>
                </c:pt>
                <c:pt idx="162">
                  <c:v>2.7373999999999999E-2</c:v>
                </c:pt>
                <c:pt idx="163">
                  <c:v>2.7568000000000002E-2</c:v>
                </c:pt>
                <c:pt idx="164">
                  <c:v>2.7761999999999998E-2</c:v>
                </c:pt>
                <c:pt idx="165">
                  <c:v>2.7955999999999998E-2</c:v>
                </c:pt>
                <c:pt idx="166">
                  <c:v>2.8152E-2</c:v>
                </c:pt>
                <c:pt idx="167">
                  <c:v>2.8346E-2</c:v>
                </c:pt>
                <c:pt idx="168">
                  <c:v>2.8539999999999999E-2</c:v>
                </c:pt>
                <c:pt idx="169">
                  <c:v>2.8734000000000003E-2</c:v>
                </c:pt>
                <c:pt idx="170">
                  <c:v>2.8929999999999997E-2</c:v>
                </c:pt>
                <c:pt idx="171">
                  <c:v>2.9125999999999999E-2</c:v>
                </c:pt>
                <c:pt idx="172">
                  <c:v>2.9289999999999997E-2</c:v>
                </c:pt>
                <c:pt idx="173">
                  <c:v>2.9456000000000003E-2</c:v>
                </c:pt>
                <c:pt idx="174">
                  <c:v>2.9622000000000002E-2</c:v>
                </c:pt>
                <c:pt idx="175">
                  <c:v>2.9790000000000001E-2</c:v>
                </c:pt>
                <c:pt idx="176">
                  <c:v>2.9957999999999999E-2</c:v>
                </c:pt>
                <c:pt idx="177">
                  <c:v>3.0095999999999998E-2</c:v>
                </c:pt>
                <c:pt idx="178">
                  <c:v>3.0234E-2</c:v>
                </c:pt>
                <c:pt idx="179">
                  <c:v>3.0373999999999998E-2</c:v>
                </c:pt>
                <c:pt idx="180">
                  <c:v>3.0539999999999998E-2</c:v>
                </c:pt>
                <c:pt idx="181">
                  <c:v>3.0679999999999999E-2</c:v>
                </c:pt>
                <c:pt idx="182">
                  <c:v>3.0817999999999998E-2</c:v>
                </c:pt>
                <c:pt idx="183">
                  <c:v>3.0956000000000001E-2</c:v>
                </c:pt>
                <c:pt idx="184">
                  <c:v>3.1095999999999999E-2</c:v>
                </c:pt>
                <c:pt idx="185">
                  <c:v>3.1234000000000001E-2</c:v>
                </c:pt>
                <c:pt idx="186">
                  <c:v>3.1345999999999999E-2</c:v>
                </c:pt>
                <c:pt idx="187">
                  <c:v>3.1486E-2</c:v>
                </c:pt>
                <c:pt idx="188">
                  <c:v>3.1623999999999999E-2</c:v>
                </c:pt>
                <c:pt idx="189">
                  <c:v>3.1733999999999998E-2</c:v>
                </c:pt>
                <c:pt idx="190">
                  <c:v>3.1874E-2</c:v>
                </c:pt>
                <c:pt idx="191">
                  <c:v>3.1983999999999999E-2</c:v>
                </c:pt>
                <c:pt idx="192">
                  <c:v>3.2124E-2</c:v>
                </c:pt>
                <c:pt idx="193">
                  <c:v>3.2236000000000001E-2</c:v>
                </c:pt>
                <c:pt idx="194">
                  <c:v>3.2346E-2</c:v>
                </c:pt>
                <c:pt idx="195">
                  <c:v>3.2483999999999999E-2</c:v>
                </c:pt>
                <c:pt idx="196">
                  <c:v>3.2593999999999998E-2</c:v>
                </c:pt>
                <c:pt idx="197">
                  <c:v>3.2736000000000001E-2</c:v>
                </c:pt>
                <c:pt idx="198">
                  <c:v>3.2875999999999996E-2</c:v>
                </c:pt>
                <c:pt idx="199">
                  <c:v>3.2986000000000001E-2</c:v>
                </c:pt>
                <c:pt idx="200">
                  <c:v>3.3124000000000001E-2</c:v>
                </c:pt>
                <c:pt idx="201">
                  <c:v>3.3262E-2</c:v>
                </c:pt>
                <c:pt idx="202">
                  <c:v>3.3402000000000001E-2</c:v>
                </c:pt>
                <c:pt idx="203">
                  <c:v>3.3537999999999998E-2</c:v>
                </c:pt>
                <c:pt idx="204">
                  <c:v>3.3680000000000002E-2</c:v>
                </c:pt>
                <c:pt idx="205">
                  <c:v>3.3792000000000003E-2</c:v>
                </c:pt>
                <c:pt idx="206">
                  <c:v>3.3928E-2</c:v>
                </c:pt>
                <c:pt idx="207">
                  <c:v>3.4040000000000001E-2</c:v>
                </c:pt>
                <c:pt idx="208">
                  <c:v>3.4178E-2</c:v>
                </c:pt>
                <c:pt idx="209">
                  <c:v>3.4290000000000001E-2</c:v>
                </c:pt>
                <c:pt idx="210">
                  <c:v>3.4430000000000002E-2</c:v>
                </c:pt>
                <c:pt idx="211">
                  <c:v>3.4568000000000002E-2</c:v>
                </c:pt>
                <c:pt idx="212">
                  <c:v>3.4706000000000001E-2</c:v>
                </c:pt>
                <c:pt idx="213">
                  <c:v>3.4817999999999995E-2</c:v>
                </c:pt>
                <c:pt idx="214">
                  <c:v>3.4956000000000001E-2</c:v>
                </c:pt>
                <c:pt idx="215">
                  <c:v>3.5094E-2</c:v>
                </c:pt>
                <c:pt idx="216">
                  <c:v>3.5236000000000003E-2</c:v>
                </c:pt>
                <c:pt idx="217">
                  <c:v>3.5373999999999996E-2</c:v>
                </c:pt>
                <c:pt idx="218">
                  <c:v>3.5512000000000002E-2</c:v>
                </c:pt>
                <c:pt idx="219">
                  <c:v>3.5651999999999996E-2</c:v>
                </c:pt>
                <c:pt idx="220">
                  <c:v>3.5790000000000002E-2</c:v>
                </c:pt>
                <c:pt idx="221">
                  <c:v>3.5901999999999996E-2</c:v>
                </c:pt>
                <c:pt idx="222">
                  <c:v>3.6040000000000003E-2</c:v>
                </c:pt>
                <c:pt idx="223">
                  <c:v>3.6152000000000004E-2</c:v>
                </c:pt>
                <c:pt idx="224">
                  <c:v>3.6290000000000003E-2</c:v>
                </c:pt>
                <c:pt idx="225">
                  <c:v>3.6402000000000004E-2</c:v>
                </c:pt>
                <c:pt idx="226">
                  <c:v>3.6539999999999996E-2</c:v>
                </c:pt>
                <c:pt idx="227">
                  <c:v>3.6651999999999997E-2</c:v>
                </c:pt>
                <c:pt idx="228">
                  <c:v>3.6762000000000003E-2</c:v>
                </c:pt>
                <c:pt idx="229">
                  <c:v>3.6901999999999997E-2</c:v>
                </c:pt>
                <c:pt idx="230">
                  <c:v>3.7012000000000003E-2</c:v>
                </c:pt>
                <c:pt idx="231">
                  <c:v>3.7124000000000004E-2</c:v>
                </c:pt>
                <c:pt idx="232">
                  <c:v>3.7233999999999996E-2</c:v>
                </c:pt>
                <c:pt idx="233">
                  <c:v>3.7345999999999997E-2</c:v>
                </c:pt>
                <c:pt idx="234">
                  <c:v>3.7457999999999998E-2</c:v>
                </c:pt>
                <c:pt idx="235">
                  <c:v>3.7595999999999997E-2</c:v>
                </c:pt>
                <c:pt idx="236">
                  <c:v>3.7707999999999998E-2</c:v>
                </c:pt>
                <c:pt idx="237">
                  <c:v>3.7817999999999997E-2</c:v>
                </c:pt>
                <c:pt idx="238">
                  <c:v>3.7957999999999999E-2</c:v>
                </c:pt>
                <c:pt idx="239">
                  <c:v>3.8095999999999998E-2</c:v>
                </c:pt>
                <c:pt idx="240">
                  <c:v>3.8235999999999999E-2</c:v>
                </c:pt>
                <c:pt idx="241">
                  <c:v>3.8373999999999998E-2</c:v>
                </c:pt>
                <c:pt idx="242">
                  <c:v>3.8511999999999998E-2</c:v>
                </c:pt>
                <c:pt idx="243">
                  <c:v>3.8650000000000004E-2</c:v>
                </c:pt>
                <c:pt idx="244">
                  <c:v>3.8789999999999998E-2</c:v>
                </c:pt>
                <c:pt idx="245">
                  <c:v>3.8927999999999997E-2</c:v>
                </c:pt>
                <c:pt idx="246">
                  <c:v>3.9039999999999998E-2</c:v>
                </c:pt>
                <c:pt idx="247">
                  <c:v>3.918E-2</c:v>
                </c:pt>
                <c:pt idx="248">
                  <c:v>3.9289999999999999E-2</c:v>
                </c:pt>
                <c:pt idx="249">
                  <c:v>3.9427999999999998E-2</c:v>
                </c:pt>
                <c:pt idx="250">
                  <c:v>3.9567999999999999E-2</c:v>
                </c:pt>
                <c:pt idx="251">
                  <c:v>3.968E-2</c:v>
                </c:pt>
                <c:pt idx="252">
                  <c:v>3.9817999999999999E-2</c:v>
                </c:pt>
                <c:pt idx="253">
                  <c:v>3.993E-2</c:v>
                </c:pt>
                <c:pt idx="254">
                  <c:v>4.0067999999999999E-2</c:v>
                </c:pt>
                <c:pt idx="255">
                  <c:v>4.018E-2</c:v>
                </c:pt>
                <c:pt idx="256">
                  <c:v>4.0292000000000001E-2</c:v>
                </c:pt>
                <c:pt idx="257">
                  <c:v>4.0401999999999993E-2</c:v>
                </c:pt>
                <c:pt idx="258">
                  <c:v>4.0511999999999999E-2</c:v>
                </c:pt>
                <c:pt idx="259">
                  <c:v>4.0624E-2</c:v>
                </c:pt>
                <c:pt idx="260">
                  <c:v>4.0708000000000001E-2</c:v>
                </c:pt>
                <c:pt idx="261">
                  <c:v>4.0818E-2</c:v>
                </c:pt>
                <c:pt idx="262">
                  <c:v>4.0930000000000001E-2</c:v>
                </c:pt>
                <c:pt idx="263">
                  <c:v>4.1012000000000007E-2</c:v>
                </c:pt>
                <c:pt idx="264">
                  <c:v>4.1093999999999999E-2</c:v>
                </c:pt>
                <c:pt idx="265">
                  <c:v>4.1180000000000001E-2</c:v>
                </c:pt>
                <c:pt idx="266">
                  <c:v>4.1264000000000002E-2</c:v>
                </c:pt>
                <c:pt idx="267">
                  <c:v>4.1374000000000001E-2</c:v>
                </c:pt>
                <c:pt idx="268">
                  <c:v>4.1458000000000002E-2</c:v>
                </c:pt>
                <c:pt idx="269">
                  <c:v>4.1542000000000003E-2</c:v>
                </c:pt>
                <c:pt idx="270">
                  <c:v>4.1622000000000006E-2</c:v>
                </c:pt>
                <c:pt idx="271">
                  <c:v>4.1734E-2</c:v>
                </c:pt>
                <c:pt idx="272">
                  <c:v>4.1818000000000001E-2</c:v>
                </c:pt>
                <c:pt idx="273">
                  <c:v>4.1900000000000007E-2</c:v>
                </c:pt>
                <c:pt idx="274">
                  <c:v>4.1985999999999996E-2</c:v>
                </c:pt>
                <c:pt idx="275">
                  <c:v>4.2068000000000001E-2</c:v>
                </c:pt>
                <c:pt idx="276">
                  <c:v>4.2152000000000002E-2</c:v>
                </c:pt>
                <c:pt idx="277">
                  <c:v>4.2234000000000001E-2</c:v>
                </c:pt>
                <c:pt idx="278">
                  <c:v>4.2317999999999995E-2</c:v>
                </c:pt>
                <c:pt idx="279">
                  <c:v>4.2428E-2</c:v>
                </c:pt>
                <c:pt idx="280">
                  <c:v>4.2512000000000001E-2</c:v>
                </c:pt>
                <c:pt idx="281">
                  <c:v>4.2595999999999995E-2</c:v>
                </c:pt>
                <c:pt idx="282">
                  <c:v>4.2708000000000003E-2</c:v>
                </c:pt>
                <c:pt idx="283">
                  <c:v>4.2790000000000002E-2</c:v>
                </c:pt>
                <c:pt idx="284">
                  <c:v>4.2873999999999995E-2</c:v>
                </c:pt>
                <c:pt idx="285">
                  <c:v>4.2986000000000003E-2</c:v>
                </c:pt>
                <c:pt idx="286">
                  <c:v>4.3070000000000004E-2</c:v>
                </c:pt>
                <c:pt idx="287">
                  <c:v>4.3178000000000001E-2</c:v>
                </c:pt>
                <c:pt idx="288">
                  <c:v>4.3262000000000002E-2</c:v>
                </c:pt>
                <c:pt idx="289">
                  <c:v>4.3346000000000003E-2</c:v>
                </c:pt>
                <c:pt idx="290">
                  <c:v>4.3429999999999996E-2</c:v>
                </c:pt>
                <c:pt idx="291">
                  <c:v>4.3513999999999997E-2</c:v>
                </c:pt>
                <c:pt idx="292">
                  <c:v>4.3596000000000003E-2</c:v>
                </c:pt>
                <c:pt idx="293">
                  <c:v>4.3678000000000002E-2</c:v>
                </c:pt>
                <c:pt idx="294">
                  <c:v>4.3761999999999995E-2</c:v>
                </c:pt>
                <c:pt idx="295">
                  <c:v>4.3848000000000005E-2</c:v>
                </c:pt>
                <c:pt idx="296">
                  <c:v>4.3929999999999997E-2</c:v>
                </c:pt>
                <c:pt idx="297">
                  <c:v>4.4013999999999998E-2</c:v>
                </c:pt>
                <c:pt idx="298">
                  <c:v>4.4096000000000003E-2</c:v>
                </c:pt>
                <c:pt idx="299">
                  <c:v>4.4177999999999995E-2</c:v>
                </c:pt>
                <c:pt idx="300">
                  <c:v>4.4261999999999996E-2</c:v>
                </c:pt>
                <c:pt idx="301">
                  <c:v>4.4345999999999997E-2</c:v>
                </c:pt>
                <c:pt idx="302">
                  <c:v>4.4429999999999997E-2</c:v>
                </c:pt>
                <c:pt idx="303">
                  <c:v>4.4512000000000003E-2</c:v>
                </c:pt>
                <c:pt idx="304">
                  <c:v>4.4595999999999997E-2</c:v>
                </c:pt>
                <c:pt idx="305">
                  <c:v>4.4679999999999997E-2</c:v>
                </c:pt>
                <c:pt idx="306">
                  <c:v>4.4790000000000003E-2</c:v>
                </c:pt>
                <c:pt idx="307">
                  <c:v>4.4901999999999997E-2</c:v>
                </c:pt>
                <c:pt idx="308">
                  <c:v>4.5011999999999996E-2</c:v>
                </c:pt>
                <c:pt idx="309">
                  <c:v>4.5124000000000004E-2</c:v>
                </c:pt>
                <c:pt idx="310">
                  <c:v>4.5233999999999996E-2</c:v>
                </c:pt>
                <c:pt idx="311">
                  <c:v>4.5346000000000004E-2</c:v>
                </c:pt>
                <c:pt idx="312">
                  <c:v>4.5456000000000003E-2</c:v>
                </c:pt>
                <c:pt idx="313">
                  <c:v>4.5567999999999997E-2</c:v>
                </c:pt>
                <c:pt idx="314">
                  <c:v>4.5678000000000003E-2</c:v>
                </c:pt>
                <c:pt idx="315">
                  <c:v>4.5789999999999997E-2</c:v>
                </c:pt>
                <c:pt idx="316">
                  <c:v>4.5902000000000005E-2</c:v>
                </c:pt>
                <c:pt idx="317">
                  <c:v>4.6013999999999999E-2</c:v>
                </c:pt>
                <c:pt idx="318">
                  <c:v>4.6123999999999998E-2</c:v>
                </c:pt>
                <c:pt idx="319">
                  <c:v>4.6207999999999999E-2</c:v>
                </c:pt>
                <c:pt idx="320">
                  <c:v>4.6317999999999998E-2</c:v>
                </c:pt>
                <c:pt idx="321">
                  <c:v>4.6429999999999999E-2</c:v>
                </c:pt>
                <c:pt idx="322">
                  <c:v>4.6539999999999998E-2</c:v>
                </c:pt>
                <c:pt idx="323">
                  <c:v>4.6623999999999999E-2</c:v>
                </c:pt>
                <c:pt idx="324">
                  <c:v>4.6736000000000007E-2</c:v>
                </c:pt>
                <c:pt idx="325">
                  <c:v>4.6848000000000001E-2</c:v>
                </c:pt>
                <c:pt idx="326">
                  <c:v>4.6958E-2</c:v>
                </c:pt>
                <c:pt idx="327">
                  <c:v>4.7039999999999998E-2</c:v>
                </c:pt>
                <c:pt idx="328">
                  <c:v>4.7151999999999999E-2</c:v>
                </c:pt>
                <c:pt idx="329">
                  <c:v>4.7264E-2</c:v>
                </c:pt>
                <c:pt idx="330">
                  <c:v>4.7373999999999999E-2</c:v>
                </c:pt>
                <c:pt idx="331">
                  <c:v>4.7483999999999998E-2</c:v>
                </c:pt>
                <c:pt idx="332">
                  <c:v>4.7595999999999999E-2</c:v>
                </c:pt>
                <c:pt idx="333">
                  <c:v>4.7708E-2</c:v>
                </c:pt>
                <c:pt idx="334">
                  <c:v>4.7815999999999997E-2</c:v>
                </c:pt>
                <c:pt idx="335">
                  <c:v>4.7927999999999998E-2</c:v>
                </c:pt>
                <c:pt idx="336">
                  <c:v>4.8039999999999999E-2</c:v>
                </c:pt>
                <c:pt idx="337">
                  <c:v>4.8121999999999998E-2</c:v>
                </c:pt>
                <c:pt idx="338">
                  <c:v>4.8234000000000006E-2</c:v>
                </c:pt>
                <c:pt idx="339">
                  <c:v>4.8346E-2</c:v>
                </c:pt>
                <c:pt idx="340">
                  <c:v>4.8457999999999994E-2</c:v>
                </c:pt>
                <c:pt idx="341">
                  <c:v>4.854E-2</c:v>
                </c:pt>
                <c:pt idx="342">
                  <c:v>4.8652000000000001E-2</c:v>
                </c:pt>
                <c:pt idx="343">
                  <c:v>4.8734E-2</c:v>
                </c:pt>
                <c:pt idx="344">
                  <c:v>4.8844000000000005E-2</c:v>
                </c:pt>
                <c:pt idx="345">
                  <c:v>4.8986000000000002E-2</c:v>
                </c:pt>
                <c:pt idx="346">
                  <c:v>4.9124000000000001E-2</c:v>
                </c:pt>
                <c:pt idx="347">
                  <c:v>4.9236000000000002E-2</c:v>
                </c:pt>
                <c:pt idx="348">
                  <c:v>4.9371999999999999E-2</c:v>
                </c:pt>
                <c:pt idx="349">
                  <c:v>4.9512E-2</c:v>
                </c:pt>
                <c:pt idx="350">
                  <c:v>4.9623999999999995E-2</c:v>
                </c:pt>
                <c:pt idx="351">
                  <c:v>4.9762000000000001E-2</c:v>
                </c:pt>
                <c:pt idx="352">
                  <c:v>4.9901999999999995E-2</c:v>
                </c:pt>
                <c:pt idx="353">
                  <c:v>5.0014000000000003E-2</c:v>
                </c:pt>
                <c:pt idx="354">
                  <c:v>5.0122E-2</c:v>
                </c:pt>
                <c:pt idx="355">
                  <c:v>5.0262000000000001E-2</c:v>
                </c:pt>
                <c:pt idx="356">
                  <c:v>5.0374000000000002E-2</c:v>
                </c:pt>
                <c:pt idx="357">
                  <c:v>5.0484000000000001E-2</c:v>
                </c:pt>
                <c:pt idx="358">
                  <c:v>5.0595999999999995E-2</c:v>
                </c:pt>
                <c:pt idx="359">
                  <c:v>5.0708000000000003E-2</c:v>
                </c:pt>
                <c:pt idx="360">
                  <c:v>5.0846000000000002E-2</c:v>
                </c:pt>
                <c:pt idx="361">
                  <c:v>5.0957999999999996E-2</c:v>
                </c:pt>
                <c:pt idx="362">
                  <c:v>5.1067999999999995E-2</c:v>
                </c:pt>
                <c:pt idx="363">
                  <c:v>5.1180000000000003E-2</c:v>
                </c:pt>
                <c:pt idx="364">
                  <c:v>5.1291999999999997E-2</c:v>
                </c:pt>
                <c:pt idx="365">
                  <c:v>5.1403999999999998E-2</c:v>
                </c:pt>
                <c:pt idx="366">
                  <c:v>5.1513999999999997E-2</c:v>
                </c:pt>
                <c:pt idx="367">
                  <c:v>5.1622000000000001E-2</c:v>
                </c:pt>
                <c:pt idx="368">
                  <c:v>5.1734000000000002E-2</c:v>
                </c:pt>
                <c:pt idx="369">
                  <c:v>5.1844000000000001E-2</c:v>
                </c:pt>
                <c:pt idx="370">
                  <c:v>5.1955999999999995E-2</c:v>
                </c:pt>
                <c:pt idx="371">
                  <c:v>5.2068000000000003E-2</c:v>
                </c:pt>
                <c:pt idx="372">
                  <c:v>5.2179999999999997E-2</c:v>
                </c:pt>
                <c:pt idx="373">
                  <c:v>5.2291999999999998E-2</c:v>
                </c:pt>
                <c:pt idx="374">
                  <c:v>5.2401999999999997E-2</c:v>
                </c:pt>
                <c:pt idx="375">
                  <c:v>5.2511999999999996E-2</c:v>
                </c:pt>
                <c:pt idx="376">
                  <c:v>5.2649999999999995E-2</c:v>
                </c:pt>
                <c:pt idx="377">
                  <c:v>5.2789999999999997E-2</c:v>
                </c:pt>
                <c:pt idx="378">
                  <c:v>5.2930000000000005E-2</c:v>
                </c:pt>
                <c:pt idx="379">
                  <c:v>5.3067999999999997E-2</c:v>
                </c:pt>
                <c:pt idx="380">
                  <c:v>5.3205999999999996E-2</c:v>
                </c:pt>
                <c:pt idx="381">
                  <c:v>5.3345999999999998E-2</c:v>
                </c:pt>
                <c:pt idx="382">
                  <c:v>5.3483999999999997E-2</c:v>
                </c:pt>
                <c:pt idx="383">
                  <c:v>5.3623999999999998E-2</c:v>
                </c:pt>
                <c:pt idx="384">
                  <c:v>5.3764000000000006E-2</c:v>
                </c:pt>
                <c:pt idx="385">
                  <c:v>5.3901999999999999E-2</c:v>
                </c:pt>
                <c:pt idx="386">
                  <c:v>5.4039999999999998E-2</c:v>
                </c:pt>
                <c:pt idx="387">
                  <c:v>5.4179999999999999E-2</c:v>
                </c:pt>
                <c:pt idx="388">
                  <c:v>5.4317999999999998E-2</c:v>
                </c:pt>
                <c:pt idx="389">
                  <c:v>5.4457999999999999E-2</c:v>
                </c:pt>
                <c:pt idx="390">
                  <c:v>5.4595999999999999E-2</c:v>
                </c:pt>
                <c:pt idx="391">
                  <c:v>5.4733999999999998E-2</c:v>
                </c:pt>
                <c:pt idx="392">
                  <c:v>5.4873999999999999E-2</c:v>
                </c:pt>
                <c:pt idx="393">
                  <c:v>5.5014E-2</c:v>
                </c:pt>
                <c:pt idx="394">
                  <c:v>5.5152E-2</c:v>
                </c:pt>
                <c:pt idx="395">
                  <c:v>5.5292000000000001E-2</c:v>
                </c:pt>
                <c:pt idx="396">
                  <c:v>5.543E-2</c:v>
                </c:pt>
                <c:pt idx="397">
                  <c:v>5.5566000000000004E-2</c:v>
                </c:pt>
                <c:pt idx="398">
                  <c:v>5.5705999999999999E-2</c:v>
                </c:pt>
                <c:pt idx="399">
                  <c:v>5.5846E-2</c:v>
                </c:pt>
                <c:pt idx="400">
                  <c:v>5.6012000000000006E-2</c:v>
                </c:pt>
                <c:pt idx="401">
                  <c:v>5.6152000000000001E-2</c:v>
                </c:pt>
                <c:pt idx="402">
                  <c:v>5.6287999999999998E-2</c:v>
                </c:pt>
                <c:pt idx="403">
                  <c:v>5.6458000000000001E-2</c:v>
                </c:pt>
                <c:pt idx="404">
                  <c:v>5.6624000000000001E-2</c:v>
                </c:pt>
                <c:pt idx="405">
                  <c:v>5.6764000000000002E-2</c:v>
                </c:pt>
                <c:pt idx="406">
                  <c:v>5.6929999999999994E-2</c:v>
                </c:pt>
                <c:pt idx="407">
                  <c:v>5.7093999999999999E-2</c:v>
                </c:pt>
                <c:pt idx="408">
                  <c:v>5.7234E-2</c:v>
                </c:pt>
                <c:pt idx="409">
                  <c:v>5.7401999999999995E-2</c:v>
                </c:pt>
                <c:pt idx="410">
                  <c:v>5.7568000000000001E-2</c:v>
                </c:pt>
                <c:pt idx="411">
                  <c:v>5.7733999999999994E-2</c:v>
                </c:pt>
                <c:pt idx="412">
                  <c:v>5.7901999999999995E-2</c:v>
                </c:pt>
                <c:pt idx="413">
                  <c:v>5.8040000000000001E-2</c:v>
                </c:pt>
                <c:pt idx="414">
                  <c:v>5.8179999999999996E-2</c:v>
                </c:pt>
                <c:pt idx="415">
                  <c:v>5.8318000000000002E-2</c:v>
                </c:pt>
                <c:pt idx="416">
                  <c:v>5.8457999999999996E-2</c:v>
                </c:pt>
                <c:pt idx="417">
                  <c:v>5.8596000000000002E-2</c:v>
                </c:pt>
                <c:pt idx="418">
                  <c:v>5.8735999999999997E-2</c:v>
                </c:pt>
                <c:pt idx="419">
                  <c:v>5.8902000000000003E-2</c:v>
                </c:pt>
                <c:pt idx="420">
                  <c:v>5.9067999999999996E-2</c:v>
                </c:pt>
                <c:pt idx="421">
                  <c:v>5.9236000000000004E-2</c:v>
                </c:pt>
                <c:pt idx="422">
                  <c:v>5.9400000000000001E-2</c:v>
                </c:pt>
                <c:pt idx="423">
                  <c:v>5.9568000000000003E-2</c:v>
                </c:pt>
                <c:pt idx="424">
                  <c:v>5.9733999999999995E-2</c:v>
                </c:pt>
                <c:pt idx="425">
                  <c:v>5.9901999999999997E-2</c:v>
                </c:pt>
                <c:pt idx="426">
                  <c:v>6.0068000000000003E-2</c:v>
                </c:pt>
                <c:pt idx="427">
                  <c:v>6.0233999999999996E-2</c:v>
                </c:pt>
                <c:pt idx="428">
                  <c:v>6.0373999999999997E-2</c:v>
                </c:pt>
                <c:pt idx="429">
                  <c:v>6.0540000000000004E-2</c:v>
                </c:pt>
                <c:pt idx="430">
                  <c:v>6.0708000000000005E-2</c:v>
                </c:pt>
                <c:pt idx="431">
                  <c:v>6.0873999999999998E-2</c:v>
                </c:pt>
                <c:pt idx="432">
                  <c:v>6.1040000000000004E-2</c:v>
                </c:pt>
                <c:pt idx="433">
                  <c:v>6.1207999999999999E-2</c:v>
                </c:pt>
                <c:pt idx="434">
                  <c:v>6.1374000000000005E-2</c:v>
                </c:pt>
                <c:pt idx="435">
                  <c:v>6.1513999999999999E-2</c:v>
                </c:pt>
                <c:pt idx="436">
                  <c:v>6.1677999999999997E-2</c:v>
                </c:pt>
                <c:pt idx="437">
                  <c:v>6.1845999999999998E-2</c:v>
                </c:pt>
                <c:pt idx="438">
                  <c:v>6.2011999999999998E-2</c:v>
                </c:pt>
                <c:pt idx="439">
                  <c:v>6.2179999999999999E-2</c:v>
                </c:pt>
                <c:pt idx="440">
                  <c:v>6.2346000000000006E-2</c:v>
                </c:pt>
                <c:pt idx="441">
                  <c:v>6.2511999999999998E-2</c:v>
                </c:pt>
                <c:pt idx="442">
                  <c:v>6.2677999999999998E-2</c:v>
                </c:pt>
                <c:pt idx="443">
                  <c:v>6.2845999999999999E-2</c:v>
                </c:pt>
                <c:pt idx="444">
                  <c:v>6.3011999999999999E-2</c:v>
                </c:pt>
                <c:pt idx="445">
                  <c:v>6.3177999999999998E-2</c:v>
                </c:pt>
                <c:pt idx="446">
                  <c:v>6.3346E-2</c:v>
                </c:pt>
                <c:pt idx="447">
                  <c:v>6.3511999999999999E-2</c:v>
                </c:pt>
                <c:pt idx="448">
                  <c:v>6.368E-2</c:v>
                </c:pt>
                <c:pt idx="449">
                  <c:v>6.3846E-2</c:v>
                </c:pt>
                <c:pt idx="450">
                  <c:v>6.4011999999999999E-2</c:v>
                </c:pt>
                <c:pt idx="451">
                  <c:v>6.4208000000000001E-2</c:v>
                </c:pt>
                <c:pt idx="452">
                  <c:v>6.4374000000000001E-2</c:v>
                </c:pt>
                <c:pt idx="453">
                  <c:v>6.454E-2</c:v>
                </c:pt>
                <c:pt idx="454">
                  <c:v>6.4706E-2</c:v>
                </c:pt>
                <c:pt idx="455">
                  <c:v>6.4902000000000001E-2</c:v>
                </c:pt>
                <c:pt idx="456">
                  <c:v>6.5068000000000001E-2</c:v>
                </c:pt>
                <c:pt idx="457">
                  <c:v>6.5236000000000002E-2</c:v>
                </c:pt>
                <c:pt idx="458">
                  <c:v>6.5402000000000002E-2</c:v>
                </c:pt>
                <c:pt idx="459">
                  <c:v>6.5568000000000001E-2</c:v>
                </c:pt>
                <c:pt idx="460">
                  <c:v>6.5734000000000001E-2</c:v>
                </c:pt>
                <c:pt idx="461">
                  <c:v>6.5902000000000002E-2</c:v>
                </c:pt>
                <c:pt idx="462">
                  <c:v>6.6070000000000004E-2</c:v>
                </c:pt>
                <c:pt idx="463">
                  <c:v>6.6262000000000001E-2</c:v>
                </c:pt>
                <c:pt idx="464">
                  <c:v>6.6428000000000001E-2</c:v>
                </c:pt>
                <c:pt idx="465">
                  <c:v>6.6622000000000001E-2</c:v>
                </c:pt>
                <c:pt idx="466">
                  <c:v>6.6818000000000002E-2</c:v>
                </c:pt>
                <c:pt idx="467">
                  <c:v>6.7012000000000002E-2</c:v>
                </c:pt>
                <c:pt idx="468">
                  <c:v>6.7206000000000002E-2</c:v>
                </c:pt>
                <c:pt idx="469">
                  <c:v>6.7402000000000004E-2</c:v>
                </c:pt>
                <c:pt idx="470">
                  <c:v>6.7596000000000003E-2</c:v>
                </c:pt>
                <c:pt idx="471">
                  <c:v>6.7790000000000003E-2</c:v>
                </c:pt>
                <c:pt idx="472">
                  <c:v>6.7956000000000003E-2</c:v>
                </c:pt>
                <c:pt idx="473">
                  <c:v>6.8152000000000004E-2</c:v>
                </c:pt>
                <c:pt idx="474">
                  <c:v>6.8319999999999992E-2</c:v>
                </c:pt>
                <c:pt idx="475">
                  <c:v>6.8514000000000005E-2</c:v>
                </c:pt>
                <c:pt idx="476">
                  <c:v>6.8705999999999989E-2</c:v>
                </c:pt>
                <c:pt idx="477">
                  <c:v>6.8900000000000003E-2</c:v>
                </c:pt>
                <c:pt idx="478">
                  <c:v>6.9096000000000005E-2</c:v>
                </c:pt>
                <c:pt idx="479">
                  <c:v>6.9290000000000004E-2</c:v>
                </c:pt>
                <c:pt idx="480">
                  <c:v>6.9484000000000004E-2</c:v>
                </c:pt>
                <c:pt idx="481">
                  <c:v>6.9680000000000006E-2</c:v>
                </c:pt>
                <c:pt idx="482">
                  <c:v>6.9874000000000006E-2</c:v>
                </c:pt>
                <c:pt idx="483">
                  <c:v>7.0068000000000005E-2</c:v>
                </c:pt>
                <c:pt idx="484">
                  <c:v>7.0262000000000005E-2</c:v>
                </c:pt>
                <c:pt idx="485">
                  <c:v>7.0456000000000005E-2</c:v>
                </c:pt>
                <c:pt idx="486">
                  <c:v>7.0651999999999993E-2</c:v>
                </c:pt>
                <c:pt idx="487">
                  <c:v>7.0846000000000006E-2</c:v>
                </c:pt>
                <c:pt idx="488">
                  <c:v>7.1040000000000006E-2</c:v>
                </c:pt>
                <c:pt idx="489">
                  <c:v>7.1261999999999992E-2</c:v>
                </c:pt>
                <c:pt idx="490">
                  <c:v>7.1458000000000008E-2</c:v>
                </c:pt>
                <c:pt idx="491">
                  <c:v>7.1651999999999993E-2</c:v>
                </c:pt>
                <c:pt idx="492">
                  <c:v>7.1845999999999993E-2</c:v>
                </c:pt>
                <c:pt idx="493">
                  <c:v>7.2041999999999995E-2</c:v>
                </c:pt>
                <c:pt idx="494">
                  <c:v>7.2236000000000009E-2</c:v>
                </c:pt>
                <c:pt idx="495">
                  <c:v>7.2427999999999992E-2</c:v>
                </c:pt>
                <c:pt idx="496">
                  <c:v>7.2622000000000006E-2</c:v>
                </c:pt>
                <c:pt idx="497">
                  <c:v>7.2817999999999994E-2</c:v>
                </c:pt>
                <c:pt idx="498">
                  <c:v>7.3040000000000008E-2</c:v>
                </c:pt>
                <c:pt idx="499">
                  <c:v>7.3261999999999994E-2</c:v>
                </c:pt>
                <c:pt idx="500">
                  <c:v>7.3485999999999996E-2</c:v>
                </c:pt>
                <c:pt idx="501">
                  <c:v>7.3707999999999996E-2</c:v>
                </c:pt>
                <c:pt idx="502">
                  <c:v>7.3929999999999996E-2</c:v>
                </c:pt>
                <c:pt idx="503">
                  <c:v>7.4149999999999994E-2</c:v>
                </c:pt>
                <c:pt idx="504">
                  <c:v>7.4373999999999996E-2</c:v>
                </c:pt>
                <c:pt idx="505">
                  <c:v>7.4595999999999996E-2</c:v>
                </c:pt>
                <c:pt idx="506">
                  <c:v>7.4787999999999993E-2</c:v>
                </c:pt>
                <c:pt idx="507">
                  <c:v>7.5011999999999995E-2</c:v>
                </c:pt>
                <c:pt idx="508">
                  <c:v>7.5235999999999997E-2</c:v>
                </c:pt>
                <c:pt idx="509">
                  <c:v>7.5457999999999997E-2</c:v>
                </c:pt>
                <c:pt idx="510">
                  <c:v>7.5679999999999997E-2</c:v>
                </c:pt>
                <c:pt idx="511">
                  <c:v>7.5901999999999997E-2</c:v>
                </c:pt>
                <c:pt idx="512">
                  <c:v>7.6123999999999997E-2</c:v>
                </c:pt>
                <c:pt idx="513">
                  <c:v>7.6344000000000009E-2</c:v>
                </c:pt>
                <c:pt idx="514">
                  <c:v>7.6567999999999997E-2</c:v>
                </c:pt>
                <c:pt idx="515">
                  <c:v>7.6789999999999997E-2</c:v>
                </c:pt>
                <c:pt idx="516">
                  <c:v>7.7039999999999997E-2</c:v>
                </c:pt>
                <c:pt idx="517">
                  <c:v>7.7289999999999998E-2</c:v>
                </c:pt>
                <c:pt idx="518">
                  <c:v>7.7542E-2</c:v>
                </c:pt>
                <c:pt idx="519">
                  <c:v>7.7789999999999998E-2</c:v>
                </c:pt>
                <c:pt idx="520">
                  <c:v>7.8039999999999998E-2</c:v>
                </c:pt>
                <c:pt idx="521">
                  <c:v>7.8289999999999998E-2</c:v>
                </c:pt>
                <c:pt idx="522">
                  <c:v>7.8511999999999998E-2</c:v>
                </c:pt>
                <c:pt idx="523">
                  <c:v>7.8761999999999999E-2</c:v>
                </c:pt>
                <c:pt idx="524">
                  <c:v>7.9011999999999999E-2</c:v>
                </c:pt>
                <c:pt idx="525">
                  <c:v>7.9261999999999999E-2</c:v>
                </c:pt>
                <c:pt idx="526">
                  <c:v>7.9511999999999999E-2</c:v>
                </c:pt>
                <c:pt idx="527">
                  <c:v>7.9762E-2</c:v>
                </c:pt>
                <c:pt idx="528">
                  <c:v>8.0014000000000002E-2</c:v>
                </c:pt>
                <c:pt idx="529">
                  <c:v>8.0262E-2</c:v>
                </c:pt>
                <c:pt idx="530">
                  <c:v>8.0512E-2</c:v>
                </c:pt>
                <c:pt idx="531">
                  <c:v>8.0764000000000002E-2</c:v>
                </c:pt>
                <c:pt idx="532">
                  <c:v>8.1012000000000001E-2</c:v>
                </c:pt>
                <c:pt idx="533">
                  <c:v>8.1264000000000003E-2</c:v>
                </c:pt>
                <c:pt idx="534">
                  <c:v>8.1511999999999987E-2</c:v>
                </c:pt>
                <c:pt idx="535">
                  <c:v>8.1762000000000001E-2</c:v>
                </c:pt>
                <c:pt idx="536">
                  <c:v>8.2012000000000002E-2</c:v>
                </c:pt>
                <c:pt idx="537">
                  <c:v>8.2264000000000004E-2</c:v>
                </c:pt>
                <c:pt idx="538">
                  <c:v>8.2512000000000002E-2</c:v>
                </c:pt>
                <c:pt idx="539">
                  <c:v>8.2761999999999988E-2</c:v>
                </c:pt>
                <c:pt idx="540">
                  <c:v>8.3013999999999991E-2</c:v>
                </c:pt>
                <c:pt idx="541">
                  <c:v>8.3262000000000003E-2</c:v>
                </c:pt>
                <c:pt idx="542">
                  <c:v>8.3512000000000003E-2</c:v>
                </c:pt>
                <c:pt idx="543">
                  <c:v>8.3762000000000003E-2</c:v>
                </c:pt>
                <c:pt idx="544">
                  <c:v>8.4011999999999989E-2</c:v>
                </c:pt>
                <c:pt idx="545">
                  <c:v>8.4262000000000004E-2</c:v>
                </c:pt>
                <c:pt idx="546">
                  <c:v>8.4540000000000004E-2</c:v>
                </c:pt>
                <c:pt idx="547">
                  <c:v>8.4818000000000005E-2</c:v>
                </c:pt>
                <c:pt idx="548">
                  <c:v>8.5096000000000005E-2</c:v>
                </c:pt>
                <c:pt idx="549">
                  <c:v>8.5374000000000005E-2</c:v>
                </c:pt>
                <c:pt idx="550">
                  <c:v>8.5648000000000002E-2</c:v>
                </c:pt>
                <c:pt idx="551">
                  <c:v>8.5930000000000006E-2</c:v>
                </c:pt>
                <c:pt idx="552">
                  <c:v>8.6207999999999993E-2</c:v>
                </c:pt>
                <c:pt idx="553">
                  <c:v>8.6484000000000005E-2</c:v>
                </c:pt>
                <c:pt idx="554">
                  <c:v>8.6763999999999994E-2</c:v>
                </c:pt>
                <c:pt idx="555">
                  <c:v>8.7040000000000006E-2</c:v>
                </c:pt>
                <c:pt idx="556">
                  <c:v>8.7317999999999993E-2</c:v>
                </c:pt>
                <c:pt idx="557">
                  <c:v>8.7596000000000007E-2</c:v>
                </c:pt>
                <c:pt idx="558">
                  <c:v>8.7902000000000008E-2</c:v>
                </c:pt>
                <c:pt idx="559">
                  <c:v>8.8179999999999994E-2</c:v>
                </c:pt>
                <c:pt idx="560">
                  <c:v>8.8485999999999995E-2</c:v>
                </c:pt>
                <c:pt idx="561">
                  <c:v>8.8789999999999994E-2</c:v>
                </c:pt>
                <c:pt idx="562">
                  <c:v>8.9095999999999995E-2</c:v>
                </c:pt>
                <c:pt idx="563">
                  <c:v>8.9399999999999993E-2</c:v>
                </c:pt>
                <c:pt idx="564">
                  <c:v>8.970800000000001E-2</c:v>
                </c:pt>
                <c:pt idx="565">
                  <c:v>9.0012000000000009E-2</c:v>
                </c:pt>
                <c:pt idx="566">
                  <c:v>9.0315999999999994E-2</c:v>
                </c:pt>
                <c:pt idx="567">
                  <c:v>9.0623999999999996E-2</c:v>
                </c:pt>
                <c:pt idx="568">
                  <c:v>9.0928000000000009E-2</c:v>
                </c:pt>
                <c:pt idx="569">
                  <c:v>9.1233999999999996E-2</c:v>
                </c:pt>
                <c:pt idx="570">
                  <c:v>9.1539999999999996E-2</c:v>
                </c:pt>
                <c:pt idx="571">
                  <c:v>9.1843999999999995E-2</c:v>
                </c:pt>
                <c:pt idx="572">
                  <c:v>9.2149999999999996E-2</c:v>
                </c:pt>
                <c:pt idx="573">
                  <c:v>9.2455999999999997E-2</c:v>
                </c:pt>
                <c:pt idx="574">
                  <c:v>9.2761999999999997E-2</c:v>
                </c:pt>
                <c:pt idx="575">
                  <c:v>9.3095999999999998E-2</c:v>
                </c:pt>
                <c:pt idx="576">
                  <c:v>9.3429999999999999E-2</c:v>
                </c:pt>
                <c:pt idx="577">
                  <c:v>9.3764E-2</c:v>
                </c:pt>
                <c:pt idx="578">
                  <c:v>9.4095999999999999E-2</c:v>
                </c:pt>
                <c:pt idx="579">
                  <c:v>9.443E-2</c:v>
                </c:pt>
                <c:pt idx="580">
                  <c:v>9.4761999999999999E-2</c:v>
                </c:pt>
                <c:pt idx="581">
                  <c:v>9.5096000000000014E-2</c:v>
                </c:pt>
                <c:pt idx="582">
                  <c:v>9.5429999999999987E-2</c:v>
                </c:pt>
                <c:pt idx="583">
                  <c:v>9.5762E-2</c:v>
                </c:pt>
                <c:pt idx="584">
                  <c:v>9.6096000000000001E-2</c:v>
                </c:pt>
                <c:pt idx="585">
                  <c:v>9.6457999999999988E-2</c:v>
                </c:pt>
                <c:pt idx="586">
                  <c:v>9.6815999999999999E-2</c:v>
                </c:pt>
                <c:pt idx="587">
                  <c:v>9.7180000000000002E-2</c:v>
                </c:pt>
                <c:pt idx="588">
                  <c:v>9.7540000000000002E-2</c:v>
                </c:pt>
                <c:pt idx="589">
                  <c:v>9.7902000000000003E-2</c:v>
                </c:pt>
                <c:pt idx="590">
                  <c:v>9.8262000000000002E-2</c:v>
                </c:pt>
                <c:pt idx="591">
                  <c:v>9.8623999999999989E-2</c:v>
                </c:pt>
                <c:pt idx="592">
                  <c:v>9.8984000000000003E-2</c:v>
                </c:pt>
                <c:pt idx="593">
                  <c:v>9.934599999999999E-2</c:v>
                </c:pt>
                <c:pt idx="594">
                  <c:v>9.9708000000000005E-2</c:v>
                </c:pt>
                <c:pt idx="595">
                  <c:v>0.100068</c:v>
                </c:pt>
                <c:pt idx="596">
                  <c:v>0.100428</c:v>
                </c:pt>
                <c:pt idx="597">
                  <c:v>0.10079200000000001</c:v>
                </c:pt>
                <c:pt idx="598">
                  <c:v>0.10115</c:v>
                </c:pt>
                <c:pt idx="599">
                  <c:v>0.10154199999999999</c:v>
                </c:pt>
                <c:pt idx="600">
                  <c:v>0.101928</c:v>
                </c:pt>
                <c:pt idx="601">
                  <c:v>0.10231799999999999</c:v>
                </c:pt>
                <c:pt idx="602">
                  <c:v>0.10268000000000001</c:v>
                </c:pt>
                <c:pt idx="603">
                  <c:v>0.10307000000000001</c:v>
                </c:pt>
                <c:pt idx="604">
                  <c:v>0.10345800000000001</c:v>
                </c:pt>
                <c:pt idx="605">
                  <c:v>0.10384600000000001</c:v>
                </c:pt>
                <c:pt idx="606">
                  <c:v>0.10423400000000001</c:v>
                </c:pt>
                <c:pt idx="607">
                  <c:v>0.104626</c:v>
                </c:pt>
                <c:pt idx="608">
                  <c:v>0.10503999999999999</c:v>
                </c:pt>
                <c:pt idx="609">
                  <c:v>0.105458</c:v>
                </c:pt>
                <c:pt idx="610">
                  <c:v>0.10587400000000001</c:v>
                </c:pt>
                <c:pt idx="611">
                  <c:v>0.106318</c:v>
                </c:pt>
                <c:pt idx="612">
                  <c:v>0.106762</c:v>
                </c:pt>
                <c:pt idx="613">
                  <c:v>0.10718</c:v>
                </c:pt>
                <c:pt idx="614">
                  <c:v>0.107624</c:v>
                </c:pt>
                <c:pt idx="615">
                  <c:v>0.10806800000000001</c:v>
                </c:pt>
                <c:pt idx="616">
                  <c:v>0.108512</c:v>
                </c:pt>
                <c:pt idx="617">
                  <c:v>0.108958</c:v>
                </c:pt>
                <c:pt idx="618">
                  <c:v>0.1094</c:v>
                </c:pt>
                <c:pt idx="619">
                  <c:v>0.10984400000000001</c:v>
                </c:pt>
                <c:pt idx="620">
                  <c:v>0.11029</c:v>
                </c:pt>
                <c:pt idx="621">
                  <c:v>0.110736</c:v>
                </c:pt>
                <c:pt idx="622">
                  <c:v>0.11117800000000001</c:v>
                </c:pt>
                <c:pt idx="623">
                  <c:v>0.111624</c:v>
                </c:pt>
                <c:pt idx="624">
                  <c:v>0.11207</c:v>
                </c:pt>
                <c:pt idx="625">
                  <c:v>0.112512</c:v>
                </c:pt>
                <c:pt idx="626">
                  <c:v>0.112986</c:v>
                </c:pt>
                <c:pt idx="627">
                  <c:v>0.11345599999999999</c:v>
                </c:pt>
                <c:pt idx="628">
                  <c:v>0.11393</c:v>
                </c:pt>
                <c:pt idx="629">
                  <c:v>0.114402</c:v>
                </c:pt>
                <c:pt idx="630">
                  <c:v>0.114902</c:v>
                </c:pt>
                <c:pt idx="631">
                  <c:v>0.115402</c:v>
                </c:pt>
                <c:pt idx="632">
                  <c:v>0.11590199999999999</c:v>
                </c:pt>
                <c:pt idx="633">
                  <c:v>0.1164</c:v>
                </c:pt>
                <c:pt idx="634">
                  <c:v>0.11692999999999999</c:v>
                </c:pt>
                <c:pt idx="635">
                  <c:v>0.11745799999999999</c:v>
                </c:pt>
                <c:pt idx="636">
                  <c:v>0.11798600000000001</c:v>
                </c:pt>
                <c:pt idx="637">
                  <c:v>0.11851399999999999</c:v>
                </c:pt>
                <c:pt idx="638">
                  <c:v>0.11906800000000001</c:v>
                </c:pt>
                <c:pt idx="639">
                  <c:v>0.11962400000000001</c:v>
                </c:pt>
                <c:pt idx="640">
                  <c:v>0.12017799999999999</c:v>
                </c:pt>
                <c:pt idx="641">
                  <c:v>0.120764</c:v>
                </c:pt>
                <c:pt idx="642">
                  <c:v>0.121318</c:v>
                </c:pt>
                <c:pt idx="643">
                  <c:v>0.12190200000000001</c:v>
                </c:pt>
                <c:pt idx="644">
                  <c:v>0.122484</c:v>
                </c:pt>
                <c:pt idx="645">
                  <c:v>0.123096</c:v>
                </c:pt>
                <c:pt idx="646">
                  <c:v>0.123736</c:v>
                </c:pt>
                <c:pt idx="647">
                  <c:v>0.12454000000000001</c:v>
                </c:pt>
              </c:numCache>
            </c:numRef>
          </c:cat>
          <c:val>
            <c:numRef>
              <c:f>'A12-3'!$F$2:$F$649</c:f>
              <c:numCache>
                <c:formatCode>0.00</c:formatCode>
                <c:ptCount val="648"/>
                <c:pt idx="0">
                  <c:v>0</c:v>
                </c:pt>
                <c:pt idx="1">
                  <c:v>0.1518144872101363</c:v>
                </c:pt>
                <c:pt idx="2">
                  <c:v>0.1518144872101363</c:v>
                </c:pt>
                <c:pt idx="3">
                  <c:v>0.1518144872101363</c:v>
                </c:pt>
                <c:pt idx="4">
                  <c:v>0.1518144872101363</c:v>
                </c:pt>
                <c:pt idx="5">
                  <c:v>0.1518144872101363</c:v>
                </c:pt>
                <c:pt idx="6">
                  <c:v>0.1518144872101363</c:v>
                </c:pt>
                <c:pt idx="7">
                  <c:v>0.1518144872101363</c:v>
                </c:pt>
                <c:pt idx="8">
                  <c:v>0.1518144872101363</c:v>
                </c:pt>
                <c:pt idx="9">
                  <c:v>0.1518144872101363</c:v>
                </c:pt>
                <c:pt idx="10">
                  <c:v>0.15723643318192687</c:v>
                </c:pt>
                <c:pt idx="11">
                  <c:v>0.1518144872101363</c:v>
                </c:pt>
                <c:pt idx="12">
                  <c:v>0.15723643318192687</c:v>
                </c:pt>
                <c:pt idx="13">
                  <c:v>0.1518144872101363</c:v>
                </c:pt>
                <c:pt idx="14">
                  <c:v>0.1518144872101363</c:v>
                </c:pt>
                <c:pt idx="15">
                  <c:v>0.1518144872101363</c:v>
                </c:pt>
                <c:pt idx="16">
                  <c:v>0.1518144872101363</c:v>
                </c:pt>
                <c:pt idx="17">
                  <c:v>0.1518144872101363</c:v>
                </c:pt>
                <c:pt idx="18">
                  <c:v>0.1518144872101363</c:v>
                </c:pt>
                <c:pt idx="19">
                  <c:v>0.1518144872101363</c:v>
                </c:pt>
                <c:pt idx="20">
                  <c:v>0.15723643318192687</c:v>
                </c:pt>
                <c:pt idx="21">
                  <c:v>0.15723643318192687</c:v>
                </c:pt>
                <c:pt idx="22">
                  <c:v>0.15723643318192687</c:v>
                </c:pt>
                <c:pt idx="23">
                  <c:v>0.15723643318192687</c:v>
                </c:pt>
                <c:pt idx="24">
                  <c:v>0.16265837915371742</c:v>
                </c:pt>
                <c:pt idx="25">
                  <c:v>0.16265837915371742</c:v>
                </c:pt>
                <c:pt idx="26">
                  <c:v>0.1735022710972986</c:v>
                </c:pt>
                <c:pt idx="27">
                  <c:v>0.18976810901267036</c:v>
                </c:pt>
                <c:pt idx="28">
                  <c:v>0.21145589289983266</c:v>
                </c:pt>
                <c:pt idx="29">
                  <c:v>0.21687783887162324</c:v>
                </c:pt>
                <c:pt idx="30">
                  <c:v>0.22229978484341384</c:v>
                </c:pt>
                <c:pt idx="31">
                  <c:v>0.22229978484341384</c:v>
                </c:pt>
                <c:pt idx="32">
                  <c:v>0.22229978484341384</c:v>
                </c:pt>
                <c:pt idx="33">
                  <c:v>0.22229978484341384</c:v>
                </c:pt>
                <c:pt idx="34">
                  <c:v>0.22229978484341384</c:v>
                </c:pt>
                <c:pt idx="35">
                  <c:v>0.22229978484341384</c:v>
                </c:pt>
                <c:pt idx="36">
                  <c:v>0.22229978484341384</c:v>
                </c:pt>
                <c:pt idx="37">
                  <c:v>0.22229978484341384</c:v>
                </c:pt>
                <c:pt idx="38">
                  <c:v>0.22229978484341384</c:v>
                </c:pt>
                <c:pt idx="39">
                  <c:v>0.22772173081520442</c:v>
                </c:pt>
                <c:pt idx="40">
                  <c:v>0.22229978484341384</c:v>
                </c:pt>
                <c:pt idx="41">
                  <c:v>0.22772173081520442</c:v>
                </c:pt>
                <c:pt idx="42">
                  <c:v>0.22772173081520442</c:v>
                </c:pt>
                <c:pt idx="43">
                  <c:v>0.22772173081520442</c:v>
                </c:pt>
                <c:pt idx="44">
                  <c:v>0.22772173081520442</c:v>
                </c:pt>
                <c:pt idx="45">
                  <c:v>0.22772173081520442</c:v>
                </c:pt>
                <c:pt idx="46">
                  <c:v>0.22772173081520442</c:v>
                </c:pt>
                <c:pt idx="47">
                  <c:v>0.22772173081520442</c:v>
                </c:pt>
                <c:pt idx="48">
                  <c:v>0.22772173081520442</c:v>
                </c:pt>
                <c:pt idx="49">
                  <c:v>0.22772173081520442</c:v>
                </c:pt>
                <c:pt idx="50">
                  <c:v>0.22772173081520442</c:v>
                </c:pt>
                <c:pt idx="51">
                  <c:v>0.22772173081520442</c:v>
                </c:pt>
                <c:pt idx="52">
                  <c:v>0.22772173081520442</c:v>
                </c:pt>
                <c:pt idx="53">
                  <c:v>0.22772173081520442</c:v>
                </c:pt>
                <c:pt idx="54">
                  <c:v>0.23314048928201453</c:v>
                </c:pt>
                <c:pt idx="55">
                  <c:v>0.23314048928201453</c:v>
                </c:pt>
                <c:pt idx="56">
                  <c:v>0.23314048928201453</c:v>
                </c:pt>
                <c:pt idx="57">
                  <c:v>0.23314048928201453</c:v>
                </c:pt>
                <c:pt idx="58">
                  <c:v>0.23314048928201453</c:v>
                </c:pt>
                <c:pt idx="59">
                  <c:v>0.23856243525380511</c:v>
                </c:pt>
                <c:pt idx="60">
                  <c:v>0.23856243525380511</c:v>
                </c:pt>
                <c:pt idx="61">
                  <c:v>0.24398438122559568</c:v>
                </c:pt>
                <c:pt idx="62">
                  <c:v>0.24398438122559568</c:v>
                </c:pt>
                <c:pt idx="63">
                  <c:v>0.23856243525380511</c:v>
                </c:pt>
                <c:pt idx="64">
                  <c:v>0.24398438122559568</c:v>
                </c:pt>
                <c:pt idx="65">
                  <c:v>0.24398438122559568</c:v>
                </c:pt>
                <c:pt idx="66">
                  <c:v>0.24398438122559568</c:v>
                </c:pt>
                <c:pt idx="67">
                  <c:v>0.24940632719738623</c:v>
                </c:pt>
                <c:pt idx="68">
                  <c:v>0.24940632719738623</c:v>
                </c:pt>
                <c:pt idx="69">
                  <c:v>0.24940632719738623</c:v>
                </c:pt>
                <c:pt idx="70">
                  <c:v>0.25482827316917683</c:v>
                </c:pt>
                <c:pt idx="71">
                  <c:v>0.26025021914096741</c:v>
                </c:pt>
                <c:pt idx="72">
                  <c:v>0.27109411108454856</c:v>
                </c:pt>
                <c:pt idx="73">
                  <c:v>0.28735994899992034</c:v>
                </c:pt>
                <c:pt idx="74">
                  <c:v>0.30904773288708265</c:v>
                </c:pt>
                <c:pt idx="75">
                  <c:v>0.33073551677424495</c:v>
                </c:pt>
                <c:pt idx="76">
                  <c:v>0.35241055064148535</c:v>
                </c:pt>
                <c:pt idx="77">
                  <c:v>0.3741174595585306</c:v>
                </c:pt>
                <c:pt idx="78">
                  <c:v>0.395792493425771</c:v>
                </c:pt>
                <c:pt idx="79">
                  <c:v>0.41749940234281624</c:v>
                </c:pt>
                <c:pt idx="80">
                  <c:v>0.4445931946768667</c:v>
                </c:pt>
                <c:pt idx="81">
                  <c:v>0.4662682285441071</c:v>
                </c:pt>
                <c:pt idx="82">
                  <c:v>0.48797513746115229</c:v>
                </c:pt>
                <c:pt idx="83">
                  <c:v>0.50965017132839274</c:v>
                </c:pt>
                <c:pt idx="84">
                  <c:v>0.53135708024543793</c:v>
                </c:pt>
                <c:pt idx="85">
                  <c:v>0.55845087257948844</c:v>
                </c:pt>
                <c:pt idx="86">
                  <c:v>0.58015778149653363</c:v>
                </c:pt>
                <c:pt idx="87">
                  <c:v>0.60183281536377409</c:v>
                </c:pt>
                <c:pt idx="88">
                  <c:v>0.62350784923101454</c:v>
                </c:pt>
                <c:pt idx="89">
                  <c:v>0.64521475814805973</c:v>
                </c:pt>
                <c:pt idx="90">
                  <c:v>0.66688979201530019</c:v>
                </c:pt>
                <c:pt idx="91">
                  <c:v>0.68859670093234537</c:v>
                </c:pt>
                <c:pt idx="92">
                  <c:v>0.71027173479958561</c:v>
                </c:pt>
                <c:pt idx="93">
                  <c:v>0.73194676866682606</c:v>
                </c:pt>
                <c:pt idx="94">
                  <c:v>0.75365367758387114</c:v>
                </c:pt>
                <c:pt idx="95">
                  <c:v>0.77532871145111171</c:v>
                </c:pt>
                <c:pt idx="96">
                  <c:v>0.79703562036815678</c:v>
                </c:pt>
                <c:pt idx="97">
                  <c:v>0.81871065423539724</c:v>
                </c:pt>
                <c:pt idx="98">
                  <c:v>0.8403856881026377</c:v>
                </c:pt>
                <c:pt idx="99">
                  <c:v>0.86209259701968288</c:v>
                </c:pt>
                <c:pt idx="100">
                  <c:v>0.88376763088692334</c:v>
                </c:pt>
                <c:pt idx="101">
                  <c:v>0.90547453980396853</c:v>
                </c:pt>
                <c:pt idx="102">
                  <c:v>0.92714957367120898</c:v>
                </c:pt>
                <c:pt idx="103">
                  <c:v>0.94882460753844933</c:v>
                </c:pt>
                <c:pt idx="104">
                  <c:v>0.97053151645549451</c:v>
                </c:pt>
                <c:pt idx="105">
                  <c:v>0.99220655032273497</c:v>
                </c:pt>
                <c:pt idx="106">
                  <c:v>1.0138815841899753</c:v>
                </c:pt>
                <c:pt idx="107">
                  <c:v>1.0355884931070205</c:v>
                </c:pt>
                <c:pt idx="108">
                  <c:v>1.0572635269742607</c:v>
                </c:pt>
                <c:pt idx="109">
                  <c:v>1.0789704358913064</c:v>
                </c:pt>
                <c:pt idx="110">
                  <c:v>1.1006454697585466</c:v>
                </c:pt>
                <c:pt idx="111">
                  <c:v>1.1223205036257871</c:v>
                </c:pt>
                <c:pt idx="112">
                  <c:v>1.144027412542832</c:v>
                </c:pt>
                <c:pt idx="113">
                  <c:v>1.1657024464100725</c:v>
                </c:pt>
                <c:pt idx="114">
                  <c:v>1.1874093553271179</c:v>
                </c:pt>
                <c:pt idx="115">
                  <c:v>1.2145031476611681</c:v>
                </c:pt>
                <c:pt idx="116">
                  <c:v>1.2362100565782135</c:v>
                </c:pt>
                <c:pt idx="117">
                  <c:v>1.2578850904454539</c:v>
                </c:pt>
                <c:pt idx="118">
                  <c:v>1.2795601243126944</c:v>
                </c:pt>
                <c:pt idx="119">
                  <c:v>1.3012670332297394</c:v>
                </c:pt>
                <c:pt idx="120">
                  <c:v>1.3229420670969798</c:v>
                </c:pt>
                <c:pt idx="121">
                  <c:v>1.3446489760140252</c:v>
                </c:pt>
                <c:pt idx="122">
                  <c:v>1.3663240098812657</c:v>
                </c:pt>
                <c:pt idx="123">
                  <c:v>1.3879990437485059</c:v>
                </c:pt>
                <c:pt idx="124">
                  <c:v>1.4097059526655511</c:v>
                </c:pt>
                <c:pt idx="125">
                  <c:v>1.4313809865327916</c:v>
                </c:pt>
                <c:pt idx="126">
                  <c:v>1.453056020400032</c:v>
                </c:pt>
                <c:pt idx="127">
                  <c:v>1.4747629293170772</c:v>
                </c:pt>
                <c:pt idx="128">
                  <c:v>1.4964379631843177</c:v>
                </c:pt>
                <c:pt idx="129">
                  <c:v>1.5181448721013628</c:v>
                </c:pt>
                <c:pt idx="130">
                  <c:v>1.5398199059686033</c:v>
                </c:pt>
                <c:pt idx="131">
                  <c:v>1.5614949398358435</c:v>
                </c:pt>
                <c:pt idx="132">
                  <c:v>1.5832018487528887</c:v>
                </c:pt>
                <c:pt idx="133">
                  <c:v>1.604876882620129</c:v>
                </c:pt>
                <c:pt idx="134">
                  <c:v>1.6265837915371746</c:v>
                </c:pt>
                <c:pt idx="135">
                  <c:v>1.6482588254044148</c:v>
                </c:pt>
                <c:pt idx="136">
                  <c:v>1.6699338592716553</c:v>
                </c:pt>
                <c:pt idx="137">
                  <c:v>1.6916407681887002</c:v>
                </c:pt>
                <c:pt idx="138">
                  <c:v>1.7133158020559407</c:v>
                </c:pt>
                <c:pt idx="139">
                  <c:v>1.7350227109729859</c:v>
                </c:pt>
                <c:pt idx="140">
                  <c:v>1.7566977448402263</c:v>
                </c:pt>
                <c:pt idx="141">
                  <c:v>1.7783727787074668</c:v>
                </c:pt>
                <c:pt idx="142">
                  <c:v>1.800079687624512</c:v>
                </c:pt>
                <c:pt idx="143">
                  <c:v>1.8271734799585626</c:v>
                </c:pt>
                <c:pt idx="144">
                  <c:v>1.8488803888756076</c:v>
                </c:pt>
                <c:pt idx="145">
                  <c:v>1.870555422742848</c:v>
                </c:pt>
                <c:pt idx="146">
                  <c:v>1.8922304566100885</c:v>
                </c:pt>
                <c:pt idx="147">
                  <c:v>1.9139373655271337</c:v>
                </c:pt>
                <c:pt idx="148">
                  <c:v>1.9356123993943741</c:v>
                </c:pt>
                <c:pt idx="149">
                  <c:v>1.9627380667782295</c:v>
                </c:pt>
                <c:pt idx="150">
                  <c:v>1.9898318591122799</c:v>
                </c:pt>
                <c:pt idx="151">
                  <c:v>2.0169575264961352</c:v>
                </c:pt>
                <c:pt idx="152">
                  <c:v>2.0386325603633759</c:v>
                </c:pt>
                <c:pt idx="153">
                  <c:v>2.0603394692804211</c:v>
                </c:pt>
                <c:pt idx="154">
                  <c:v>2.0820145031476613</c:v>
                </c:pt>
                <c:pt idx="155">
                  <c:v>2.1036895370149016</c:v>
                </c:pt>
                <c:pt idx="156">
                  <c:v>2.1253964459319468</c:v>
                </c:pt>
                <c:pt idx="157">
                  <c:v>2.1470714797991874</c:v>
                </c:pt>
                <c:pt idx="158">
                  <c:v>2.1687783887162326</c:v>
                </c:pt>
                <c:pt idx="159">
                  <c:v>2.1904534225834729</c:v>
                </c:pt>
                <c:pt idx="160">
                  <c:v>2.2121284564507135</c:v>
                </c:pt>
                <c:pt idx="161">
                  <c:v>2.2338353653677587</c:v>
                </c:pt>
                <c:pt idx="162">
                  <c:v>2.255510399234999</c:v>
                </c:pt>
                <c:pt idx="163">
                  <c:v>2.2771854331022392</c:v>
                </c:pt>
                <c:pt idx="164">
                  <c:v>2.3043111004860948</c:v>
                </c:pt>
                <c:pt idx="165">
                  <c:v>2.325986134353335</c:v>
                </c:pt>
                <c:pt idx="166">
                  <c:v>2.3476930432703802</c:v>
                </c:pt>
                <c:pt idx="167">
                  <c:v>2.3747868356044308</c:v>
                </c:pt>
                <c:pt idx="168">
                  <c:v>2.396493744521476</c:v>
                </c:pt>
                <c:pt idx="169">
                  <c:v>2.4181687783887162</c:v>
                </c:pt>
                <c:pt idx="170">
                  <c:v>2.4398438122559565</c:v>
                </c:pt>
                <c:pt idx="171">
                  <c:v>2.4615507211730021</c:v>
                </c:pt>
                <c:pt idx="172">
                  <c:v>2.4886445135070527</c:v>
                </c:pt>
                <c:pt idx="173">
                  <c:v>2.5103514224240975</c:v>
                </c:pt>
                <c:pt idx="174">
                  <c:v>2.5374452147581481</c:v>
                </c:pt>
                <c:pt idx="175">
                  <c:v>2.5591521236751937</c:v>
                </c:pt>
                <c:pt idx="176">
                  <c:v>2.5862459160092439</c:v>
                </c:pt>
                <c:pt idx="177">
                  <c:v>2.6079528249262887</c:v>
                </c:pt>
                <c:pt idx="178">
                  <c:v>2.6350466172603397</c:v>
                </c:pt>
                <c:pt idx="179">
                  <c:v>2.65672165112758</c:v>
                </c:pt>
                <c:pt idx="180">
                  <c:v>2.6838473185114351</c:v>
                </c:pt>
                <c:pt idx="181">
                  <c:v>2.7055223523786758</c:v>
                </c:pt>
                <c:pt idx="182">
                  <c:v>2.7326480197625314</c:v>
                </c:pt>
                <c:pt idx="183">
                  <c:v>2.7543230536297711</c:v>
                </c:pt>
                <c:pt idx="184">
                  <c:v>2.7814487210136267</c:v>
                </c:pt>
                <c:pt idx="185">
                  <c:v>2.8031237548808674</c:v>
                </c:pt>
                <c:pt idx="186">
                  <c:v>2.8302494222647225</c:v>
                </c:pt>
                <c:pt idx="187">
                  <c:v>2.8519244561319628</c:v>
                </c:pt>
                <c:pt idx="188">
                  <c:v>2.8790182484660134</c:v>
                </c:pt>
                <c:pt idx="189">
                  <c:v>2.9007251573830586</c:v>
                </c:pt>
                <c:pt idx="190">
                  <c:v>2.9278189497171092</c:v>
                </c:pt>
                <c:pt idx="191">
                  <c:v>2.9549446171009643</c:v>
                </c:pt>
                <c:pt idx="192">
                  <c:v>2.9766196509682046</c:v>
                </c:pt>
                <c:pt idx="193">
                  <c:v>2.9983265598852498</c:v>
                </c:pt>
                <c:pt idx="194">
                  <c:v>3.0200015937524904</c:v>
                </c:pt>
                <c:pt idx="195">
                  <c:v>3.0416766276197307</c:v>
                </c:pt>
                <c:pt idx="196">
                  <c:v>3.0633835365367759</c:v>
                </c:pt>
                <c:pt idx="197">
                  <c:v>3.0904773288708269</c:v>
                </c:pt>
                <c:pt idx="198">
                  <c:v>3.1176029962546821</c:v>
                </c:pt>
                <c:pt idx="199">
                  <c:v>3.1392780301219219</c:v>
                </c:pt>
                <c:pt idx="200">
                  <c:v>3.1609849390389679</c:v>
                </c:pt>
                <c:pt idx="201">
                  <c:v>3.1881424814726271</c:v>
                </c:pt>
                <c:pt idx="202">
                  <c:v>3.2152362738066782</c:v>
                </c:pt>
                <c:pt idx="203">
                  <c:v>3.2369113076739184</c:v>
                </c:pt>
                <c:pt idx="204">
                  <c:v>3.2585863415411591</c:v>
                </c:pt>
                <c:pt idx="205">
                  <c:v>3.2802613754083993</c:v>
                </c:pt>
                <c:pt idx="206">
                  <c:v>3.3019364092756396</c:v>
                </c:pt>
                <c:pt idx="207">
                  <c:v>3.3236114431428798</c:v>
                </c:pt>
                <c:pt idx="208">
                  <c:v>3.3452864770101205</c:v>
                </c:pt>
                <c:pt idx="209">
                  <c:v>3.3723802693441711</c:v>
                </c:pt>
                <c:pt idx="210">
                  <c:v>3.3994740616782217</c:v>
                </c:pt>
                <c:pt idx="211">
                  <c:v>3.4265678540122724</c:v>
                </c:pt>
                <c:pt idx="212">
                  <c:v>3.4536616463463221</c:v>
                </c:pt>
                <c:pt idx="213">
                  <c:v>3.4807554386803732</c:v>
                </c:pt>
                <c:pt idx="214">
                  <c:v>3.5078492310144234</c:v>
                </c:pt>
                <c:pt idx="215">
                  <c:v>3.5349430233484744</c:v>
                </c:pt>
                <c:pt idx="216">
                  <c:v>3.5620368156825246</c:v>
                </c:pt>
                <c:pt idx="217">
                  <c:v>3.589449358514623</c:v>
                </c:pt>
                <c:pt idx="218">
                  <c:v>3.6165431508486732</c:v>
                </c:pt>
                <c:pt idx="219">
                  <c:v>3.6382181847159143</c:v>
                </c:pt>
                <c:pt idx="220">
                  <c:v>3.665311977049964</c:v>
                </c:pt>
                <c:pt idx="221">
                  <c:v>3.6924057693840151</c:v>
                </c:pt>
                <c:pt idx="222">
                  <c:v>3.7140808032512553</c:v>
                </c:pt>
                <c:pt idx="223">
                  <c:v>3.741174595585306</c:v>
                </c:pt>
                <c:pt idx="224">
                  <c:v>3.7682683879193561</c:v>
                </c:pt>
                <c:pt idx="225">
                  <c:v>3.7953621802534063</c:v>
                </c:pt>
                <c:pt idx="226">
                  <c:v>3.8170372141206474</c:v>
                </c:pt>
                <c:pt idx="227">
                  <c:v>3.8441310064546976</c:v>
                </c:pt>
                <c:pt idx="228">
                  <c:v>3.8712247987887483</c:v>
                </c:pt>
                <c:pt idx="229">
                  <c:v>3.8928998326559885</c:v>
                </c:pt>
                <c:pt idx="230">
                  <c:v>3.9199936249900396</c:v>
                </c:pt>
                <c:pt idx="231">
                  <c:v>3.9470874173240897</c:v>
                </c:pt>
                <c:pt idx="232">
                  <c:v>3.9687624511913304</c:v>
                </c:pt>
                <c:pt idx="233">
                  <c:v>3.9958562435253806</c:v>
                </c:pt>
                <c:pt idx="234">
                  <c:v>4.0175312773926208</c:v>
                </c:pt>
                <c:pt idx="235">
                  <c:v>4.0446250697266715</c:v>
                </c:pt>
                <c:pt idx="236">
                  <c:v>4.0663001035939121</c:v>
                </c:pt>
                <c:pt idx="237">
                  <c:v>4.0879751374611528</c:v>
                </c:pt>
                <c:pt idx="238">
                  <c:v>4.1150689297952026</c:v>
                </c:pt>
                <c:pt idx="239">
                  <c:v>4.137062714160491</c:v>
                </c:pt>
                <c:pt idx="240">
                  <c:v>4.1587377480277317</c:v>
                </c:pt>
                <c:pt idx="241">
                  <c:v>4.1858315403617814</c:v>
                </c:pt>
                <c:pt idx="242">
                  <c:v>4.2183440911626429</c:v>
                </c:pt>
                <c:pt idx="243">
                  <c:v>4.2508566419635034</c:v>
                </c:pt>
                <c:pt idx="244">
                  <c:v>4.288787951231174</c:v>
                </c:pt>
                <c:pt idx="245">
                  <c:v>4.3213005020320345</c:v>
                </c:pt>
                <c:pt idx="246">
                  <c:v>4.3592318112997051</c:v>
                </c:pt>
                <c:pt idx="247">
                  <c:v>4.3917443621005656</c:v>
                </c:pt>
                <c:pt idx="248">
                  <c:v>4.4242569129014271</c:v>
                </c:pt>
                <c:pt idx="249">
                  <c:v>4.4567694637022877</c:v>
                </c:pt>
                <c:pt idx="250">
                  <c:v>4.4947007729699573</c:v>
                </c:pt>
                <c:pt idx="251">
                  <c:v>4.5272133237708179</c:v>
                </c:pt>
                <c:pt idx="252">
                  <c:v>4.5597258745716802</c:v>
                </c:pt>
                <c:pt idx="253">
                  <c:v>4.5976571838393498</c:v>
                </c:pt>
                <c:pt idx="254">
                  <c:v>4.6301697346402095</c:v>
                </c:pt>
                <c:pt idx="255">
                  <c:v>4.6626822854410719</c:v>
                </c:pt>
                <c:pt idx="256">
                  <c:v>4.6955135867399793</c:v>
                </c:pt>
                <c:pt idx="257">
                  <c:v>4.7280261375408408</c:v>
                </c:pt>
                <c:pt idx="258">
                  <c:v>4.7605386883417005</c:v>
                </c:pt>
                <c:pt idx="259">
                  <c:v>4.793051239142561</c:v>
                </c:pt>
                <c:pt idx="260">
                  <c:v>4.8255637899434216</c:v>
                </c:pt>
                <c:pt idx="261">
                  <c:v>4.8580763407442822</c:v>
                </c:pt>
                <c:pt idx="262">
                  <c:v>4.8905888915451436</c:v>
                </c:pt>
                <c:pt idx="263">
                  <c:v>4.9231014423460042</c:v>
                </c:pt>
                <c:pt idx="264">
                  <c:v>4.9556139931468648</c:v>
                </c:pt>
                <c:pt idx="265">
                  <c:v>4.9881265439477254</c:v>
                </c:pt>
                <c:pt idx="266">
                  <c:v>5.0206390947485851</c:v>
                </c:pt>
                <c:pt idx="267">
                  <c:v>5.0585704040162565</c:v>
                </c:pt>
                <c:pt idx="268">
                  <c:v>5.091082954817117</c:v>
                </c:pt>
                <c:pt idx="269">
                  <c:v>5.1235955056179776</c:v>
                </c:pt>
                <c:pt idx="270">
                  <c:v>5.161526814885649</c:v>
                </c:pt>
                <c:pt idx="271">
                  <c:v>5.1940393656865087</c:v>
                </c:pt>
                <c:pt idx="272">
                  <c:v>5.2322894254522279</c:v>
                </c:pt>
                <c:pt idx="273">
                  <c:v>5.2648019762530875</c:v>
                </c:pt>
                <c:pt idx="274">
                  <c:v>5.3027332855207598</c:v>
                </c:pt>
                <c:pt idx="275">
                  <c:v>5.3406645947884304</c:v>
                </c:pt>
                <c:pt idx="276">
                  <c:v>5.37317714558929</c:v>
                </c:pt>
                <c:pt idx="277">
                  <c:v>5.4056896963901506</c:v>
                </c:pt>
                <c:pt idx="278">
                  <c:v>5.443621005657822</c:v>
                </c:pt>
                <c:pt idx="279">
                  <c:v>5.4761335564586826</c:v>
                </c:pt>
                <c:pt idx="280">
                  <c:v>5.514064865726354</c:v>
                </c:pt>
                <c:pt idx="281">
                  <c:v>5.5519961749940236</c:v>
                </c:pt>
                <c:pt idx="282">
                  <c:v>5.600765001195315</c:v>
                </c:pt>
                <c:pt idx="283">
                  <c:v>5.6495338273966063</c:v>
                </c:pt>
                <c:pt idx="284">
                  <c:v>5.6983026535978967</c:v>
                </c:pt>
                <c:pt idx="285">
                  <c:v>5.747071479799188</c:v>
                </c:pt>
                <c:pt idx="286">
                  <c:v>5.796159056498527</c:v>
                </c:pt>
                <c:pt idx="287">
                  <c:v>5.8449278826998174</c:v>
                </c:pt>
                <c:pt idx="288">
                  <c:v>5.8991154673679178</c:v>
                </c:pt>
                <c:pt idx="289">
                  <c:v>5.9478842935692091</c:v>
                </c:pt>
                <c:pt idx="290">
                  <c:v>5.9966531197704995</c:v>
                </c:pt>
                <c:pt idx="291">
                  <c:v>6.0454219459717908</c:v>
                </c:pt>
                <c:pt idx="292">
                  <c:v>6.0996095306398921</c:v>
                </c:pt>
                <c:pt idx="293">
                  <c:v>6.1483783568411825</c:v>
                </c:pt>
                <c:pt idx="294">
                  <c:v>6.1971471830424729</c:v>
                </c:pt>
                <c:pt idx="295">
                  <c:v>6.2404972507769552</c:v>
                </c:pt>
                <c:pt idx="296">
                  <c:v>6.2892660769782456</c:v>
                </c:pt>
                <c:pt idx="297">
                  <c:v>6.3437724121443946</c:v>
                </c:pt>
                <c:pt idx="298">
                  <c:v>6.392541238345685</c:v>
                </c:pt>
                <c:pt idx="299">
                  <c:v>6.4467288230137862</c:v>
                </c:pt>
                <c:pt idx="300">
                  <c:v>6.4954976492150767</c:v>
                </c:pt>
                <c:pt idx="301">
                  <c:v>6.538847716949558</c:v>
                </c:pt>
                <c:pt idx="302">
                  <c:v>6.5930353016176593</c:v>
                </c:pt>
                <c:pt idx="303">
                  <c:v>6.6472228862857596</c:v>
                </c:pt>
                <c:pt idx="304">
                  <c:v>6.7014104709538609</c:v>
                </c:pt>
                <c:pt idx="305">
                  <c:v>6.7447605386883422</c:v>
                </c:pt>
                <c:pt idx="306">
                  <c:v>6.7989481233564435</c:v>
                </c:pt>
                <c:pt idx="307">
                  <c:v>6.8477169495577348</c:v>
                </c:pt>
                <c:pt idx="308">
                  <c:v>6.891385767790263</c:v>
                </c:pt>
                <c:pt idx="309">
                  <c:v>6.9455733524583634</c:v>
                </c:pt>
                <c:pt idx="310">
                  <c:v>6.9997609371264646</c:v>
                </c:pt>
                <c:pt idx="311">
                  <c:v>7.0539485217945659</c:v>
                </c:pt>
                <c:pt idx="312">
                  <c:v>7.1081361064626671</c:v>
                </c:pt>
                <c:pt idx="313">
                  <c:v>7.1623236911307675</c:v>
                </c:pt>
                <c:pt idx="314">
                  <c:v>7.2165112757988696</c:v>
                </c:pt>
                <c:pt idx="315">
                  <c:v>7.27069886046697</c:v>
                </c:pt>
                <c:pt idx="316">
                  <c:v>7.3248864451350713</c:v>
                </c:pt>
                <c:pt idx="317">
                  <c:v>7.3790740298031716</c:v>
                </c:pt>
                <c:pt idx="318">
                  <c:v>7.4389991234361306</c:v>
                </c:pt>
                <c:pt idx="319">
                  <c:v>7.4931867081042327</c:v>
                </c:pt>
                <c:pt idx="320">
                  <c:v>7.5473742927723331</c:v>
                </c:pt>
                <c:pt idx="321">
                  <c:v>7.6069806359072443</c:v>
                </c:pt>
                <c:pt idx="322">
                  <c:v>7.6611682205753446</c:v>
                </c:pt>
                <c:pt idx="323">
                  <c:v>7.7153558052434468</c:v>
                </c:pt>
                <c:pt idx="324">
                  <c:v>7.7749621483783571</c:v>
                </c:pt>
                <c:pt idx="325">
                  <c:v>7.8291497330464583</c:v>
                </c:pt>
                <c:pt idx="326">
                  <c:v>7.8887560761813695</c:v>
                </c:pt>
                <c:pt idx="327">
                  <c:v>7.9429436608494708</c:v>
                </c:pt>
                <c:pt idx="328">
                  <c:v>8.0028687544824297</c:v>
                </c:pt>
                <c:pt idx="329">
                  <c:v>8.057056339150531</c:v>
                </c:pt>
                <c:pt idx="330">
                  <c:v>8.1166626822854404</c:v>
                </c:pt>
                <c:pt idx="331">
                  <c:v>8.1708502669535417</c:v>
                </c:pt>
                <c:pt idx="332">
                  <c:v>8.2304566100884529</c:v>
                </c:pt>
                <c:pt idx="333">
                  <c:v>8.2846441947565559</c:v>
                </c:pt>
                <c:pt idx="334">
                  <c:v>8.3442505378914653</c:v>
                </c:pt>
                <c:pt idx="335">
                  <c:v>8.4146943979599982</c:v>
                </c:pt>
                <c:pt idx="336">
                  <c:v>8.4851382580285275</c:v>
                </c:pt>
                <c:pt idx="337">
                  <c:v>8.5613196270619163</c:v>
                </c:pt>
                <c:pt idx="338">
                  <c:v>8.6317634871304509</c:v>
                </c:pt>
                <c:pt idx="339">
                  <c:v>8.7076261056657902</c:v>
                </c:pt>
                <c:pt idx="340">
                  <c:v>8.7780699657343213</c:v>
                </c:pt>
                <c:pt idx="341">
                  <c:v>8.8539325842696641</c:v>
                </c:pt>
                <c:pt idx="342">
                  <c:v>8.9243764443381952</c:v>
                </c:pt>
                <c:pt idx="343">
                  <c:v>9.0002390628735363</c:v>
                </c:pt>
                <c:pt idx="344">
                  <c:v>9.0710016734401151</c:v>
                </c:pt>
                <c:pt idx="345">
                  <c:v>9.1468642919754561</c:v>
                </c:pt>
                <c:pt idx="346">
                  <c:v>9.2227269105107972</c:v>
                </c:pt>
                <c:pt idx="347">
                  <c:v>9.29858952904614</c:v>
                </c:pt>
                <c:pt idx="348">
                  <c:v>9.3744521475814828</c:v>
                </c:pt>
                <c:pt idx="349">
                  <c:v>9.4503147661168239</c:v>
                </c:pt>
                <c:pt idx="350">
                  <c:v>9.5261773846521631</c:v>
                </c:pt>
                <c:pt idx="351">
                  <c:v>9.6020400031875059</c:v>
                </c:pt>
                <c:pt idx="352">
                  <c:v>9.6673838552872748</c:v>
                </c:pt>
                <c:pt idx="353">
                  <c:v>9.7432464738226159</c:v>
                </c:pt>
                <c:pt idx="354">
                  <c:v>9.8245278508247669</c:v>
                </c:pt>
                <c:pt idx="355">
                  <c:v>9.9058092278269179</c:v>
                </c:pt>
                <c:pt idx="356">
                  <c:v>9.9816718463622589</c:v>
                </c:pt>
                <c:pt idx="357">
                  <c:v>10.062953223364412</c:v>
                </c:pt>
                <c:pt idx="358">
                  <c:v>10.144234600366564</c:v>
                </c:pt>
                <c:pt idx="359">
                  <c:v>10.225834727866763</c:v>
                </c:pt>
                <c:pt idx="360">
                  <c:v>10.307116104868914</c:v>
                </c:pt>
                <c:pt idx="361">
                  <c:v>10.388397481871067</c:v>
                </c:pt>
                <c:pt idx="362">
                  <c:v>10.469678858873216</c:v>
                </c:pt>
                <c:pt idx="363">
                  <c:v>10.556378994342181</c:v>
                </c:pt>
                <c:pt idx="364">
                  <c:v>10.637660371344332</c:v>
                </c:pt>
                <c:pt idx="365">
                  <c:v>10.71926049884453</c:v>
                </c:pt>
                <c:pt idx="366">
                  <c:v>10.805960634313491</c:v>
                </c:pt>
                <c:pt idx="367">
                  <c:v>10.887242011315644</c:v>
                </c:pt>
                <c:pt idx="368">
                  <c:v>10.968523388317795</c:v>
                </c:pt>
                <c:pt idx="369">
                  <c:v>11.055223523786756</c:v>
                </c:pt>
                <c:pt idx="370">
                  <c:v>11.136504900788909</c:v>
                </c:pt>
                <c:pt idx="371">
                  <c:v>11.22320503625787</c:v>
                </c:pt>
                <c:pt idx="372">
                  <c:v>11.3210614391585</c:v>
                </c:pt>
                <c:pt idx="373">
                  <c:v>11.407761574627461</c:v>
                </c:pt>
                <c:pt idx="374">
                  <c:v>11.505299227030042</c:v>
                </c:pt>
                <c:pt idx="375">
                  <c:v>11.591999362499005</c:v>
                </c:pt>
                <c:pt idx="376">
                  <c:v>11.678699497967965</c:v>
                </c:pt>
                <c:pt idx="377">
                  <c:v>11.765399633436928</c:v>
                </c:pt>
                <c:pt idx="378">
                  <c:v>11.863256036337559</c:v>
                </c:pt>
                <c:pt idx="379">
                  <c:v>11.949956171806518</c:v>
                </c:pt>
                <c:pt idx="380">
                  <c:v>12.0474938242091</c:v>
                </c:pt>
                <c:pt idx="381">
                  <c:v>12.145031476611683</c:v>
                </c:pt>
                <c:pt idx="382">
                  <c:v>12.231731612080646</c:v>
                </c:pt>
                <c:pt idx="383">
                  <c:v>12.329269264483226</c:v>
                </c:pt>
                <c:pt idx="384">
                  <c:v>12.427125667383857</c:v>
                </c:pt>
                <c:pt idx="385">
                  <c:v>12.513825802852818</c:v>
                </c:pt>
                <c:pt idx="386">
                  <c:v>12.611363455255399</c:v>
                </c:pt>
                <c:pt idx="387">
                  <c:v>12.708901107657979</c:v>
                </c:pt>
                <c:pt idx="388">
                  <c:v>12.811857518527374</c:v>
                </c:pt>
                <c:pt idx="389">
                  <c:v>12.909713921428002</c:v>
                </c:pt>
                <c:pt idx="390">
                  <c:v>13.007251573830585</c:v>
                </c:pt>
                <c:pt idx="391">
                  <c:v>13.110207984699978</c:v>
                </c:pt>
                <c:pt idx="392">
                  <c:v>13.207745637102558</c:v>
                </c:pt>
                <c:pt idx="393">
                  <c:v>13.310702047971951</c:v>
                </c:pt>
                <c:pt idx="394">
                  <c:v>13.408239700374532</c:v>
                </c:pt>
                <c:pt idx="395">
                  <c:v>13.506096103275164</c:v>
                </c:pt>
                <c:pt idx="396">
                  <c:v>13.609052514144553</c:v>
                </c:pt>
                <c:pt idx="397">
                  <c:v>13.712008925013947</c:v>
                </c:pt>
                <c:pt idx="398">
                  <c:v>13.814965335883338</c:v>
                </c:pt>
                <c:pt idx="399">
                  <c:v>13.917921746752729</c:v>
                </c:pt>
                <c:pt idx="400">
                  <c:v>14.037453183520601</c:v>
                </c:pt>
                <c:pt idx="401">
                  <c:v>14.156665869790421</c:v>
                </c:pt>
                <c:pt idx="402">
                  <c:v>14.275878556060245</c:v>
                </c:pt>
                <c:pt idx="403">
                  <c:v>14.384253725396446</c:v>
                </c:pt>
                <c:pt idx="404">
                  <c:v>14.508885170133079</c:v>
                </c:pt>
                <c:pt idx="405">
                  <c:v>14.628416606900949</c:v>
                </c:pt>
                <c:pt idx="406">
                  <c:v>14.736791776237151</c:v>
                </c:pt>
                <c:pt idx="407">
                  <c:v>14.845166945573354</c:v>
                </c:pt>
                <c:pt idx="408">
                  <c:v>14.953542114909556</c:v>
                </c:pt>
                <c:pt idx="409">
                  <c:v>15.078173559646189</c:v>
                </c:pt>
                <c:pt idx="410">
                  <c:v>15.186867479480439</c:v>
                </c:pt>
                <c:pt idx="411">
                  <c:v>15.29524264881664</c:v>
                </c:pt>
                <c:pt idx="412">
                  <c:v>15.425292852020084</c:v>
                </c:pt>
                <c:pt idx="413">
                  <c:v>15.549924296756714</c:v>
                </c:pt>
                <c:pt idx="414">
                  <c:v>15.680293250458206</c:v>
                </c:pt>
                <c:pt idx="415">
                  <c:v>15.804924695194837</c:v>
                </c:pt>
                <c:pt idx="416">
                  <c:v>15.934974898398281</c:v>
                </c:pt>
                <c:pt idx="417">
                  <c:v>16.059606343134913</c:v>
                </c:pt>
                <c:pt idx="418">
                  <c:v>16.189975296836401</c:v>
                </c:pt>
                <c:pt idx="419">
                  <c:v>16.325444258506653</c:v>
                </c:pt>
                <c:pt idx="420">
                  <c:v>16.460913220176906</c:v>
                </c:pt>
                <c:pt idx="421">
                  <c:v>16.585544664913542</c:v>
                </c:pt>
                <c:pt idx="422">
                  <c:v>16.721013626583794</c:v>
                </c:pt>
                <c:pt idx="423">
                  <c:v>16.856801338752096</c:v>
                </c:pt>
                <c:pt idx="424">
                  <c:v>16.997689058889154</c:v>
                </c:pt>
                <c:pt idx="425">
                  <c:v>17.133158020559407</c:v>
                </c:pt>
                <c:pt idx="426">
                  <c:v>17.274045740696469</c:v>
                </c:pt>
                <c:pt idx="427">
                  <c:v>17.409833452864774</c:v>
                </c:pt>
                <c:pt idx="428">
                  <c:v>17.550721173001833</c:v>
                </c:pt>
                <c:pt idx="429">
                  <c:v>17.686190134672088</c:v>
                </c:pt>
                <c:pt idx="430">
                  <c:v>17.827077854809151</c:v>
                </c:pt>
                <c:pt idx="431">
                  <c:v>17.968284325444262</c:v>
                </c:pt>
                <c:pt idx="432">
                  <c:v>18.109172045581321</c:v>
                </c:pt>
                <c:pt idx="433">
                  <c:v>18.266316041118813</c:v>
                </c:pt>
                <c:pt idx="434">
                  <c:v>18.407522511753925</c:v>
                </c:pt>
                <c:pt idx="435">
                  <c:v>18.564666507291417</c:v>
                </c:pt>
                <c:pt idx="436">
                  <c:v>18.705554227428483</c:v>
                </c:pt>
                <c:pt idx="437">
                  <c:v>18.846441947565545</c:v>
                </c:pt>
                <c:pt idx="438">
                  <c:v>18.987648418200656</c:v>
                </c:pt>
                <c:pt idx="439">
                  <c:v>19.133954896804525</c:v>
                </c:pt>
                <c:pt idx="440">
                  <c:v>19.274842616941591</c:v>
                </c:pt>
                <c:pt idx="441">
                  <c:v>19.431986612479083</c:v>
                </c:pt>
                <c:pt idx="442">
                  <c:v>19.589449358514624</c:v>
                </c:pt>
                <c:pt idx="443">
                  <c:v>19.752012112518926</c:v>
                </c:pt>
                <c:pt idx="444">
                  <c:v>19.914574866523228</c:v>
                </c:pt>
                <c:pt idx="445">
                  <c:v>20.07745637102558</c:v>
                </c:pt>
                <c:pt idx="446">
                  <c:v>20.234600366563072</c:v>
                </c:pt>
                <c:pt idx="447">
                  <c:v>20.397163120567377</c:v>
                </c:pt>
                <c:pt idx="448">
                  <c:v>20.559725874571679</c:v>
                </c:pt>
                <c:pt idx="449">
                  <c:v>20.722607379074031</c:v>
                </c:pt>
                <c:pt idx="450">
                  <c:v>20.890588891545143</c:v>
                </c:pt>
                <c:pt idx="451">
                  <c:v>21.053151645549445</c:v>
                </c:pt>
                <c:pt idx="452">
                  <c:v>21.2160331500518</c:v>
                </c:pt>
                <c:pt idx="453">
                  <c:v>21.384014662522912</c:v>
                </c:pt>
                <c:pt idx="454">
                  <c:v>21.546577416527214</c:v>
                </c:pt>
                <c:pt idx="455">
                  <c:v>21.714877679496375</c:v>
                </c:pt>
                <c:pt idx="456">
                  <c:v>21.877440433500681</c:v>
                </c:pt>
                <c:pt idx="457">
                  <c:v>22.045421945971789</c:v>
                </c:pt>
                <c:pt idx="458">
                  <c:v>22.207984699976095</c:v>
                </c:pt>
                <c:pt idx="459">
                  <c:v>22.397959996812496</c:v>
                </c:pt>
                <c:pt idx="460">
                  <c:v>22.582197784684041</c:v>
                </c:pt>
                <c:pt idx="461">
                  <c:v>22.771854331022393</c:v>
                </c:pt>
                <c:pt idx="462">
                  <c:v>22.956410869391984</c:v>
                </c:pt>
                <c:pt idx="463">
                  <c:v>23.12981114032991</c:v>
                </c:pt>
                <c:pt idx="464">
                  <c:v>23.319467686668261</c:v>
                </c:pt>
                <c:pt idx="465">
                  <c:v>23.493186708104229</c:v>
                </c:pt>
                <c:pt idx="466">
                  <c:v>23.682843254442588</c:v>
                </c:pt>
                <c:pt idx="467">
                  <c:v>23.878237309745799</c:v>
                </c:pt>
                <c:pt idx="468">
                  <c:v>24.073312614550964</c:v>
                </c:pt>
                <c:pt idx="469">
                  <c:v>24.273806677822936</c:v>
                </c:pt>
                <c:pt idx="470">
                  <c:v>24.474619491592957</c:v>
                </c:pt>
                <c:pt idx="471">
                  <c:v>24.675113554864932</c:v>
                </c:pt>
                <c:pt idx="472">
                  <c:v>24.870188859670094</c:v>
                </c:pt>
                <c:pt idx="473">
                  <c:v>25.076420431906929</c:v>
                </c:pt>
                <c:pt idx="474">
                  <c:v>25.2769144951789</c:v>
                </c:pt>
                <c:pt idx="475">
                  <c:v>25.471989799984065</c:v>
                </c:pt>
                <c:pt idx="476">
                  <c:v>25.678221372220897</c:v>
                </c:pt>
                <c:pt idx="477">
                  <c:v>25.878715435492868</c:v>
                </c:pt>
                <c:pt idx="478">
                  <c:v>26.079528249262889</c:v>
                </c:pt>
                <c:pt idx="479">
                  <c:v>26.280022312534864</c:v>
                </c:pt>
                <c:pt idx="480">
                  <c:v>26.48051637580684</c:v>
                </c:pt>
                <c:pt idx="481">
                  <c:v>26.697585464977291</c:v>
                </c:pt>
                <c:pt idx="482">
                  <c:v>26.919754562116502</c:v>
                </c:pt>
                <c:pt idx="483">
                  <c:v>27.136504900788911</c:v>
                </c:pt>
                <c:pt idx="484">
                  <c:v>27.358992748426171</c:v>
                </c:pt>
                <c:pt idx="485">
                  <c:v>27.581161845565383</c:v>
                </c:pt>
                <c:pt idx="486">
                  <c:v>27.803649693202647</c:v>
                </c:pt>
                <c:pt idx="487">
                  <c:v>28.025818790341862</c:v>
                </c:pt>
                <c:pt idx="488">
                  <c:v>28.247987887481077</c:v>
                </c:pt>
                <c:pt idx="489">
                  <c:v>28.475894493585148</c:v>
                </c:pt>
                <c:pt idx="490">
                  <c:v>28.698063590724363</c:v>
                </c:pt>
                <c:pt idx="491">
                  <c:v>28.925970196828438</c:v>
                </c:pt>
                <c:pt idx="492">
                  <c:v>29.153558052434459</c:v>
                </c:pt>
                <c:pt idx="493">
                  <c:v>29.397720933938963</c:v>
                </c:pt>
                <c:pt idx="494">
                  <c:v>29.625308789544984</c:v>
                </c:pt>
                <c:pt idx="495">
                  <c:v>29.863734162084629</c:v>
                </c:pt>
                <c:pt idx="496">
                  <c:v>30.10789704358913</c:v>
                </c:pt>
                <c:pt idx="497">
                  <c:v>30.357159933062398</c:v>
                </c:pt>
                <c:pt idx="498">
                  <c:v>30.585066539166469</c:v>
                </c:pt>
                <c:pt idx="499">
                  <c:v>30.839748187106544</c:v>
                </c:pt>
                <c:pt idx="500">
                  <c:v>31.089329827077858</c:v>
                </c:pt>
                <c:pt idx="501">
                  <c:v>31.344011475017933</c:v>
                </c:pt>
                <c:pt idx="502">
                  <c:v>31.593593114989243</c:v>
                </c:pt>
                <c:pt idx="503">
                  <c:v>31.848274762929318</c:v>
                </c:pt>
                <c:pt idx="504">
                  <c:v>32.085425133476775</c:v>
                </c:pt>
                <c:pt idx="505">
                  <c:v>32.340425531914896</c:v>
                </c:pt>
                <c:pt idx="506">
                  <c:v>32.601800940313971</c:v>
                </c:pt>
                <c:pt idx="507">
                  <c:v>32.856801338752092</c:v>
                </c:pt>
                <c:pt idx="508">
                  <c:v>33.111801737190213</c:v>
                </c:pt>
                <c:pt idx="509">
                  <c:v>33.36680213562834</c:v>
                </c:pt>
                <c:pt idx="510">
                  <c:v>33.6441150689298</c:v>
                </c:pt>
                <c:pt idx="511">
                  <c:v>33.902302972348394</c:v>
                </c:pt>
                <c:pt idx="512">
                  <c:v>34.179615905649854</c:v>
                </c:pt>
                <c:pt idx="513">
                  <c:v>34.440991314048929</c:v>
                </c:pt>
                <c:pt idx="514">
                  <c:v>34.715116742369915</c:v>
                </c:pt>
                <c:pt idx="515">
                  <c:v>34.998804685632322</c:v>
                </c:pt>
                <c:pt idx="516">
                  <c:v>35.279305123914256</c:v>
                </c:pt>
                <c:pt idx="517">
                  <c:v>35.556618057215715</c:v>
                </c:pt>
                <c:pt idx="518">
                  <c:v>35.843493505458603</c:v>
                </c:pt>
                <c:pt idx="519">
                  <c:v>36.120806438760063</c:v>
                </c:pt>
                <c:pt idx="520">
                  <c:v>36.401306877041996</c:v>
                </c:pt>
                <c:pt idx="521">
                  <c:v>36.684994820304411</c:v>
                </c:pt>
                <c:pt idx="522">
                  <c:v>36.987807793449683</c:v>
                </c:pt>
                <c:pt idx="523">
                  <c:v>37.27149573671209</c:v>
                </c:pt>
                <c:pt idx="524">
                  <c:v>37.574308709857362</c:v>
                </c:pt>
                <c:pt idx="525">
                  <c:v>37.87074667304168</c:v>
                </c:pt>
                <c:pt idx="526">
                  <c:v>38.176747151167433</c:v>
                </c:pt>
                <c:pt idx="527">
                  <c:v>38.473185114351743</c:v>
                </c:pt>
                <c:pt idx="528">
                  <c:v>38.775998087497008</c:v>
                </c:pt>
                <c:pt idx="529">
                  <c:v>39.085186070603235</c:v>
                </c:pt>
                <c:pt idx="530">
                  <c:v>39.394374053709463</c:v>
                </c:pt>
                <c:pt idx="531">
                  <c:v>39.703562036815683</c:v>
                </c:pt>
                <c:pt idx="532">
                  <c:v>40.019125029882865</c:v>
                </c:pt>
                <c:pt idx="533">
                  <c:v>40.33468802295004</c:v>
                </c:pt>
                <c:pt idx="534">
                  <c:v>40.647063511036741</c:v>
                </c:pt>
                <c:pt idx="535">
                  <c:v>40.962626504103916</c:v>
                </c:pt>
                <c:pt idx="536">
                  <c:v>41.278189497171091</c:v>
                </c:pt>
                <c:pt idx="537">
                  <c:v>41.596939995218747</c:v>
                </c:pt>
                <c:pt idx="538">
                  <c:v>41.912502988285922</c:v>
                </c:pt>
                <c:pt idx="539">
                  <c:v>42.247191011235962</c:v>
                </c:pt>
                <c:pt idx="540">
                  <c:v>42.578691529205514</c:v>
                </c:pt>
                <c:pt idx="541">
                  <c:v>42.919754562116502</c:v>
                </c:pt>
                <c:pt idx="542">
                  <c:v>43.260817595027497</c:v>
                </c:pt>
                <c:pt idx="543">
                  <c:v>43.601880627938485</c:v>
                </c:pt>
                <c:pt idx="544">
                  <c:v>43.939756155868999</c:v>
                </c:pt>
                <c:pt idx="545">
                  <c:v>44.29675671368237</c:v>
                </c:pt>
                <c:pt idx="546">
                  <c:v>44.644194756554306</c:v>
                </c:pt>
                <c:pt idx="547">
                  <c:v>45.013945334289588</c:v>
                </c:pt>
                <c:pt idx="548">
                  <c:v>45.364570882142004</c:v>
                </c:pt>
                <c:pt idx="549">
                  <c:v>45.718383934974902</c:v>
                </c:pt>
                <c:pt idx="550">
                  <c:v>46.069009482827319</c:v>
                </c:pt>
                <c:pt idx="551">
                  <c:v>46.445135070523548</c:v>
                </c:pt>
                <c:pt idx="552">
                  <c:v>46.824448163200259</c:v>
                </c:pt>
                <c:pt idx="553">
                  <c:v>47.197386245916015</c:v>
                </c:pt>
                <c:pt idx="554">
                  <c:v>47.576699338592718</c:v>
                </c:pt>
                <c:pt idx="555">
                  <c:v>47.962387441230376</c:v>
                </c:pt>
                <c:pt idx="556">
                  <c:v>48.341700533907087</c:v>
                </c:pt>
                <c:pt idx="557">
                  <c:v>48.72101362658379</c:v>
                </c:pt>
                <c:pt idx="558">
                  <c:v>49.116264244162885</c:v>
                </c:pt>
                <c:pt idx="559">
                  <c:v>49.508327356761498</c:v>
                </c:pt>
                <c:pt idx="560">
                  <c:v>49.890827954418683</c:v>
                </c:pt>
                <c:pt idx="561">
                  <c:v>50.282891067017296</c:v>
                </c:pt>
                <c:pt idx="562">
                  <c:v>50.690891704518286</c:v>
                </c:pt>
                <c:pt idx="563">
                  <c:v>51.102079846999764</c:v>
                </c:pt>
                <c:pt idx="564">
                  <c:v>51.513267989481236</c:v>
                </c:pt>
                <c:pt idx="565">
                  <c:v>51.914893617021278</c:v>
                </c:pt>
                <c:pt idx="566">
                  <c:v>52.31651924456132</c:v>
                </c:pt>
                <c:pt idx="567">
                  <c:v>52.718144872101369</c:v>
                </c:pt>
                <c:pt idx="568">
                  <c:v>53.122958004621886</c:v>
                </c:pt>
                <c:pt idx="569">
                  <c:v>53.553271176986215</c:v>
                </c:pt>
                <c:pt idx="570">
                  <c:v>53.974021834409115</c:v>
                </c:pt>
                <c:pt idx="571">
                  <c:v>54.404335006773451</c:v>
                </c:pt>
                <c:pt idx="572">
                  <c:v>54.84739819905969</c:v>
                </c:pt>
                <c:pt idx="573">
                  <c:v>55.287273886365448</c:v>
                </c:pt>
                <c:pt idx="574">
                  <c:v>55.720774563710258</c:v>
                </c:pt>
                <c:pt idx="575">
                  <c:v>56.154275241055075</c:v>
                </c:pt>
                <c:pt idx="576">
                  <c:v>56.587775918399878</c:v>
                </c:pt>
                <c:pt idx="577">
                  <c:v>57.03402661566659</c:v>
                </c:pt>
                <c:pt idx="578">
                  <c:v>57.493027332855206</c:v>
                </c:pt>
                <c:pt idx="579">
                  <c:v>57.95521555502431</c:v>
                </c:pt>
                <c:pt idx="580">
                  <c:v>58.414216272212926</c:v>
                </c:pt>
                <c:pt idx="581">
                  <c:v>58.870029484421075</c:v>
                </c:pt>
                <c:pt idx="582">
                  <c:v>59.3417802215316</c:v>
                </c:pt>
                <c:pt idx="583">
                  <c:v>59.803968443700704</c:v>
                </c:pt>
                <c:pt idx="584">
                  <c:v>60.269344170850268</c:v>
                </c:pt>
                <c:pt idx="585">
                  <c:v>60.741094907960793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D1-44A0-80C8-CF8A5556EA68}"/>
            </c:ext>
          </c:extLst>
        </c:ser>
        <c:ser>
          <c:idx val="3"/>
          <c:order val="3"/>
          <c:tx>
            <c:strRef>
              <c:f>{"A12-4"}</c:f>
              <c:strCache>
                <c:ptCount val="1"/>
                <c:pt idx="0">
                  <c:v>A12-4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'A12-1'!$C$2:$C$649</c:f>
              <c:numCache>
                <c:formatCode>0.00</c:formatCode>
                <c:ptCount val="648"/>
                <c:pt idx="0">
                  <c:v>0</c:v>
                </c:pt>
                <c:pt idx="1">
                  <c:v>6.9310000000000005E-3</c:v>
                </c:pt>
                <c:pt idx="2">
                  <c:v>6.9849999999999999E-3</c:v>
                </c:pt>
                <c:pt idx="3">
                  <c:v>7.0408000000000007E-3</c:v>
                </c:pt>
                <c:pt idx="4">
                  <c:v>7.0965999999999998E-3</c:v>
                </c:pt>
                <c:pt idx="5">
                  <c:v>7.1506E-3</c:v>
                </c:pt>
                <c:pt idx="6">
                  <c:v>7.2063999999999991E-3</c:v>
                </c:pt>
                <c:pt idx="7">
                  <c:v>7.2621999999999999E-3</c:v>
                </c:pt>
                <c:pt idx="8">
                  <c:v>7.3179999999999999E-3</c:v>
                </c:pt>
                <c:pt idx="9">
                  <c:v>7.3740000000000003E-3</c:v>
                </c:pt>
                <c:pt idx="10">
                  <c:v>7.4297999999999994E-3</c:v>
                </c:pt>
                <c:pt idx="11">
                  <c:v>7.5116000000000002E-3</c:v>
                </c:pt>
                <c:pt idx="12">
                  <c:v>7.5953999999999995E-3</c:v>
                </c:pt>
                <c:pt idx="13">
                  <c:v>7.6792000000000006E-3</c:v>
                </c:pt>
                <c:pt idx="14">
                  <c:v>7.7627999999999994E-3</c:v>
                </c:pt>
                <c:pt idx="15">
                  <c:v>7.8466000000000004E-3</c:v>
                </c:pt>
                <c:pt idx="16">
                  <c:v>7.9286000000000009E-3</c:v>
                </c:pt>
                <c:pt idx="17">
                  <c:v>8.0122000000000006E-3</c:v>
                </c:pt>
                <c:pt idx="18">
                  <c:v>8.094200000000001E-3</c:v>
                </c:pt>
                <c:pt idx="19">
                  <c:v>8.179800000000001E-3</c:v>
                </c:pt>
                <c:pt idx="20">
                  <c:v>8.2616000000000009E-3</c:v>
                </c:pt>
                <c:pt idx="21">
                  <c:v>8.3453999999999993E-3</c:v>
                </c:pt>
                <c:pt idx="22">
                  <c:v>8.4291999999999995E-3</c:v>
                </c:pt>
                <c:pt idx="23">
                  <c:v>8.5109999999999995E-3</c:v>
                </c:pt>
                <c:pt idx="24">
                  <c:v>8.5965999999999994E-3</c:v>
                </c:pt>
                <c:pt idx="25">
                  <c:v>8.6803999999999996E-3</c:v>
                </c:pt>
                <c:pt idx="26">
                  <c:v>8.7624E-3</c:v>
                </c:pt>
                <c:pt idx="27">
                  <c:v>8.8459999999999997E-3</c:v>
                </c:pt>
                <c:pt idx="28">
                  <c:v>8.9280000000000002E-3</c:v>
                </c:pt>
                <c:pt idx="29">
                  <c:v>9.0118000000000004E-3</c:v>
                </c:pt>
                <c:pt idx="30">
                  <c:v>9.0974000000000003E-3</c:v>
                </c:pt>
                <c:pt idx="31">
                  <c:v>9.1792000000000002E-3</c:v>
                </c:pt>
                <c:pt idx="32">
                  <c:v>9.2630000000000004E-3</c:v>
                </c:pt>
                <c:pt idx="33">
                  <c:v>9.3448000000000003E-3</c:v>
                </c:pt>
                <c:pt idx="34">
                  <c:v>9.4286000000000005E-3</c:v>
                </c:pt>
                <c:pt idx="35">
                  <c:v>9.512399999999999E-3</c:v>
                </c:pt>
                <c:pt idx="36">
                  <c:v>9.5962000000000009E-3</c:v>
                </c:pt>
                <c:pt idx="37">
                  <c:v>9.6797999999999988E-3</c:v>
                </c:pt>
                <c:pt idx="38">
                  <c:v>9.761800000000001E-3</c:v>
                </c:pt>
                <c:pt idx="39">
                  <c:v>9.8455999999999995E-3</c:v>
                </c:pt>
                <c:pt idx="40">
                  <c:v>9.9292000000000009E-3</c:v>
                </c:pt>
                <c:pt idx="41">
                  <c:v>1.0013000000000001E-2</c:v>
                </c:pt>
                <c:pt idx="42">
                  <c:v>1.0095E-2</c:v>
                </c:pt>
                <c:pt idx="43">
                  <c:v>1.0178599999999999E-2</c:v>
                </c:pt>
                <c:pt idx="44">
                  <c:v>1.02606E-2</c:v>
                </c:pt>
                <c:pt idx="45">
                  <c:v>1.0346200000000002E-2</c:v>
                </c:pt>
                <c:pt idx="46">
                  <c:v>1.043E-2</c:v>
                </c:pt>
                <c:pt idx="47">
                  <c:v>1.0513600000000001E-2</c:v>
                </c:pt>
                <c:pt idx="48">
                  <c:v>1.05956E-2</c:v>
                </c:pt>
                <c:pt idx="49">
                  <c:v>1.0679399999999999E-2</c:v>
                </c:pt>
                <c:pt idx="50">
                  <c:v>1.0763E-2</c:v>
                </c:pt>
                <c:pt idx="51">
                  <c:v>1.08468E-2</c:v>
                </c:pt>
                <c:pt idx="52">
                  <c:v>1.0958600000000001E-2</c:v>
                </c:pt>
                <c:pt idx="53">
                  <c:v>1.1068400000000001E-2</c:v>
                </c:pt>
                <c:pt idx="54">
                  <c:v>1.1178200000000001E-2</c:v>
                </c:pt>
                <c:pt idx="55">
                  <c:v>1.1263799999999999E-2</c:v>
                </c:pt>
                <c:pt idx="56">
                  <c:v>1.1373599999999999E-2</c:v>
                </c:pt>
                <c:pt idx="57">
                  <c:v>1.1485199999999999E-2</c:v>
                </c:pt>
                <c:pt idx="58">
                  <c:v>1.1596800000000001E-2</c:v>
                </c:pt>
                <c:pt idx="59">
                  <c:v>1.1706600000000001E-2</c:v>
                </c:pt>
                <c:pt idx="60">
                  <c:v>1.18166E-2</c:v>
                </c:pt>
                <c:pt idx="61">
                  <c:v>1.19282E-2</c:v>
                </c:pt>
                <c:pt idx="62">
                  <c:v>1.20398E-2</c:v>
                </c:pt>
                <c:pt idx="63">
                  <c:v>1.21516E-2</c:v>
                </c:pt>
                <c:pt idx="64">
                  <c:v>1.22614E-2</c:v>
                </c:pt>
                <c:pt idx="65">
                  <c:v>1.2374799999999998E-2</c:v>
                </c:pt>
                <c:pt idx="66">
                  <c:v>1.24866E-2</c:v>
                </c:pt>
                <c:pt idx="67">
                  <c:v>1.2596400000000001E-2</c:v>
                </c:pt>
                <c:pt idx="68">
                  <c:v>1.2707999999999999E-2</c:v>
                </c:pt>
                <c:pt idx="69">
                  <c:v>1.28196E-2</c:v>
                </c:pt>
                <c:pt idx="70">
                  <c:v>1.2929400000000001E-2</c:v>
                </c:pt>
                <c:pt idx="71">
                  <c:v>1.3039199999999999E-2</c:v>
                </c:pt>
                <c:pt idx="72">
                  <c:v>1.3150999999999999E-2</c:v>
                </c:pt>
                <c:pt idx="73">
                  <c:v>1.3262599999999999E-2</c:v>
                </c:pt>
                <c:pt idx="74">
                  <c:v>1.33724E-2</c:v>
                </c:pt>
                <c:pt idx="75">
                  <c:v>1.34842E-2</c:v>
                </c:pt>
                <c:pt idx="76">
                  <c:v>1.35958E-2</c:v>
                </c:pt>
                <c:pt idx="77">
                  <c:v>1.37056E-2</c:v>
                </c:pt>
                <c:pt idx="78">
                  <c:v>1.38172E-2</c:v>
                </c:pt>
                <c:pt idx="79">
                  <c:v>1.3929E-2</c:v>
                </c:pt>
                <c:pt idx="80">
                  <c:v>1.40406E-2</c:v>
                </c:pt>
                <c:pt idx="81">
                  <c:v>1.4152199999999998E-2</c:v>
                </c:pt>
                <c:pt idx="82">
                  <c:v>1.4263999999999999E-2</c:v>
                </c:pt>
                <c:pt idx="83">
                  <c:v>1.4375599999999999E-2</c:v>
                </c:pt>
                <c:pt idx="84">
                  <c:v>1.4511400000000001E-2</c:v>
                </c:pt>
                <c:pt idx="85">
                  <c:v>1.4651000000000001E-2</c:v>
                </c:pt>
                <c:pt idx="86">
                  <c:v>1.4790600000000001E-2</c:v>
                </c:pt>
                <c:pt idx="87">
                  <c:v>1.49284E-2</c:v>
                </c:pt>
                <c:pt idx="88">
                  <c:v>1.5068E-2</c:v>
                </c:pt>
                <c:pt idx="89">
                  <c:v>1.5207599999999998E-2</c:v>
                </c:pt>
                <c:pt idx="90">
                  <c:v>1.5345200000000002E-2</c:v>
                </c:pt>
                <c:pt idx="91">
                  <c:v>1.54848E-2</c:v>
                </c:pt>
                <c:pt idx="92">
                  <c:v>1.56244E-2</c:v>
                </c:pt>
                <c:pt idx="93">
                  <c:v>1.5762200000000001E-2</c:v>
                </c:pt>
                <c:pt idx="94">
                  <c:v>1.5901800000000001E-2</c:v>
                </c:pt>
                <c:pt idx="95">
                  <c:v>1.6041399999999997E-2</c:v>
                </c:pt>
                <c:pt idx="96">
                  <c:v>1.6178999999999999E-2</c:v>
                </c:pt>
                <c:pt idx="97">
                  <c:v>1.6318600000000003E-2</c:v>
                </c:pt>
                <c:pt idx="98">
                  <c:v>1.64564E-2</c:v>
                </c:pt>
                <c:pt idx="99">
                  <c:v>1.6596E-2</c:v>
                </c:pt>
                <c:pt idx="100">
                  <c:v>1.67356E-2</c:v>
                </c:pt>
                <c:pt idx="101">
                  <c:v>1.6873199999999998E-2</c:v>
                </c:pt>
                <c:pt idx="102">
                  <c:v>1.7012799999999998E-2</c:v>
                </c:pt>
                <c:pt idx="103">
                  <c:v>1.7152400000000002E-2</c:v>
                </c:pt>
                <c:pt idx="104">
                  <c:v>1.7290199999999999E-2</c:v>
                </c:pt>
                <c:pt idx="105">
                  <c:v>1.7427999999999999E-2</c:v>
                </c:pt>
                <c:pt idx="106">
                  <c:v>1.75674E-2</c:v>
                </c:pt>
                <c:pt idx="107">
                  <c:v>1.7705200000000001E-2</c:v>
                </c:pt>
                <c:pt idx="108">
                  <c:v>1.7846600000000001E-2</c:v>
                </c:pt>
                <c:pt idx="109">
                  <c:v>1.7986200000000001E-2</c:v>
                </c:pt>
                <c:pt idx="110">
                  <c:v>1.8149999999999999E-2</c:v>
                </c:pt>
                <c:pt idx="111">
                  <c:v>1.8291399999999999E-2</c:v>
                </c:pt>
                <c:pt idx="112">
                  <c:v>1.84572E-2</c:v>
                </c:pt>
                <c:pt idx="113">
                  <c:v>1.8622799999999998E-2</c:v>
                </c:pt>
                <c:pt idx="114">
                  <c:v>1.87902E-2</c:v>
                </c:pt>
                <c:pt idx="115">
                  <c:v>1.8956000000000001E-2</c:v>
                </c:pt>
                <c:pt idx="116">
                  <c:v>1.9123399999999999E-2</c:v>
                </c:pt>
                <c:pt idx="117">
                  <c:v>1.9289000000000001E-2</c:v>
                </c:pt>
                <c:pt idx="118">
                  <c:v>1.9456600000000001E-2</c:v>
                </c:pt>
                <c:pt idx="119">
                  <c:v>1.9623999999999999E-2</c:v>
                </c:pt>
                <c:pt idx="120">
                  <c:v>1.97898E-2</c:v>
                </c:pt>
                <c:pt idx="121">
                  <c:v>1.9959000000000001E-2</c:v>
                </c:pt>
                <c:pt idx="122">
                  <c:v>2.0122000000000001E-2</c:v>
                </c:pt>
                <c:pt idx="123">
                  <c:v>2.0289999999999999E-2</c:v>
                </c:pt>
                <c:pt idx="124">
                  <c:v>2.0457999999999997E-2</c:v>
                </c:pt>
                <c:pt idx="125">
                  <c:v>2.0623999999999997E-2</c:v>
                </c:pt>
                <c:pt idx="126">
                  <c:v>2.0792000000000001E-2</c:v>
                </c:pt>
                <c:pt idx="127">
                  <c:v>2.0956000000000002E-2</c:v>
                </c:pt>
                <c:pt idx="128">
                  <c:v>2.1122000000000002E-2</c:v>
                </c:pt>
                <c:pt idx="129">
                  <c:v>2.129E-2</c:v>
                </c:pt>
                <c:pt idx="130">
                  <c:v>2.1455999999999999E-2</c:v>
                </c:pt>
                <c:pt idx="131">
                  <c:v>2.1623999999999997E-2</c:v>
                </c:pt>
                <c:pt idx="132">
                  <c:v>2.1791999999999999E-2</c:v>
                </c:pt>
                <c:pt idx="133">
                  <c:v>2.1984E-2</c:v>
                </c:pt>
                <c:pt idx="134">
                  <c:v>2.2179999999999998E-2</c:v>
                </c:pt>
                <c:pt idx="135">
                  <c:v>2.2374000000000002E-2</c:v>
                </c:pt>
                <c:pt idx="136">
                  <c:v>2.2568000000000001E-2</c:v>
                </c:pt>
                <c:pt idx="137">
                  <c:v>2.2761999999999998E-2</c:v>
                </c:pt>
                <c:pt idx="138">
                  <c:v>2.2930000000000002E-2</c:v>
                </c:pt>
                <c:pt idx="139">
                  <c:v>2.3123999999999999E-2</c:v>
                </c:pt>
                <c:pt idx="140">
                  <c:v>2.3316E-2</c:v>
                </c:pt>
                <c:pt idx="141">
                  <c:v>2.3485999999999996E-2</c:v>
                </c:pt>
                <c:pt idx="142">
                  <c:v>2.368E-2</c:v>
                </c:pt>
                <c:pt idx="143">
                  <c:v>2.3845999999999999E-2</c:v>
                </c:pt>
                <c:pt idx="144">
                  <c:v>2.4039999999999999E-2</c:v>
                </c:pt>
                <c:pt idx="145">
                  <c:v>2.4205999999999998E-2</c:v>
                </c:pt>
                <c:pt idx="146">
                  <c:v>2.4402E-2</c:v>
                </c:pt>
                <c:pt idx="147">
                  <c:v>2.4597999999999998E-2</c:v>
                </c:pt>
                <c:pt idx="148">
                  <c:v>2.4733999999999999E-2</c:v>
                </c:pt>
                <c:pt idx="149">
                  <c:v>2.4929999999999997E-2</c:v>
                </c:pt>
                <c:pt idx="150">
                  <c:v>2.5068E-2</c:v>
                </c:pt>
                <c:pt idx="151">
                  <c:v>2.5264000000000002E-2</c:v>
                </c:pt>
                <c:pt idx="152">
                  <c:v>2.5455999999999999E-2</c:v>
                </c:pt>
                <c:pt idx="153">
                  <c:v>2.5649999999999999E-2</c:v>
                </c:pt>
                <c:pt idx="154">
                  <c:v>2.5817999999999997E-2</c:v>
                </c:pt>
                <c:pt idx="155">
                  <c:v>2.6041999999999999E-2</c:v>
                </c:pt>
                <c:pt idx="156">
                  <c:v>2.6234E-2</c:v>
                </c:pt>
                <c:pt idx="157">
                  <c:v>2.6427999999999997E-2</c:v>
                </c:pt>
                <c:pt idx="158">
                  <c:v>2.6623999999999998E-2</c:v>
                </c:pt>
                <c:pt idx="159">
                  <c:v>2.6817999999999998E-2</c:v>
                </c:pt>
                <c:pt idx="160">
                  <c:v>2.6983999999999998E-2</c:v>
                </c:pt>
                <c:pt idx="161">
                  <c:v>2.7178000000000001E-2</c:v>
                </c:pt>
                <c:pt idx="162">
                  <c:v>2.7373999999999999E-2</c:v>
                </c:pt>
                <c:pt idx="163">
                  <c:v>2.7568000000000002E-2</c:v>
                </c:pt>
                <c:pt idx="164">
                  <c:v>2.7761999999999998E-2</c:v>
                </c:pt>
                <c:pt idx="165">
                  <c:v>2.7955999999999998E-2</c:v>
                </c:pt>
                <c:pt idx="166">
                  <c:v>2.8152E-2</c:v>
                </c:pt>
                <c:pt idx="167">
                  <c:v>2.8346E-2</c:v>
                </c:pt>
                <c:pt idx="168">
                  <c:v>2.8539999999999999E-2</c:v>
                </c:pt>
                <c:pt idx="169">
                  <c:v>2.8734000000000003E-2</c:v>
                </c:pt>
                <c:pt idx="170">
                  <c:v>2.8929999999999997E-2</c:v>
                </c:pt>
                <c:pt idx="171">
                  <c:v>2.9125999999999999E-2</c:v>
                </c:pt>
                <c:pt idx="172">
                  <c:v>2.9289999999999997E-2</c:v>
                </c:pt>
                <c:pt idx="173">
                  <c:v>2.9456000000000003E-2</c:v>
                </c:pt>
                <c:pt idx="174">
                  <c:v>2.9622000000000002E-2</c:v>
                </c:pt>
                <c:pt idx="175">
                  <c:v>2.9790000000000001E-2</c:v>
                </c:pt>
                <c:pt idx="176">
                  <c:v>2.9957999999999999E-2</c:v>
                </c:pt>
                <c:pt idx="177">
                  <c:v>3.0095999999999998E-2</c:v>
                </c:pt>
                <c:pt idx="178">
                  <c:v>3.0234E-2</c:v>
                </c:pt>
                <c:pt idx="179">
                  <c:v>3.0373999999999998E-2</c:v>
                </c:pt>
                <c:pt idx="180">
                  <c:v>3.0539999999999998E-2</c:v>
                </c:pt>
                <c:pt idx="181">
                  <c:v>3.0679999999999999E-2</c:v>
                </c:pt>
                <c:pt idx="182">
                  <c:v>3.0817999999999998E-2</c:v>
                </c:pt>
                <c:pt idx="183">
                  <c:v>3.0956000000000001E-2</c:v>
                </c:pt>
                <c:pt idx="184">
                  <c:v>3.1095999999999999E-2</c:v>
                </c:pt>
                <c:pt idx="185">
                  <c:v>3.1234000000000001E-2</c:v>
                </c:pt>
                <c:pt idx="186">
                  <c:v>3.1345999999999999E-2</c:v>
                </c:pt>
                <c:pt idx="187">
                  <c:v>3.1486E-2</c:v>
                </c:pt>
                <c:pt idx="188">
                  <c:v>3.1623999999999999E-2</c:v>
                </c:pt>
                <c:pt idx="189">
                  <c:v>3.1733999999999998E-2</c:v>
                </c:pt>
                <c:pt idx="190">
                  <c:v>3.1874E-2</c:v>
                </c:pt>
                <c:pt idx="191">
                  <c:v>3.1983999999999999E-2</c:v>
                </c:pt>
                <c:pt idx="192">
                  <c:v>3.2124E-2</c:v>
                </c:pt>
                <c:pt idx="193">
                  <c:v>3.2236000000000001E-2</c:v>
                </c:pt>
                <c:pt idx="194">
                  <c:v>3.2346E-2</c:v>
                </c:pt>
                <c:pt idx="195">
                  <c:v>3.2483999999999999E-2</c:v>
                </c:pt>
                <c:pt idx="196">
                  <c:v>3.2593999999999998E-2</c:v>
                </c:pt>
                <c:pt idx="197">
                  <c:v>3.2736000000000001E-2</c:v>
                </c:pt>
                <c:pt idx="198">
                  <c:v>3.2875999999999996E-2</c:v>
                </c:pt>
                <c:pt idx="199">
                  <c:v>3.2986000000000001E-2</c:v>
                </c:pt>
                <c:pt idx="200">
                  <c:v>3.3124000000000001E-2</c:v>
                </c:pt>
                <c:pt idx="201">
                  <c:v>3.3262E-2</c:v>
                </c:pt>
                <c:pt idx="202">
                  <c:v>3.3402000000000001E-2</c:v>
                </c:pt>
                <c:pt idx="203">
                  <c:v>3.3537999999999998E-2</c:v>
                </c:pt>
                <c:pt idx="204">
                  <c:v>3.3680000000000002E-2</c:v>
                </c:pt>
                <c:pt idx="205">
                  <c:v>3.3792000000000003E-2</c:v>
                </c:pt>
                <c:pt idx="206">
                  <c:v>3.3928E-2</c:v>
                </c:pt>
                <c:pt idx="207">
                  <c:v>3.4040000000000001E-2</c:v>
                </c:pt>
                <c:pt idx="208">
                  <c:v>3.4178E-2</c:v>
                </c:pt>
                <c:pt idx="209">
                  <c:v>3.4290000000000001E-2</c:v>
                </c:pt>
                <c:pt idx="210">
                  <c:v>3.4430000000000002E-2</c:v>
                </c:pt>
                <c:pt idx="211">
                  <c:v>3.4568000000000002E-2</c:v>
                </c:pt>
                <c:pt idx="212">
                  <c:v>3.4706000000000001E-2</c:v>
                </c:pt>
                <c:pt idx="213">
                  <c:v>3.4817999999999995E-2</c:v>
                </c:pt>
                <c:pt idx="214">
                  <c:v>3.4956000000000001E-2</c:v>
                </c:pt>
                <c:pt idx="215">
                  <c:v>3.5094E-2</c:v>
                </c:pt>
                <c:pt idx="216">
                  <c:v>3.5236000000000003E-2</c:v>
                </c:pt>
                <c:pt idx="217">
                  <c:v>3.5373999999999996E-2</c:v>
                </c:pt>
                <c:pt idx="218">
                  <c:v>3.5512000000000002E-2</c:v>
                </c:pt>
                <c:pt idx="219">
                  <c:v>3.5651999999999996E-2</c:v>
                </c:pt>
                <c:pt idx="220">
                  <c:v>3.5790000000000002E-2</c:v>
                </c:pt>
                <c:pt idx="221">
                  <c:v>3.5901999999999996E-2</c:v>
                </c:pt>
                <c:pt idx="222">
                  <c:v>3.6040000000000003E-2</c:v>
                </c:pt>
                <c:pt idx="223">
                  <c:v>3.6152000000000004E-2</c:v>
                </c:pt>
                <c:pt idx="224">
                  <c:v>3.6290000000000003E-2</c:v>
                </c:pt>
                <c:pt idx="225">
                  <c:v>3.6402000000000004E-2</c:v>
                </c:pt>
                <c:pt idx="226">
                  <c:v>3.6539999999999996E-2</c:v>
                </c:pt>
                <c:pt idx="227">
                  <c:v>3.6651999999999997E-2</c:v>
                </c:pt>
                <c:pt idx="228">
                  <c:v>3.6762000000000003E-2</c:v>
                </c:pt>
                <c:pt idx="229">
                  <c:v>3.6901999999999997E-2</c:v>
                </c:pt>
                <c:pt idx="230">
                  <c:v>3.7012000000000003E-2</c:v>
                </c:pt>
                <c:pt idx="231">
                  <c:v>3.7124000000000004E-2</c:v>
                </c:pt>
                <c:pt idx="232">
                  <c:v>3.7233999999999996E-2</c:v>
                </c:pt>
                <c:pt idx="233">
                  <c:v>3.7345999999999997E-2</c:v>
                </c:pt>
                <c:pt idx="234">
                  <c:v>3.7457999999999998E-2</c:v>
                </c:pt>
                <c:pt idx="235">
                  <c:v>3.7595999999999997E-2</c:v>
                </c:pt>
                <c:pt idx="236">
                  <c:v>3.7707999999999998E-2</c:v>
                </c:pt>
                <c:pt idx="237">
                  <c:v>3.7817999999999997E-2</c:v>
                </c:pt>
                <c:pt idx="238">
                  <c:v>3.7957999999999999E-2</c:v>
                </c:pt>
                <c:pt idx="239">
                  <c:v>3.8095999999999998E-2</c:v>
                </c:pt>
                <c:pt idx="240">
                  <c:v>3.8235999999999999E-2</c:v>
                </c:pt>
                <c:pt idx="241">
                  <c:v>3.8373999999999998E-2</c:v>
                </c:pt>
                <c:pt idx="242">
                  <c:v>3.8511999999999998E-2</c:v>
                </c:pt>
                <c:pt idx="243">
                  <c:v>3.8650000000000004E-2</c:v>
                </c:pt>
                <c:pt idx="244">
                  <c:v>3.8789999999999998E-2</c:v>
                </c:pt>
                <c:pt idx="245">
                  <c:v>3.8927999999999997E-2</c:v>
                </c:pt>
                <c:pt idx="246">
                  <c:v>3.9039999999999998E-2</c:v>
                </c:pt>
                <c:pt idx="247">
                  <c:v>3.918E-2</c:v>
                </c:pt>
                <c:pt idx="248">
                  <c:v>3.9289999999999999E-2</c:v>
                </c:pt>
                <c:pt idx="249">
                  <c:v>3.9427999999999998E-2</c:v>
                </c:pt>
                <c:pt idx="250">
                  <c:v>3.9567999999999999E-2</c:v>
                </c:pt>
                <c:pt idx="251">
                  <c:v>3.968E-2</c:v>
                </c:pt>
                <c:pt idx="252">
                  <c:v>3.9817999999999999E-2</c:v>
                </c:pt>
                <c:pt idx="253">
                  <c:v>3.993E-2</c:v>
                </c:pt>
                <c:pt idx="254">
                  <c:v>4.0067999999999999E-2</c:v>
                </c:pt>
                <c:pt idx="255">
                  <c:v>4.018E-2</c:v>
                </c:pt>
                <c:pt idx="256">
                  <c:v>4.0292000000000001E-2</c:v>
                </c:pt>
                <c:pt idx="257">
                  <c:v>4.0401999999999993E-2</c:v>
                </c:pt>
                <c:pt idx="258">
                  <c:v>4.0511999999999999E-2</c:v>
                </c:pt>
                <c:pt idx="259">
                  <c:v>4.0624E-2</c:v>
                </c:pt>
                <c:pt idx="260">
                  <c:v>4.0708000000000001E-2</c:v>
                </c:pt>
                <c:pt idx="261">
                  <c:v>4.0818E-2</c:v>
                </c:pt>
                <c:pt idx="262">
                  <c:v>4.0930000000000001E-2</c:v>
                </c:pt>
                <c:pt idx="263">
                  <c:v>4.1012000000000007E-2</c:v>
                </c:pt>
                <c:pt idx="264">
                  <c:v>4.1093999999999999E-2</c:v>
                </c:pt>
                <c:pt idx="265">
                  <c:v>4.1180000000000001E-2</c:v>
                </c:pt>
                <c:pt idx="266">
                  <c:v>4.1264000000000002E-2</c:v>
                </c:pt>
                <c:pt idx="267">
                  <c:v>4.1374000000000001E-2</c:v>
                </c:pt>
                <c:pt idx="268">
                  <c:v>4.1458000000000002E-2</c:v>
                </c:pt>
                <c:pt idx="269">
                  <c:v>4.1542000000000003E-2</c:v>
                </c:pt>
                <c:pt idx="270">
                  <c:v>4.1622000000000006E-2</c:v>
                </c:pt>
                <c:pt idx="271">
                  <c:v>4.1734E-2</c:v>
                </c:pt>
                <c:pt idx="272">
                  <c:v>4.1818000000000001E-2</c:v>
                </c:pt>
                <c:pt idx="273">
                  <c:v>4.1900000000000007E-2</c:v>
                </c:pt>
                <c:pt idx="274">
                  <c:v>4.1985999999999996E-2</c:v>
                </c:pt>
                <c:pt idx="275">
                  <c:v>4.2068000000000001E-2</c:v>
                </c:pt>
                <c:pt idx="276">
                  <c:v>4.2152000000000002E-2</c:v>
                </c:pt>
                <c:pt idx="277">
                  <c:v>4.2234000000000001E-2</c:v>
                </c:pt>
                <c:pt idx="278">
                  <c:v>4.2317999999999995E-2</c:v>
                </c:pt>
                <c:pt idx="279">
                  <c:v>4.2428E-2</c:v>
                </c:pt>
                <c:pt idx="280">
                  <c:v>4.2512000000000001E-2</c:v>
                </c:pt>
                <c:pt idx="281">
                  <c:v>4.2595999999999995E-2</c:v>
                </c:pt>
                <c:pt idx="282">
                  <c:v>4.2708000000000003E-2</c:v>
                </c:pt>
                <c:pt idx="283">
                  <c:v>4.2790000000000002E-2</c:v>
                </c:pt>
                <c:pt idx="284">
                  <c:v>4.2873999999999995E-2</c:v>
                </c:pt>
                <c:pt idx="285">
                  <c:v>4.2986000000000003E-2</c:v>
                </c:pt>
                <c:pt idx="286">
                  <c:v>4.3070000000000004E-2</c:v>
                </c:pt>
                <c:pt idx="287">
                  <c:v>4.3178000000000001E-2</c:v>
                </c:pt>
                <c:pt idx="288">
                  <c:v>4.3262000000000002E-2</c:v>
                </c:pt>
                <c:pt idx="289">
                  <c:v>4.3346000000000003E-2</c:v>
                </c:pt>
                <c:pt idx="290">
                  <c:v>4.3429999999999996E-2</c:v>
                </c:pt>
                <c:pt idx="291">
                  <c:v>4.3513999999999997E-2</c:v>
                </c:pt>
                <c:pt idx="292">
                  <c:v>4.3596000000000003E-2</c:v>
                </c:pt>
                <c:pt idx="293">
                  <c:v>4.3678000000000002E-2</c:v>
                </c:pt>
                <c:pt idx="294">
                  <c:v>4.3761999999999995E-2</c:v>
                </c:pt>
                <c:pt idx="295">
                  <c:v>4.3848000000000005E-2</c:v>
                </c:pt>
                <c:pt idx="296">
                  <c:v>4.3929999999999997E-2</c:v>
                </c:pt>
                <c:pt idx="297">
                  <c:v>4.4013999999999998E-2</c:v>
                </c:pt>
                <c:pt idx="298">
                  <c:v>4.4096000000000003E-2</c:v>
                </c:pt>
                <c:pt idx="299">
                  <c:v>4.4177999999999995E-2</c:v>
                </c:pt>
                <c:pt idx="300">
                  <c:v>4.4261999999999996E-2</c:v>
                </c:pt>
                <c:pt idx="301">
                  <c:v>4.4345999999999997E-2</c:v>
                </c:pt>
                <c:pt idx="302">
                  <c:v>4.4429999999999997E-2</c:v>
                </c:pt>
                <c:pt idx="303">
                  <c:v>4.4512000000000003E-2</c:v>
                </c:pt>
                <c:pt idx="304">
                  <c:v>4.4595999999999997E-2</c:v>
                </c:pt>
                <c:pt idx="305">
                  <c:v>4.4679999999999997E-2</c:v>
                </c:pt>
                <c:pt idx="306">
                  <c:v>4.4790000000000003E-2</c:v>
                </c:pt>
                <c:pt idx="307">
                  <c:v>4.4901999999999997E-2</c:v>
                </c:pt>
                <c:pt idx="308">
                  <c:v>4.5011999999999996E-2</c:v>
                </c:pt>
                <c:pt idx="309">
                  <c:v>4.5124000000000004E-2</c:v>
                </c:pt>
                <c:pt idx="310">
                  <c:v>4.5233999999999996E-2</c:v>
                </c:pt>
                <c:pt idx="311">
                  <c:v>4.5346000000000004E-2</c:v>
                </c:pt>
                <c:pt idx="312">
                  <c:v>4.5456000000000003E-2</c:v>
                </c:pt>
                <c:pt idx="313">
                  <c:v>4.5567999999999997E-2</c:v>
                </c:pt>
                <c:pt idx="314">
                  <c:v>4.5678000000000003E-2</c:v>
                </c:pt>
                <c:pt idx="315">
                  <c:v>4.5789999999999997E-2</c:v>
                </c:pt>
                <c:pt idx="316">
                  <c:v>4.5902000000000005E-2</c:v>
                </c:pt>
                <c:pt idx="317">
                  <c:v>4.6013999999999999E-2</c:v>
                </c:pt>
                <c:pt idx="318">
                  <c:v>4.6123999999999998E-2</c:v>
                </c:pt>
                <c:pt idx="319">
                  <c:v>4.6207999999999999E-2</c:v>
                </c:pt>
                <c:pt idx="320">
                  <c:v>4.6317999999999998E-2</c:v>
                </c:pt>
                <c:pt idx="321">
                  <c:v>4.6429999999999999E-2</c:v>
                </c:pt>
                <c:pt idx="322">
                  <c:v>4.6539999999999998E-2</c:v>
                </c:pt>
                <c:pt idx="323">
                  <c:v>4.6623999999999999E-2</c:v>
                </c:pt>
                <c:pt idx="324">
                  <c:v>4.6736000000000007E-2</c:v>
                </c:pt>
                <c:pt idx="325">
                  <c:v>4.6848000000000001E-2</c:v>
                </c:pt>
                <c:pt idx="326">
                  <c:v>4.6958E-2</c:v>
                </c:pt>
                <c:pt idx="327">
                  <c:v>4.7039999999999998E-2</c:v>
                </c:pt>
                <c:pt idx="328">
                  <c:v>4.7151999999999999E-2</c:v>
                </c:pt>
                <c:pt idx="329">
                  <c:v>4.7264E-2</c:v>
                </c:pt>
                <c:pt idx="330">
                  <c:v>4.7373999999999999E-2</c:v>
                </c:pt>
                <c:pt idx="331">
                  <c:v>4.7483999999999998E-2</c:v>
                </c:pt>
                <c:pt idx="332">
                  <c:v>4.7595999999999999E-2</c:v>
                </c:pt>
                <c:pt idx="333">
                  <c:v>4.7708E-2</c:v>
                </c:pt>
                <c:pt idx="334">
                  <c:v>4.7815999999999997E-2</c:v>
                </c:pt>
                <c:pt idx="335">
                  <c:v>4.7927999999999998E-2</c:v>
                </c:pt>
                <c:pt idx="336">
                  <c:v>4.8039999999999999E-2</c:v>
                </c:pt>
                <c:pt idx="337">
                  <c:v>4.8121999999999998E-2</c:v>
                </c:pt>
                <c:pt idx="338">
                  <c:v>4.8234000000000006E-2</c:v>
                </c:pt>
                <c:pt idx="339">
                  <c:v>4.8346E-2</c:v>
                </c:pt>
                <c:pt idx="340">
                  <c:v>4.8457999999999994E-2</c:v>
                </c:pt>
                <c:pt idx="341">
                  <c:v>4.854E-2</c:v>
                </c:pt>
                <c:pt idx="342">
                  <c:v>4.8652000000000001E-2</c:v>
                </c:pt>
                <c:pt idx="343">
                  <c:v>4.8734E-2</c:v>
                </c:pt>
                <c:pt idx="344">
                  <c:v>4.8844000000000005E-2</c:v>
                </c:pt>
                <c:pt idx="345">
                  <c:v>4.8986000000000002E-2</c:v>
                </c:pt>
                <c:pt idx="346">
                  <c:v>4.9124000000000001E-2</c:v>
                </c:pt>
                <c:pt idx="347">
                  <c:v>4.9236000000000002E-2</c:v>
                </c:pt>
                <c:pt idx="348">
                  <c:v>4.9371999999999999E-2</c:v>
                </c:pt>
                <c:pt idx="349">
                  <c:v>4.9512E-2</c:v>
                </c:pt>
                <c:pt idx="350">
                  <c:v>4.9623999999999995E-2</c:v>
                </c:pt>
                <c:pt idx="351">
                  <c:v>4.9762000000000001E-2</c:v>
                </c:pt>
                <c:pt idx="352">
                  <c:v>4.9901999999999995E-2</c:v>
                </c:pt>
                <c:pt idx="353">
                  <c:v>5.0014000000000003E-2</c:v>
                </c:pt>
                <c:pt idx="354">
                  <c:v>5.0122E-2</c:v>
                </c:pt>
                <c:pt idx="355">
                  <c:v>5.0262000000000001E-2</c:v>
                </c:pt>
                <c:pt idx="356">
                  <c:v>5.0374000000000002E-2</c:v>
                </c:pt>
                <c:pt idx="357">
                  <c:v>5.0484000000000001E-2</c:v>
                </c:pt>
                <c:pt idx="358">
                  <c:v>5.0595999999999995E-2</c:v>
                </c:pt>
                <c:pt idx="359">
                  <c:v>5.0708000000000003E-2</c:v>
                </c:pt>
                <c:pt idx="360">
                  <c:v>5.0846000000000002E-2</c:v>
                </c:pt>
                <c:pt idx="361">
                  <c:v>5.0957999999999996E-2</c:v>
                </c:pt>
                <c:pt idx="362">
                  <c:v>5.1067999999999995E-2</c:v>
                </c:pt>
                <c:pt idx="363">
                  <c:v>5.1180000000000003E-2</c:v>
                </c:pt>
                <c:pt idx="364">
                  <c:v>5.1291999999999997E-2</c:v>
                </c:pt>
                <c:pt idx="365">
                  <c:v>5.1403999999999998E-2</c:v>
                </c:pt>
                <c:pt idx="366">
                  <c:v>5.1513999999999997E-2</c:v>
                </c:pt>
                <c:pt idx="367">
                  <c:v>5.1622000000000001E-2</c:v>
                </c:pt>
                <c:pt idx="368">
                  <c:v>5.1734000000000002E-2</c:v>
                </c:pt>
                <c:pt idx="369">
                  <c:v>5.1844000000000001E-2</c:v>
                </c:pt>
                <c:pt idx="370">
                  <c:v>5.1955999999999995E-2</c:v>
                </c:pt>
                <c:pt idx="371">
                  <c:v>5.2068000000000003E-2</c:v>
                </c:pt>
                <c:pt idx="372">
                  <c:v>5.2179999999999997E-2</c:v>
                </c:pt>
                <c:pt idx="373">
                  <c:v>5.2291999999999998E-2</c:v>
                </c:pt>
                <c:pt idx="374">
                  <c:v>5.2401999999999997E-2</c:v>
                </c:pt>
                <c:pt idx="375">
                  <c:v>5.2511999999999996E-2</c:v>
                </c:pt>
                <c:pt idx="376">
                  <c:v>5.2649999999999995E-2</c:v>
                </c:pt>
                <c:pt idx="377">
                  <c:v>5.2789999999999997E-2</c:v>
                </c:pt>
                <c:pt idx="378">
                  <c:v>5.2930000000000005E-2</c:v>
                </c:pt>
                <c:pt idx="379">
                  <c:v>5.3067999999999997E-2</c:v>
                </c:pt>
                <c:pt idx="380">
                  <c:v>5.3205999999999996E-2</c:v>
                </c:pt>
                <c:pt idx="381">
                  <c:v>5.3345999999999998E-2</c:v>
                </c:pt>
                <c:pt idx="382">
                  <c:v>5.3483999999999997E-2</c:v>
                </c:pt>
                <c:pt idx="383">
                  <c:v>5.3623999999999998E-2</c:v>
                </c:pt>
                <c:pt idx="384">
                  <c:v>5.3764000000000006E-2</c:v>
                </c:pt>
                <c:pt idx="385">
                  <c:v>5.3901999999999999E-2</c:v>
                </c:pt>
                <c:pt idx="386">
                  <c:v>5.4039999999999998E-2</c:v>
                </c:pt>
                <c:pt idx="387">
                  <c:v>5.4179999999999999E-2</c:v>
                </c:pt>
                <c:pt idx="388">
                  <c:v>5.4317999999999998E-2</c:v>
                </c:pt>
                <c:pt idx="389">
                  <c:v>5.4457999999999999E-2</c:v>
                </c:pt>
                <c:pt idx="390">
                  <c:v>5.4595999999999999E-2</c:v>
                </c:pt>
                <c:pt idx="391">
                  <c:v>5.4733999999999998E-2</c:v>
                </c:pt>
                <c:pt idx="392">
                  <c:v>5.4873999999999999E-2</c:v>
                </c:pt>
                <c:pt idx="393">
                  <c:v>5.5014E-2</c:v>
                </c:pt>
                <c:pt idx="394">
                  <c:v>5.5152E-2</c:v>
                </c:pt>
                <c:pt idx="395">
                  <c:v>5.5292000000000001E-2</c:v>
                </c:pt>
                <c:pt idx="396">
                  <c:v>5.543E-2</c:v>
                </c:pt>
                <c:pt idx="397">
                  <c:v>5.5566000000000004E-2</c:v>
                </c:pt>
                <c:pt idx="398">
                  <c:v>5.5705999999999999E-2</c:v>
                </c:pt>
                <c:pt idx="399">
                  <c:v>5.5846E-2</c:v>
                </c:pt>
                <c:pt idx="400">
                  <c:v>5.6012000000000006E-2</c:v>
                </c:pt>
                <c:pt idx="401">
                  <c:v>5.6152000000000001E-2</c:v>
                </c:pt>
                <c:pt idx="402">
                  <c:v>5.6287999999999998E-2</c:v>
                </c:pt>
                <c:pt idx="403">
                  <c:v>5.6458000000000001E-2</c:v>
                </c:pt>
                <c:pt idx="404">
                  <c:v>5.6624000000000001E-2</c:v>
                </c:pt>
                <c:pt idx="405">
                  <c:v>5.6764000000000002E-2</c:v>
                </c:pt>
                <c:pt idx="406">
                  <c:v>5.6929999999999994E-2</c:v>
                </c:pt>
                <c:pt idx="407">
                  <c:v>5.7093999999999999E-2</c:v>
                </c:pt>
                <c:pt idx="408">
                  <c:v>5.7234E-2</c:v>
                </c:pt>
                <c:pt idx="409">
                  <c:v>5.7401999999999995E-2</c:v>
                </c:pt>
                <c:pt idx="410">
                  <c:v>5.7568000000000001E-2</c:v>
                </c:pt>
                <c:pt idx="411">
                  <c:v>5.7733999999999994E-2</c:v>
                </c:pt>
                <c:pt idx="412">
                  <c:v>5.7901999999999995E-2</c:v>
                </c:pt>
                <c:pt idx="413">
                  <c:v>5.8040000000000001E-2</c:v>
                </c:pt>
                <c:pt idx="414">
                  <c:v>5.8179999999999996E-2</c:v>
                </c:pt>
                <c:pt idx="415">
                  <c:v>5.8318000000000002E-2</c:v>
                </c:pt>
                <c:pt idx="416">
                  <c:v>5.8457999999999996E-2</c:v>
                </c:pt>
                <c:pt idx="417">
                  <c:v>5.8596000000000002E-2</c:v>
                </c:pt>
                <c:pt idx="418">
                  <c:v>5.8735999999999997E-2</c:v>
                </c:pt>
                <c:pt idx="419">
                  <c:v>5.8902000000000003E-2</c:v>
                </c:pt>
                <c:pt idx="420">
                  <c:v>5.9067999999999996E-2</c:v>
                </c:pt>
                <c:pt idx="421">
                  <c:v>5.9236000000000004E-2</c:v>
                </c:pt>
                <c:pt idx="422">
                  <c:v>5.9400000000000001E-2</c:v>
                </c:pt>
                <c:pt idx="423">
                  <c:v>5.9568000000000003E-2</c:v>
                </c:pt>
                <c:pt idx="424">
                  <c:v>5.9733999999999995E-2</c:v>
                </c:pt>
                <c:pt idx="425">
                  <c:v>5.9901999999999997E-2</c:v>
                </c:pt>
                <c:pt idx="426">
                  <c:v>6.0068000000000003E-2</c:v>
                </c:pt>
                <c:pt idx="427">
                  <c:v>6.0233999999999996E-2</c:v>
                </c:pt>
                <c:pt idx="428">
                  <c:v>6.0373999999999997E-2</c:v>
                </c:pt>
                <c:pt idx="429">
                  <c:v>6.0540000000000004E-2</c:v>
                </c:pt>
                <c:pt idx="430">
                  <c:v>6.0708000000000005E-2</c:v>
                </c:pt>
                <c:pt idx="431">
                  <c:v>6.0873999999999998E-2</c:v>
                </c:pt>
                <c:pt idx="432">
                  <c:v>6.1040000000000004E-2</c:v>
                </c:pt>
                <c:pt idx="433">
                  <c:v>6.1207999999999999E-2</c:v>
                </c:pt>
                <c:pt idx="434">
                  <c:v>6.1374000000000005E-2</c:v>
                </c:pt>
                <c:pt idx="435">
                  <c:v>6.1513999999999999E-2</c:v>
                </c:pt>
                <c:pt idx="436">
                  <c:v>6.1677999999999997E-2</c:v>
                </c:pt>
                <c:pt idx="437">
                  <c:v>6.1845999999999998E-2</c:v>
                </c:pt>
                <c:pt idx="438">
                  <c:v>6.2011999999999998E-2</c:v>
                </c:pt>
                <c:pt idx="439">
                  <c:v>6.2179999999999999E-2</c:v>
                </c:pt>
                <c:pt idx="440">
                  <c:v>6.2346000000000006E-2</c:v>
                </c:pt>
                <c:pt idx="441">
                  <c:v>6.2511999999999998E-2</c:v>
                </c:pt>
                <c:pt idx="442">
                  <c:v>6.2677999999999998E-2</c:v>
                </c:pt>
                <c:pt idx="443">
                  <c:v>6.2845999999999999E-2</c:v>
                </c:pt>
                <c:pt idx="444">
                  <c:v>6.3011999999999999E-2</c:v>
                </c:pt>
                <c:pt idx="445">
                  <c:v>6.3177999999999998E-2</c:v>
                </c:pt>
                <c:pt idx="446">
                  <c:v>6.3346E-2</c:v>
                </c:pt>
                <c:pt idx="447">
                  <c:v>6.3511999999999999E-2</c:v>
                </c:pt>
                <c:pt idx="448">
                  <c:v>6.368E-2</c:v>
                </c:pt>
                <c:pt idx="449">
                  <c:v>6.3846E-2</c:v>
                </c:pt>
                <c:pt idx="450">
                  <c:v>6.4011999999999999E-2</c:v>
                </c:pt>
                <c:pt idx="451">
                  <c:v>6.4208000000000001E-2</c:v>
                </c:pt>
                <c:pt idx="452">
                  <c:v>6.4374000000000001E-2</c:v>
                </c:pt>
                <c:pt idx="453">
                  <c:v>6.454E-2</c:v>
                </c:pt>
                <c:pt idx="454">
                  <c:v>6.4706E-2</c:v>
                </c:pt>
                <c:pt idx="455">
                  <c:v>6.4902000000000001E-2</c:v>
                </c:pt>
                <c:pt idx="456">
                  <c:v>6.5068000000000001E-2</c:v>
                </c:pt>
                <c:pt idx="457">
                  <c:v>6.5236000000000002E-2</c:v>
                </c:pt>
                <c:pt idx="458">
                  <c:v>6.5402000000000002E-2</c:v>
                </c:pt>
                <c:pt idx="459">
                  <c:v>6.5568000000000001E-2</c:v>
                </c:pt>
                <c:pt idx="460">
                  <c:v>6.5734000000000001E-2</c:v>
                </c:pt>
                <c:pt idx="461">
                  <c:v>6.5902000000000002E-2</c:v>
                </c:pt>
                <c:pt idx="462">
                  <c:v>6.6070000000000004E-2</c:v>
                </c:pt>
                <c:pt idx="463">
                  <c:v>6.6262000000000001E-2</c:v>
                </c:pt>
                <c:pt idx="464">
                  <c:v>6.6428000000000001E-2</c:v>
                </c:pt>
                <c:pt idx="465">
                  <c:v>6.6622000000000001E-2</c:v>
                </c:pt>
                <c:pt idx="466">
                  <c:v>6.6818000000000002E-2</c:v>
                </c:pt>
                <c:pt idx="467">
                  <c:v>6.7012000000000002E-2</c:v>
                </c:pt>
                <c:pt idx="468">
                  <c:v>6.7206000000000002E-2</c:v>
                </c:pt>
                <c:pt idx="469">
                  <c:v>6.7402000000000004E-2</c:v>
                </c:pt>
                <c:pt idx="470">
                  <c:v>6.7596000000000003E-2</c:v>
                </c:pt>
                <c:pt idx="471">
                  <c:v>6.7790000000000003E-2</c:v>
                </c:pt>
                <c:pt idx="472">
                  <c:v>6.7956000000000003E-2</c:v>
                </c:pt>
                <c:pt idx="473">
                  <c:v>6.8152000000000004E-2</c:v>
                </c:pt>
                <c:pt idx="474">
                  <c:v>6.8319999999999992E-2</c:v>
                </c:pt>
                <c:pt idx="475">
                  <c:v>6.8514000000000005E-2</c:v>
                </c:pt>
                <c:pt idx="476">
                  <c:v>6.8705999999999989E-2</c:v>
                </c:pt>
                <c:pt idx="477">
                  <c:v>6.8900000000000003E-2</c:v>
                </c:pt>
                <c:pt idx="478">
                  <c:v>6.9096000000000005E-2</c:v>
                </c:pt>
                <c:pt idx="479">
                  <c:v>6.9290000000000004E-2</c:v>
                </c:pt>
                <c:pt idx="480">
                  <c:v>6.9484000000000004E-2</c:v>
                </c:pt>
                <c:pt idx="481">
                  <c:v>6.9680000000000006E-2</c:v>
                </c:pt>
                <c:pt idx="482">
                  <c:v>6.9874000000000006E-2</c:v>
                </c:pt>
                <c:pt idx="483">
                  <c:v>7.0068000000000005E-2</c:v>
                </c:pt>
                <c:pt idx="484">
                  <c:v>7.0262000000000005E-2</c:v>
                </c:pt>
                <c:pt idx="485">
                  <c:v>7.0456000000000005E-2</c:v>
                </c:pt>
                <c:pt idx="486">
                  <c:v>7.0651999999999993E-2</c:v>
                </c:pt>
                <c:pt idx="487">
                  <c:v>7.0846000000000006E-2</c:v>
                </c:pt>
                <c:pt idx="488">
                  <c:v>7.1040000000000006E-2</c:v>
                </c:pt>
                <c:pt idx="489">
                  <c:v>7.1261999999999992E-2</c:v>
                </c:pt>
                <c:pt idx="490">
                  <c:v>7.1458000000000008E-2</c:v>
                </c:pt>
                <c:pt idx="491">
                  <c:v>7.1651999999999993E-2</c:v>
                </c:pt>
                <c:pt idx="492">
                  <c:v>7.1845999999999993E-2</c:v>
                </c:pt>
                <c:pt idx="493">
                  <c:v>7.2041999999999995E-2</c:v>
                </c:pt>
                <c:pt idx="494">
                  <c:v>7.2236000000000009E-2</c:v>
                </c:pt>
                <c:pt idx="495">
                  <c:v>7.2427999999999992E-2</c:v>
                </c:pt>
                <c:pt idx="496">
                  <c:v>7.2622000000000006E-2</c:v>
                </c:pt>
                <c:pt idx="497">
                  <c:v>7.2817999999999994E-2</c:v>
                </c:pt>
                <c:pt idx="498">
                  <c:v>7.3040000000000008E-2</c:v>
                </c:pt>
                <c:pt idx="499">
                  <c:v>7.3261999999999994E-2</c:v>
                </c:pt>
                <c:pt idx="500">
                  <c:v>7.3485999999999996E-2</c:v>
                </c:pt>
                <c:pt idx="501">
                  <c:v>7.3707999999999996E-2</c:v>
                </c:pt>
                <c:pt idx="502">
                  <c:v>7.3929999999999996E-2</c:v>
                </c:pt>
                <c:pt idx="503">
                  <c:v>7.4149999999999994E-2</c:v>
                </c:pt>
                <c:pt idx="504">
                  <c:v>7.4373999999999996E-2</c:v>
                </c:pt>
                <c:pt idx="505">
                  <c:v>7.4595999999999996E-2</c:v>
                </c:pt>
                <c:pt idx="506">
                  <c:v>7.4787999999999993E-2</c:v>
                </c:pt>
                <c:pt idx="507">
                  <c:v>7.5011999999999995E-2</c:v>
                </c:pt>
                <c:pt idx="508">
                  <c:v>7.5235999999999997E-2</c:v>
                </c:pt>
                <c:pt idx="509">
                  <c:v>7.5457999999999997E-2</c:v>
                </c:pt>
                <c:pt idx="510">
                  <c:v>7.5679999999999997E-2</c:v>
                </c:pt>
                <c:pt idx="511">
                  <c:v>7.5901999999999997E-2</c:v>
                </c:pt>
                <c:pt idx="512">
                  <c:v>7.6123999999999997E-2</c:v>
                </c:pt>
                <c:pt idx="513">
                  <c:v>7.6344000000000009E-2</c:v>
                </c:pt>
                <c:pt idx="514">
                  <c:v>7.6567999999999997E-2</c:v>
                </c:pt>
                <c:pt idx="515">
                  <c:v>7.6789999999999997E-2</c:v>
                </c:pt>
                <c:pt idx="516">
                  <c:v>7.7039999999999997E-2</c:v>
                </c:pt>
                <c:pt idx="517">
                  <c:v>7.7289999999999998E-2</c:v>
                </c:pt>
                <c:pt idx="518">
                  <c:v>7.7542E-2</c:v>
                </c:pt>
                <c:pt idx="519">
                  <c:v>7.7789999999999998E-2</c:v>
                </c:pt>
                <c:pt idx="520">
                  <c:v>7.8039999999999998E-2</c:v>
                </c:pt>
                <c:pt idx="521">
                  <c:v>7.8289999999999998E-2</c:v>
                </c:pt>
                <c:pt idx="522">
                  <c:v>7.8511999999999998E-2</c:v>
                </c:pt>
                <c:pt idx="523">
                  <c:v>7.8761999999999999E-2</c:v>
                </c:pt>
                <c:pt idx="524">
                  <c:v>7.9011999999999999E-2</c:v>
                </c:pt>
                <c:pt idx="525">
                  <c:v>7.9261999999999999E-2</c:v>
                </c:pt>
                <c:pt idx="526">
                  <c:v>7.9511999999999999E-2</c:v>
                </c:pt>
                <c:pt idx="527">
                  <c:v>7.9762E-2</c:v>
                </c:pt>
                <c:pt idx="528">
                  <c:v>8.0014000000000002E-2</c:v>
                </c:pt>
                <c:pt idx="529">
                  <c:v>8.0262E-2</c:v>
                </c:pt>
                <c:pt idx="530">
                  <c:v>8.0512E-2</c:v>
                </c:pt>
                <c:pt idx="531">
                  <c:v>8.0764000000000002E-2</c:v>
                </c:pt>
                <c:pt idx="532">
                  <c:v>8.1012000000000001E-2</c:v>
                </c:pt>
                <c:pt idx="533">
                  <c:v>8.1264000000000003E-2</c:v>
                </c:pt>
                <c:pt idx="534">
                  <c:v>8.1511999999999987E-2</c:v>
                </c:pt>
                <c:pt idx="535">
                  <c:v>8.1762000000000001E-2</c:v>
                </c:pt>
                <c:pt idx="536">
                  <c:v>8.2012000000000002E-2</c:v>
                </c:pt>
                <c:pt idx="537">
                  <c:v>8.2264000000000004E-2</c:v>
                </c:pt>
                <c:pt idx="538">
                  <c:v>8.2512000000000002E-2</c:v>
                </c:pt>
                <c:pt idx="539">
                  <c:v>8.2761999999999988E-2</c:v>
                </c:pt>
                <c:pt idx="540">
                  <c:v>8.3013999999999991E-2</c:v>
                </c:pt>
                <c:pt idx="541">
                  <c:v>8.3262000000000003E-2</c:v>
                </c:pt>
                <c:pt idx="542">
                  <c:v>8.3512000000000003E-2</c:v>
                </c:pt>
                <c:pt idx="543">
                  <c:v>8.3762000000000003E-2</c:v>
                </c:pt>
                <c:pt idx="544">
                  <c:v>8.4011999999999989E-2</c:v>
                </c:pt>
                <c:pt idx="545">
                  <c:v>8.4262000000000004E-2</c:v>
                </c:pt>
                <c:pt idx="546">
                  <c:v>8.4540000000000004E-2</c:v>
                </c:pt>
                <c:pt idx="547">
                  <c:v>8.4818000000000005E-2</c:v>
                </c:pt>
                <c:pt idx="548">
                  <c:v>8.5096000000000005E-2</c:v>
                </c:pt>
                <c:pt idx="549">
                  <c:v>8.5374000000000005E-2</c:v>
                </c:pt>
                <c:pt idx="550">
                  <c:v>8.5648000000000002E-2</c:v>
                </c:pt>
                <c:pt idx="551">
                  <c:v>8.5930000000000006E-2</c:v>
                </c:pt>
                <c:pt idx="552">
                  <c:v>8.6207999999999993E-2</c:v>
                </c:pt>
                <c:pt idx="553">
                  <c:v>8.6484000000000005E-2</c:v>
                </c:pt>
                <c:pt idx="554">
                  <c:v>8.6763999999999994E-2</c:v>
                </c:pt>
                <c:pt idx="555">
                  <c:v>8.7040000000000006E-2</c:v>
                </c:pt>
                <c:pt idx="556">
                  <c:v>8.7317999999999993E-2</c:v>
                </c:pt>
                <c:pt idx="557">
                  <c:v>8.7596000000000007E-2</c:v>
                </c:pt>
                <c:pt idx="558">
                  <c:v>8.7902000000000008E-2</c:v>
                </c:pt>
                <c:pt idx="559">
                  <c:v>8.8179999999999994E-2</c:v>
                </c:pt>
                <c:pt idx="560">
                  <c:v>8.8485999999999995E-2</c:v>
                </c:pt>
                <c:pt idx="561">
                  <c:v>8.8789999999999994E-2</c:v>
                </c:pt>
                <c:pt idx="562">
                  <c:v>8.9095999999999995E-2</c:v>
                </c:pt>
                <c:pt idx="563">
                  <c:v>8.9399999999999993E-2</c:v>
                </c:pt>
                <c:pt idx="564">
                  <c:v>8.970800000000001E-2</c:v>
                </c:pt>
                <c:pt idx="565">
                  <c:v>9.0012000000000009E-2</c:v>
                </c:pt>
                <c:pt idx="566">
                  <c:v>9.0315999999999994E-2</c:v>
                </c:pt>
                <c:pt idx="567">
                  <c:v>9.0623999999999996E-2</c:v>
                </c:pt>
                <c:pt idx="568">
                  <c:v>9.0928000000000009E-2</c:v>
                </c:pt>
                <c:pt idx="569">
                  <c:v>9.1233999999999996E-2</c:v>
                </c:pt>
                <c:pt idx="570">
                  <c:v>9.1539999999999996E-2</c:v>
                </c:pt>
                <c:pt idx="571">
                  <c:v>9.1843999999999995E-2</c:v>
                </c:pt>
                <c:pt idx="572">
                  <c:v>9.2149999999999996E-2</c:v>
                </c:pt>
                <c:pt idx="573">
                  <c:v>9.2455999999999997E-2</c:v>
                </c:pt>
                <c:pt idx="574">
                  <c:v>9.2761999999999997E-2</c:v>
                </c:pt>
                <c:pt idx="575">
                  <c:v>9.3095999999999998E-2</c:v>
                </c:pt>
                <c:pt idx="576">
                  <c:v>9.3429999999999999E-2</c:v>
                </c:pt>
                <c:pt idx="577">
                  <c:v>9.3764E-2</c:v>
                </c:pt>
                <c:pt idx="578">
                  <c:v>9.4095999999999999E-2</c:v>
                </c:pt>
                <c:pt idx="579">
                  <c:v>9.443E-2</c:v>
                </c:pt>
                <c:pt idx="580">
                  <c:v>9.4761999999999999E-2</c:v>
                </c:pt>
                <c:pt idx="581">
                  <c:v>9.5096000000000014E-2</c:v>
                </c:pt>
                <c:pt idx="582">
                  <c:v>9.5429999999999987E-2</c:v>
                </c:pt>
                <c:pt idx="583">
                  <c:v>9.5762E-2</c:v>
                </c:pt>
                <c:pt idx="584">
                  <c:v>9.6096000000000001E-2</c:v>
                </c:pt>
                <c:pt idx="585">
                  <c:v>9.6457999999999988E-2</c:v>
                </c:pt>
                <c:pt idx="586">
                  <c:v>9.6815999999999999E-2</c:v>
                </c:pt>
                <c:pt idx="587">
                  <c:v>9.7180000000000002E-2</c:v>
                </c:pt>
                <c:pt idx="588">
                  <c:v>9.7540000000000002E-2</c:v>
                </c:pt>
                <c:pt idx="589">
                  <c:v>9.7902000000000003E-2</c:v>
                </c:pt>
                <c:pt idx="590">
                  <c:v>9.8262000000000002E-2</c:v>
                </c:pt>
                <c:pt idx="591">
                  <c:v>9.8623999999999989E-2</c:v>
                </c:pt>
                <c:pt idx="592">
                  <c:v>9.8984000000000003E-2</c:v>
                </c:pt>
                <c:pt idx="593">
                  <c:v>9.934599999999999E-2</c:v>
                </c:pt>
                <c:pt idx="594">
                  <c:v>9.9708000000000005E-2</c:v>
                </c:pt>
                <c:pt idx="595">
                  <c:v>0.100068</c:v>
                </c:pt>
                <c:pt idx="596">
                  <c:v>0.100428</c:v>
                </c:pt>
                <c:pt idx="597">
                  <c:v>0.10079200000000001</c:v>
                </c:pt>
                <c:pt idx="598">
                  <c:v>0.10115</c:v>
                </c:pt>
                <c:pt idx="599">
                  <c:v>0.10154199999999999</c:v>
                </c:pt>
                <c:pt idx="600">
                  <c:v>0.101928</c:v>
                </c:pt>
                <c:pt idx="601">
                  <c:v>0.10231799999999999</c:v>
                </c:pt>
                <c:pt idx="602">
                  <c:v>0.10268000000000001</c:v>
                </c:pt>
                <c:pt idx="603">
                  <c:v>0.10307000000000001</c:v>
                </c:pt>
                <c:pt idx="604">
                  <c:v>0.10345800000000001</c:v>
                </c:pt>
                <c:pt idx="605">
                  <c:v>0.10384600000000001</c:v>
                </c:pt>
                <c:pt idx="606">
                  <c:v>0.10423400000000001</c:v>
                </c:pt>
                <c:pt idx="607">
                  <c:v>0.104626</c:v>
                </c:pt>
                <c:pt idx="608">
                  <c:v>0.10503999999999999</c:v>
                </c:pt>
                <c:pt idx="609">
                  <c:v>0.105458</c:v>
                </c:pt>
                <c:pt idx="610">
                  <c:v>0.10587400000000001</c:v>
                </c:pt>
                <c:pt idx="611">
                  <c:v>0.106318</c:v>
                </c:pt>
                <c:pt idx="612">
                  <c:v>0.106762</c:v>
                </c:pt>
                <c:pt idx="613">
                  <c:v>0.10718</c:v>
                </c:pt>
                <c:pt idx="614">
                  <c:v>0.107624</c:v>
                </c:pt>
                <c:pt idx="615">
                  <c:v>0.10806800000000001</c:v>
                </c:pt>
                <c:pt idx="616">
                  <c:v>0.108512</c:v>
                </c:pt>
                <c:pt idx="617">
                  <c:v>0.108958</c:v>
                </c:pt>
                <c:pt idx="618">
                  <c:v>0.1094</c:v>
                </c:pt>
                <c:pt idx="619">
                  <c:v>0.10984400000000001</c:v>
                </c:pt>
                <c:pt idx="620">
                  <c:v>0.11029</c:v>
                </c:pt>
                <c:pt idx="621">
                  <c:v>0.110736</c:v>
                </c:pt>
                <c:pt idx="622">
                  <c:v>0.11117800000000001</c:v>
                </c:pt>
                <c:pt idx="623">
                  <c:v>0.111624</c:v>
                </c:pt>
                <c:pt idx="624">
                  <c:v>0.11207</c:v>
                </c:pt>
                <c:pt idx="625">
                  <c:v>0.112512</c:v>
                </c:pt>
                <c:pt idx="626">
                  <c:v>0.112986</c:v>
                </c:pt>
                <c:pt idx="627">
                  <c:v>0.11345599999999999</c:v>
                </c:pt>
                <c:pt idx="628">
                  <c:v>0.11393</c:v>
                </c:pt>
                <c:pt idx="629">
                  <c:v>0.114402</c:v>
                </c:pt>
                <c:pt idx="630">
                  <c:v>0.114902</c:v>
                </c:pt>
                <c:pt idx="631">
                  <c:v>0.115402</c:v>
                </c:pt>
                <c:pt idx="632">
                  <c:v>0.11590199999999999</c:v>
                </c:pt>
                <c:pt idx="633">
                  <c:v>0.1164</c:v>
                </c:pt>
                <c:pt idx="634">
                  <c:v>0.11692999999999999</c:v>
                </c:pt>
                <c:pt idx="635">
                  <c:v>0.11745799999999999</c:v>
                </c:pt>
                <c:pt idx="636">
                  <c:v>0.11798600000000001</c:v>
                </c:pt>
                <c:pt idx="637">
                  <c:v>0.11851399999999999</c:v>
                </c:pt>
                <c:pt idx="638">
                  <c:v>0.11906800000000001</c:v>
                </c:pt>
                <c:pt idx="639">
                  <c:v>0.11962400000000001</c:v>
                </c:pt>
                <c:pt idx="640">
                  <c:v>0.12017799999999999</c:v>
                </c:pt>
                <c:pt idx="641">
                  <c:v>0.120764</c:v>
                </c:pt>
                <c:pt idx="642">
                  <c:v>0.121318</c:v>
                </c:pt>
                <c:pt idx="643">
                  <c:v>0.12190200000000001</c:v>
                </c:pt>
                <c:pt idx="644">
                  <c:v>0.122484</c:v>
                </c:pt>
                <c:pt idx="645">
                  <c:v>0.123096</c:v>
                </c:pt>
                <c:pt idx="646">
                  <c:v>0.123736</c:v>
                </c:pt>
                <c:pt idx="647">
                  <c:v>0.12454000000000001</c:v>
                </c:pt>
              </c:numCache>
            </c:numRef>
          </c:cat>
          <c:val>
            <c:numRef>
              <c:f>'A12-4'!$F$2:$F$649</c:f>
              <c:numCache>
                <c:formatCode>0.00</c:formatCode>
                <c:ptCount val="648"/>
                <c:pt idx="0">
                  <c:v>0</c:v>
                </c:pt>
                <c:pt idx="1">
                  <c:v>0.21687783887162324</c:v>
                </c:pt>
                <c:pt idx="2">
                  <c:v>0.21687783887162324</c:v>
                </c:pt>
                <c:pt idx="3">
                  <c:v>0.21687783887162324</c:v>
                </c:pt>
                <c:pt idx="4">
                  <c:v>0.21687783887162324</c:v>
                </c:pt>
                <c:pt idx="5">
                  <c:v>0.21687783887162324</c:v>
                </c:pt>
                <c:pt idx="6">
                  <c:v>0.21687783887162324</c:v>
                </c:pt>
                <c:pt idx="7">
                  <c:v>0.21687783887162324</c:v>
                </c:pt>
                <c:pt idx="8">
                  <c:v>0.21687783887162324</c:v>
                </c:pt>
                <c:pt idx="9">
                  <c:v>0.21687783887162324</c:v>
                </c:pt>
                <c:pt idx="10">
                  <c:v>0.21687783887162324</c:v>
                </c:pt>
                <c:pt idx="11">
                  <c:v>0.22229978484341384</c:v>
                </c:pt>
                <c:pt idx="12">
                  <c:v>0.22229978484341384</c:v>
                </c:pt>
                <c:pt idx="13">
                  <c:v>0.22229978484341384</c:v>
                </c:pt>
                <c:pt idx="14">
                  <c:v>0.22229978484341384</c:v>
                </c:pt>
                <c:pt idx="15">
                  <c:v>0.22229978484341384</c:v>
                </c:pt>
                <c:pt idx="16">
                  <c:v>0.22229978484341384</c:v>
                </c:pt>
                <c:pt idx="17">
                  <c:v>0.22229978484341384</c:v>
                </c:pt>
                <c:pt idx="18">
                  <c:v>0.22229978484341384</c:v>
                </c:pt>
                <c:pt idx="19">
                  <c:v>0.22229978484341384</c:v>
                </c:pt>
                <c:pt idx="20">
                  <c:v>0.22229978484341384</c:v>
                </c:pt>
                <c:pt idx="21">
                  <c:v>0.22229978484341384</c:v>
                </c:pt>
                <c:pt idx="22">
                  <c:v>0.22229978484341384</c:v>
                </c:pt>
                <c:pt idx="23">
                  <c:v>0.22229978484341384</c:v>
                </c:pt>
                <c:pt idx="24">
                  <c:v>0.22229978484341384</c:v>
                </c:pt>
                <c:pt idx="25">
                  <c:v>0.22229978484341384</c:v>
                </c:pt>
                <c:pt idx="26">
                  <c:v>0.22229978484341384</c:v>
                </c:pt>
                <c:pt idx="27">
                  <c:v>0.22772173081520442</c:v>
                </c:pt>
                <c:pt idx="28">
                  <c:v>0.22772173081520442</c:v>
                </c:pt>
                <c:pt idx="29">
                  <c:v>0.22772173081520442</c:v>
                </c:pt>
                <c:pt idx="30">
                  <c:v>0.22772173081520442</c:v>
                </c:pt>
                <c:pt idx="31">
                  <c:v>0.22772173081520442</c:v>
                </c:pt>
                <c:pt idx="32">
                  <c:v>0.22772173081520442</c:v>
                </c:pt>
                <c:pt idx="33">
                  <c:v>0.22772173081520442</c:v>
                </c:pt>
                <c:pt idx="34">
                  <c:v>0.23314048928201453</c:v>
                </c:pt>
                <c:pt idx="35">
                  <c:v>0.23314048928201453</c:v>
                </c:pt>
                <c:pt idx="36">
                  <c:v>0.23314048928201453</c:v>
                </c:pt>
                <c:pt idx="37">
                  <c:v>0.23314048928201453</c:v>
                </c:pt>
                <c:pt idx="38">
                  <c:v>0.23314048928201453</c:v>
                </c:pt>
                <c:pt idx="39">
                  <c:v>0.23856243525380511</c:v>
                </c:pt>
                <c:pt idx="40">
                  <c:v>0.24398438122559568</c:v>
                </c:pt>
                <c:pt idx="41">
                  <c:v>0.24398438122559568</c:v>
                </c:pt>
                <c:pt idx="42">
                  <c:v>0.24940632719738623</c:v>
                </c:pt>
                <c:pt idx="43">
                  <c:v>0.25482827316917683</c:v>
                </c:pt>
                <c:pt idx="44">
                  <c:v>0.26567216511275799</c:v>
                </c:pt>
                <c:pt idx="45">
                  <c:v>0.28193800302812977</c:v>
                </c:pt>
                <c:pt idx="46">
                  <c:v>0.26567216511275799</c:v>
                </c:pt>
                <c:pt idx="47">
                  <c:v>0.26025021914096741</c:v>
                </c:pt>
                <c:pt idx="48">
                  <c:v>0.26025021914096741</c:v>
                </c:pt>
                <c:pt idx="49">
                  <c:v>0.27109411108454856</c:v>
                </c:pt>
                <c:pt idx="50">
                  <c:v>0.26025021914096741</c:v>
                </c:pt>
                <c:pt idx="51">
                  <c:v>0.26025021914096741</c:v>
                </c:pt>
                <c:pt idx="52">
                  <c:v>0.27109411108454856</c:v>
                </c:pt>
                <c:pt idx="53">
                  <c:v>0.29278189497171092</c:v>
                </c:pt>
                <c:pt idx="54">
                  <c:v>0.31446967885887328</c:v>
                </c:pt>
                <c:pt idx="55">
                  <c:v>0.32531675830743484</c:v>
                </c:pt>
                <c:pt idx="56">
                  <c:v>0.32531675830743484</c:v>
                </c:pt>
                <c:pt idx="57">
                  <c:v>0.33073551677424495</c:v>
                </c:pt>
                <c:pt idx="58">
                  <c:v>0.33073551677424495</c:v>
                </c:pt>
                <c:pt idx="59">
                  <c:v>0.33073551677424495</c:v>
                </c:pt>
                <c:pt idx="60">
                  <c:v>0.33073551677424495</c:v>
                </c:pt>
                <c:pt idx="61">
                  <c:v>0.33073551677424495</c:v>
                </c:pt>
                <c:pt idx="62">
                  <c:v>0.33073551677424495</c:v>
                </c:pt>
                <c:pt idx="63">
                  <c:v>0.33073551677424495</c:v>
                </c:pt>
                <c:pt idx="64">
                  <c:v>0.33073551677424495</c:v>
                </c:pt>
                <c:pt idx="65">
                  <c:v>0.33073551677424495</c:v>
                </c:pt>
                <c:pt idx="66">
                  <c:v>0.33073551677424495</c:v>
                </c:pt>
                <c:pt idx="67">
                  <c:v>0.33073551677424495</c:v>
                </c:pt>
                <c:pt idx="68">
                  <c:v>0.33615427524105507</c:v>
                </c:pt>
                <c:pt idx="69">
                  <c:v>0.33615427524105507</c:v>
                </c:pt>
                <c:pt idx="70">
                  <c:v>0.33615427524105507</c:v>
                </c:pt>
                <c:pt idx="71">
                  <c:v>0.33615427524105507</c:v>
                </c:pt>
                <c:pt idx="72">
                  <c:v>0.3469917921746753</c:v>
                </c:pt>
                <c:pt idx="73">
                  <c:v>0.36869870109172048</c:v>
                </c:pt>
                <c:pt idx="74">
                  <c:v>0.39037373495896088</c:v>
                </c:pt>
                <c:pt idx="75">
                  <c:v>0.395792493425771</c:v>
                </c:pt>
                <c:pt idx="76">
                  <c:v>0.395792493425771</c:v>
                </c:pt>
                <c:pt idx="77">
                  <c:v>0.40121125189258111</c:v>
                </c:pt>
                <c:pt idx="78">
                  <c:v>0.40121125189258111</c:v>
                </c:pt>
                <c:pt idx="79">
                  <c:v>0.40121125189258111</c:v>
                </c:pt>
                <c:pt idx="80">
                  <c:v>0.40121125189258111</c:v>
                </c:pt>
                <c:pt idx="81">
                  <c:v>0.40121125189258111</c:v>
                </c:pt>
                <c:pt idx="82">
                  <c:v>0.40121125189258111</c:v>
                </c:pt>
                <c:pt idx="83">
                  <c:v>0.40121125189258111</c:v>
                </c:pt>
                <c:pt idx="84">
                  <c:v>0.40121125189258111</c:v>
                </c:pt>
                <c:pt idx="85">
                  <c:v>0.40121125189258111</c:v>
                </c:pt>
                <c:pt idx="86">
                  <c:v>0.40121125189258111</c:v>
                </c:pt>
                <c:pt idx="87">
                  <c:v>0.40121125189258111</c:v>
                </c:pt>
                <c:pt idx="88">
                  <c:v>0.40121125189258111</c:v>
                </c:pt>
                <c:pt idx="89">
                  <c:v>0.40121125189258111</c:v>
                </c:pt>
                <c:pt idx="90">
                  <c:v>0.40121125189258111</c:v>
                </c:pt>
                <c:pt idx="91">
                  <c:v>0.40121125189258111</c:v>
                </c:pt>
                <c:pt idx="92">
                  <c:v>0.40663001035939123</c:v>
                </c:pt>
                <c:pt idx="93">
                  <c:v>0.40663001035939123</c:v>
                </c:pt>
                <c:pt idx="94">
                  <c:v>0.40663001035939123</c:v>
                </c:pt>
                <c:pt idx="95">
                  <c:v>0.40663001035939123</c:v>
                </c:pt>
                <c:pt idx="96">
                  <c:v>0.41208064387600613</c:v>
                </c:pt>
                <c:pt idx="97">
                  <c:v>0.41208064387600613</c:v>
                </c:pt>
                <c:pt idx="98">
                  <c:v>0.41208064387600613</c:v>
                </c:pt>
                <c:pt idx="99">
                  <c:v>0.41208064387600613</c:v>
                </c:pt>
                <c:pt idx="100">
                  <c:v>0.41208064387600613</c:v>
                </c:pt>
                <c:pt idx="101">
                  <c:v>0.41208064387600613</c:v>
                </c:pt>
                <c:pt idx="102">
                  <c:v>0.41208064387600613</c:v>
                </c:pt>
                <c:pt idx="103">
                  <c:v>0.41749940234281624</c:v>
                </c:pt>
                <c:pt idx="104">
                  <c:v>0.41749940234281624</c:v>
                </c:pt>
                <c:pt idx="105">
                  <c:v>0.42833691927643647</c:v>
                </c:pt>
                <c:pt idx="106">
                  <c:v>0.45001195314367681</c:v>
                </c:pt>
                <c:pt idx="107">
                  <c:v>0.47171886206072194</c:v>
                </c:pt>
                <c:pt idx="108">
                  <c:v>0.4933938959279624</c:v>
                </c:pt>
                <c:pt idx="109">
                  <c:v>0.5150689297952028</c:v>
                </c:pt>
                <c:pt idx="110">
                  <c:v>0.53677583871224799</c:v>
                </c:pt>
                <c:pt idx="111">
                  <c:v>0.55845087257948844</c:v>
                </c:pt>
                <c:pt idx="112">
                  <c:v>0.58015778149653363</c:v>
                </c:pt>
                <c:pt idx="113">
                  <c:v>0.60183281536377409</c:v>
                </c:pt>
                <c:pt idx="114">
                  <c:v>0.62350784923101454</c:v>
                </c:pt>
                <c:pt idx="115">
                  <c:v>0.64521475814805973</c:v>
                </c:pt>
                <c:pt idx="116">
                  <c:v>0.66688979201530019</c:v>
                </c:pt>
                <c:pt idx="117">
                  <c:v>0.68859670093234537</c:v>
                </c:pt>
                <c:pt idx="118">
                  <c:v>0.71027173479958561</c:v>
                </c:pt>
                <c:pt idx="119">
                  <c:v>0.73194676866682606</c:v>
                </c:pt>
                <c:pt idx="120">
                  <c:v>0.75907243605068142</c:v>
                </c:pt>
                <c:pt idx="121">
                  <c:v>0.78616622838473194</c:v>
                </c:pt>
                <c:pt idx="122">
                  <c:v>0.80787313730177701</c:v>
                </c:pt>
                <c:pt idx="123">
                  <c:v>0.82954817116901747</c:v>
                </c:pt>
                <c:pt idx="124">
                  <c:v>0.85125508008606265</c:v>
                </c:pt>
                <c:pt idx="125">
                  <c:v>0.87293011395330311</c:v>
                </c:pt>
                <c:pt idx="126">
                  <c:v>0.89460514782054346</c:v>
                </c:pt>
                <c:pt idx="127">
                  <c:v>0.91631205673758875</c:v>
                </c:pt>
                <c:pt idx="128">
                  <c:v>0.9379870906048291</c:v>
                </c:pt>
                <c:pt idx="129">
                  <c:v>0.95966212447206956</c:v>
                </c:pt>
                <c:pt idx="130">
                  <c:v>0.98136903338911474</c:v>
                </c:pt>
                <c:pt idx="131">
                  <c:v>1.0030440672563552</c:v>
                </c:pt>
                <c:pt idx="132">
                  <c:v>1.0247509761734004</c:v>
                </c:pt>
                <c:pt idx="133">
                  <c:v>1.0464260100406406</c:v>
                </c:pt>
                <c:pt idx="134">
                  <c:v>1.0681010439078813</c:v>
                </c:pt>
                <c:pt idx="135">
                  <c:v>1.0898079528249263</c:v>
                </c:pt>
                <c:pt idx="136">
                  <c:v>1.1114829866921667</c:v>
                </c:pt>
                <c:pt idx="137">
                  <c:v>1.1331898956092121</c:v>
                </c:pt>
                <c:pt idx="138">
                  <c:v>1.1548649294764526</c:v>
                </c:pt>
                <c:pt idx="139">
                  <c:v>1.176539963343693</c:v>
                </c:pt>
                <c:pt idx="140">
                  <c:v>1.198246872260738</c:v>
                </c:pt>
                <c:pt idx="141">
                  <c:v>1.2199219061279782</c:v>
                </c:pt>
                <c:pt idx="142">
                  <c:v>1.2416288150450236</c:v>
                </c:pt>
                <c:pt idx="143">
                  <c:v>1.2633038489122639</c:v>
                </c:pt>
                <c:pt idx="144">
                  <c:v>1.2849788827795043</c:v>
                </c:pt>
                <c:pt idx="145">
                  <c:v>1.3066857916965495</c:v>
                </c:pt>
                <c:pt idx="146">
                  <c:v>1.32836082556379</c:v>
                </c:pt>
                <c:pt idx="147">
                  <c:v>1.3500677344808349</c:v>
                </c:pt>
                <c:pt idx="148">
                  <c:v>1.3717427683480754</c:v>
                </c:pt>
                <c:pt idx="149">
                  <c:v>1.3934178022153161</c:v>
                </c:pt>
                <c:pt idx="150">
                  <c:v>1.4151247111323613</c:v>
                </c:pt>
                <c:pt idx="151">
                  <c:v>1.4367997449996017</c:v>
                </c:pt>
                <c:pt idx="152">
                  <c:v>1.4585066539166467</c:v>
                </c:pt>
                <c:pt idx="153">
                  <c:v>1.4801816877838871</c:v>
                </c:pt>
                <c:pt idx="154">
                  <c:v>1.5018567216511276</c:v>
                </c:pt>
                <c:pt idx="155">
                  <c:v>1.523563630568173</c:v>
                </c:pt>
                <c:pt idx="156">
                  <c:v>1.5452386644354135</c:v>
                </c:pt>
                <c:pt idx="157">
                  <c:v>1.5669455733524584</c:v>
                </c:pt>
                <c:pt idx="158">
                  <c:v>1.5886206072196989</c:v>
                </c:pt>
                <c:pt idx="159">
                  <c:v>1.6102956410869393</c:v>
                </c:pt>
                <c:pt idx="160">
                  <c:v>1.6320025500039845</c:v>
                </c:pt>
                <c:pt idx="161">
                  <c:v>1.653677583871225</c:v>
                </c:pt>
                <c:pt idx="162">
                  <c:v>1.6753844927882702</c:v>
                </c:pt>
                <c:pt idx="163">
                  <c:v>1.6970595266555106</c:v>
                </c:pt>
                <c:pt idx="164">
                  <c:v>1.724153318989561</c:v>
                </c:pt>
                <c:pt idx="165">
                  <c:v>1.7458602279066062</c:v>
                </c:pt>
                <c:pt idx="166">
                  <c:v>1.7675352617738467</c:v>
                </c:pt>
                <c:pt idx="167">
                  <c:v>1.7892421706908919</c:v>
                </c:pt>
                <c:pt idx="168">
                  <c:v>1.8109172045581323</c:v>
                </c:pt>
                <c:pt idx="169">
                  <c:v>1.8325922384253726</c:v>
                </c:pt>
                <c:pt idx="170">
                  <c:v>1.854299147342418</c:v>
                </c:pt>
                <c:pt idx="171">
                  <c:v>1.8759741812096582</c:v>
                </c:pt>
                <c:pt idx="172">
                  <c:v>1.8976810901267032</c:v>
                </c:pt>
                <c:pt idx="173">
                  <c:v>1.9247748824607538</c:v>
                </c:pt>
                <c:pt idx="174">
                  <c:v>1.9519005498446091</c:v>
                </c:pt>
                <c:pt idx="175">
                  <c:v>1.9789943421786598</c:v>
                </c:pt>
                <c:pt idx="176">
                  <c:v>2.0061200095625149</c:v>
                </c:pt>
                <c:pt idx="177">
                  <c:v>2.0332138018965655</c:v>
                </c:pt>
                <c:pt idx="178">
                  <c:v>2.0603394692804211</c:v>
                </c:pt>
                <c:pt idx="179">
                  <c:v>2.0874332616144713</c:v>
                </c:pt>
                <c:pt idx="180">
                  <c:v>2.1145589289983264</c:v>
                </c:pt>
                <c:pt idx="181">
                  <c:v>2.1362339628655671</c:v>
                </c:pt>
                <c:pt idx="182">
                  <c:v>2.1633277551996177</c:v>
                </c:pt>
                <c:pt idx="183">
                  <c:v>2.1850346641166629</c:v>
                </c:pt>
                <c:pt idx="184">
                  <c:v>2.2121284564507135</c:v>
                </c:pt>
                <c:pt idx="185">
                  <c:v>2.2338353653677587</c:v>
                </c:pt>
                <c:pt idx="186">
                  <c:v>2.255510399234999</c:v>
                </c:pt>
                <c:pt idx="187">
                  <c:v>2.2826360666188541</c:v>
                </c:pt>
                <c:pt idx="188">
                  <c:v>2.3043111004860948</c:v>
                </c:pt>
                <c:pt idx="189">
                  <c:v>2.325986134353335</c:v>
                </c:pt>
                <c:pt idx="190">
                  <c:v>2.3476930432703802</c:v>
                </c:pt>
                <c:pt idx="191">
                  <c:v>2.3693680771376204</c:v>
                </c:pt>
                <c:pt idx="192">
                  <c:v>2.3910749860546661</c:v>
                </c:pt>
                <c:pt idx="193">
                  <c:v>2.4127500199219063</c:v>
                </c:pt>
                <c:pt idx="194">
                  <c:v>2.4344250537891465</c:v>
                </c:pt>
                <c:pt idx="195">
                  <c:v>2.4561319627061917</c:v>
                </c:pt>
                <c:pt idx="196">
                  <c:v>2.4778069965734324</c:v>
                </c:pt>
                <c:pt idx="197">
                  <c:v>2.4995139054904776</c:v>
                </c:pt>
                <c:pt idx="198">
                  <c:v>2.5211889393577178</c:v>
                </c:pt>
                <c:pt idx="199">
                  <c:v>2.5428639732249585</c:v>
                </c:pt>
                <c:pt idx="200">
                  <c:v>2.5645708821420032</c:v>
                </c:pt>
                <c:pt idx="201">
                  <c:v>2.5916646744760539</c:v>
                </c:pt>
                <c:pt idx="202">
                  <c:v>2.6187903418599094</c:v>
                </c:pt>
                <c:pt idx="203">
                  <c:v>2.6404653757271497</c:v>
                </c:pt>
                <c:pt idx="204">
                  <c:v>2.6621722846441949</c:v>
                </c:pt>
                <c:pt idx="205">
                  <c:v>2.6892660769782455</c:v>
                </c:pt>
                <c:pt idx="206">
                  <c:v>2.7109411108454862</c:v>
                </c:pt>
                <c:pt idx="207">
                  <c:v>2.7380667782293413</c:v>
                </c:pt>
                <c:pt idx="208">
                  <c:v>2.7597418120965815</c:v>
                </c:pt>
                <c:pt idx="209">
                  <c:v>2.7814487210136267</c:v>
                </c:pt>
                <c:pt idx="210">
                  <c:v>2.8031237548808674</c:v>
                </c:pt>
                <c:pt idx="211">
                  <c:v>2.8247987887481072</c:v>
                </c:pt>
                <c:pt idx="212">
                  <c:v>2.8519244561319628</c:v>
                </c:pt>
                <c:pt idx="213">
                  <c:v>2.8735994899992034</c:v>
                </c:pt>
                <c:pt idx="214">
                  <c:v>2.9007251573830586</c:v>
                </c:pt>
                <c:pt idx="215">
                  <c:v>2.9224001912502993</c:v>
                </c:pt>
                <c:pt idx="216">
                  <c:v>2.9495258586341544</c:v>
                </c:pt>
                <c:pt idx="217">
                  <c:v>2.9712008925013946</c:v>
                </c:pt>
                <c:pt idx="218">
                  <c:v>2.9983265598852498</c:v>
                </c:pt>
                <c:pt idx="219">
                  <c:v>3.0200015937524904</c:v>
                </c:pt>
                <c:pt idx="220">
                  <c:v>3.047127261136346</c:v>
                </c:pt>
                <c:pt idx="221">
                  <c:v>3.0688022950035858</c:v>
                </c:pt>
                <c:pt idx="222">
                  <c:v>3.0958960873376369</c:v>
                </c:pt>
                <c:pt idx="223">
                  <c:v>3.1176029962546821</c:v>
                </c:pt>
                <c:pt idx="224">
                  <c:v>3.1446967885887318</c:v>
                </c:pt>
                <c:pt idx="225">
                  <c:v>3.1664036975057774</c:v>
                </c:pt>
                <c:pt idx="226">
                  <c:v>3.1935612399394375</c:v>
                </c:pt>
                <c:pt idx="227">
                  <c:v>3.2206550322734881</c:v>
                </c:pt>
                <c:pt idx="228">
                  <c:v>3.2477488246075383</c:v>
                </c:pt>
                <c:pt idx="229">
                  <c:v>3.274842616941589</c:v>
                </c:pt>
                <c:pt idx="230">
                  <c:v>3.2965176508088296</c:v>
                </c:pt>
                <c:pt idx="231">
                  <c:v>3.3181926846760699</c:v>
                </c:pt>
                <c:pt idx="232">
                  <c:v>3.3398677185433105</c:v>
                </c:pt>
                <c:pt idx="233">
                  <c:v>3.3615427524105508</c:v>
                </c:pt>
                <c:pt idx="234">
                  <c:v>3.3886365447446014</c:v>
                </c:pt>
                <c:pt idx="235">
                  <c:v>3.415730337078652</c:v>
                </c:pt>
                <c:pt idx="236">
                  <c:v>3.4428241294127027</c:v>
                </c:pt>
                <c:pt idx="237">
                  <c:v>3.4699179217467528</c:v>
                </c:pt>
                <c:pt idx="238">
                  <c:v>3.497011714080803</c:v>
                </c:pt>
                <c:pt idx="239">
                  <c:v>3.5241055064148541</c:v>
                </c:pt>
                <c:pt idx="240">
                  <c:v>3.5511992987489043</c:v>
                </c:pt>
                <c:pt idx="241">
                  <c:v>3.5786118415810022</c:v>
                </c:pt>
                <c:pt idx="242">
                  <c:v>3.6057056339150533</c:v>
                </c:pt>
                <c:pt idx="243">
                  <c:v>3.6327994262491035</c:v>
                </c:pt>
                <c:pt idx="244">
                  <c:v>3.6598932185831541</c:v>
                </c:pt>
                <c:pt idx="245">
                  <c:v>3.6869870109172047</c:v>
                </c:pt>
                <c:pt idx="246">
                  <c:v>3.7140808032512553</c:v>
                </c:pt>
                <c:pt idx="247">
                  <c:v>3.7357558371184956</c:v>
                </c:pt>
                <c:pt idx="248">
                  <c:v>3.7628496294525462</c:v>
                </c:pt>
                <c:pt idx="249">
                  <c:v>3.7899434217865968</c:v>
                </c:pt>
                <c:pt idx="250">
                  <c:v>3.8116184556538371</c:v>
                </c:pt>
                <c:pt idx="251">
                  <c:v>3.8387122479878877</c:v>
                </c:pt>
                <c:pt idx="252">
                  <c:v>3.8658060403219383</c:v>
                </c:pt>
                <c:pt idx="253">
                  <c:v>3.8874810741891785</c:v>
                </c:pt>
                <c:pt idx="254">
                  <c:v>3.9145748665232292</c:v>
                </c:pt>
                <c:pt idx="255">
                  <c:v>3.9362499003904694</c:v>
                </c:pt>
                <c:pt idx="256">
                  <c:v>3.9633436927245205</c:v>
                </c:pt>
                <c:pt idx="257">
                  <c:v>3.9850187265917603</c:v>
                </c:pt>
                <c:pt idx="258">
                  <c:v>4.0066937604590009</c:v>
                </c:pt>
                <c:pt idx="259">
                  <c:v>4.0337875527930516</c:v>
                </c:pt>
                <c:pt idx="260">
                  <c:v>4.0554625866602922</c:v>
                </c:pt>
                <c:pt idx="261">
                  <c:v>4.0825563789943429</c:v>
                </c:pt>
                <c:pt idx="262">
                  <c:v>4.1042314128615827</c:v>
                </c:pt>
                <c:pt idx="263">
                  <c:v>4.1262251972268702</c:v>
                </c:pt>
                <c:pt idx="264">
                  <c:v>4.1533189895609217</c:v>
                </c:pt>
                <c:pt idx="265">
                  <c:v>4.1749940234281615</c:v>
                </c:pt>
                <c:pt idx="266">
                  <c:v>4.2075065742290221</c:v>
                </c:pt>
                <c:pt idx="267">
                  <c:v>4.2400191250298835</c:v>
                </c:pt>
                <c:pt idx="268">
                  <c:v>4.2779504342975541</c:v>
                </c:pt>
                <c:pt idx="269">
                  <c:v>4.3104629850984137</c:v>
                </c:pt>
                <c:pt idx="270">
                  <c:v>4.3483942943660852</c:v>
                </c:pt>
                <c:pt idx="271">
                  <c:v>4.3809068451669457</c:v>
                </c:pt>
                <c:pt idx="272">
                  <c:v>4.4134193959678063</c:v>
                </c:pt>
                <c:pt idx="273">
                  <c:v>4.4513507052354777</c:v>
                </c:pt>
                <c:pt idx="274">
                  <c:v>4.4838632560363374</c:v>
                </c:pt>
                <c:pt idx="275">
                  <c:v>4.516375806837198</c:v>
                </c:pt>
                <c:pt idx="276">
                  <c:v>4.5488883576380594</c:v>
                </c:pt>
                <c:pt idx="277">
                  <c:v>4.5814009084389191</c:v>
                </c:pt>
                <c:pt idx="278">
                  <c:v>4.6193322177065896</c:v>
                </c:pt>
                <c:pt idx="279">
                  <c:v>4.6518447685074511</c:v>
                </c:pt>
                <c:pt idx="280">
                  <c:v>4.6846760698063594</c:v>
                </c:pt>
                <c:pt idx="281">
                  <c:v>4.7171886206072209</c:v>
                </c:pt>
                <c:pt idx="282">
                  <c:v>4.7551199298748905</c:v>
                </c:pt>
                <c:pt idx="283">
                  <c:v>4.7876324806757511</c:v>
                </c:pt>
                <c:pt idx="284">
                  <c:v>4.8201450314766126</c:v>
                </c:pt>
                <c:pt idx="285">
                  <c:v>4.8526575822774731</c:v>
                </c:pt>
                <c:pt idx="286">
                  <c:v>4.8851701330783328</c:v>
                </c:pt>
                <c:pt idx="287">
                  <c:v>4.9231014423460042</c:v>
                </c:pt>
                <c:pt idx="288">
                  <c:v>4.9556139931468648</c:v>
                </c:pt>
                <c:pt idx="289">
                  <c:v>4.9881265439477254</c:v>
                </c:pt>
                <c:pt idx="290">
                  <c:v>5.0206390947485851</c:v>
                </c:pt>
                <c:pt idx="291">
                  <c:v>5.0531516455494465</c:v>
                </c:pt>
                <c:pt idx="292">
                  <c:v>5.0856641963503071</c:v>
                </c:pt>
                <c:pt idx="293">
                  <c:v>5.1181767471511668</c:v>
                </c:pt>
                <c:pt idx="294">
                  <c:v>5.1561080564188382</c:v>
                </c:pt>
                <c:pt idx="295">
                  <c:v>5.1886206072196988</c:v>
                </c:pt>
                <c:pt idx="296">
                  <c:v>5.221451908518608</c:v>
                </c:pt>
                <c:pt idx="297">
                  <c:v>5.2539644593194685</c:v>
                </c:pt>
                <c:pt idx="298">
                  <c:v>5.2864770101203282</c:v>
                </c:pt>
                <c:pt idx="299">
                  <c:v>5.3189895609211897</c:v>
                </c:pt>
                <c:pt idx="300">
                  <c:v>5.3515021117220494</c:v>
                </c:pt>
                <c:pt idx="301">
                  <c:v>5.3894334209897208</c:v>
                </c:pt>
                <c:pt idx="302">
                  <c:v>5.4219459717905814</c:v>
                </c:pt>
                <c:pt idx="303">
                  <c:v>5.4544585225914419</c:v>
                </c:pt>
                <c:pt idx="304">
                  <c:v>5.4869710733923016</c:v>
                </c:pt>
                <c:pt idx="305">
                  <c:v>5.5249023826599739</c:v>
                </c:pt>
                <c:pt idx="306">
                  <c:v>5.5574149334608336</c:v>
                </c:pt>
                <c:pt idx="307">
                  <c:v>5.600765001195315</c:v>
                </c:pt>
                <c:pt idx="308">
                  <c:v>5.6495338273966063</c:v>
                </c:pt>
                <c:pt idx="309">
                  <c:v>5.6928838951310858</c:v>
                </c:pt>
                <c:pt idx="310">
                  <c:v>5.7362339628655681</c:v>
                </c:pt>
                <c:pt idx="311">
                  <c:v>5.7853215395649054</c:v>
                </c:pt>
                <c:pt idx="312">
                  <c:v>5.8286716072993876</c:v>
                </c:pt>
                <c:pt idx="313">
                  <c:v>5.8774404335006771</c:v>
                </c:pt>
                <c:pt idx="314">
                  <c:v>5.9207905012351585</c:v>
                </c:pt>
                <c:pt idx="315">
                  <c:v>5.9695593274364498</c:v>
                </c:pt>
                <c:pt idx="316">
                  <c:v>6.0183281536377411</c:v>
                </c:pt>
                <c:pt idx="317">
                  <c:v>6.0670969798390315</c:v>
                </c:pt>
                <c:pt idx="318">
                  <c:v>6.1104470475735111</c:v>
                </c:pt>
                <c:pt idx="319">
                  <c:v>6.1592158737748033</c:v>
                </c:pt>
                <c:pt idx="320">
                  <c:v>6.2079846999760937</c:v>
                </c:pt>
                <c:pt idx="321">
                  <c:v>6.256753526177385</c:v>
                </c:pt>
                <c:pt idx="322">
                  <c:v>6.3055223523786754</c:v>
                </c:pt>
                <c:pt idx="323">
                  <c:v>6.3546099290780145</c:v>
                </c:pt>
                <c:pt idx="324">
                  <c:v>6.4033787552793058</c:v>
                </c:pt>
                <c:pt idx="325">
                  <c:v>6.4521475814805962</c:v>
                </c:pt>
                <c:pt idx="326">
                  <c:v>6.5009164076818866</c:v>
                </c:pt>
                <c:pt idx="327">
                  <c:v>6.5496852338831779</c:v>
                </c:pt>
                <c:pt idx="328">
                  <c:v>6.5984540600844683</c:v>
                </c:pt>
                <c:pt idx="329">
                  <c:v>6.6472228862857596</c:v>
                </c:pt>
                <c:pt idx="330">
                  <c:v>6.7014104709538609</c:v>
                </c:pt>
                <c:pt idx="331">
                  <c:v>6.7501792971551522</c:v>
                </c:pt>
                <c:pt idx="332">
                  <c:v>6.7989481233564435</c:v>
                </c:pt>
                <c:pt idx="333">
                  <c:v>6.842298191090924</c:v>
                </c:pt>
                <c:pt idx="334">
                  <c:v>6.891385767790263</c:v>
                </c:pt>
                <c:pt idx="335">
                  <c:v>6.9401545939915534</c:v>
                </c:pt>
                <c:pt idx="336">
                  <c:v>6.9943421786596556</c:v>
                </c:pt>
                <c:pt idx="337">
                  <c:v>7.048529763327755</c:v>
                </c:pt>
                <c:pt idx="338">
                  <c:v>7.1135548649294771</c:v>
                </c:pt>
                <c:pt idx="339">
                  <c:v>7.1785799665311982</c:v>
                </c:pt>
                <c:pt idx="340">
                  <c:v>7.2436050681329194</c:v>
                </c:pt>
                <c:pt idx="341">
                  <c:v>7.3086301697346396</c:v>
                </c:pt>
                <c:pt idx="342">
                  <c:v>7.3736552713363626</c:v>
                </c:pt>
                <c:pt idx="343">
                  <c:v>7.4281616065025107</c:v>
                </c:pt>
                <c:pt idx="344">
                  <c:v>7.4931867081042327</c:v>
                </c:pt>
                <c:pt idx="345">
                  <c:v>7.558211809705953</c:v>
                </c:pt>
                <c:pt idx="346">
                  <c:v>7.6232369113076741</c:v>
                </c:pt>
                <c:pt idx="347">
                  <c:v>7.6774244959757754</c:v>
                </c:pt>
                <c:pt idx="348">
                  <c:v>7.7424495975774965</c:v>
                </c:pt>
                <c:pt idx="349">
                  <c:v>7.7966371822455969</c:v>
                </c:pt>
                <c:pt idx="350">
                  <c:v>7.8616622838473189</c:v>
                </c:pt>
                <c:pt idx="351">
                  <c:v>7.9158498685154202</c:v>
                </c:pt>
                <c:pt idx="352">
                  <c:v>7.9703562036815683</c:v>
                </c:pt>
                <c:pt idx="353">
                  <c:v>8.0245437883496695</c:v>
                </c:pt>
                <c:pt idx="354">
                  <c:v>8.0787313730177708</c:v>
                </c:pt>
                <c:pt idx="355">
                  <c:v>8.132918957685872</c:v>
                </c:pt>
                <c:pt idx="356">
                  <c:v>8.1871065423539733</c:v>
                </c:pt>
                <c:pt idx="357">
                  <c:v>8.2467128854888845</c:v>
                </c:pt>
                <c:pt idx="358">
                  <c:v>8.3009004701569857</c:v>
                </c:pt>
                <c:pt idx="359">
                  <c:v>8.355088054825087</c:v>
                </c:pt>
                <c:pt idx="360">
                  <c:v>8.4255319148936181</c:v>
                </c:pt>
                <c:pt idx="361">
                  <c:v>8.4959757749621492</c:v>
                </c:pt>
                <c:pt idx="362">
                  <c:v>8.566738385528728</c:v>
                </c:pt>
                <c:pt idx="363">
                  <c:v>8.6371822455972609</c:v>
                </c:pt>
                <c:pt idx="364">
                  <c:v>8.7076261056657902</c:v>
                </c:pt>
                <c:pt idx="365">
                  <c:v>8.7834887242011312</c:v>
                </c:pt>
                <c:pt idx="366">
                  <c:v>8.8539325842696641</c:v>
                </c:pt>
                <c:pt idx="367">
                  <c:v>8.9243764443381952</c:v>
                </c:pt>
                <c:pt idx="368">
                  <c:v>8.9948203044067263</c:v>
                </c:pt>
                <c:pt idx="369">
                  <c:v>9.0710016734401151</c:v>
                </c:pt>
                <c:pt idx="370">
                  <c:v>9.141445533508648</c:v>
                </c:pt>
                <c:pt idx="371">
                  <c:v>9.2118893935771773</c:v>
                </c:pt>
                <c:pt idx="372">
                  <c:v>9.2877520121125183</c:v>
                </c:pt>
                <c:pt idx="373">
                  <c:v>9.3581958721810512</c:v>
                </c:pt>
                <c:pt idx="374">
                  <c:v>9.4286397322495823</c:v>
                </c:pt>
                <c:pt idx="375">
                  <c:v>9.4990835923181134</c:v>
                </c:pt>
                <c:pt idx="376">
                  <c:v>9.5749462108534544</c:v>
                </c:pt>
                <c:pt idx="377">
                  <c:v>9.6457088214200351</c:v>
                </c:pt>
                <c:pt idx="378">
                  <c:v>9.7215714399553761</c:v>
                </c:pt>
                <c:pt idx="379">
                  <c:v>9.8082715754243353</c:v>
                </c:pt>
                <c:pt idx="380">
                  <c:v>9.8841341939596781</c:v>
                </c:pt>
                <c:pt idx="381">
                  <c:v>9.9599968124950209</c:v>
                </c:pt>
                <c:pt idx="382">
                  <c:v>10.035859431030364</c:v>
                </c:pt>
                <c:pt idx="383">
                  <c:v>10.111722049565703</c:v>
                </c:pt>
                <c:pt idx="384">
                  <c:v>10.187903418599092</c:v>
                </c:pt>
                <c:pt idx="385">
                  <c:v>10.274603554068053</c:v>
                </c:pt>
                <c:pt idx="386">
                  <c:v>10.350466172603397</c:v>
                </c:pt>
                <c:pt idx="387">
                  <c:v>10.426328791138738</c:v>
                </c:pt>
                <c:pt idx="388">
                  <c:v>10.502191409674078</c:v>
                </c:pt>
                <c:pt idx="389">
                  <c:v>10.57805402820942</c:v>
                </c:pt>
                <c:pt idx="390">
                  <c:v>10.653916646744761</c:v>
                </c:pt>
                <c:pt idx="391">
                  <c:v>10.73551677424496</c:v>
                </c:pt>
                <c:pt idx="392">
                  <c:v>10.811379392780301</c:v>
                </c:pt>
                <c:pt idx="393">
                  <c:v>10.892660769782454</c:v>
                </c:pt>
                <c:pt idx="394">
                  <c:v>10.968523388317795</c:v>
                </c:pt>
                <c:pt idx="395">
                  <c:v>11.049804765319948</c:v>
                </c:pt>
                <c:pt idx="396">
                  <c:v>11.125667383855289</c:v>
                </c:pt>
                <c:pt idx="397">
                  <c:v>11.22320503625787</c:v>
                </c:pt>
                <c:pt idx="398">
                  <c:v>11.3210614391585</c:v>
                </c:pt>
                <c:pt idx="399">
                  <c:v>11.418599091561081</c:v>
                </c:pt>
                <c:pt idx="400">
                  <c:v>11.516136743963665</c:v>
                </c:pt>
                <c:pt idx="401">
                  <c:v>11.613674396366246</c:v>
                </c:pt>
                <c:pt idx="402">
                  <c:v>11.711212048768827</c:v>
                </c:pt>
                <c:pt idx="403">
                  <c:v>11.798230934735836</c:v>
                </c:pt>
                <c:pt idx="404">
                  <c:v>11.884931070204798</c:v>
                </c:pt>
                <c:pt idx="405">
                  <c:v>11.971631205673759</c:v>
                </c:pt>
                <c:pt idx="406">
                  <c:v>12.058331341142722</c:v>
                </c:pt>
                <c:pt idx="407">
                  <c:v>12.155868993545303</c:v>
                </c:pt>
                <c:pt idx="408">
                  <c:v>12.242569129014266</c:v>
                </c:pt>
                <c:pt idx="409">
                  <c:v>12.329269264483226</c:v>
                </c:pt>
                <c:pt idx="410">
                  <c:v>12.432544425850667</c:v>
                </c:pt>
                <c:pt idx="411">
                  <c:v>12.535500836720058</c:v>
                </c:pt>
                <c:pt idx="412">
                  <c:v>12.63845724758945</c:v>
                </c:pt>
                <c:pt idx="413">
                  <c:v>12.752251175392463</c:v>
                </c:pt>
                <c:pt idx="414">
                  <c:v>12.860626344728665</c:v>
                </c:pt>
                <c:pt idx="415">
                  <c:v>12.963901506096104</c:v>
                </c:pt>
                <c:pt idx="416">
                  <c:v>13.072276675432306</c:v>
                </c:pt>
                <c:pt idx="417">
                  <c:v>13.180651844768507</c:v>
                </c:pt>
                <c:pt idx="418">
                  <c:v>13.289027014104711</c:v>
                </c:pt>
                <c:pt idx="419">
                  <c:v>13.397402183440912</c:v>
                </c:pt>
                <c:pt idx="420">
                  <c:v>13.506096103275164</c:v>
                </c:pt>
                <c:pt idx="421">
                  <c:v>13.609052514144553</c:v>
                </c:pt>
                <c:pt idx="422">
                  <c:v>13.717427683480757</c:v>
                </c:pt>
                <c:pt idx="423">
                  <c:v>13.825802852816958</c:v>
                </c:pt>
                <c:pt idx="424">
                  <c:v>13.93417802215316</c:v>
                </c:pt>
                <c:pt idx="425">
                  <c:v>14.05912821738784</c:v>
                </c:pt>
                <c:pt idx="426">
                  <c:v>14.167503386724043</c:v>
                </c:pt>
                <c:pt idx="427">
                  <c:v>14.292134831460675</c:v>
                </c:pt>
                <c:pt idx="428">
                  <c:v>14.400510000796876</c:v>
                </c:pt>
                <c:pt idx="429">
                  <c:v>14.508885170133079</c:v>
                </c:pt>
                <c:pt idx="430">
                  <c:v>14.617579089967327</c:v>
                </c:pt>
                <c:pt idx="431">
                  <c:v>14.725954259303531</c:v>
                </c:pt>
                <c:pt idx="432">
                  <c:v>14.834329428639732</c:v>
                </c:pt>
                <c:pt idx="433">
                  <c:v>14.948123356442744</c:v>
                </c:pt>
                <c:pt idx="434">
                  <c:v>15.056498525778947</c:v>
                </c:pt>
                <c:pt idx="435">
                  <c:v>15.165192445613195</c:v>
                </c:pt>
                <c:pt idx="436">
                  <c:v>15.2735676149494</c:v>
                </c:pt>
                <c:pt idx="437">
                  <c:v>15.39819905968603</c:v>
                </c:pt>
                <c:pt idx="438">
                  <c:v>15.528249262889474</c:v>
                </c:pt>
                <c:pt idx="439">
                  <c:v>15.658618216590964</c:v>
                </c:pt>
                <c:pt idx="440">
                  <c:v>15.788668419794407</c:v>
                </c:pt>
                <c:pt idx="441">
                  <c:v>15.918718622997851</c:v>
                </c:pt>
                <c:pt idx="442">
                  <c:v>16.054187584668103</c:v>
                </c:pt>
                <c:pt idx="443">
                  <c:v>16.184237787871545</c:v>
                </c:pt>
                <c:pt idx="444">
                  <c:v>16.314606741573034</c:v>
                </c:pt>
                <c:pt idx="445">
                  <c:v>16.450075703243289</c:v>
                </c:pt>
                <c:pt idx="446">
                  <c:v>16.580125906446728</c:v>
                </c:pt>
                <c:pt idx="447">
                  <c:v>16.715594868116984</c:v>
                </c:pt>
                <c:pt idx="448">
                  <c:v>16.845963821818472</c:v>
                </c:pt>
                <c:pt idx="449">
                  <c:v>16.981432783488724</c:v>
                </c:pt>
                <c:pt idx="450">
                  <c:v>17.116901745158977</c:v>
                </c:pt>
                <c:pt idx="451">
                  <c:v>17.252370706829232</c:v>
                </c:pt>
                <c:pt idx="452">
                  <c:v>17.382739660530721</c:v>
                </c:pt>
                <c:pt idx="453">
                  <c:v>17.518208622200973</c:v>
                </c:pt>
                <c:pt idx="454">
                  <c:v>17.653677583871225</c:v>
                </c:pt>
                <c:pt idx="455">
                  <c:v>17.783727787074668</c:v>
                </c:pt>
                <c:pt idx="456">
                  <c:v>17.919515499242969</c:v>
                </c:pt>
                <c:pt idx="457">
                  <c:v>18.054984460913218</c:v>
                </c:pt>
                <c:pt idx="458">
                  <c:v>18.212128456450717</c:v>
                </c:pt>
                <c:pt idx="459">
                  <c:v>18.353016176587776</c:v>
                </c:pt>
                <c:pt idx="460">
                  <c:v>18.510478922623317</c:v>
                </c:pt>
                <c:pt idx="461">
                  <c:v>18.667622918160809</c:v>
                </c:pt>
                <c:pt idx="462">
                  <c:v>18.808510638297875</c:v>
                </c:pt>
                <c:pt idx="463">
                  <c:v>18.949717108932983</c:v>
                </c:pt>
                <c:pt idx="464">
                  <c:v>19.090604829070045</c:v>
                </c:pt>
                <c:pt idx="465">
                  <c:v>19.231492549207111</c:v>
                </c:pt>
                <c:pt idx="466">
                  <c:v>19.372380269344173</c:v>
                </c:pt>
                <c:pt idx="467">
                  <c:v>19.519005498446091</c:v>
                </c:pt>
                <c:pt idx="468">
                  <c:v>19.676149493983587</c:v>
                </c:pt>
                <c:pt idx="469">
                  <c:v>19.838712247987889</c:v>
                </c:pt>
                <c:pt idx="470">
                  <c:v>20.006693760459001</c:v>
                </c:pt>
                <c:pt idx="471">
                  <c:v>20.169575264961352</c:v>
                </c:pt>
                <c:pt idx="472">
                  <c:v>20.337556777432464</c:v>
                </c:pt>
                <c:pt idx="473">
                  <c:v>20.505538289903576</c:v>
                </c:pt>
                <c:pt idx="474">
                  <c:v>20.673838552872741</c:v>
                </c:pt>
                <c:pt idx="475">
                  <c:v>20.841820065343853</c:v>
                </c:pt>
                <c:pt idx="476">
                  <c:v>21.009801577814965</c:v>
                </c:pt>
                <c:pt idx="477">
                  <c:v>21.178101840784127</c:v>
                </c:pt>
                <c:pt idx="478">
                  <c:v>21.346083353255239</c:v>
                </c:pt>
                <c:pt idx="479">
                  <c:v>21.508646107259541</c:v>
                </c:pt>
                <c:pt idx="480">
                  <c:v>21.671208861263846</c:v>
                </c:pt>
                <c:pt idx="481">
                  <c:v>21.834090365766198</c:v>
                </c:pt>
                <c:pt idx="482">
                  <c:v>21.9966531197705</c:v>
                </c:pt>
                <c:pt idx="483">
                  <c:v>22.159215873774805</c:v>
                </c:pt>
                <c:pt idx="484">
                  <c:v>22.322097378277153</c:v>
                </c:pt>
                <c:pt idx="485">
                  <c:v>22.500916407681885</c:v>
                </c:pt>
                <c:pt idx="486">
                  <c:v>22.685154195553434</c:v>
                </c:pt>
                <c:pt idx="487">
                  <c:v>22.869710733923025</c:v>
                </c:pt>
                <c:pt idx="488">
                  <c:v>23.053948521794567</c:v>
                </c:pt>
                <c:pt idx="489">
                  <c:v>23.238186309666109</c:v>
                </c:pt>
                <c:pt idx="490">
                  <c:v>23.422742848035703</c:v>
                </c:pt>
                <c:pt idx="491">
                  <c:v>23.606980635907245</c:v>
                </c:pt>
                <c:pt idx="492">
                  <c:v>23.791218423778787</c:v>
                </c:pt>
                <c:pt idx="493">
                  <c:v>23.981193720615188</c:v>
                </c:pt>
                <c:pt idx="494">
                  <c:v>24.165431508486733</c:v>
                </c:pt>
                <c:pt idx="495">
                  <c:v>24.349669296358275</c:v>
                </c:pt>
                <c:pt idx="496">
                  <c:v>24.53422583472787</c:v>
                </c:pt>
                <c:pt idx="497">
                  <c:v>24.718463622599412</c:v>
                </c:pt>
                <c:pt idx="498">
                  <c:v>24.902701410470954</c:v>
                </c:pt>
                <c:pt idx="499">
                  <c:v>25.092676707307358</c:v>
                </c:pt>
                <c:pt idx="500">
                  <c:v>25.29858952904614</c:v>
                </c:pt>
                <c:pt idx="501">
                  <c:v>25.509921109251735</c:v>
                </c:pt>
                <c:pt idx="502">
                  <c:v>25.716152681488566</c:v>
                </c:pt>
                <c:pt idx="503">
                  <c:v>25.922065503227348</c:v>
                </c:pt>
                <c:pt idx="504">
                  <c:v>26.133715833930992</c:v>
                </c:pt>
                <c:pt idx="505">
                  <c:v>26.328791138736154</c:v>
                </c:pt>
                <c:pt idx="506">
                  <c:v>26.523866443541319</c:v>
                </c:pt>
                <c:pt idx="507">
                  <c:v>26.74093553271177</c:v>
                </c:pt>
                <c:pt idx="508">
                  <c:v>26.957685871384179</c:v>
                </c:pt>
                <c:pt idx="509">
                  <c:v>27.174754960554626</c:v>
                </c:pt>
                <c:pt idx="510">
                  <c:v>27.391505299227031</c:v>
                </c:pt>
                <c:pt idx="511">
                  <c:v>27.613674396366243</c:v>
                </c:pt>
                <c:pt idx="512">
                  <c:v>27.830743485536697</c:v>
                </c:pt>
                <c:pt idx="513">
                  <c:v>28.052912582675912</c:v>
                </c:pt>
                <c:pt idx="514">
                  <c:v>28.269981671846363</c:v>
                </c:pt>
                <c:pt idx="515">
                  <c:v>28.492150768985578</c:v>
                </c:pt>
                <c:pt idx="516">
                  <c:v>28.725157383058409</c:v>
                </c:pt>
                <c:pt idx="517">
                  <c:v>28.947645230695674</c:v>
                </c:pt>
                <c:pt idx="518">
                  <c:v>29.164395569368079</c:v>
                </c:pt>
                <c:pt idx="519">
                  <c:v>29.403139692405773</c:v>
                </c:pt>
                <c:pt idx="520">
                  <c:v>29.641565064945414</c:v>
                </c:pt>
                <c:pt idx="521">
                  <c:v>29.879990437485059</c:v>
                </c:pt>
                <c:pt idx="522">
                  <c:v>30.11873456052275</c:v>
                </c:pt>
                <c:pt idx="523">
                  <c:v>30.357159933062398</c:v>
                </c:pt>
                <c:pt idx="524">
                  <c:v>30.595904056100089</c:v>
                </c:pt>
                <c:pt idx="525">
                  <c:v>30.834329428639737</c:v>
                </c:pt>
                <c:pt idx="526">
                  <c:v>31.073073551677428</c:v>
                </c:pt>
                <c:pt idx="527">
                  <c:v>31.316917682683883</c:v>
                </c:pt>
                <c:pt idx="528">
                  <c:v>31.555661805721574</c:v>
                </c:pt>
                <c:pt idx="529">
                  <c:v>31.794087178261222</c:v>
                </c:pt>
                <c:pt idx="530">
                  <c:v>32.031237548808669</c:v>
                </c:pt>
                <c:pt idx="531">
                  <c:v>32.298987967168699</c:v>
                </c:pt>
                <c:pt idx="532">
                  <c:v>32.563550880548256</c:v>
                </c:pt>
                <c:pt idx="533">
                  <c:v>32.824926288947324</c:v>
                </c:pt>
                <c:pt idx="534">
                  <c:v>33.089489202326881</c:v>
                </c:pt>
                <c:pt idx="535">
                  <c:v>33.350864610725957</c:v>
                </c:pt>
                <c:pt idx="536">
                  <c:v>33.621802534066461</c:v>
                </c:pt>
                <c:pt idx="537">
                  <c:v>33.892740457406966</c:v>
                </c:pt>
                <c:pt idx="538">
                  <c:v>34.16367838074747</c:v>
                </c:pt>
                <c:pt idx="539">
                  <c:v>34.434616304087974</c:v>
                </c:pt>
                <c:pt idx="540">
                  <c:v>34.711929237389441</c:v>
                </c:pt>
                <c:pt idx="541">
                  <c:v>34.986054665710412</c:v>
                </c:pt>
                <c:pt idx="542">
                  <c:v>35.269742608972827</c:v>
                </c:pt>
                <c:pt idx="543">
                  <c:v>35.55024304725476</c:v>
                </c:pt>
                <c:pt idx="544">
                  <c:v>35.833930990517175</c:v>
                </c:pt>
                <c:pt idx="545">
                  <c:v>36.111243923818634</c:v>
                </c:pt>
                <c:pt idx="546">
                  <c:v>36.391744362100575</c:v>
                </c:pt>
                <c:pt idx="547">
                  <c:v>36.691369830265359</c:v>
                </c:pt>
                <c:pt idx="548">
                  <c:v>36.971870268547299</c:v>
                </c:pt>
                <c:pt idx="549">
                  <c:v>37.274683241692571</c:v>
                </c:pt>
                <c:pt idx="550">
                  <c:v>37.5679336998964</c:v>
                </c:pt>
                <c:pt idx="551">
                  <c:v>37.861184158100251</c:v>
                </c:pt>
                <c:pt idx="552">
                  <c:v>38.160809626265042</c:v>
                </c:pt>
                <c:pt idx="553">
                  <c:v>38.469997609371269</c:v>
                </c:pt>
                <c:pt idx="554">
                  <c:v>38.766435572555586</c:v>
                </c:pt>
                <c:pt idx="555">
                  <c:v>39.05968603075943</c:v>
                </c:pt>
                <c:pt idx="556">
                  <c:v>39.362499003904702</c:v>
                </c:pt>
                <c:pt idx="557">
                  <c:v>39.684437006932825</c:v>
                </c:pt>
                <c:pt idx="558">
                  <c:v>40.003187504980481</c:v>
                </c:pt>
                <c:pt idx="559">
                  <c:v>40.328313012989092</c:v>
                </c:pt>
                <c:pt idx="560">
                  <c:v>40.64387600605626</c:v>
                </c:pt>
                <c:pt idx="561">
                  <c:v>40.969001514064864</c:v>
                </c:pt>
                <c:pt idx="562">
                  <c:v>41.294127022073475</c:v>
                </c:pt>
                <c:pt idx="563">
                  <c:v>41.612877520121124</c:v>
                </c:pt>
                <c:pt idx="564">
                  <c:v>41.938003028129735</c:v>
                </c:pt>
                <c:pt idx="565">
                  <c:v>42.27906606104073</c:v>
                </c:pt>
                <c:pt idx="566">
                  <c:v>42.626504103912666</c:v>
                </c:pt>
                <c:pt idx="567">
                  <c:v>42.958004621882225</c:v>
                </c:pt>
                <c:pt idx="568">
                  <c:v>43.292692644832258</c:v>
                </c:pt>
                <c:pt idx="569">
                  <c:v>43.65288070762611</c:v>
                </c:pt>
                <c:pt idx="570">
                  <c:v>44.003506255478527</c:v>
                </c:pt>
                <c:pt idx="571">
                  <c:v>44.360506813291899</c:v>
                </c:pt>
                <c:pt idx="572">
                  <c:v>44.698382341222413</c:v>
                </c:pt>
                <c:pt idx="573">
                  <c:v>45.055382899035784</c:v>
                </c:pt>
                <c:pt idx="574">
                  <c:v>45.412383456849156</c:v>
                </c:pt>
                <c:pt idx="575">
                  <c:v>45.759821499721092</c:v>
                </c:pt>
                <c:pt idx="576">
                  <c:v>46.107259542593042</c:v>
                </c:pt>
                <c:pt idx="577">
                  <c:v>46.486572635269745</c:v>
                </c:pt>
                <c:pt idx="578">
                  <c:v>46.85632321300502</c:v>
                </c:pt>
                <c:pt idx="579">
                  <c:v>47.229261295720775</c:v>
                </c:pt>
                <c:pt idx="580">
                  <c:v>47.605386883417012</c:v>
                </c:pt>
                <c:pt idx="581">
                  <c:v>47.97832496613276</c:v>
                </c:pt>
                <c:pt idx="582">
                  <c:v>48.348075543868035</c:v>
                </c:pt>
                <c:pt idx="583">
                  <c:v>48.714638616622842</c:v>
                </c:pt>
                <c:pt idx="584">
                  <c:v>49.113076739182404</c:v>
                </c:pt>
                <c:pt idx="585">
                  <c:v>49.501952346800543</c:v>
                </c:pt>
                <c:pt idx="586">
                  <c:v>49.890827954418683</c:v>
                </c:pt>
                <c:pt idx="587">
                  <c:v>50.292453581958725</c:v>
                </c:pt>
                <c:pt idx="588">
                  <c:v>50.690891704518286</c:v>
                </c:pt>
                <c:pt idx="589">
                  <c:v>51.095704837038809</c:v>
                </c:pt>
                <c:pt idx="590">
                  <c:v>51.497330464578852</c:v>
                </c:pt>
                <c:pt idx="591">
                  <c:v>51.898956092118894</c:v>
                </c:pt>
                <c:pt idx="592">
                  <c:v>52.300581719658943</c:v>
                </c:pt>
                <c:pt idx="593">
                  <c:v>52.70539485217946</c:v>
                </c:pt>
                <c:pt idx="594">
                  <c:v>53.113395489680457</c:v>
                </c:pt>
                <c:pt idx="595">
                  <c:v>53.537333652083831</c:v>
                </c:pt>
                <c:pt idx="596">
                  <c:v>53.958084309506738</c:v>
                </c:pt>
                <c:pt idx="597">
                  <c:v>54.37245995696869</c:v>
                </c:pt>
                <c:pt idx="598">
                  <c:v>54.79321061439159</c:v>
                </c:pt>
                <c:pt idx="599">
                  <c:v>55.217148776794964</c:v>
                </c:pt>
                <c:pt idx="600">
                  <c:v>55.641086939198345</c:v>
                </c:pt>
                <c:pt idx="601">
                  <c:v>56.074587616543155</c:v>
                </c:pt>
                <c:pt idx="602">
                  <c:v>56.508088293887958</c:v>
                </c:pt>
                <c:pt idx="603">
                  <c:v>56.941588971232775</c:v>
                </c:pt>
                <c:pt idx="604">
                  <c:v>57.391027173479962</c:v>
                </c:pt>
                <c:pt idx="605">
                  <c:v>57.834090365766208</c:v>
                </c:pt>
                <c:pt idx="606">
                  <c:v>58.296278587935298</c:v>
                </c:pt>
                <c:pt idx="607">
                  <c:v>58.758466810104402</c:v>
                </c:pt>
                <c:pt idx="608">
                  <c:v>59.211092517332062</c:v>
                </c:pt>
                <c:pt idx="609">
                  <c:v>59.666905729540204</c:v>
                </c:pt>
                <c:pt idx="610">
                  <c:v>60.13865646665073</c:v>
                </c:pt>
                <c:pt idx="611">
                  <c:v>60.607219698780781</c:v>
                </c:pt>
                <c:pt idx="612">
                  <c:v>61.082157940871781</c:v>
                </c:pt>
                <c:pt idx="613">
                  <c:v>61.566658697904224</c:v>
                </c:pt>
                <c:pt idx="614">
                  <c:v>62.054346959917126</c:v>
                </c:pt>
                <c:pt idx="615">
                  <c:v>62.535660211969088</c:v>
                </c:pt>
                <c:pt idx="616">
                  <c:v>63.0360984939039</c:v>
                </c:pt>
                <c:pt idx="617">
                  <c:v>63.495099211092523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D1-44A0-80C8-CF8A5556EA68}"/>
            </c:ext>
          </c:extLst>
        </c:ser>
        <c:ser>
          <c:idx val="4"/>
          <c:order val="4"/>
          <c:tx>
            <c:strRef>
              <c:f>{"A12-5"}</c:f>
              <c:strCache>
                <c:ptCount val="1"/>
                <c:pt idx="0">
                  <c:v>A12-5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'A12-1'!$C$2:$C$649</c:f>
              <c:numCache>
                <c:formatCode>0.00</c:formatCode>
                <c:ptCount val="648"/>
                <c:pt idx="0">
                  <c:v>0</c:v>
                </c:pt>
                <c:pt idx="1">
                  <c:v>6.9310000000000005E-3</c:v>
                </c:pt>
                <c:pt idx="2">
                  <c:v>6.9849999999999999E-3</c:v>
                </c:pt>
                <c:pt idx="3">
                  <c:v>7.0408000000000007E-3</c:v>
                </c:pt>
                <c:pt idx="4">
                  <c:v>7.0965999999999998E-3</c:v>
                </c:pt>
                <c:pt idx="5">
                  <c:v>7.1506E-3</c:v>
                </c:pt>
                <c:pt idx="6">
                  <c:v>7.2063999999999991E-3</c:v>
                </c:pt>
                <c:pt idx="7">
                  <c:v>7.2621999999999999E-3</c:v>
                </c:pt>
                <c:pt idx="8">
                  <c:v>7.3179999999999999E-3</c:v>
                </c:pt>
                <c:pt idx="9">
                  <c:v>7.3740000000000003E-3</c:v>
                </c:pt>
                <c:pt idx="10">
                  <c:v>7.4297999999999994E-3</c:v>
                </c:pt>
                <c:pt idx="11">
                  <c:v>7.5116000000000002E-3</c:v>
                </c:pt>
                <c:pt idx="12">
                  <c:v>7.5953999999999995E-3</c:v>
                </c:pt>
                <c:pt idx="13">
                  <c:v>7.6792000000000006E-3</c:v>
                </c:pt>
                <c:pt idx="14">
                  <c:v>7.7627999999999994E-3</c:v>
                </c:pt>
                <c:pt idx="15">
                  <c:v>7.8466000000000004E-3</c:v>
                </c:pt>
                <c:pt idx="16">
                  <c:v>7.9286000000000009E-3</c:v>
                </c:pt>
                <c:pt idx="17">
                  <c:v>8.0122000000000006E-3</c:v>
                </c:pt>
                <c:pt idx="18">
                  <c:v>8.094200000000001E-3</c:v>
                </c:pt>
                <c:pt idx="19">
                  <c:v>8.179800000000001E-3</c:v>
                </c:pt>
                <c:pt idx="20">
                  <c:v>8.2616000000000009E-3</c:v>
                </c:pt>
                <c:pt idx="21">
                  <c:v>8.3453999999999993E-3</c:v>
                </c:pt>
                <c:pt idx="22">
                  <c:v>8.4291999999999995E-3</c:v>
                </c:pt>
                <c:pt idx="23">
                  <c:v>8.5109999999999995E-3</c:v>
                </c:pt>
                <c:pt idx="24">
                  <c:v>8.5965999999999994E-3</c:v>
                </c:pt>
                <c:pt idx="25">
                  <c:v>8.6803999999999996E-3</c:v>
                </c:pt>
                <c:pt idx="26">
                  <c:v>8.7624E-3</c:v>
                </c:pt>
                <c:pt idx="27">
                  <c:v>8.8459999999999997E-3</c:v>
                </c:pt>
                <c:pt idx="28">
                  <c:v>8.9280000000000002E-3</c:v>
                </c:pt>
                <c:pt idx="29">
                  <c:v>9.0118000000000004E-3</c:v>
                </c:pt>
                <c:pt idx="30">
                  <c:v>9.0974000000000003E-3</c:v>
                </c:pt>
                <c:pt idx="31">
                  <c:v>9.1792000000000002E-3</c:v>
                </c:pt>
                <c:pt idx="32">
                  <c:v>9.2630000000000004E-3</c:v>
                </c:pt>
                <c:pt idx="33">
                  <c:v>9.3448000000000003E-3</c:v>
                </c:pt>
                <c:pt idx="34">
                  <c:v>9.4286000000000005E-3</c:v>
                </c:pt>
                <c:pt idx="35">
                  <c:v>9.512399999999999E-3</c:v>
                </c:pt>
                <c:pt idx="36">
                  <c:v>9.5962000000000009E-3</c:v>
                </c:pt>
                <c:pt idx="37">
                  <c:v>9.6797999999999988E-3</c:v>
                </c:pt>
                <c:pt idx="38">
                  <c:v>9.761800000000001E-3</c:v>
                </c:pt>
                <c:pt idx="39">
                  <c:v>9.8455999999999995E-3</c:v>
                </c:pt>
                <c:pt idx="40">
                  <c:v>9.9292000000000009E-3</c:v>
                </c:pt>
                <c:pt idx="41">
                  <c:v>1.0013000000000001E-2</c:v>
                </c:pt>
                <c:pt idx="42">
                  <c:v>1.0095E-2</c:v>
                </c:pt>
                <c:pt idx="43">
                  <c:v>1.0178599999999999E-2</c:v>
                </c:pt>
                <c:pt idx="44">
                  <c:v>1.02606E-2</c:v>
                </c:pt>
                <c:pt idx="45">
                  <c:v>1.0346200000000002E-2</c:v>
                </c:pt>
                <c:pt idx="46">
                  <c:v>1.043E-2</c:v>
                </c:pt>
                <c:pt idx="47">
                  <c:v>1.0513600000000001E-2</c:v>
                </c:pt>
                <c:pt idx="48">
                  <c:v>1.05956E-2</c:v>
                </c:pt>
                <c:pt idx="49">
                  <c:v>1.0679399999999999E-2</c:v>
                </c:pt>
                <c:pt idx="50">
                  <c:v>1.0763E-2</c:v>
                </c:pt>
                <c:pt idx="51">
                  <c:v>1.08468E-2</c:v>
                </c:pt>
                <c:pt idx="52">
                  <c:v>1.0958600000000001E-2</c:v>
                </c:pt>
                <c:pt idx="53">
                  <c:v>1.1068400000000001E-2</c:v>
                </c:pt>
                <c:pt idx="54">
                  <c:v>1.1178200000000001E-2</c:v>
                </c:pt>
                <c:pt idx="55">
                  <c:v>1.1263799999999999E-2</c:v>
                </c:pt>
                <c:pt idx="56">
                  <c:v>1.1373599999999999E-2</c:v>
                </c:pt>
                <c:pt idx="57">
                  <c:v>1.1485199999999999E-2</c:v>
                </c:pt>
                <c:pt idx="58">
                  <c:v>1.1596800000000001E-2</c:v>
                </c:pt>
                <c:pt idx="59">
                  <c:v>1.1706600000000001E-2</c:v>
                </c:pt>
                <c:pt idx="60">
                  <c:v>1.18166E-2</c:v>
                </c:pt>
                <c:pt idx="61">
                  <c:v>1.19282E-2</c:v>
                </c:pt>
                <c:pt idx="62">
                  <c:v>1.20398E-2</c:v>
                </c:pt>
                <c:pt idx="63">
                  <c:v>1.21516E-2</c:v>
                </c:pt>
                <c:pt idx="64">
                  <c:v>1.22614E-2</c:v>
                </c:pt>
                <c:pt idx="65">
                  <c:v>1.2374799999999998E-2</c:v>
                </c:pt>
                <c:pt idx="66">
                  <c:v>1.24866E-2</c:v>
                </c:pt>
                <c:pt idx="67">
                  <c:v>1.2596400000000001E-2</c:v>
                </c:pt>
                <c:pt idx="68">
                  <c:v>1.2707999999999999E-2</c:v>
                </c:pt>
                <c:pt idx="69">
                  <c:v>1.28196E-2</c:v>
                </c:pt>
                <c:pt idx="70">
                  <c:v>1.2929400000000001E-2</c:v>
                </c:pt>
                <c:pt idx="71">
                  <c:v>1.3039199999999999E-2</c:v>
                </c:pt>
                <c:pt idx="72">
                  <c:v>1.3150999999999999E-2</c:v>
                </c:pt>
                <c:pt idx="73">
                  <c:v>1.3262599999999999E-2</c:v>
                </c:pt>
                <c:pt idx="74">
                  <c:v>1.33724E-2</c:v>
                </c:pt>
                <c:pt idx="75">
                  <c:v>1.34842E-2</c:v>
                </c:pt>
                <c:pt idx="76">
                  <c:v>1.35958E-2</c:v>
                </c:pt>
                <c:pt idx="77">
                  <c:v>1.37056E-2</c:v>
                </c:pt>
                <c:pt idx="78">
                  <c:v>1.38172E-2</c:v>
                </c:pt>
                <c:pt idx="79">
                  <c:v>1.3929E-2</c:v>
                </c:pt>
                <c:pt idx="80">
                  <c:v>1.40406E-2</c:v>
                </c:pt>
                <c:pt idx="81">
                  <c:v>1.4152199999999998E-2</c:v>
                </c:pt>
                <c:pt idx="82">
                  <c:v>1.4263999999999999E-2</c:v>
                </c:pt>
                <c:pt idx="83">
                  <c:v>1.4375599999999999E-2</c:v>
                </c:pt>
                <c:pt idx="84">
                  <c:v>1.4511400000000001E-2</c:v>
                </c:pt>
                <c:pt idx="85">
                  <c:v>1.4651000000000001E-2</c:v>
                </c:pt>
                <c:pt idx="86">
                  <c:v>1.4790600000000001E-2</c:v>
                </c:pt>
                <c:pt idx="87">
                  <c:v>1.49284E-2</c:v>
                </c:pt>
                <c:pt idx="88">
                  <c:v>1.5068E-2</c:v>
                </c:pt>
                <c:pt idx="89">
                  <c:v>1.5207599999999998E-2</c:v>
                </c:pt>
                <c:pt idx="90">
                  <c:v>1.5345200000000002E-2</c:v>
                </c:pt>
                <c:pt idx="91">
                  <c:v>1.54848E-2</c:v>
                </c:pt>
                <c:pt idx="92">
                  <c:v>1.56244E-2</c:v>
                </c:pt>
                <c:pt idx="93">
                  <c:v>1.5762200000000001E-2</c:v>
                </c:pt>
                <c:pt idx="94">
                  <c:v>1.5901800000000001E-2</c:v>
                </c:pt>
                <c:pt idx="95">
                  <c:v>1.6041399999999997E-2</c:v>
                </c:pt>
                <c:pt idx="96">
                  <c:v>1.6178999999999999E-2</c:v>
                </c:pt>
                <c:pt idx="97">
                  <c:v>1.6318600000000003E-2</c:v>
                </c:pt>
                <c:pt idx="98">
                  <c:v>1.64564E-2</c:v>
                </c:pt>
                <c:pt idx="99">
                  <c:v>1.6596E-2</c:v>
                </c:pt>
                <c:pt idx="100">
                  <c:v>1.67356E-2</c:v>
                </c:pt>
                <c:pt idx="101">
                  <c:v>1.6873199999999998E-2</c:v>
                </c:pt>
                <c:pt idx="102">
                  <c:v>1.7012799999999998E-2</c:v>
                </c:pt>
                <c:pt idx="103">
                  <c:v>1.7152400000000002E-2</c:v>
                </c:pt>
                <c:pt idx="104">
                  <c:v>1.7290199999999999E-2</c:v>
                </c:pt>
                <c:pt idx="105">
                  <c:v>1.7427999999999999E-2</c:v>
                </c:pt>
                <c:pt idx="106">
                  <c:v>1.75674E-2</c:v>
                </c:pt>
                <c:pt idx="107">
                  <c:v>1.7705200000000001E-2</c:v>
                </c:pt>
                <c:pt idx="108">
                  <c:v>1.7846600000000001E-2</c:v>
                </c:pt>
                <c:pt idx="109">
                  <c:v>1.7986200000000001E-2</c:v>
                </c:pt>
                <c:pt idx="110">
                  <c:v>1.8149999999999999E-2</c:v>
                </c:pt>
                <c:pt idx="111">
                  <c:v>1.8291399999999999E-2</c:v>
                </c:pt>
                <c:pt idx="112">
                  <c:v>1.84572E-2</c:v>
                </c:pt>
                <c:pt idx="113">
                  <c:v>1.8622799999999998E-2</c:v>
                </c:pt>
                <c:pt idx="114">
                  <c:v>1.87902E-2</c:v>
                </c:pt>
                <c:pt idx="115">
                  <c:v>1.8956000000000001E-2</c:v>
                </c:pt>
                <c:pt idx="116">
                  <c:v>1.9123399999999999E-2</c:v>
                </c:pt>
                <c:pt idx="117">
                  <c:v>1.9289000000000001E-2</c:v>
                </c:pt>
                <c:pt idx="118">
                  <c:v>1.9456600000000001E-2</c:v>
                </c:pt>
                <c:pt idx="119">
                  <c:v>1.9623999999999999E-2</c:v>
                </c:pt>
                <c:pt idx="120">
                  <c:v>1.97898E-2</c:v>
                </c:pt>
                <c:pt idx="121">
                  <c:v>1.9959000000000001E-2</c:v>
                </c:pt>
                <c:pt idx="122">
                  <c:v>2.0122000000000001E-2</c:v>
                </c:pt>
                <c:pt idx="123">
                  <c:v>2.0289999999999999E-2</c:v>
                </c:pt>
                <c:pt idx="124">
                  <c:v>2.0457999999999997E-2</c:v>
                </c:pt>
                <c:pt idx="125">
                  <c:v>2.0623999999999997E-2</c:v>
                </c:pt>
                <c:pt idx="126">
                  <c:v>2.0792000000000001E-2</c:v>
                </c:pt>
                <c:pt idx="127">
                  <c:v>2.0956000000000002E-2</c:v>
                </c:pt>
                <c:pt idx="128">
                  <c:v>2.1122000000000002E-2</c:v>
                </c:pt>
                <c:pt idx="129">
                  <c:v>2.129E-2</c:v>
                </c:pt>
                <c:pt idx="130">
                  <c:v>2.1455999999999999E-2</c:v>
                </c:pt>
                <c:pt idx="131">
                  <c:v>2.1623999999999997E-2</c:v>
                </c:pt>
                <c:pt idx="132">
                  <c:v>2.1791999999999999E-2</c:v>
                </c:pt>
                <c:pt idx="133">
                  <c:v>2.1984E-2</c:v>
                </c:pt>
                <c:pt idx="134">
                  <c:v>2.2179999999999998E-2</c:v>
                </c:pt>
                <c:pt idx="135">
                  <c:v>2.2374000000000002E-2</c:v>
                </c:pt>
                <c:pt idx="136">
                  <c:v>2.2568000000000001E-2</c:v>
                </c:pt>
                <c:pt idx="137">
                  <c:v>2.2761999999999998E-2</c:v>
                </c:pt>
                <c:pt idx="138">
                  <c:v>2.2930000000000002E-2</c:v>
                </c:pt>
                <c:pt idx="139">
                  <c:v>2.3123999999999999E-2</c:v>
                </c:pt>
                <c:pt idx="140">
                  <c:v>2.3316E-2</c:v>
                </c:pt>
                <c:pt idx="141">
                  <c:v>2.3485999999999996E-2</c:v>
                </c:pt>
                <c:pt idx="142">
                  <c:v>2.368E-2</c:v>
                </c:pt>
                <c:pt idx="143">
                  <c:v>2.3845999999999999E-2</c:v>
                </c:pt>
                <c:pt idx="144">
                  <c:v>2.4039999999999999E-2</c:v>
                </c:pt>
                <c:pt idx="145">
                  <c:v>2.4205999999999998E-2</c:v>
                </c:pt>
                <c:pt idx="146">
                  <c:v>2.4402E-2</c:v>
                </c:pt>
                <c:pt idx="147">
                  <c:v>2.4597999999999998E-2</c:v>
                </c:pt>
                <c:pt idx="148">
                  <c:v>2.4733999999999999E-2</c:v>
                </c:pt>
                <c:pt idx="149">
                  <c:v>2.4929999999999997E-2</c:v>
                </c:pt>
                <c:pt idx="150">
                  <c:v>2.5068E-2</c:v>
                </c:pt>
                <c:pt idx="151">
                  <c:v>2.5264000000000002E-2</c:v>
                </c:pt>
                <c:pt idx="152">
                  <c:v>2.5455999999999999E-2</c:v>
                </c:pt>
                <c:pt idx="153">
                  <c:v>2.5649999999999999E-2</c:v>
                </c:pt>
                <c:pt idx="154">
                  <c:v>2.5817999999999997E-2</c:v>
                </c:pt>
                <c:pt idx="155">
                  <c:v>2.6041999999999999E-2</c:v>
                </c:pt>
                <c:pt idx="156">
                  <c:v>2.6234E-2</c:v>
                </c:pt>
                <c:pt idx="157">
                  <c:v>2.6427999999999997E-2</c:v>
                </c:pt>
                <c:pt idx="158">
                  <c:v>2.6623999999999998E-2</c:v>
                </c:pt>
                <c:pt idx="159">
                  <c:v>2.6817999999999998E-2</c:v>
                </c:pt>
                <c:pt idx="160">
                  <c:v>2.6983999999999998E-2</c:v>
                </c:pt>
                <c:pt idx="161">
                  <c:v>2.7178000000000001E-2</c:v>
                </c:pt>
                <c:pt idx="162">
                  <c:v>2.7373999999999999E-2</c:v>
                </c:pt>
                <c:pt idx="163">
                  <c:v>2.7568000000000002E-2</c:v>
                </c:pt>
                <c:pt idx="164">
                  <c:v>2.7761999999999998E-2</c:v>
                </c:pt>
                <c:pt idx="165">
                  <c:v>2.7955999999999998E-2</c:v>
                </c:pt>
                <c:pt idx="166">
                  <c:v>2.8152E-2</c:v>
                </c:pt>
                <c:pt idx="167">
                  <c:v>2.8346E-2</c:v>
                </c:pt>
                <c:pt idx="168">
                  <c:v>2.8539999999999999E-2</c:v>
                </c:pt>
                <c:pt idx="169">
                  <c:v>2.8734000000000003E-2</c:v>
                </c:pt>
                <c:pt idx="170">
                  <c:v>2.8929999999999997E-2</c:v>
                </c:pt>
                <c:pt idx="171">
                  <c:v>2.9125999999999999E-2</c:v>
                </c:pt>
                <c:pt idx="172">
                  <c:v>2.9289999999999997E-2</c:v>
                </c:pt>
                <c:pt idx="173">
                  <c:v>2.9456000000000003E-2</c:v>
                </c:pt>
                <c:pt idx="174">
                  <c:v>2.9622000000000002E-2</c:v>
                </c:pt>
                <c:pt idx="175">
                  <c:v>2.9790000000000001E-2</c:v>
                </c:pt>
                <c:pt idx="176">
                  <c:v>2.9957999999999999E-2</c:v>
                </c:pt>
                <c:pt idx="177">
                  <c:v>3.0095999999999998E-2</c:v>
                </c:pt>
                <c:pt idx="178">
                  <c:v>3.0234E-2</c:v>
                </c:pt>
                <c:pt idx="179">
                  <c:v>3.0373999999999998E-2</c:v>
                </c:pt>
                <c:pt idx="180">
                  <c:v>3.0539999999999998E-2</c:v>
                </c:pt>
                <c:pt idx="181">
                  <c:v>3.0679999999999999E-2</c:v>
                </c:pt>
                <c:pt idx="182">
                  <c:v>3.0817999999999998E-2</c:v>
                </c:pt>
                <c:pt idx="183">
                  <c:v>3.0956000000000001E-2</c:v>
                </c:pt>
                <c:pt idx="184">
                  <c:v>3.1095999999999999E-2</c:v>
                </c:pt>
                <c:pt idx="185">
                  <c:v>3.1234000000000001E-2</c:v>
                </c:pt>
                <c:pt idx="186">
                  <c:v>3.1345999999999999E-2</c:v>
                </c:pt>
                <c:pt idx="187">
                  <c:v>3.1486E-2</c:v>
                </c:pt>
                <c:pt idx="188">
                  <c:v>3.1623999999999999E-2</c:v>
                </c:pt>
                <c:pt idx="189">
                  <c:v>3.1733999999999998E-2</c:v>
                </c:pt>
                <c:pt idx="190">
                  <c:v>3.1874E-2</c:v>
                </c:pt>
                <c:pt idx="191">
                  <c:v>3.1983999999999999E-2</c:v>
                </c:pt>
                <c:pt idx="192">
                  <c:v>3.2124E-2</c:v>
                </c:pt>
                <c:pt idx="193">
                  <c:v>3.2236000000000001E-2</c:v>
                </c:pt>
                <c:pt idx="194">
                  <c:v>3.2346E-2</c:v>
                </c:pt>
                <c:pt idx="195">
                  <c:v>3.2483999999999999E-2</c:v>
                </c:pt>
                <c:pt idx="196">
                  <c:v>3.2593999999999998E-2</c:v>
                </c:pt>
                <c:pt idx="197">
                  <c:v>3.2736000000000001E-2</c:v>
                </c:pt>
                <c:pt idx="198">
                  <c:v>3.2875999999999996E-2</c:v>
                </c:pt>
                <c:pt idx="199">
                  <c:v>3.2986000000000001E-2</c:v>
                </c:pt>
                <c:pt idx="200">
                  <c:v>3.3124000000000001E-2</c:v>
                </c:pt>
                <c:pt idx="201">
                  <c:v>3.3262E-2</c:v>
                </c:pt>
                <c:pt idx="202">
                  <c:v>3.3402000000000001E-2</c:v>
                </c:pt>
                <c:pt idx="203">
                  <c:v>3.3537999999999998E-2</c:v>
                </c:pt>
                <c:pt idx="204">
                  <c:v>3.3680000000000002E-2</c:v>
                </c:pt>
                <c:pt idx="205">
                  <c:v>3.3792000000000003E-2</c:v>
                </c:pt>
                <c:pt idx="206">
                  <c:v>3.3928E-2</c:v>
                </c:pt>
                <c:pt idx="207">
                  <c:v>3.4040000000000001E-2</c:v>
                </c:pt>
                <c:pt idx="208">
                  <c:v>3.4178E-2</c:v>
                </c:pt>
                <c:pt idx="209">
                  <c:v>3.4290000000000001E-2</c:v>
                </c:pt>
                <c:pt idx="210">
                  <c:v>3.4430000000000002E-2</c:v>
                </c:pt>
                <c:pt idx="211">
                  <c:v>3.4568000000000002E-2</c:v>
                </c:pt>
                <c:pt idx="212">
                  <c:v>3.4706000000000001E-2</c:v>
                </c:pt>
                <c:pt idx="213">
                  <c:v>3.4817999999999995E-2</c:v>
                </c:pt>
                <c:pt idx="214">
                  <c:v>3.4956000000000001E-2</c:v>
                </c:pt>
                <c:pt idx="215">
                  <c:v>3.5094E-2</c:v>
                </c:pt>
                <c:pt idx="216">
                  <c:v>3.5236000000000003E-2</c:v>
                </c:pt>
                <c:pt idx="217">
                  <c:v>3.5373999999999996E-2</c:v>
                </c:pt>
                <c:pt idx="218">
                  <c:v>3.5512000000000002E-2</c:v>
                </c:pt>
                <c:pt idx="219">
                  <c:v>3.5651999999999996E-2</c:v>
                </c:pt>
                <c:pt idx="220">
                  <c:v>3.5790000000000002E-2</c:v>
                </c:pt>
                <c:pt idx="221">
                  <c:v>3.5901999999999996E-2</c:v>
                </c:pt>
                <c:pt idx="222">
                  <c:v>3.6040000000000003E-2</c:v>
                </c:pt>
                <c:pt idx="223">
                  <c:v>3.6152000000000004E-2</c:v>
                </c:pt>
                <c:pt idx="224">
                  <c:v>3.6290000000000003E-2</c:v>
                </c:pt>
                <c:pt idx="225">
                  <c:v>3.6402000000000004E-2</c:v>
                </c:pt>
                <c:pt idx="226">
                  <c:v>3.6539999999999996E-2</c:v>
                </c:pt>
                <c:pt idx="227">
                  <c:v>3.6651999999999997E-2</c:v>
                </c:pt>
                <c:pt idx="228">
                  <c:v>3.6762000000000003E-2</c:v>
                </c:pt>
                <c:pt idx="229">
                  <c:v>3.6901999999999997E-2</c:v>
                </c:pt>
                <c:pt idx="230">
                  <c:v>3.7012000000000003E-2</c:v>
                </c:pt>
                <c:pt idx="231">
                  <c:v>3.7124000000000004E-2</c:v>
                </c:pt>
                <c:pt idx="232">
                  <c:v>3.7233999999999996E-2</c:v>
                </c:pt>
                <c:pt idx="233">
                  <c:v>3.7345999999999997E-2</c:v>
                </c:pt>
                <c:pt idx="234">
                  <c:v>3.7457999999999998E-2</c:v>
                </c:pt>
                <c:pt idx="235">
                  <c:v>3.7595999999999997E-2</c:v>
                </c:pt>
                <c:pt idx="236">
                  <c:v>3.7707999999999998E-2</c:v>
                </c:pt>
                <c:pt idx="237">
                  <c:v>3.7817999999999997E-2</c:v>
                </c:pt>
                <c:pt idx="238">
                  <c:v>3.7957999999999999E-2</c:v>
                </c:pt>
                <c:pt idx="239">
                  <c:v>3.8095999999999998E-2</c:v>
                </c:pt>
                <c:pt idx="240">
                  <c:v>3.8235999999999999E-2</c:v>
                </c:pt>
                <c:pt idx="241">
                  <c:v>3.8373999999999998E-2</c:v>
                </c:pt>
                <c:pt idx="242">
                  <c:v>3.8511999999999998E-2</c:v>
                </c:pt>
                <c:pt idx="243">
                  <c:v>3.8650000000000004E-2</c:v>
                </c:pt>
                <c:pt idx="244">
                  <c:v>3.8789999999999998E-2</c:v>
                </c:pt>
                <c:pt idx="245">
                  <c:v>3.8927999999999997E-2</c:v>
                </c:pt>
                <c:pt idx="246">
                  <c:v>3.9039999999999998E-2</c:v>
                </c:pt>
                <c:pt idx="247">
                  <c:v>3.918E-2</c:v>
                </c:pt>
                <c:pt idx="248">
                  <c:v>3.9289999999999999E-2</c:v>
                </c:pt>
                <c:pt idx="249">
                  <c:v>3.9427999999999998E-2</c:v>
                </c:pt>
                <c:pt idx="250">
                  <c:v>3.9567999999999999E-2</c:v>
                </c:pt>
                <c:pt idx="251">
                  <c:v>3.968E-2</c:v>
                </c:pt>
                <c:pt idx="252">
                  <c:v>3.9817999999999999E-2</c:v>
                </c:pt>
                <c:pt idx="253">
                  <c:v>3.993E-2</c:v>
                </c:pt>
                <c:pt idx="254">
                  <c:v>4.0067999999999999E-2</c:v>
                </c:pt>
                <c:pt idx="255">
                  <c:v>4.018E-2</c:v>
                </c:pt>
                <c:pt idx="256">
                  <c:v>4.0292000000000001E-2</c:v>
                </c:pt>
                <c:pt idx="257">
                  <c:v>4.0401999999999993E-2</c:v>
                </c:pt>
                <c:pt idx="258">
                  <c:v>4.0511999999999999E-2</c:v>
                </c:pt>
                <c:pt idx="259">
                  <c:v>4.0624E-2</c:v>
                </c:pt>
                <c:pt idx="260">
                  <c:v>4.0708000000000001E-2</c:v>
                </c:pt>
                <c:pt idx="261">
                  <c:v>4.0818E-2</c:v>
                </c:pt>
                <c:pt idx="262">
                  <c:v>4.0930000000000001E-2</c:v>
                </c:pt>
                <c:pt idx="263">
                  <c:v>4.1012000000000007E-2</c:v>
                </c:pt>
                <c:pt idx="264">
                  <c:v>4.1093999999999999E-2</c:v>
                </c:pt>
                <c:pt idx="265">
                  <c:v>4.1180000000000001E-2</c:v>
                </c:pt>
                <c:pt idx="266">
                  <c:v>4.1264000000000002E-2</c:v>
                </c:pt>
                <c:pt idx="267">
                  <c:v>4.1374000000000001E-2</c:v>
                </c:pt>
                <c:pt idx="268">
                  <c:v>4.1458000000000002E-2</c:v>
                </c:pt>
                <c:pt idx="269">
                  <c:v>4.1542000000000003E-2</c:v>
                </c:pt>
                <c:pt idx="270">
                  <c:v>4.1622000000000006E-2</c:v>
                </c:pt>
                <c:pt idx="271">
                  <c:v>4.1734E-2</c:v>
                </c:pt>
                <c:pt idx="272">
                  <c:v>4.1818000000000001E-2</c:v>
                </c:pt>
                <c:pt idx="273">
                  <c:v>4.1900000000000007E-2</c:v>
                </c:pt>
                <c:pt idx="274">
                  <c:v>4.1985999999999996E-2</c:v>
                </c:pt>
                <c:pt idx="275">
                  <c:v>4.2068000000000001E-2</c:v>
                </c:pt>
                <c:pt idx="276">
                  <c:v>4.2152000000000002E-2</c:v>
                </c:pt>
                <c:pt idx="277">
                  <c:v>4.2234000000000001E-2</c:v>
                </c:pt>
                <c:pt idx="278">
                  <c:v>4.2317999999999995E-2</c:v>
                </c:pt>
                <c:pt idx="279">
                  <c:v>4.2428E-2</c:v>
                </c:pt>
                <c:pt idx="280">
                  <c:v>4.2512000000000001E-2</c:v>
                </c:pt>
                <c:pt idx="281">
                  <c:v>4.2595999999999995E-2</c:v>
                </c:pt>
                <c:pt idx="282">
                  <c:v>4.2708000000000003E-2</c:v>
                </c:pt>
                <c:pt idx="283">
                  <c:v>4.2790000000000002E-2</c:v>
                </c:pt>
                <c:pt idx="284">
                  <c:v>4.2873999999999995E-2</c:v>
                </c:pt>
                <c:pt idx="285">
                  <c:v>4.2986000000000003E-2</c:v>
                </c:pt>
                <c:pt idx="286">
                  <c:v>4.3070000000000004E-2</c:v>
                </c:pt>
                <c:pt idx="287">
                  <c:v>4.3178000000000001E-2</c:v>
                </c:pt>
                <c:pt idx="288">
                  <c:v>4.3262000000000002E-2</c:v>
                </c:pt>
                <c:pt idx="289">
                  <c:v>4.3346000000000003E-2</c:v>
                </c:pt>
                <c:pt idx="290">
                  <c:v>4.3429999999999996E-2</c:v>
                </c:pt>
                <c:pt idx="291">
                  <c:v>4.3513999999999997E-2</c:v>
                </c:pt>
                <c:pt idx="292">
                  <c:v>4.3596000000000003E-2</c:v>
                </c:pt>
                <c:pt idx="293">
                  <c:v>4.3678000000000002E-2</c:v>
                </c:pt>
                <c:pt idx="294">
                  <c:v>4.3761999999999995E-2</c:v>
                </c:pt>
                <c:pt idx="295">
                  <c:v>4.3848000000000005E-2</c:v>
                </c:pt>
                <c:pt idx="296">
                  <c:v>4.3929999999999997E-2</c:v>
                </c:pt>
                <c:pt idx="297">
                  <c:v>4.4013999999999998E-2</c:v>
                </c:pt>
                <c:pt idx="298">
                  <c:v>4.4096000000000003E-2</c:v>
                </c:pt>
                <c:pt idx="299">
                  <c:v>4.4177999999999995E-2</c:v>
                </c:pt>
                <c:pt idx="300">
                  <c:v>4.4261999999999996E-2</c:v>
                </c:pt>
                <c:pt idx="301">
                  <c:v>4.4345999999999997E-2</c:v>
                </c:pt>
                <c:pt idx="302">
                  <c:v>4.4429999999999997E-2</c:v>
                </c:pt>
                <c:pt idx="303">
                  <c:v>4.4512000000000003E-2</c:v>
                </c:pt>
                <c:pt idx="304">
                  <c:v>4.4595999999999997E-2</c:v>
                </c:pt>
                <c:pt idx="305">
                  <c:v>4.4679999999999997E-2</c:v>
                </c:pt>
                <c:pt idx="306">
                  <c:v>4.4790000000000003E-2</c:v>
                </c:pt>
                <c:pt idx="307">
                  <c:v>4.4901999999999997E-2</c:v>
                </c:pt>
                <c:pt idx="308">
                  <c:v>4.5011999999999996E-2</c:v>
                </c:pt>
                <c:pt idx="309">
                  <c:v>4.5124000000000004E-2</c:v>
                </c:pt>
                <c:pt idx="310">
                  <c:v>4.5233999999999996E-2</c:v>
                </c:pt>
                <c:pt idx="311">
                  <c:v>4.5346000000000004E-2</c:v>
                </c:pt>
                <c:pt idx="312">
                  <c:v>4.5456000000000003E-2</c:v>
                </c:pt>
                <c:pt idx="313">
                  <c:v>4.5567999999999997E-2</c:v>
                </c:pt>
                <c:pt idx="314">
                  <c:v>4.5678000000000003E-2</c:v>
                </c:pt>
                <c:pt idx="315">
                  <c:v>4.5789999999999997E-2</c:v>
                </c:pt>
                <c:pt idx="316">
                  <c:v>4.5902000000000005E-2</c:v>
                </c:pt>
                <c:pt idx="317">
                  <c:v>4.6013999999999999E-2</c:v>
                </c:pt>
                <c:pt idx="318">
                  <c:v>4.6123999999999998E-2</c:v>
                </c:pt>
                <c:pt idx="319">
                  <c:v>4.6207999999999999E-2</c:v>
                </c:pt>
                <c:pt idx="320">
                  <c:v>4.6317999999999998E-2</c:v>
                </c:pt>
                <c:pt idx="321">
                  <c:v>4.6429999999999999E-2</c:v>
                </c:pt>
                <c:pt idx="322">
                  <c:v>4.6539999999999998E-2</c:v>
                </c:pt>
                <c:pt idx="323">
                  <c:v>4.6623999999999999E-2</c:v>
                </c:pt>
                <c:pt idx="324">
                  <c:v>4.6736000000000007E-2</c:v>
                </c:pt>
                <c:pt idx="325">
                  <c:v>4.6848000000000001E-2</c:v>
                </c:pt>
                <c:pt idx="326">
                  <c:v>4.6958E-2</c:v>
                </c:pt>
                <c:pt idx="327">
                  <c:v>4.7039999999999998E-2</c:v>
                </c:pt>
                <c:pt idx="328">
                  <c:v>4.7151999999999999E-2</c:v>
                </c:pt>
                <c:pt idx="329">
                  <c:v>4.7264E-2</c:v>
                </c:pt>
                <c:pt idx="330">
                  <c:v>4.7373999999999999E-2</c:v>
                </c:pt>
                <c:pt idx="331">
                  <c:v>4.7483999999999998E-2</c:v>
                </c:pt>
                <c:pt idx="332">
                  <c:v>4.7595999999999999E-2</c:v>
                </c:pt>
                <c:pt idx="333">
                  <c:v>4.7708E-2</c:v>
                </c:pt>
                <c:pt idx="334">
                  <c:v>4.7815999999999997E-2</c:v>
                </c:pt>
                <c:pt idx="335">
                  <c:v>4.7927999999999998E-2</c:v>
                </c:pt>
                <c:pt idx="336">
                  <c:v>4.8039999999999999E-2</c:v>
                </c:pt>
                <c:pt idx="337">
                  <c:v>4.8121999999999998E-2</c:v>
                </c:pt>
                <c:pt idx="338">
                  <c:v>4.8234000000000006E-2</c:v>
                </c:pt>
                <c:pt idx="339">
                  <c:v>4.8346E-2</c:v>
                </c:pt>
                <c:pt idx="340">
                  <c:v>4.8457999999999994E-2</c:v>
                </c:pt>
                <c:pt idx="341">
                  <c:v>4.854E-2</c:v>
                </c:pt>
                <c:pt idx="342">
                  <c:v>4.8652000000000001E-2</c:v>
                </c:pt>
                <c:pt idx="343">
                  <c:v>4.8734E-2</c:v>
                </c:pt>
                <c:pt idx="344">
                  <c:v>4.8844000000000005E-2</c:v>
                </c:pt>
                <c:pt idx="345">
                  <c:v>4.8986000000000002E-2</c:v>
                </c:pt>
                <c:pt idx="346">
                  <c:v>4.9124000000000001E-2</c:v>
                </c:pt>
                <c:pt idx="347">
                  <c:v>4.9236000000000002E-2</c:v>
                </c:pt>
                <c:pt idx="348">
                  <c:v>4.9371999999999999E-2</c:v>
                </c:pt>
                <c:pt idx="349">
                  <c:v>4.9512E-2</c:v>
                </c:pt>
                <c:pt idx="350">
                  <c:v>4.9623999999999995E-2</c:v>
                </c:pt>
                <c:pt idx="351">
                  <c:v>4.9762000000000001E-2</c:v>
                </c:pt>
                <c:pt idx="352">
                  <c:v>4.9901999999999995E-2</c:v>
                </c:pt>
                <c:pt idx="353">
                  <c:v>5.0014000000000003E-2</c:v>
                </c:pt>
                <c:pt idx="354">
                  <c:v>5.0122E-2</c:v>
                </c:pt>
                <c:pt idx="355">
                  <c:v>5.0262000000000001E-2</c:v>
                </c:pt>
                <c:pt idx="356">
                  <c:v>5.0374000000000002E-2</c:v>
                </c:pt>
                <c:pt idx="357">
                  <c:v>5.0484000000000001E-2</c:v>
                </c:pt>
                <c:pt idx="358">
                  <c:v>5.0595999999999995E-2</c:v>
                </c:pt>
                <c:pt idx="359">
                  <c:v>5.0708000000000003E-2</c:v>
                </c:pt>
                <c:pt idx="360">
                  <c:v>5.0846000000000002E-2</c:v>
                </c:pt>
                <c:pt idx="361">
                  <c:v>5.0957999999999996E-2</c:v>
                </c:pt>
                <c:pt idx="362">
                  <c:v>5.1067999999999995E-2</c:v>
                </c:pt>
                <c:pt idx="363">
                  <c:v>5.1180000000000003E-2</c:v>
                </c:pt>
                <c:pt idx="364">
                  <c:v>5.1291999999999997E-2</c:v>
                </c:pt>
                <c:pt idx="365">
                  <c:v>5.1403999999999998E-2</c:v>
                </c:pt>
                <c:pt idx="366">
                  <c:v>5.1513999999999997E-2</c:v>
                </c:pt>
                <c:pt idx="367">
                  <c:v>5.1622000000000001E-2</c:v>
                </c:pt>
                <c:pt idx="368">
                  <c:v>5.1734000000000002E-2</c:v>
                </c:pt>
                <c:pt idx="369">
                  <c:v>5.1844000000000001E-2</c:v>
                </c:pt>
                <c:pt idx="370">
                  <c:v>5.1955999999999995E-2</c:v>
                </c:pt>
                <c:pt idx="371">
                  <c:v>5.2068000000000003E-2</c:v>
                </c:pt>
                <c:pt idx="372">
                  <c:v>5.2179999999999997E-2</c:v>
                </c:pt>
                <c:pt idx="373">
                  <c:v>5.2291999999999998E-2</c:v>
                </c:pt>
                <c:pt idx="374">
                  <c:v>5.2401999999999997E-2</c:v>
                </c:pt>
                <c:pt idx="375">
                  <c:v>5.2511999999999996E-2</c:v>
                </c:pt>
                <c:pt idx="376">
                  <c:v>5.2649999999999995E-2</c:v>
                </c:pt>
                <c:pt idx="377">
                  <c:v>5.2789999999999997E-2</c:v>
                </c:pt>
                <c:pt idx="378">
                  <c:v>5.2930000000000005E-2</c:v>
                </c:pt>
                <c:pt idx="379">
                  <c:v>5.3067999999999997E-2</c:v>
                </c:pt>
                <c:pt idx="380">
                  <c:v>5.3205999999999996E-2</c:v>
                </c:pt>
                <c:pt idx="381">
                  <c:v>5.3345999999999998E-2</c:v>
                </c:pt>
                <c:pt idx="382">
                  <c:v>5.3483999999999997E-2</c:v>
                </c:pt>
                <c:pt idx="383">
                  <c:v>5.3623999999999998E-2</c:v>
                </c:pt>
                <c:pt idx="384">
                  <c:v>5.3764000000000006E-2</c:v>
                </c:pt>
                <c:pt idx="385">
                  <c:v>5.3901999999999999E-2</c:v>
                </c:pt>
                <c:pt idx="386">
                  <c:v>5.4039999999999998E-2</c:v>
                </c:pt>
                <c:pt idx="387">
                  <c:v>5.4179999999999999E-2</c:v>
                </c:pt>
                <c:pt idx="388">
                  <c:v>5.4317999999999998E-2</c:v>
                </c:pt>
                <c:pt idx="389">
                  <c:v>5.4457999999999999E-2</c:v>
                </c:pt>
                <c:pt idx="390">
                  <c:v>5.4595999999999999E-2</c:v>
                </c:pt>
                <c:pt idx="391">
                  <c:v>5.4733999999999998E-2</c:v>
                </c:pt>
                <c:pt idx="392">
                  <c:v>5.4873999999999999E-2</c:v>
                </c:pt>
                <c:pt idx="393">
                  <c:v>5.5014E-2</c:v>
                </c:pt>
                <c:pt idx="394">
                  <c:v>5.5152E-2</c:v>
                </c:pt>
                <c:pt idx="395">
                  <c:v>5.5292000000000001E-2</c:v>
                </c:pt>
                <c:pt idx="396">
                  <c:v>5.543E-2</c:v>
                </c:pt>
                <c:pt idx="397">
                  <c:v>5.5566000000000004E-2</c:v>
                </c:pt>
                <c:pt idx="398">
                  <c:v>5.5705999999999999E-2</c:v>
                </c:pt>
                <c:pt idx="399">
                  <c:v>5.5846E-2</c:v>
                </c:pt>
                <c:pt idx="400">
                  <c:v>5.6012000000000006E-2</c:v>
                </c:pt>
                <c:pt idx="401">
                  <c:v>5.6152000000000001E-2</c:v>
                </c:pt>
                <c:pt idx="402">
                  <c:v>5.6287999999999998E-2</c:v>
                </c:pt>
                <c:pt idx="403">
                  <c:v>5.6458000000000001E-2</c:v>
                </c:pt>
                <c:pt idx="404">
                  <c:v>5.6624000000000001E-2</c:v>
                </c:pt>
                <c:pt idx="405">
                  <c:v>5.6764000000000002E-2</c:v>
                </c:pt>
                <c:pt idx="406">
                  <c:v>5.6929999999999994E-2</c:v>
                </c:pt>
                <c:pt idx="407">
                  <c:v>5.7093999999999999E-2</c:v>
                </c:pt>
                <c:pt idx="408">
                  <c:v>5.7234E-2</c:v>
                </c:pt>
                <c:pt idx="409">
                  <c:v>5.7401999999999995E-2</c:v>
                </c:pt>
                <c:pt idx="410">
                  <c:v>5.7568000000000001E-2</c:v>
                </c:pt>
                <c:pt idx="411">
                  <c:v>5.7733999999999994E-2</c:v>
                </c:pt>
                <c:pt idx="412">
                  <c:v>5.7901999999999995E-2</c:v>
                </c:pt>
                <c:pt idx="413">
                  <c:v>5.8040000000000001E-2</c:v>
                </c:pt>
                <c:pt idx="414">
                  <c:v>5.8179999999999996E-2</c:v>
                </c:pt>
                <c:pt idx="415">
                  <c:v>5.8318000000000002E-2</c:v>
                </c:pt>
                <c:pt idx="416">
                  <c:v>5.8457999999999996E-2</c:v>
                </c:pt>
                <c:pt idx="417">
                  <c:v>5.8596000000000002E-2</c:v>
                </c:pt>
                <c:pt idx="418">
                  <c:v>5.8735999999999997E-2</c:v>
                </c:pt>
                <c:pt idx="419">
                  <c:v>5.8902000000000003E-2</c:v>
                </c:pt>
                <c:pt idx="420">
                  <c:v>5.9067999999999996E-2</c:v>
                </c:pt>
                <c:pt idx="421">
                  <c:v>5.9236000000000004E-2</c:v>
                </c:pt>
                <c:pt idx="422">
                  <c:v>5.9400000000000001E-2</c:v>
                </c:pt>
                <c:pt idx="423">
                  <c:v>5.9568000000000003E-2</c:v>
                </c:pt>
                <c:pt idx="424">
                  <c:v>5.9733999999999995E-2</c:v>
                </c:pt>
                <c:pt idx="425">
                  <c:v>5.9901999999999997E-2</c:v>
                </c:pt>
                <c:pt idx="426">
                  <c:v>6.0068000000000003E-2</c:v>
                </c:pt>
                <c:pt idx="427">
                  <c:v>6.0233999999999996E-2</c:v>
                </c:pt>
                <c:pt idx="428">
                  <c:v>6.0373999999999997E-2</c:v>
                </c:pt>
                <c:pt idx="429">
                  <c:v>6.0540000000000004E-2</c:v>
                </c:pt>
                <c:pt idx="430">
                  <c:v>6.0708000000000005E-2</c:v>
                </c:pt>
                <c:pt idx="431">
                  <c:v>6.0873999999999998E-2</c:v>
                </c:pt>
                <c:pt idx="432">
                  <c:v>6.1040000000000004E-2</c:v>
                </c:pt>
                <c:pt idx="433">
                  <c:v>6.1207999999999999E-2</c:v>
                </c:pt>
                <c:pt idx="434">
                  <c:v>6.1374000000000005E-2</c:v>
                </c:pt>
                <c:pt idx="435">
                  <c:v>6.1513999999999999E-2</c:v>
                </c:pt>
                <c:pt idx="436">
                  <c:v>6.1677999999999997E-2</c:v>
                </c:pt>
                <c:pt idx="437">
                  <c:v>6.1845999999999998E-2</c:v>
                </c:pt>
                <c:pt idx="438">
                  <c:v>6.2011999999999998E-2</c:v>
                </c:pt>
                <c:pt idx="439">
                  <c:v>6.2179999999999999E-2</c:v>
                </c:pt>
                <c:pt idx="440">
                  <c:v>6.2346000000000006E-2</c:v>
                </c:pt>
                <c:pt idx="441">
                  <c:v>6.2511999999999998E-2</c:v>
                </c:pt>
                <c:pt idx="442">
                  <c:v>6.2677999999999998E-2</c:v>
                </c:pt>
                <c:pt idx="443">
                  <c:v>6.2845999999999999E-2</c:v>
                </c:pt>
                <c:pt idx="444">
                  <c:v>6.3011999999999999E-2</c:v>
                </c:pt>
                <c:pt idx="445">
                  <c:v>6.3177999999999998E-2</c:v>
                </c:pt>
                <c:pt idx="446">
                  <c:v>6.3346E-2</c:v>
                </c:pt>
                <c:pt idx="447">
                  <c:v>6.3511999999999999E-2</c:v>
                </c:pt>
                <c:pt idx="448">
                  <c:v>6.368E-2</c:v>
                </c:pt>
                <c:pt idx="449">
                  <c:v>6.3846E-2</c:v>
                </c:pt>
                <c:pt idx="450">
                  <c:v>6.4011999999999999E-2</c:v>
                </c:pt>
                <c:pt idx="451">
                  <c:v>6.4208000000000001E-2</c:v>
                </c:pt>
                <c:pt idx="452">
                  <c:v>6.4374000000000001E-2</c:v>
                </c:pt>
                <c:pt idx="453">
                  <c:v>6.454E-2</c:v>
                </c:pt>
                <c:pt idx="454">
                  <c:v>6.4706E-2</c:v>
                </c:pt>
                <c:pt idx="455">
                  <c:v>6.4902000000000001E-2</c:v>
                </c:pt>
                <c:pt idx="456">
                  <c:v>6.5068000000000001E-2</c:v>
                </c:pt>
                <c:pt idx="457">
                  <c:v>6.5236000000000002E-2</c:v>
                </c:pt>
                <c:pt idx="458">
                  <c:v>6.5402000000000002E-2</c:v>
                </c:pt>
                <c:pt idx="459">
                  <c:v>6.5568000000000001E-2</c:v>
                </c:pt>
                <c:pt idx="460">
                  <c:v>6.5734000000000001E-2</c:v>
                </c:pt>
                <c:pt idx="461">
                  <c:v>6.5902000000000002E-2</c:v>
                </c:pt>
                <c:pt idx="462">
                  <c:v>6.6070000000000004E-2</c:v>
                </c:pt>
                <c:pt idx="463">
                  <c:v>6.6262000000000001E-2</c:v>
                </c:pt>
                <c:pt idx="464">
                  <c:v>6.6428000000000001E-2</c:v>
                </c:pt>
                <c:pt idx="465">
                  <c:v>6.6622000000000001E-2</c:v>
                </c:pt>
                <c:pt idx="466">
                  <c:v>6.6818000000000002E-2</c:v>
                </c:pt>
                <c:pt idx="467">
                  <c:v>6.7012000000000002E-2</c:v>
                </c:pt>
                <c:pt idx="468">
                  <c:v>6.7206000000000002E-2</c:v>
                </c:pt>
                <c:pt idx="469">
                  <c:v>6.7402000000000004E-2</c:v>
                </c:pt>
                <c:pt idx="470">
                  <c:v>6.7596000000000003E-2</c:v>
                </c:pt>
                <c:pt idx="471">
                  <c:v>6.7790000000000003E-2</c:v>
                </c:pt>
                <c:pt idx="472">
                  <c:v>6.7956000000000003E-2</c:v>
                </c:pt>
                <c:pt idx="473">
                  <c:v>6.8152000000000004E-2</c:v>
                </c:pt>
                <c:pt idx="474">
                  <c:v>6.8319999999999992E-2</c:v>
                </c:pt>
                <c:pt idx="475">
                  <c:v>6.8514000000000005E-2</c:v>
                </c:pt>
                <c:pt idx="476">
                  <c:v>6.8705999999999989E-2</c:v>
                </c:pt>
                <c:pt idx="477">
                  <c:v>6.8900000000000003E-2</c:v>
                </c:pt>
                <c:pt idx="478">
                  <c:v>6.9096000000000005E-2</c:v>
                </c:pt>
                <c:pt idx="479">
                  <c:v>6.9290000000000004E-2</c:v>
                </c:pt>
                <c:pt idx="480">
                  <c:v>6.9484000000000004E-2</c:v>
                </c:pt>
                <c:pt idx="481">
                  <c:v>6.9680000000000006E-2</c:v>
                </c:pt>
                <c:pt idx="482">
                  <c:v>6.9874000000000006E-2</c:v>
                </c:pt>
                <c:pt idx="483">
                  <c:v>7.0068000000000005E-2</c:v>
                </c:pt>
                <c:pt idx="484">
                  <c:v>7.0262000000000005E-2</c:v>
                </c:pt>
                <c:pt idx="485">
                  <c:v>7.0456000000000005E-2</c:v>
                </c:pt>
                <c:pt idx="486">
                  <c:v>7.0651999999999993E-2</c:v>
                </c:pt>
                <c:pt idx="487">
                  <c:v>7.0846000000000006E-2</c:v>
                </c:pt>
                <c:pt idx="488">
                  <c:v>7.1040000000000006E-2</c:v>
                </c:pt>
                <c:pt idx="489">
                  <c:v>7.1261999999999992E-2</c:v>
                </c:pt>
                <c:pt idx="490">
                  <c:v>7.1458000000000008E-2</c:v>
                </c:pt>
                <c:pt idx="491">
                  <c:v>7.1651999999999993E-2</c:v>
                </c:pt>
                <c:pt idx="492">
                  <c:v>7.1845999999999993E-2</c:v>
                </c:pt>
                <c:pt idx="493">
                  <c:v>7.2041999999999995E-2</c:v>
                </c:pt>
                <c:pt idx="494">
                  <c:v>7.2236000000000009E-2</c:v>
                </c:pt>
                <c:pt idx="495">
                  <c:v>7.2427999999999992E-2</c:v>
                </c:pt>
                <c:pt idx="496">
                  <c:v>7.2622000000000006E-2</c:v>
                </c:pt>
                <c:pt idx="497">
                  <c:v>7.2817999999999994E-2</c:v>
                </c:pt>
                <c:pt idx="498">
                  <c:v>7.3040000000000008E-2</c:v>
                </c:pt>
                <c:pt idx="499">
                  <c:v>7.3261999999999994E-2</c:v>
                </c:pt>
                <c:pt idx="500">
                  <c:v>7.3485999999999996E-2</c:v>
                </c:pt>
                <c:pt idx="501">
                  <c:v>7.3707999999999996E-2</c:v>
                </c:pt>
                <c:pt idx="502">
                  <c:v>7.3929999999999996E-2</c:v>
                </c:pt>
                <c:pt idx="503">
                  <c:v>7.4149999999999994E-2</c:v>
                </c:pt>
                <c:pt idx="504">
                  <c:v>7.4373999999999996E-2</c:v>
                </c:pt>
                <c:pt idx="505">
                  <c:v>7.4595999999999996E-2</c:v>
                </c:pt>
                <c:pt idx="506">
                  <c:v>7.4787999999999993E-2</c:v>
                </c:pt>
                <c:pt idx="507">
                  <c:v>7.5011999999999995E-2</c:v>
                </c:pt>
                <c:pt idx="508">
                  <c:v>7.5235999999999997E-2</c:v>
                </c:pt>
                <c:pt idx="509">
                  <c:v>7.5457999999999997E-2</c:v>
                </c:pt>
                <c:pt idx="510">
                  <c:v>7.5679999999999997E-2</c:v>
                </c:pt>
                <c:pt idx="511">
                  <c:v>7.5901999999999997E-2</c:v>
                </c:pt>
                <c:pt idx="512">
                  <c:v>7.6123999999999997E-2</c:v>
                </c:pt>
                <c:pt idx="513">
                  <c:v>7.6344000000000009E-2</c:v>
                </c:pt>
                <c:pt idx="514">
                  <c:v>7.6567999999999997E-2</c:v>
                </c:pt>
                <c:pt idx="515">
                  <c:v>7.6789999999999997E-2</c:v>
                </c:pt>
                <c:pt idx="516">
                  <c:v>7.7039999999999997E-2</c:v>
                </c:pt>
                <c:pt idx="517">
                  <c:v>7.7289999999999998E-2</c:v>
                </c:pt>
                <c:pt idx="518">
                  <c:v>7.7542E-2</c:v>
                </c:pt>
                <c:pt idx="519">
                  <c:v>7.7789999999999998E-2</c:v>
                </c:pt>
                <c:pt idx="520">
                  <c:v>7.8039999999999998E-2</c:v>
                </c:pt>
                <c:pt idx="521">
                  <c:v>7.8289999999999998E-2</c:v>
                </c:pt>
                <c:pt idx="522">
                  <c:v>7.8511999999999998E-2</c:v>
                </c:pt>
                <c:pt idx="523">
                  <c:v>7.8761999999999999E-2</c:v>
                </c:pt>
                <c:pt idx="524">
                  <c:v>7.9011999999999999E-2</c:v>
                </c:pt>
                <c:pt idx="525">
                  <c:v>7.9261999999999999E-2</c:v>
                </c:pt>
                <c:pt idx="526">
                  <c:v>7.9511999999999999E-2</c:v>
                </c:pt>
                <c:pt idx="527">
                  <c:v>7.9762E-2</c:v>
                </c:pt>
                <c:pt idx="528">
                  <c:v>8.0014000000000002E-2</c:v>
                </c:pt>
                <c:pt idx="529">
                  <c:v>8.0262E-2</c:v>
                </c:pt>
                <c:pt idx="530">
                  <c:v>8.0512E-2</c:v>
                </c:pt>
                <c:pt idx="531">
                  <c:v>8.0764000000000002E-2</c:v>
                </c:pt>
                <c:pt idx="532">
                  <c:v>8.1012000000000001E-2</c:v>
                </c:pt>
                <c:pt idx="533">
                  <c:v>8.1264000000000003E-2</c:v>
                </c:pt>
                <c:pt idx="534">
                  <c:v>8.1511999999999987E-2</c:v>
                </c:pt>
                <c:pt idx="535">
                  <c:v>8.1762000000000001E-2</c:v>
                </c:pt>
                <c:pt idx="536">
                  <c:v>8.2012000000000002E-2</c:v>
                </c:pt>
                <c:pt idx="537">
                  <c:v>8.2264000000000004E-2</c:v>
                </c:pt>
                <c:pt idx="538">
                  <c:v>8.2512000000000002E-2</c:v>
                </c:pt>
                <c:pt idx="539">
                  <c:v>8.2761999999999988E-2</c:v>
                </c:pt>
                <c:pt idx="540">
                  <c:v>8.3013999999999991E-2</c:v>
                </c:pt>
                <c:pt idx="541">
                  <c:v>8.3262000000000003E-2</c:v>
                </c:pt>
                <c:pt idx="542">
                  <c:v>8.3512000000000003E-2</c:v>
                </c:pt>
                <c:pt idx="543">
                  <c:v>8.3762000000000003E-2</c:v>
                </c:pt>
                <c:pt idx="544">
                  <c:v>8.4011999999999989E-2</c:v>
                </c:pt>
                <c:pt idx="545">
                  <c:v>8.4262000000000004E-2</c:v>
                </c:pt>
                <c:pt idx="546">
                  <c:v>8.4540000000000004E-2</c:v>
                </c:pt>
                <c:pt idx="547">
                  <c:v>8.4818000000000005E-2</c:v>
                </c:pt>
                <c:pt idx="548">
                  <c:v>8.5096000000000005E-2</c:v>
                </c:pt>
                <c:pt idx="549">
                  <c:v>8.5374000000000005E-2</c:v>
                </c:pt>
                <c:pt idx="550">
                  <c:v>8.5648000000000002E-2</c:v>
                </c:pt>
                <c:pt idx="551">
                  <c:v>8.5930000000000006E-2</c:v>
                </c:pt>
                <c:pt idx="552">
                  <c:v>8.6207999999999993E-2</c:v>
                </c:pt>
                <c:pt idx="553">
                  <c:v>8.6484000000000005E-2</c:v>
                </c:pt>
                <c:pt idx="554">
                  <c:v>8.6763999999999994E-2</c:v>
                </c:pt>
                <c:pt idx="555">
                  <c:v>8.7040000000000006E-2</c:v>
                </c:pt>
                <c:pt idx="556">
                  <c:v>8.7317999999999993E-2</c:v>
                </c:pt>
                <c:pt idx="557">
                  <c:v>8.7596000000000007E-2</c:v>
                </c:pt>
                <c:pt idx="558">
                  <c:v>8.7902000000000008E-2</c:v>
                </c:pt>
                <c:pt idx="559">
                  <c:v>8.8179999999999994E-2</c:v>
                </c:pt>
                <c:pt idx="560">
                  <c:v>8.8485999999999995E-2</c:v>
                </c:pt>
                <c:pt idx="561">
                  <c:v>8.8789999999999994E-2</c:v>
                </c:pt>
                <c:pt idx="562">
                  <c:v>8.9095999999999995E-2</c:v>
                </c:pt>
                <c:pt idx="563">
                  <c:v>8.9399999999999993E-2</c:v>
                </c:pt>
                <c:pt idx="564">
                  <c:v>8.970800000000001E-2</c:v>
                </c:pt>
                <c:pt idx="565">
                  <c:v>9.0012000000000009E-2</c:v>
                </c:pt>
                <c:pt idx="566">
                  <c:v>9.0315999999999994E-2</c:v>
                </c:pt>
                <c:pt idx="567">
                  <c:v>9.0623999999999996E-2</c:v>
                </c:pt>
                <c:pt idx="568">
                  <c:v>9.0928000000000009E-2</c:v>
                </c:pt>
                <c:pt idx="569">
                  <c:v>9.1233999999999996E-2</c:v>
                </c:pt>
                <c:pt idx="570">
                  <c:v>9.1539999999999996E-2</c:v>
                </c:pt>
                <c:pt idx="571">
                  <c:v>9.1843999999999995E-2</c:v>
                </c:pt>
                <c:pt idx="572">
                  <c:v>9.2149999999999996E-2</c:v>
                </c:pt>
                <c:pt idx="573">
                  <c:v>9.2455999999999997E-2</c:v>
                </c:pt>
                <c:pt idx="574">
                  <c:v>9.2761999999999997E-2</c:v>
                </c:pt>
                <c:pt idx="575">
                  <c:v>9.3095999999999998E-2</c:v>
                </c:pt>
                <c:pt idx="576">
                  <c:v>9.3429999999999999E-2</c:v>
                </c:pt>
                <c:pt idx="577">
                  <c:v>9.3764E-2</c:v>
                </c:pt>
                <c:pt idx="578">
                  <c:v>9.4095999999999999E-2</c:v>
                </c:pt>
                <c:pt idx="579">
                  <c:v>9.443E-2</c:v>
                </c:pt>
                <c:pt idx="580">
                  <c:v>9.4761999999999999E-2</c:v>
                </c:pt>
                <c:pt idx="581">
                  <c:v>9.5096000000000014E-2</c:v>
                </c:pt>
                <c:pt idx="582">
                  <c:v>9.5429999999999987E-2</c:v>
                </c:pt>
                <c:pt idx="583">
                  <c:v>9.5762E-2</c:v>
                </c:pt>
                <c:pt idx="584">
                  <c:v>9.6096000000000001E-2</c:v>
                </c:pt>
                <c:pt idx="585">
                  <c:v>9.6457999999999988E-2</c:v>
                </c:pt>
                <c:pt idx="586">
                  <c:v>9.6815999999999999E-2</c:v>
                </c:pt>
                <c:pt idx="587">
                  <c:v>9.7180000000000002E-2</c:v>
                </c:pt>
                <c:pt idx="588">
                  <c:v>9.7540000000000002E-2</c:v>
                </c:pt>
                <c:pt idx="589">
                  <c:v>9.7902000000000003E-2</c:v>
                </c:pt>
                <c:pt idx="590">
                  <c:v>9.8262000000000002E-2</c:v>
                </c:pt>
                <c:pt idx="591">
                  <c:v>9.8623999999999989E-2</c:v>
                </c:pt>
                <c:pt idx="592">
                  <c:v>9.8984000000000003E-2</c:v>
                </c:pt>
                <c:pt idx="593">
                  <c:v>9.934599999999999E-2</c:v>
                </c:pt>
                <c:pt idx="594">
                  <c:v>9.9708000000000005E-2</c:v>
                </c:pt>
                <c:pt idx="595">
                  <c:v>0.100068</c:v>
                </c:pt>
                <c:pt idx="596">
                  <c:v>0.100428</c:v>
                </c:pt>
                <c:pt idx="597">
                  <c:v>0.10079200000000001</c:v>
                </c:pt>
                <c:pt idx="598">
                  <c:v>0.10115</c:v>
                </c:pt>
                <c:pt idx="599">
                  <c:v>0.10154199999999999</c:v>
                </c:pt>
                <c:pt idx="600">
                  <c:v>0.101928</c:v>
                </c:pt>
                <c:pt idx="601">
                  <c:v>0.10231799999999999</c:v>
                </c:pt>
                <c:pt idx="602">
                  <c:v>0.10268000000000001</c:v>
                </c:pt>
                <c:pt idx="603">
                  <c:v>0.10307000000000001</c:v>
                </c:pt>
                <c:pt idx="604">
                  <c:v>0.10345800000000001</c:v>
                </c:pt>
                <c:pt idx="605">
                  <c:v>0.10384600000000001</c:v>
                </c:pt>
                <c:pt idx="606">
                  <c:v>0.10423400000000001</c:v>
                </c:pt>
                <c:pt idx="607">
                  <c:v>0.104626</c:v>
                </c:pt>
                <c:pt idx="608">
                  <c:v>0.10503999999999999</c:v>
                </c:pt>
                <c:pt idx="609">
                  <c:v>0.105458</c:v>
                </c:pt>
                <c:pt idx="610">
                  <c:v>0.10587400000000001</c:v>
                </c:pt>
                <c:pt idx="611">
                  <c:v>0.106318</c:v>
                </c:pt>
                <c:pt idx="612">
                  <c:v>0.106762</c:v>
                </c:pt>
                <c:pt idx="613">
                  <c:v>0.10718</c:v>
                </c:pt>
                <c:pt idx="614">
                  <c:v>0.107624</c:v>
                </c:pt>
                <c:pt idx="615">
                  <c:v>0.10806800000000001</c:v>
                </c:pt>
                <c:pt idx="616">
                  <c:v>0.108512</c:v>
                </c:pt>
                <c:pt idx="617">
                  <c:v>0.108958</c:v>
                </c:pt>
                <c:pt idx="618">
                  <c:v>0.1094</c:v>
                </c:pt>
                <c:pt idx="619">
                  <c:v>0.10984400000000001</c:v>
                </c:pt>
                <c:pt idx="620">
                  <c:v>0.11029</c:v>
                </c:pt>
                <c:pt idx="621">
                  <c:v>0.110736</c:v>
                </c:pt>
                <c:pt idx="622">
                  <c:v>0.11117800000000001</c:v>
                </c:pt>
                <c:pt idx="623">
                  <c:v>0.111624</c:v>
                </c:pt>
                <c:pt idx="624">
                  <c:v>0.11207</c:v>
                </c:pt>
                <c:pt idx="625">
                  <c:v>0.112512</c:v>
                </c:pt>
                <c:pt idx="626">
                  <c:v>0.112986</c:v>
                </c:pt>
                <c:pt idx="627">
                  <c:v>0.11345599999999999</c:v>
                </c:pt>
                <c:pt idx="628">
                  <c:v>0.11393</c:v>
                </c:pt>
                <c:pt idx="629">
                  <c:v>0.114402</c:v>
                </c:pt>
                <c:pt idx="630">
                  <c:v>0.114902</c:v>
                </c:pt>
                <c:pt idx="631">
                  <c:v>0.115402</c:v>
                </c:pt>
                <c:pt idx="632">
                  <c:v>0.11590199999999999</c:v>
                </c:pt>
                <c:pt idx="633">
                  <c:v>0.1164</c:v>
                </c:pt>
                <c:pt idx="634">
                  <c:v>0.11692999999999999</c:v>
                </c:pt>
                <c:pt idx="635">
                  <c:v>0.11745799999999999</c:v>
                </c:pt>
                <c:pt idx="636">
                  <c:v>0.11798600000000001</c:v>
                </c:pt>
                <c:pt idx="637">
                  <c:v>0.11851399999999999</c:v>
                </c:pt>
                <c:pt idx="638">
                  <c:v>0.11906800000000001</c:v>
                </c:pt>
                <c:pt idx="639">
                  <c:v>0.11962400000000001</c:v>
                </c:pt>
                <c:pt idx="640">
                  <c:v>0.12017799999999999</c:v>
                </c:pt>
                <c:pt idx="641">
                  <c:v>0.120764</c:v>
                </c:pt>
                <c:pt idx="642">
                  <c:v>0.121318</c:v>
                </c:pt>
                <c:pt idx="643">
                  <c:v>0.12190200000000001</c:v>
                </c:pt>
                <c:pt idx="644">
                  <c:v>0.122484</c:v>
                </c:pt>
                <c:pt idx="645">
                  <c:v>0.123096</c:v>
                </c:pt>
                <c:pt idx="646">
                  <c:v>0.123736</c:v>
                </c:pt>
                <c:pt idx="647">
                  <c:v>0.12454000000000001</c:v>
                </c:pt>
              </c:numCache>
            </c:numRef>
          </c:cat>
          <c:val>
            <c:numRef>
              <c:f>'A12-5'!$F$2:$F$649</c:f>
              <c:numCache>
                <c:formatCode>0.00</c:formatCode>
                <c:ptCount val="648"/>
                <c:pt idx="0">
                  <c:v>0</c:v>
                </c:pt>
                <c:pt idx="1">
                  <c:v>0.23314048928201453</c:v>
                </c:pt>
                <c:pt idx="2">
                  <c:v>0.23314048928201453</c:v>
                </c:pt>
                <c:pt idx="3">
                  <c:v>0.23314048928201453</c:v>
                </c:pt>
                <c:pt idx="4">
                  <c:v>0.23314048928201453</c:v>
                </c:pt>
                <c:pt idx="5">
                  <c:v>0.23314048928201453</c:v>
                </c:pt>
                <c:pt idx="6">
                  <c:v>0.23314048928201453</c:v>
                </c:pt>
                <c:pt idx="7">
                  <c:v>0.23314048928201453</c:v>
                </c:pt>
                <c:pt idx="8">
                  <c:v>0.23314048928201453</c:v>
                </c:pt>
                <c:pt idx="9">
                  <c:v>0.23314048928201453</c:v>
                </c:pt>
                <c:pt idx="10">
                  <c:v>0.23314048928201453</c:v>
                </c:pt>
                <c:pt idx="11">
                  <c:v>0.23314048928201453</c:v>
                </c:pt>
                <c:pt idx="12">
                  <c:v>0.23314048928201453</c:v>
                </c:pt>
                <c:pt idx="13">
                  <c:v>0.23314048928201453</c:v>
                </c:pt>
                <c:pt idx="14">
                  <c:v>0.23314048928201453</c:v>
                </c:pt>
                <c:pt idx="15">
                  <c:v>0.23314048928201453</c:v>
                </c:pt>
                <c:pt idx="16">
                  <c:v>0.23314048928201453</c:v>
                </c:pt>
                <c:pt idx="17">
                  <c:v>0.23856243525380511</c:v>
                </c:pt>
                <c:pt idx="18">
                  <c:v>0.23856243525380511</c:v>
                </c:pt>
                <c:pt idx="19">
                  <c:v>0.23314048928201453</c:v>
                </c:pt>
                <c:pt idx="20">
                  <c:v>0.23856243525380511</c:v>
                </c:pt>
                <c:pt idx="21">
                  <c:v>0.23856243525380511</c:v>
                </c:pt>
                <c:pt idx="22">
                  <c:v>0.23856243525380511</c:v>
                </c:pt>
                <c:pt idx="23">
                  <c:v>0.23856243525380511</c:v>
                </c:pt>
                <c:pt idx="24">
                  <c:v>0.23856243525380511</c:v>
                </c:pt>
                <c:pt idx="25">
                  <c:v>0.23856243525380511</c:v>
                </c:pt>
                <c:pt idx="26">
                  <c:v>0.23856243525380511</c:v>
                </c:pt>
                <c:pt idx="27">
                  <c:v>0.23856243525380511</c:v>
                </c:pt>
                <c:pt idx="28">
                  <c:v>0.24398438122559568</c:v>
                </c:pt>
                <c:pt idx="29">
                  <c:v>0.24398438122559568</c:v>
                </c:pt>
                <c:pt idx="30">
                  <c:v>0.24398438122559568</c:v>
                </c:pt>
                <c:pt idx="31">
                  <c:v>0.24398438122559568</c:v>
                </c:pt>
                <c:pt idx="32">
                  <c:v>0.24398438122559568</c:v>
                </c:pt>
                <c:pt idx="33">
                  <c:v>0.24398438122559568</c:v>
                </c:pt>
                <c:pt idx="34">
                  <c:v>0.24398438122559568</c:v>
                </c:pt>
                <c:pt idx="35">
                  <c:v>0.24398438122559568</c:v>
                </c:pt>
                <c:pt idx="36">
                  <c:v>0.24398438122559568</c:v>
                </c:pt>
                <c:pt idx="37">
                  <c:v>0.24940632719738623</c:v>
                </c:pt>
                <c:pt idx="38">
                  <c:v>0.24940632719738623</c:v>
                </c:pt>
                <c:pt idx="39">
                  <c:v>0.24940632719738623</c:v>
                </c:pt>
                <c:pt idx="40">
                  <c:v>0.24940632719738623</c:v>
                </c:pt>
                <c:pt idx="41">
                  <c:v>0.24940632719738623</c:v>
                </c:pt>
                <c:pt idx="42">
                  <c:v>0.24940632719738623</c:v>
                </c:pt>
                <c:pt idx="43">
                  <c:v>0.24940632719738623</c:v>
                </c:pt>
                <c:pt idx="44">
                  <c:v>0.25482827316917683</c:v>
                </c:pt>
                <c:pt idx="45">
                  <c:v>0.25482827316917683</c:v>
                </c:pt>
                <c:pt idx="46">
                  <c:v>0.25482827316917683</c:v>
                </c:pt>
                <c:pt idx="47">
                  <c:v>0.25482827316917683</c:v>
                </c:pt>
                <c:pt idx="48">
                  <c:v>0.26025021914096741</c:v>
                </c:pt>
                <c:pt idx="49">
                  <c:v>0.26567216511275799</c:v>
                </c:pt>
                <c:pt idx="50">
                  <c:v>0.26567216511275799</c:v>
                </c:pt>
                <c:pt idx="51">
                  <c:v>0.27109411108454856</c:v>
                </c:pt>
                <c:pt idx="52">
                  <c:v>0.27109411108454856</c:v>
                </c:pt>
                <c:pt idx="53">
                  <c:v>0.27109411108454856</c:v>
                </c:pt>
                <c:pt idx="54">
                  <c:v>0.27651605705633919</c:v>
                </c:pt>
                <c:pt idx="55">
                  <c:v>0.28735994899992034</c:v>
                </c:pt>
                <c:pt idx="56">
                  <c:v>0.29820384094350144</c:v>
                </c:pt>
                <c:pt idx="57">
                  <c:v>0.30904773288708265</c:v>
                </c:pt>
                <c:pt idx="58">
                  <c:v>0.29820384094350144</c:v>
                </c:pt>
                <c:pt idx="59">
                  <c:v>0.28735994899992034</c:v>
                </c:pt>
                <c:pt idx="60">
                  <c:v>0.28193800302812977</c:v>
                </c:pt>
                <c:pt idx="61">
                  <c:v>0.28193800302812977</c:v>
                </c:pt>
                <c:pt idx="62">
                  <c:v>0.28193800302812977</c:v>
                </c:pt>
                <c:pt idx="63">
                  <c:v>0.29278189497171092</c:v>
                </c:pt>
                <c:pt idx="64">
                  <c:v>0.30362578691529202</c:v>
                </c:pt>
                <c:pt idx="65">
                  <c:v>0.31989799984062472</c:v>
                </c:pt>
                <c:pt idx="66">
                  <c:v>0.33073551677424495</c:v>
                </c:pt>
                <c:pt idx="67">
                  <c:v>0.34157303370786518</c:v>
                </c:pt>
                <c:pt idx="68">
                  <c:v>0.35241055064148535</c:v>
                </c:pt>
                <c:pt idx="69">
                  <c:v>0.35241055064148535</c:v>
                </c:pt>
                <c:pt idx="70">
                  <c:v>0.35241055064148535</c:v>
                </c:pt>
                <c:pt idx="71">
                  <c:v>0.35241055064148535</c:v>
                </c:pt>
                <c:pt idx="72">
                  <c:v>0.35786118415810025</c:v>
                </c:pt>
                <c:pt idx="73">
                  <c:v>0.35241055064148535</c:v>
                </c:pt>
                <c:pt idx="74">
                  <c:v>0.35241055064148535</c:v>
                </c:pt>
                <c:pt idx="75">
                  <c:v>0.35241055064148535</c:v>
                </c:pt>
                <c:pt idx="76">
                  <c:v>0.35241055064148535</c:v>
                </c:pt>
                <c:pt idx="77">
                  <c:v>0.35241055064148535</c:v>
                </c:pt>
                <c:pt idx="78">
                  <c:v>0.36327994262491037</c:v>
                </c:pt>
                <c:pt idx="79">
                  <c:v>0.36327994262491037</c:v>
                </c:pt>
                <c:pt idx="80">
                  <c:v>0.36327994262491037</c:v>
                </c:pt>
                <c:pt idx="81">
                  <c:v>0.38495497649215082</c:v>
                </c:pt>
                <c:pt idx="82">
                  <c:v>0.40663001035939123</c:v>
                </c:pt>
                <c:pt idx="83">
                  <c:v>0.41208064387600613</c:v>
                </c:pt>
                <c:pt idx="84">
                  <c:v>0.41749940234281624</c:v>
                </c:pt>
                <c:pt idx="85">
                  <c:v>0.42833691927643647</c:v>
                </c:pt>
                <c:pt idx="86">
                  <c:v>0.42833691927643647</c:v>
                </c:pt>
                <c:pt idx="87">
                  <c:v>0.43375567774324647</c:v>
                </c:pt>
                <c:pt idx="88">
                  <c:v>0.43375567774324647</c:v>
                </c:pt>
                <c:pt idx="89">
                  <c:v>0.43917443621005658</c:v>
                </c:pt>
                <c:pt idx="90">
                  <c:v>0.43917443621005658</c:v>
                </c:pt>
                <c:pt idx="91">
                  <c:v>0.43375567774324647</c:v>
                </c:pt>
                <c:pt idx="92">
                  <c:v>0.43375567774324647</c:v>
                </c:pt>
                <c:pt idx="93">
                  <c:v>0.43375567774324647</c:v>
                </c:pt>
                <c:pt idx="94">
                  <c:v>0.43375567774324647</c:v>
                </c:pt>
                <c:pt idx="95">
                  <c:v>0.43375567774324647</c:v>
                </c:pt>
                <c:pt idx="96">
                  <c:v>0.43375567774324647</c:v>
                </c:pt>
                <c:pt idx="97">
                  <c:v>0.43375567774324647</c:v>
                </c:pt>
                <c:pt idx="98">
                  <c:v>0.43375567774324647</c:v>
                </c:pt>
                <c:pt idx="99">
                  <c:v>0.43375567774324647</c:v>
                </c:pt>
                <c:pt idx="100">
                  <c:v>0.43917443621005658</c:v>
                </c:pt>
                <c:pt idx="101">
                  <c:v>0.43917443621005658</c:v>
                </c:pt>
                <c:pt idx="102">
                  <c:v>0.43917443621005658</c:v>
                </c:pt>
                <c:pt idx="103">
                  <c:v>0.43917443621005658</c:v>
                </c:pt>
                <c:pt idx="104">
                  <c:v>0.4445931946768667</c:v>
                </c:pt>
                <c:pt idx="105">
                  <c:v>0.4445931946768667</c:v>
                </c:pt>
                <c:pt idx="106">
                  <c:v>0.4445931946768667</c:v>
                </c:pt>
                <c:pt idx="107">
                  <c:v>0.4445931946768667</c:v>
                </c:pt>
                <c:pt idx="108">
                  <c:v>0.45001195314367681</c:v>
                </c:pt>
                <c:pt idx="109">
                  <c:v>0.45001195314367681</c:v>
                </c:pt>
                <c:pt idx="110">
                  <c:v>0.45543071161048693</c:v>
                </c:pt>
                <c:pt idx="111">
                  <c:v>0.46084947007729699</c:v>
                </c:pt>
                <c:pt idx="112">
                  <c:v>0.46084947007729699</c:v>
                </c:pt>
                <c:pt idx="113">
                  <c:v>0.47171886206072194</c:v>
                </c:pt>
                <c:pt idx="114">
                  <c:v>0.4933938959279624</c:v>
                </c:pt>
                <c:pt idx="115">
                  <c:v>0.5150689297952028</c:v>
                </c:pt>
                <c:pt idx="116">
                  <c:v>0.53677583871224799</c:v>
                </c:pt>
                <c:pt idx="117">
                  <c:v>0.55845087257948844</c:v>
                </c:pt>
                <c:pt idx="118">
                  <c:v>0.58015778149653363</c:v>
                </c:pt>
                <c:pt idx="119">
                  <c:v>0.60183281536377409</c:v>
                </c:pt>
                <c:pt idx="120">
                  <c:v>0.62350784923101454</c:v>
                </c:pt>
                <c:pt idx="121">
                  <c:v>0.64521475814805973</c:v>
                </c:pt>
                <c:pt idx="122">
                  <c:v>0.66688979201530019</c:v>
                </c:pt>
                <c:pt idx="123">
                  <c:v>0.68859670093234537</c:v>
                </c:pt>
                <c:pt idx="124">
                  <c:v>0.71027173479958561</c:v>
                </c:pt>
                <c:pt idx="125">
                  <c:v>0.73194676866682606</c:v>
                </c:pt>
                <c:pt idx="126">
                  <c:v>0.75365367758387114</c:v>
                </c:pt>
                <c:pt idx="127">
                  <c:v>0.77532871145111171</c:v>
                </c:pt>
                <c:pt idx="128">
                  <c:v>0.79703562036815678</c:v>
                </c:pt>
                <c:pt idx="129">
                  <c:v>0.82412941270220741</c:v>
                </c:pt>
                <c:pt idx="130">
                  <c:v>0.84580444656944787</c:v>
                </c:pt>
                <c:pt idx="131">
                  <c:v>0.86751135548649294</c:v>
                </c:pt>
                <c:pt idx="132">
                  <c:v>0.8891863893537334</c:v>
                </c:pt>
                <c:pt idx="133">
                  <c:v>0.91089329827077858</c:v>
                </c:pt>
                <c:pt idx="134">
                  <c:v>0.93256833213801904</c:v>
                </c:pt>
                <c:pt idx="135">
                  <c:v>0.9542433660052595</c:v>
                </c:pt>
                <c:pt idx="136">
                  <c:v>0.97595027492230457</c:v>
                </c:pt>
                <c:pt idx="137">
                  <c:v>0.99762530878954492</c:v>
                </c:pt>
                <c:pt idx="138">
                  <c:v>1.0193322177065902</c:v>
                </c:pt>
                <c:pt idx="139">
                  <c:v>1.0410072515738307</c:v>
                </c:pt>
                <c:pt idx="140">
                  <c:v>1.0626822854410711</c:v>
                </c:pt>
                <c:pt idx="141">
                  <c:v>1.0843891943581163</c:v>
                </c:pt>
                <c:pt idx="142">
                  <c:v>1.1060642282253568</c:v>
                </c:pt>
                <c:pt idx="143">
                  <c:v>1.127771137142402</c:v>
                </c:pt>
                <c:pt idx="144">
                  <c:v>1.1494461710096424</c:v>
                </c:pt>
                <c:pt idx="145">
                  <c:v>1.1711212048768826</c:v>
                </c:pt>
                <c:pt idx="146">
                  <c:v>1.1928281137939276</c:v>
                </c:pt>
                <c:pt idx="147">
                  <c:v>1.2145031476611681</c:v>
                </c:pt>
                <c:pt idx="148">
                  <c:v>1.2362100565782135</c:v>
                </c:pt>
                <c:pt idx="149">
                  <c:v>1.2578850904454539</c:v>
                </c:pt>
                <c:pt idx="150">
                  <c:v>1.2795601243126944</c:v>
                </c:pt>
                <c:pt idx="151">
                  <c:v>1.3012670332297394</c:v>
                </c:pt>
                <c:pt idx="152">
                  <c:v>1.3229420670969798</c:v>
                </c:pt>
                <c:pt idx="153">
                  <c:v>1.3446489760140252</c:v>
                </c:pt>
                <c:pt idx="154">
                  <c:v>1.3663240098812657</c:v>
                </c:pt>
                <c:pt idx="155">
                  <c:v>1.3879990437485059</c:v>
                </c:pt>
                <c:pt idx="156">
                  <c:v>1.4097059526655511</c:v>
                </c:pt>
                <c:pt idx="157">
                  <c:v>1.4313809865327916</c:v>
                </c:pt>
                <c:pt idx="158">
                  <c:v>1.453056020400032</c:v>
                </c:pt>
                <c:pt idx="159">
                  <c:v>1.4747629293170772</c:v>
                </c:pt>
                <c:pt idx="160">
                  <c:v>1.4964379631843177</c:v>
                </c:pt>
                <c:pt idx="161">
                  <c:v>1.5181448721013628</c:v>
                </c:pt>
                <c:pt idx="162">
                  <c:v>1.5398199059686033</c:v>
                </c:pt>
                <c:pt idx="163">
                  <c:v>1.5614949398358435</c:v>
                </c:pt>
                <c:pt idx="164">
                  <c:v>1.5832018487528887</c:v>
                </c:pt>
                <c:pt idx="165">
                  <c:v>1.604876882620129</c:v>
                </c:pt>
                <c:pt idx="166">
                  <c:v>1.6265837915371746</c:v>
                </c:pt>
                <c:pt idx="167">
                  <c:v>1.6482588254044148</c:v>
                </c:pt>
                <c:pt idx="168">
                  <c:v>1.6699338592716553</c:v>
                </c:pt>
                <c:pt idx="169">
                  <c:v>1.6916407681887002</c:v>
                </c:pt>
                <c:pt idx="170">
                  <c:v>1.7133158020559407</c:v>
                </c:pt>
                <c:pt idx="171">
                  <c:v>1.7350227109729859</c:v>
                </c:pt>
                <c:pt idx="172">
                  <c:v>1.7566977448402263</c:v>
                </c:pt>
                <c:pt idx="173">
                  <c:v>1.7783727787074668</c:v>
                </c:pt>
                <c:pt idx="174">
                  <c:v>1.800079687624512</c:v>
                </c:pt>
                <c:pt idx="175">
                  <c:v>1.8217547214917524</c:v>
                </c:pt>
                <c:pt idx="176">
                  <c:v>1.8434616304087976</c:v>
                </c:pt>
                <c:pt idx="177">
                  <c:v>1.8651366642760381</c:v>
                </c:pt>
                <c:pt idx="178">
                  <c:v>1.8868116981432785</c:v>
                </c:pt>
                <c:pt idx="179">
                  <c:v>1.9139373655271337</c:v>
                </c:pt>
                <c:pt idx="180">
                  <c:v>1.9356123993943741</c:v>
                </c:pt>
                <c:pt idx="181">
                  <c:v>1.9573193083114193</c:v>
                </c:pt>
                <c:pt idx="182">
                  <c:v>1.9789943421786598</c:v>
                </c:pt>
                <c:pt idx="183">
                  <c:v>2.0006693760459</c:v>
                </c:pt>
                <c:pt idx="184">
                  <c:v>2.0223762849629452</c:v>
                </c:pt>
                <c:pt idx="185">
                  <c:v>2.0494700772969958</c:v>
                </c:pt>
                <c:pt idx="186">
                  <c:v>2.076595744680851</c:v>
                </c:pt>
                <c:pt idx="187">
                  <c:v>2.0982707785480916</c:v>
                </c:pt>
                <c:pt idx="188">
                  <c:v>2.1199776874651368</c:v>
                </c:pt>
                <c:pt idx="189">
                  <c:v>2.1416527213323766</c:v>
                </c:pt>
                <c:pt idx="190">
                  <c:v>2.1633277551996177</c:v>
                </c:pt>
                <c:pt idx="191">
                  <c:v>2.1904534225834729</c:v>
                </c:pt>
                <c:pt idx="192">
                  <c:v>2.2121284564507135</c:v>
                </c:pt>
                <c:pt idx="193">
                  <c:v>2.2338353653677587</c:v>
                </c:pt>
                <c:pt idx="194">
                  <c:v>2.255510399234999</c:v>
                </c:pt>
                <c:pt idx="195">
                  <c:v>2.2826360666188541</c:v>
                </c:pt>
                <c:pt idx="196">
                  <c:v>2.3043111004860948</c:v>
                </c:pt>
                <c:pt idx="197">
                  <c:v>2.325986134353335</c:v>
                </c:pt>
                <c:pt idx="198">
                  <c:v>2.3531118017371901</c:v>
                </c:pt>
                <c:pt idx="199">
                  <c:v>2.3802055940712412</c:v>
                </c:pt>
                <c:pt idx="200">
                  <c:v>2.4073312614550963</c:v>
                </c:pt>
                <c:pt idx="201">
                  <c:v>2.4344250537891465</c:v>
                </c:pt>
                <c:pt idx="202">
                  <c:v>2.4615507211730021</c:v>
                </c:pt>
                <c:pt idx="203">
                  <c:v>2.4886445135070527</c:v>
                </c:pt>
                <c:pt idx="204">
                  <c:v>2.5103514224240975</c:v>
                </c:pt>
                <c:pt idx="205">
                  <c:v>2.5320264562913386</c:v>
                </c:pt>
                <c:pt idx="206">
                  <c:v>2.5537333652083838</c:v>
                </c:pt>
                <c:pt idx="207">
                  <c:v>2.5754083990756236</c:v>
                </c:pt>
                <c:pt idx="208">
                  <c:v>2.5970834329428638</c:v>
                </c:pt>
                <c:pt idx="209">
                  <c:v>2.6187903418599094</c:v>
                </c:pt>
                <c:pt idx="210">
                  <c:v>2.6404653757271497</c:v>
                </c:pt>
                <c:pt idx="211">
                  <c:v>2.6621722846441949</c:v>
                </c:pt>
                <c:pt idx="212">
                  <c:v>2.6838473185114351</c:v>
                </c:pt>
                <c:pt idx="213">
                  <c:v>2.7109411108454862</c:v>
                </c:pt>
                <c:pt idx="214">
                  <c:v>2.7326480197625314</c:v>
                </c:pt>
                <c:pt idx="215">
                  <c:v>2.7597418120965815</c:v>
                </c:pt>
                <c:pt idx="216">
                  <c:v>2.7814487210136267</c:v>
                </c:pt>
                <c:pt idx="217">
                  <c:v>2.8031237548808674</c:v>
                </c:pt>
                <c:pt idx="218">
                  <c:v>2.8247987887481072</c:v>
                </c:pt>
                <c:pt idx="219">
                  <c:v>2.8465056976651533</c:v>
                </c:pt>
                <c:pt idx="220">
                  <c:v>2.8735994899992034</c:v>
                </c:pt>
                <c:pt idx="221">
                  <c:v>2.8953063989162482</c:v>
                </c:pt>
                <c:pt idx="222">
                  <c:v>2.9169814327834893</c:v>
                </c:pt>
                <c:pt idx="223">
                  <c:v>2.9386883417005345</c:v>
                </c:pt>
                <c:pt idx="224">
                  <c:v>2.9603633755677743</c:v>
                </c:pt>
                <c:pt idx="225">
                  <c:v>2.9874571679018254</c:v>
                </c:pt>
                <c:pt idx="226">
                  <c:v>3.0091640768188705</c:v>
                </c:pt>
                <c:pt idx="227">
                  <c:v>3.0308391106861103</c:v>
                </c:pt>
                <c:pt idx="228">
                  <c:v>3.0579647780699659</c:v>
                </c:pt>
                <c:pt idx="229">
                  <c:v>3.0796398119372066</c:v>
                </c:pt>
                <c:pt idx="230">
                  <c:v>3.1013467208542518</c:v>
                </c:pt>
                <c:pt idx="231">
                  <c:v>3.123021754721492</c:v>
                </c:pt>
                <c:pt idx="232">
                  <c:v>3.1501155470555426</c:v>
                </c:pt>
                <c:pt idx="233">
                  <c:v>3.1718224559725878</c:v>
                </c:pt>
                <c:pt idx="234">
                  <c:v>3.1989799984062479</c:v>
                </c:pt>
                <c:pt idx="235">
                  <c:v>3.2206550322734881</c:v>
                </c:pt>
                <c:pt idx="236">
                  <c:v>3.2477488246075383</c:v>
                </c:pt>
                <c:pt idx="237">
                  <c:v>3.269423858474779</c:v>
                </c:pt>
                <c:pt idx="238">
                  <c:v>3.2965176508088296</c:v>
                </c:pt>
                <c:pt idx="239">
                  <c:v>3.3181926846760699</c:v>
                </c:pt>
                <c:pt idx="240">
                  <c:v>3.3452864770101205</c:v>
                </c:pt>
                <c:pt idx="241">
                  <c:v>3.3669615108773607</c:v>
                </c:pt>
                <c:pt idx="242">
                  <c:v>3.3940553032114114</c:v>
                </c:pt>
                <c:pt idx="243">
                  <c:v>3.421149095545462</c:v>
                </c:pt>
                <c:pt idx="244">
                  <c:v>3.4482428878795126</c:v>
                </c:pt>
                <c:pt idx="245">
                  <c:v>3.4699179217467528</c:v>
                </c:pt>
                <c:pt idx="246">
                  <c:v>3.4915929556139935</c:v>
                </c:pt>
                <c:pt idx="247">
                  <c:v>3.5132679894812333</c:v>
                </c:pt>
                <c:pt idx="248">
                  <c:v>3.5349430233484744</c:v>
                </c:pt>
                <c:pt idx="249">
                  <c:v>3.5566180572157142</c:v>
                </c:pt>
                <c:pt idx="250">
                  <c:v>3.5786118415810022</c:v>
                </c:pt>
                <c:pt idx="251">
                  <c:v>3.6057056339150533</c:v>
                </c:pt>
                <c:pt idx="252">
                  <c:v>3.6273806677822935</c:v>
                </c:pt>
                <c:pt idx="253">
                  <c:v>3.6490557016495342</c:v>
                </c:pt>
                <c:pt idx="254">
                  <c:v>3.6761494939835844</c:v>
                </c:pt>
                <c:pt idx="255">
                  <c:v>3.7032432863176354</c:v>
                </c:pt>
                <c:pt idx="256">
                  <c:v>3.7303370786516856</c:v>
                </c:pt>
                <c:pt idx="257">
                  <c:v>3.7574308709857362</c:v>
                </c:pt>
                <c:pt idx="258">
                  <c:v>3.7845246633197869</c:v>
                </c:pt>
                <c:pt idx="259">
                  <c:v>3.8061996971870271</c:v>
                </c:pt>
                <c:pt idx="260">
                  <c:v>3.8332934895210777</c:v>
                </c:pt>
                <c:pt idx="261">
                  <c:v>3.8603872818551284</c:v>
                </c:pt>
                <c:pt idx="262">
                  <c:v>3.8874810741891785</c:v>
                </c:pt>
                <c:pt idx="263">
                  <c:v>3.9145748665232292</c:v>
                </c:pt>
                <c:pt idx="264">
                  <c:v>3.9416686588572794</c:v>
                </c:pt>
                <c:pt idx="265">
                  <c:v>3.9633436927245205</c:v>
                </c:pt>
                <c:pt idx="266">
                  <c:v>3.9904374850585707</c:v>
                </c:pt>
                <c:pt idx="267">
                  <c:v>4.0175312773926208</c:v>
                </c:pt>
                <c:pt idx="268">
                  <c:v>4.0392063112598615</c:v>
                </c:pt>
                <c:pt idx="269">
                  <c:v>4.0608813451271022</c:v>
                </c:pt>
                <c:pt idx="270">
                  <c:v>4.0825563789943429</c:v>
                </c:pt>
                <c:pt idx="271">
                  <c:v>4.1042314128615827</c:v>
                </c:pt>
                <c:pt idx="272">
                  <c:v>4.131643955693681</c:v>
                </c:pt>
                <c:pt idx="273">
                  <c:v>4.1587377480277317</c:v>
                </c:pt>
                <c:pt idx="274">
                  <c:v>4.1804127818949723</c:v>
                </c:pt>
                <c:pt idx="275">
                  <c:v>4.2183440911626429</c:v>
                </c:pt>
                <c:pt idx="276">
                  <c:v>4.2562754004303134</c:v>
                </c:pt>
                <c:pt idx="277">
                  <c:v>4.2942067096979839</c:v>
                </c:pt>
                <c:pt idx="278">
                  <c:v>4.3267192604988454</c:v>
                </c:pt>
                <c:pt idx="279">
                  <c:v>4.3592318112997051</c:v>
                </c:pt>
                <c:pt idx="280">
                  <c:v>4.3971631205673756</c:v>
                </c:pt>
                <c:pt idx="281">
                  <c:v>4.435094429835047</c:v>
                </c:pt>
                <c:pt idx="282">
                  <c:v>4.4730257391027184</c:v>
                </c:pt>
                <c:pt idx="283">
                  <c:v>4.5055382899035781</c:v>
                </c:pt>
                <c:pt idx="284">
                  <c:v>4.5434695991712486</c:v>
                </c:pt>
                <c:pt idx="285">
                  <c:v>4.5814009084389191</c:v>
                </c:pt>
                <c:pt idx="286">
                  <c:v>4.6139134592397797</c:v>
                </c:pt>
                <c:pt idx="287">
                  <c:v>4.6518447685074511</c:v>
                </c:pt>
                <c:pt idx="288">
                  <c:v>4.6900948282731685</c:v>
                </c:pt>
                <c:pt idx="289">
                  <c:v>4.7226073790740299</c:v>
                </c:pt>
                <c:pt idx="290">
                  <c:v>4.7551199298748905</c:v>
                </c:pt>
                <c:pt idx="291">
                  <c:v>4.7876324806757511</c:v>
                </c:pt>
                <c:pt idx="292">
                  <c:v>4.8255637899434216</c:v>
                </c:pt>
                <c:pt idx="293">
                  <c:v>4.8580763407442822</c:v>
                </c:pt>
                <c:pt idx="294">
                  <c:v>4.8960076500119527</c:v>
                </c:pt>
                <c:pt idx="295">
                  <c:v>4.9285202008128142</c:v>
                </c:pt>
                <c:pt idx="296">
                  <c:v>4.9664515100804847</c:v>
                </c:pt>
                <c:pt idx="297">
                  <c:v>4.9989640608813453</c:v>
                </c:pt>
                <c:pt idx="298">
                  <c:v>5.0314766116822058</c:v>
                </c:pt>
                <c:pt idx="299">
                  <c:v>5.0639891624830673</c:v>
                </c:pt>
                <c:pt idx="300">
                  <c:v>5.1019204717507369</c:v>
                </c:pt>
                <c:pt idx="301">
                  <c:v>5.1344330225515984</c:v>
                </c:pt>
                <c:pt idx="302">
                  <c:v>5.1723643318192689</c:v>
                </c:pt>
                <c:pt idx="303">
                  <c:v>5.2048768826201286</c:v>
                </c:pt>
                <c:pt idx="304">
                  <c:v>5.2377081839190378</c:v>
                </c:pt>
                <c:pt idx="305">
                  <c:v>5.2756394931867083</c:v>
                </c:pt>
                <c:pt idx="306">
                  <c:v>5.3081520439875698</c:v>
                </c:pt>
                <c:pt idx="307">
                  <c:v>5.3406645947884304</c:v>
                </c:pt>
                <c:pt idx="308">
                  <c:v>5.3785959040561009</c:v>
                </c:pt>
                <c:pt idx="309">
                  <c:v>5.4111084548569615</c:v>
                </c:pt>
                <c:pt idx="310">
                  <c:v>5.443621005657822</c:v>
                </c:pt>
                <c:pt idx="311">
                  <c:v>5.4761335564586826</c:v>
                </c:pt>
                <c:pt idx="312">
                  <c:v>5.5086461072595423</c:v>
                </c:pt>
                <c:pt idx="313">
                  <c:v>5.5411586580604038</c:v>
                </c:pt>
                <c:pt idx="314">
                  <c:v>5.5736712088612643</c:v>
                </c:pt>
                <c:pt idx="315">
                  <c:v>5.6224400350625539</c:v>
                </c:pt>
                <c:pt idx="316">
                  <c:v>5.6657901027970361</c:v>
                </c:pt>
                <c:pt idx="317">
                  <c:v>5.7145589289983265</c:v>
                </c:pt>
                <c:pt idx="318">
                  <c:v>5.7579089967328079</c:v>
                </c:pt>
                <c:pt idx="319">
                  <c:v>5.8015778149653361</c:v>
                </c:pt>
                <c:pt idx="320">
                  <c:v>5.8449278826998174</c:v>
                </c:pt>
                <c:pt idx="321">
                  <c:v>5.888277950434297</c:v>
                </c:pt>
                <c:pt idx="322">
                  <c:v>5.9316280181687793</c:v>
                </c:pt>
                <c:pt idx="323">
                  <c:v>5.9749780859032589</c:v>
                </c:pt>
                <c:pt idx="324">
                  <c:v>6.0183281536377411</c:v>
                </c:pt>
                <c:pt idx="325">
                  <c:v>6.0616782213722207</c:v>
                </c:pt>
                <c:pt idx="326">
                  <c:v>6.105028289106702</c:v>
                </c:pt>
                <c:pt idx="327">
                  <c:v>6.1537971153079933</c:v>
                </c:pt>
                <c:pt idx="328">
                  <c:v>6.1971471830424729</c:v>
                </c:pt>
                <c:pt idx="329">
                  <c:v>6.2404972507769552</c:v>
                </c:pt>
                <c:pt idx="330">
                  <c:v>6.2892660769782456</c:v>
                </c:pt>
                <c:pt idx="331">
                  <c:v>6.3329348952107747</c:v>
                </c:pt>
                <c:pt idx="332">
                  <c:v>6.3762849629452543</c:v>
                </c:pt>
                <c:pt idx="333">
                  <c:v>6.4196350306797365</c:v>
                </c:pt>
                <c:pt idx="334">
                  <c:v>6.4684038568810269</c:v>
                </c:pt>
                <c:pt idx="335">
                  <c:v>6.5117539246155074</c:v>
                </c:pt>
                <c:pt idx="336">
                  <c:v>6.5551039923499888</c:v>
                </c:pt>
                <c:pt idx="337">
                  <c:v>6.5984540600844683</c:v>
                </c:pt>
                <c:pt idx="338">
                  <c:v>6.6472228862857596</c:v>
                </c:pt>
                <c:pt idx="339">
                  <c:v>6.690572954020241</c:v>
                </c:pt>
                <c:pt idx="340">
                  <c:v>6.7393417802215323</c:v>
                </c:pt>
                <c:pt idx="341">
                  <c:v>6.7826918479560128</c:v>
                </c:pt>
                <c:pt idx="342">
                  <c:v>6.8314606741573041</c:v>
                </c:pt>
                <c:pt idx="343">
                  <c:v>6.8805482508566422</c:v>
                </c:pt>
                <c:pt idx="344">
                  <c:v>6.9238983185911236</c:v>
                </c:pt>
                <c:pt idx="345">
                  <c:v>6.972667144792414</c:v>
                </c:pt>
                <c:pt idx="346">
                  <c:v>7.0322734879273252</c:v>
                </c:pt>
                <c:pt idx="347">
                  <c:v>7.0972985895290464</c:v>
                </c:pt>
                <c:pt idx="348">
                  <c:v>7.1569049326639576</c:v>
                </c:pt>
                <c:pt idx="349">
                  <c:v>7.2165112757988696</c:v>
                </c:pt>
                <c:pt idx="350">
                  <c:v>7.2815363774005899</c:v>
                </c:pt>
                <c:pt idx="351">
                  <c:v>7.3411427205355011</c:v>
                </c:pt>
                <c:pt idx="352">
                  <c:v>7.4061678221372222</c:v>
                </c:pt>
                <c:pt idx="353">
                  <c:v>7.4660929157701812</c:v>
                </c:pt>
                <c:pt idx="354">
                  <c:v>7.5256992589050924</c:v>
                </c:pt>
                <c:pt idx="355">
                  <c:v>7.5853056020400036</c:v>
                </c:pt>
                <c:pt idx="356">
                  <c:v>7.6503307036417247</c:v>
                </c:pt>
                <c:pt idx="357">
                  <c:v>7.7153558052434468</c:v>
                </c:pt>
                <c:pt idx="358">
                  <c:v>7.780380906845167</c:v>
                </c:pt>
                <c:pt idx="359">
                  <c:v>7.8454060084468882</c:v>
                </c:pt>
                <c:pt idx="360">
                  <c:v>7.8995935931149894</c:v>
                </c:pt>
                <c:pt idx="361">
                  <c:v>7.9595186867479484</c:v>
                </c:pt>
                <c:pt idx="362">
                  <c:v>8.0137062714160496</c:v>
                </c:pt>
                <c:pt idx="363">
                  <c:v>8.0733126145509608</c:v>
                </c:pt>
                <c:pt idx="364">
                  <c:v>8.1275001992190603</c:v>
                </c:pt>
                <c:pt idx="365">
                  <c:v>8.1816877838871633</c:v>
                </c:pt>
                <c:pt idx="366">
                  <c:v>8.2358753685552628</c:v>
                </c:pt>
                <c:pt idx="367">
                  <c:v>8.2900629532233641</c:v>
                </c:pt>
                <c:pt idx="368">
                  <c:v>8.3496692963582753</c:v>
                </c:pt>
                <c:pt idx="369">
                  <c:v>8.4201131564268081</c:v>
                </c:pt>
                <c:pt idx="370">
                  <c:v>8.4905570164953392</c:v>
                </c:pt>
                <c:pt idx="371">
                  <c:v>8.566738385528728</c:v>
                </c:pt>
                <c:pt idx="372">
                  <c:v>8.6371822455972609</c:v>
                </c:pt>
                <c:pt idx="373">
                  <c:v>8.7076261056657902</c:v>
                </c:pt>
                <c:pt idx="374">
                  <c:v>8.7834887242011312</c:v>
                </c:pt>
                <c:pt idx="375">
                  <c:v>8.8539325842696641</c:v>
                </c:pt>
                <c:pt idx="376">
                  <c:v>8.9297952028050052</c:v>
                </c:pt>
                <c:pt idx="377">
                  <c:v>9.0056578213403444</c:v>
                </c:pt>
                <c:pt idx="378">
                  <c:v>9.076420431906925</c:v>
                </c:pt>
                <c:pt idx="379">
                  <c:v>9.1522830504422679</c:v>
                </c:pt>
                <c:pt idx="380">
                  <c:v>9.2281456689776089</c:v>
                </c:pt>
                <c:pt idx="381">
                  <c:v>9.29858952904614</c:v>
                </c:pt>
                <c:pt idx="382">
                  <c:v>9.3744521475814828</c:v>
                </c:pt>
                <c:pt idx="383">
                  <c:v>9.4503147661168239</c:v>
                </c:pt>
                <c:pt idx="384">
                  <c:v>9.5207586261853532</c:v>
                </c:pt>
                <c:pt idx="385">
                  <c:v>9.5857837277870761</c:v>
                </c:pt>
                <c:pt idx="386">
                  <c:v>9.6565463383536549</c:v>
                </c:pt>
                <c:pt idx="387">
                  <c:v>9.7215714399553761</c:v>
                </c:pt>
                <c:pt idx="388">
                  <c:v>9.7974340584907171</c:v>
                </c:pt>
                <c:pt idx="389">
                  <c:v>9.8732966770260582</c:v>
                </c:pt>
                <c:pt idx="390">
                  <c:v>9.9491592955613992</c:v>
                </c:pt>
                <c:pt idx="391">
                  <c:v>10.03044067256355</c:v>
                </c:pt>
                <c:pt idx="392">
                  <c:v>10.106303291098893</c:v>
                </c:pt>
                <c:pt idx="393">
                  <c:v>10.182484660132282</c:v>
                </c:pt>
                <c:pt idx="394">
                  <c:v>10.263766037134433</c:v>
                </c:pt>
                <c:pt idx="395">
                  <c:v>10.339628655669776</c:v>
                </c:pt>
                <c:pt idx="396">
                  <c:v>10.420910032671927</c:v>
                </c:pt>
                <c:pt idx="397">
                  <c:v>10.496772651207268</c:v>
                </c:pt>
                <c:pt idx="398">
                  <c:v>10.57805402820942</c:v>
                </c:pt>
                <c:pt idx="399">
                  <c:v>10.659335405211571</c:v>
                </c:pt>
                <c:pt idx="400">
                  <c:v>10.740935532711772</c:v>
                </c:pt>
                <c:pt idx="401">
                  <c:v>10.822216909713923</c:v>
                </c:pt>
                <c:pt idx="402">
                  <c:v>10.903498286716074</c:v>
                </c:pt>
                <c:pt idx="403">
                  <c:v>10.984779663718225</c:v>
                </c:pt>
                <c:pt idx="404">
                  <c:v>11.071479799187186</c:v>
                </c:pt>
                <c:pt idx="405">
                  <c:v>11.152761176189339</c:v>
                </c:pt>
                <c:pt idx="406">
                  <c:v>11.250617579089967</c:v>
                </c:pt>
                <c:pt idx="407">
                  <c:v>11.34815523149255</c:v>
                </c:pt>
                <c:pt idx="408">
                  <c:v>11.445692883895131</c:v>
                </c:pt>
                <c:pt idx="409">
                  <c:v>11.532393019364095</c:v>
                </c:pt>
                <c:pt idx="410">
                  <c:v>11.629930671766676</c:v>
                </c:pt>
                <c:pt idx="411">
                  <c:v>11.727468324169257</c:v>
                </c:pt>
                <c:pt idx="412">
                  <c:v>11.814487210136267</c:v>
                </c:pt>
                <c:pt idx="413">
                  <c:v>11.917443621005658</c:v>
                </c:pt>
                <c:pt idx="414">
                  <c:v>12.014981273408239</c:v>
                </c:pt>
                <c:pt idx="415">
                  <c:v>12.101681408877203</c:v>
                </c:pt>
                <c:pt idx="416">
                  <c:v>12.199219061279784</c:v>
                </c:pt>
                <c:pt idx="417">
                  <c:v>12.285919196748745</c:v>
                </c:pt>
                <c:pt idx="418">
                  <c:v>12.383775599649375</c:v>
                </c:pt>
                <c:pt idx="419">
                  <c:v>12.470475735118336</c:v>
                </c:pt>
                <c:pt idx="420">
                  <c:v>12.557175870587299</c:v>
                </c:pt>
                <c:pt idx="421">
                  <c:v>12.66013228145669</c:v>
                </c:pt>
                <c:pt idx="422">
                  <c:v>12.757669933859273</c:v>
                </c:pt>
                <c:pt idx="423">
                  <c:v>12.860626344728665</c:v>
                </c:pt>
                <c:pt idx="424">
                  <c:v>12.963901506096104</c:v>
                </c:pt>
                <c:pt idx="425">
                  <c:v>13.072276675432306</c:v>
                </c:pt>
                <c:pt idx="426">
                  <c:v>13.175233086301697</c:v>
                </c:pt>
                <c:pt idx="427">
                  <c:v>13.283608255637901</c:v>
                </c:pt>
                <c:pt idx="428">
                  <c:v>13.386564666507292</c:v>
                </c:pt>
                <c:pt idx="429">
                  <c:v>13.48983982787473</c:v>
                </c:pt>
                <c:pt idx="430">
                  <c:v>13.598214997210935</c:v>
                </c:pt>
                <c:pt idx="431">
                  <c:v>13.706590166547137</c:v>
                </c:pt>
                <c:pt idx="432">
                  <c:v>13.814965335883338</c:v>
                </c:pt>
                <c:pt idx="433">
                  <c:v>13.92334050521954</c:v>
                </c:pt>
                <c:pt idx="434">
                  <c:v>14.032034425053791</c:v>
                </c:pt>
                <c:pt idx="435">
                  <c:v>14.140409594389991</c:v>
                </c:pt>
                <c:pt idx="436">
                  <c:v>14.248784763726194</c:v>
                </c:pt>
                <c:pt idx="437">
                  <c:v>14.362578691529205</c:v>
                </c:pt>
                <c:pt idx="438">
                  <c:v>14.470953860865409</c:v>
                </c:pt>
                <c:pt idx="439">
                  <c:v>14.585066539166467</c:v>
                </c:pt>
                <c:pt idx="440">
                  <c:v>14.698860466969482</c:v>
                </c:pt>
                <c:pt idx="441">
                  <c:v>14.807235636305682</c:v>
                </c:pt>
                <c:pt idx="442">
                  <c:v>14.921029564108697</c:v>
                </c:pt>
                <c:pt idx="443">
                  <c:v>15.034823491911707</c:v>
                </c:pt>
                <c:pt idx="444">
                  <c:v>15.143517411745956</c:v>
                </c:pt>
                <c:pt idx="445">
                  <c:v>15.25731133954897</c:v>
                </c:pt>
                <c:pt idx="446">
                  <c:v>15.371105267351981</c:v>
                </c:pt>
                <c:pt idx="447">
                  <c:v>15.501155470555423</c:v>
                </c:pt>
                <c:pt idx="448">
                  <c:v>15.636624432225677</c:v>
                </c:pt>
                <c:pt idx="449">
                  <c:v>15.766993385927165</c:v>
                </c:pt>
                <c:pt idx="450">
                  <c:v>15.897043589130611</c:v>
                </c:pt>
                <c:pt idx="451">
                  <c:v>16.027093792334053</c:v>
                </c:pt>
                <c:pt idx="452">
                  <c:v>16.162562754004302</c:v>
                </c:pt>
                <c:pt idx="453">
                  <c:v>16.292931707705794</c:v>
                </c:pt>
                <c:pt idx="454">
                  <c:v>16.422981910909236</c:v>
                </c:pt>
                <c:pt idx="455">
                  <c:v>16.553032114112678</c:v>
                </c:pt>
                <c:pt idx="456">
                  <c:v>16.688501075782931</c:v>
                </c:pt>
                <c:pt idx="457">
                  <c:v>16.824288787951236</c:v>
                </c:pt>
                <c:pt idx="458">
                  <c:v>16.954338991154675</c:v>
                </c:pt>
                <c:pt idx="459">
                  <c:v>17.089807952824927</c:v>
                </c:pt>
                <c:pt idx="460">
                  <c:v>17.225276914495179</c:v>
                </c:pt>
                <c:pt idx="461">
                  <c:v>17.361064626663481</c:v>
                </c:pt>
                <c:pt idx="462">
                  <c:v>17.496533588333733</c:v>
                </c:pt>
                <c:pt idx="463">
                  <c:v>17.632002550003982</c:v>
                </c:pt>
                <c:pt idx="464">
                  <c:v>17.772890270141051</c:v>
                </c:pt>
                <c:pt idx="465">
                  <c:v>17.908677982309349</c:v>
                </c:pt>
                <c:pt idx="466">
                  <c:v>18.044146943979602</c:v>
                </c:pt>
                <c:pt idx="467">
                  <c:v>18.18503466411666</c:v>
                </c:pt>
                <c:pt idx="468">
                  <c:v>18.342178659654159</c:v>
                </c:pt>
                <c:pt idx="469">
                  <c:v>18.499641405689697</c:v>
                </c:pt>
                <c:pt idx="470">
                  <c:v>18.656785401227186</c:v>
                </c:pt>
                <c:pt idx="471">
                  <c:v>18.808510638297875</c:v>
                </c:pt>
                <c:pt idx="472">
                  <c:v>18.949717108932983</c:v>
                </c:pt>
                <c:pt idx="473">
                  <c:v>19.101442346003665</c:v>
                </c:pt>
                <c:pt idx="474">
                  <c:v>19.242330066140727</c:v>
                </c:pt>
                <c:pt idx="475">
                  <c:v>19.383217786277793</c:v>
                </c:pt>
                <c:pt idx="476">
                  <c:v>19.524424256912901</c:v>
                </c:pt>
                <c:pt idx="477">
                  <c:v>19.692405769384017</c:v>
                </c:pt>
                <c:pt idx="478">
                  <c:v>19.854968523388319</c:v>
                </c:pt>
                <c:pt idx="479">
                  <c:v>20.012112518925811</c:v>
                </c:pt>
                <c:pt idx="480">
                  <c:v>20.174994023428166</c:v>
                </c:pt>
                <c:pt idx="481">
                  <c:v>20.337556777432464</c:v>
                </c:pt>
                <c:pt idx="482">
                  <c:v>20.500119531436766</c:v>
                </c:pt>
                <c:pt idx="483">
                  <c:v>20.668419794405931</c:v>
                </c:pt>
                <c:pt idx="484">
                  <c:v>20.830982548410233</c:v>
                </c:pt>
                <c:pt idx="485">
                  <c:v>20.993545302414535</c:v>
                </c:pt>
                <c:pt idx="486">
                  <c:v>21.161845565383697</c:v>
                </c:pt>
                <c:pt idx="487">
                  <c:v>21.329827077854809</c:v>
                </c:pt>
                <c:pt idx="488">
                  <c:v>21.497808590325924</c:v>
                </c:pt>
                <c:pt idx="489">
                  <c:v>21.66579010279704</c:v>
                </c:pt>
                <c:pt idx="490">
                  <c:v>21.828671607299388</c:v>
                </c:pt>
                <c:pt idx="491">
                  <c:v>21.9966531197705</c:v>
                </c:pt>
                <c:pt idx="492">
                  <c:v>22.159215873774805</c:v>
                </c:pt>
                <c:pt idx="493">
                  <c:v>22.327516136743967</c:v>
                </c:pt>
                <c:pt idx="494">
                  <c:v>22.511753924615508</c:v>
                </c:pt>
                <c:pt idx="495">
                  <c:v>22.701410470953864</c:v>
                </c:pt>
                <c:pt idx="496">
                  <c:v>22.885967009323455</c:v>
                </c:pt>
                <c:pt idx="497">
                  <c:v>23.07562355566181</c:v>
                </c:pt>
                <c:pt idx="498">
                  <c:v>23.259861343533352</c:v>
                </c:pt>
                <c:pt idx="499">
                  <c:v>23.44983664036975</c:v>
                </c:pt>
                <c:pt idx="500">
                  <c:v>23.634074428241298</c:v>
                </c:pt>
                <c:pt idx="501">
                  <c:v>23.823730974579647</c:v>
                </c:pt>
                <c:pt idx="502">
                  <c:v>24.013706271416048</c:v>
                </c:pt>
                <c:pt idx="503">
                  <c:v>24.203362817754407</c:v>
                </c:pt>
                <c:pt idx="504">
                  <c:v>24.393019364092755</c:v>
                </c:pt>
                <c:pt idx="505">
                  <c:v>24.58299466092916</c:v>
                </c:pt>
                <c:pt idx="506">
                  <c:v>24.772651207267511</c:v>
                </c:pt>
                <c:pt idx="507">
                  <c:v>24.962307753605867</c:v>
                </c:pt>
                <c:pt idx="508">
                  <c:v>25.152283050442268</c:v>
                </c:pt>
                <c:pt idx="509">
                  <c:v>25.347358355247433</c:v>
                </c:pt>
                <c:pt idx="510">
                  <c:v>25.559008685951074</c:v>
                </c:pt>
                <c:pt idx="511">
                  <c:v>25.770340266156669</c:v>
                </c:pt>
                <c:pt idx="512">
                  <c:v>25.981671846362264</c:v>
                </c:pt>
                <c:pt idx="513">
                  <c:v>26.193322177065902</c:v>
                </c:pt>
                <c:pt idx="514">
                  <c:v>26.404653757271497</c:v>
                </c:pt>
                <c:pt idx="515">
                  <c:v>26.621722846441951</c:v>
                </c:pt>
                <c:pt idx="516">
                  <c:v>26.838473185114353</c:v>
                </c:pt>
                <c:pt idx="517">
                  <c:v>27.055223523786758</c:v>
                </c:pt>
                <c:pt idx="518">
                  <c:v>27.272292612957209</c:v>
                </c:pt>
                <c:pt idx="519">
                  <c:v>27.494461710096427</c:v>
                </c:pt>
                <c:pt idx="520">
                  <c:v>27.716949557733685</c:v>
                </c:pt>
                <c:pt idx="521">
                  <c:v>27.9391186548729</c:v>
                </c:pt>
                <c:pt idx="522">
                  <c:v>28.161287752012115</c:v>
                </c:pt>
                <c:pt idx="523">
                  <c:v>28.389194358116185</c:v>
                </c:pt>
                <c:pt idx="524">
                  <c:v>28.6113634552554</c:v>
                </c:pt>
                <c:pt idx="525">
                  <c:v>28.839270061359471</c:v>
                </c:pt>
                <c:pt idx="526">
                  <c:v>29.066857916965496</c:v>
                </c:pt>
                <c:pt idx="527">
                  <c:v>29.294445772571517</c:v>
                </c:pt>
                <c:pt idx="528">
                  <c:v>29.522352378675595</c:v>
                </c:pt>
                <c:pt idx="529">
                  <c:v>29.749940234281617</c:v>
                </c:pt>
                <c:pt idx="530">
                  <c:v>29.977846840385691</c:v>
                </c:pt>
                <c:pt idx="531">
                  <c:v>30.221690971392142</c:v>
                </c:pt>
                <c:pt idx="532">
                  <c:v>30.449278826998167</c:v>
                </c:pt>
                <c:pt idx="533">
                  <c:v>30.677185433102238</c:v>
                </c:pt>
                <c:pt idx="534">
                  <c:v>30.931867081042316</c:v>
                </c:pt>
                <c:pt idx="535">
                  <c:v>31.181448721013627</c:v>
                </c:pt>
                <c:pt idx="536">
                  <c:v>31.436130368953705</c:v>
                </c:pt>
                <c:pt idx="537">
                  <c:v>31.685712008925012</c:v>
                </c:pt>
                <c:pt idx="538">
                  <c:v>31.935612399394373</c:v>
                </c:pt>
                <c:pt idx="539">
                  <c:v>32.200175312773929</c:v>
                </c:pt>
                <c:pt idx="540">
                  <c:v>32.461550721173005</c:v>
                </c:pt>
                <c:pt idx="541">
                  <c:v>32.710176109650178</c:v>
                </c:pt>
                <c:pt idx="542">
                  <c:v>32.958801498127343</c:v>
                </c:pt>
                <c:pt idx="543">
                  <c:v>33.226551916487374</c:v>
                </c:pt>
                <c:pt idx="544">
                  <c:v>33.475177304964539</c:v>
                </c:pt>
                <c:pt idx="545">
                  <c:v>33.739740218344089</c:v>
                </c:pt>
                <c:pt idx="546">
                  <c:v>34.017053151645555</c:v>
                </c:pt>
                <c:pt idx="547">
                  <c:v>34.287991074986053</c:v>
                </c:pt>
                <c:pt idx="548">
                  <c:v>34.552553988365602</c:v>
                </c:pt>
                <c:pt idx="549">
                  <c:v>34.823491911706114</c:v>
                </c:pt>
                <c:pt idx="550">
                  <c:v>35.094429835046618</c:v>
                </c:pt>
                <c:pt idx="551">
                  <c:v>35.371742768348078</c:v>
                </c:pt>
                <c:pt idx="552">
                  <c:v>35.655430711610485</c:v>
                </c:pt>
                <c:pt idx="553">
                  <c:v>35.929556139931471</c:v>
                </c:pt>
                <c:pt idx="554">
                  <c:v>36.200494063271975</c:v>
                </c:pt>
                <c:pt idx="555">
                  <c:v>36.484182006534382</c:v>
                </c:pt>
                <c:pt idx="556">
                  <c:v>36.771057454777271</c:v>
                </c:pt>
                <c:pt idx="557">
                  <c:v>37.057932903020159</c:v>
                </c:pt>
                <c:pt idx="558">
                  <c:v>37.341620846282574</c:v>
                </c:pt>
                <c:pt idx="559">
                  <c:v>37.628496294525462</c:v>
                </c:pt>
                <c:pt idx="560">
                  <c:v>37.931309267670734</c:v>
                </c:pt>
                <c:pt idx="561">
                  <c:v>38.234122240816006</c:v>
                </c:pt>
                <c:pt idx="562">
                  <c:v>38.543310223922234</c:v>
                </c:pt>
                <c:pt idx="563">
                  <c:v>38.849310702047973</c:v>
                </c:pt>
                <c:pt idx="564">
                  <c:v>39.1584986851542</c:v>
                </c:pt>
                <c:pt idx="565">
                  <c:v>39.483624193162804</c:v>
                </c:pt>
                <c:pt idx="566">
                  <c:v>39.802374691210453</c:v>
                </c:pt>
                <c:pt idx="567">
                  <c:v>40.105187664355732</c:v>
                </c:pt>
                <c:pt idx="568">
                  <c:v>40.414375647461952</c:v>
                </c:pt>
                <c:pt idx="569">
                  <c:v>40.739501155470556</c:v>
                </c:pt>
                <c:pt idx="570">
                  <c:v>41.064626663479167</c:v>
                </c:pt>
                <c:pt idx="571">
                  <c:v>41.389752171487771</c:v>
                </c:pt>
                <c:pt idx="572">
                  <c:v>41.711690174515894</c:v>
                </c:pt>
                <c:pt idx="573">
                  <c:v>42.036815682524505</c:v>
                </c:pt>
                <c:pt idx="574">
                  <c:v>42.361941190533109</c:v>
                </c:pt>
                <c:pt idx="575">
                  <c:v>42.709379233405059</c:v>
                </c:pt>
                <c:pt idx="576">
                  <c:v>43.05044226631604</c:v>
                </c:pt>
                <c:pt idx="577">
                  <c:v>43.391505299227028</c:v>
                </c:pt>
                <c:pt idx="578">
                  <c:v>43.732568332138023</c:v>
                </c:pt>
                <c:pt idx="579">
                  <c:v>44.086381384970913</c:v>
                </c:pt>
                <c:pt idx="580">
                  <c:v>44.433819427842856</c:v>
                </c:pt>
                <c:pt idx="581">
                  <c:v>44.784444975695273</c:v>
                </c:pt>
                <c:pt idx="582">
                  <c:v>45.13825802852817</c:v>
                </c:pt>
                <c:pt idx="583">
                  <c:v>45.495258586341542</c:v>
                </c:pt>
                <c:pt idx="584">
                  <c:v>45.852259144154914</c:v>
                </c:pt>
                <c:pt idx="585">
                  <c:v>46.231572236831624</c:v>
                </c:pt>
                <c:pt idx="586">
                  <c:v>46.59176029962547</c:v>
                </c:pt>
                <c:pt idx="587">
                  <c:v>46.948760857438849</c:v>
                </c:pt>
                <c:pt idx="588">
                  <c:v>47.321698940154597</c:v>
                </c:pt>
                <c:pt idx="589">
                  <c:v>47.691449517889872</c:v>
                </c:pt>
                <c:pt idx="590">
                  <c:v>48.077137620527537</c:v>
                </c:pt>
                <c:pt idx="591">
                  <c:v>48.456450713204241</c:v>
                </c:pt>
                <c:pt idx="592">
                  <c:v>48.823013785959041</c:v>
                </c:pt>
                <c:pt idx="593">
                  <c:v>49.2087018885967</c:v>
                </c:pt>
                <c:pt idx="594">
                  <c:v>49.600765001195313</c:v>
                </c:pt>
                <c:pt idx="595">
                  <c:v>49.989640608813453</c:v>
                </c:pt>
                <c:pt idx="596">
                  <c:v>50.381703721412066</c:v>
                </c:pt>
                <c:pt idx="597">
                  <c:v>50.792891863893537</c:v>
                </c:pt>
                <c:pt idx="598">
                  <c:v>51.19770499641406</c:v>
                </c:pt>
                <c:pt idx="599">
                  <c:v>51.589768109012674</c:v>
                </c:pt>
                <c:pt idx="600">
                  <c:v>52.000956251494145</c:v>
                </c:pt>
                <c:pt idx="601">
                  <c:v>52.408956888995142</c:v>
                </c:pt>
                <c:pt idx="602">
                  <c:v>52.826520041437568</c:v>
                </c:pt>
                <c:pt idx="603">
                  <c:v>53.244083193880002</c:v>
                </c:pt>
                <c:pt idx="604">
                  <c:v>53.661646346322421</c:v>
                </c:pt>
                <c:pt idx="605">
                  <c:v>54.072834488803892</c:v>
                </c:pt>
                <c:pt idx="606">
                  <c:v>54.490397641246318</c:v>
                </c:pt>
                <c:pt idx="607">
                  <c:v>54.923898318591128</c:v>
                </c:pt>
                <c:pt idx="608">
                  <c:v>55.347836480994509</c:v>
                </c:pt>
                <c:pt idx="609">
                  <c:v>55.774962148378357</c:v>
                </c:pt>
                <c:pt idx="610">
                  <c:v>56.224400350625551</c:v>
                </c:pt>
                <c:pt idx="611">
                  <c:v>56.657901027970361</c:v>
                </c:pt>
                <c:pt idx="612">
                  <c:v>57.110526735198029</c:v>
                </c:pt>
                <c:pt idx="613">
                  <c:v>57.559964937445216</c:v>
                </c:pt>
                <c:pt idx="614">
                  <c:v>58.018965654633845</c:v>
                </c:pt>
                <c:pt idx="615">
                  <c:v>58.481153876802935</c:v>
                </c:pt>
                <c:pt idx="616">
                  <c:v>58.946529603952506</c:v>
                </c:pt>
                <c:pt idx="617">
                  <c:v>59.408717826121602</c:v>
                </c:pt>
                <c:pt idx="618">
                  <c:v>59.864531038329751</c:v>
                </c:pt>
                <c:pt idx="619">
                  <c:v>60.339469280420751</c:v>
                </c:pt>
                <c:pt idx="620">
                  <c:v>60.80803251255081</c:v>
                </c:pt>
                <c:pt idx="621">
                  <c:v>61.279783249661335</c:v>
                </c:pt>
                <c:pt idx="622">
                  <c:v>61.770659016654726</c:v>
                </c:pt>
                <c:pt idx="623">
                  <c:v>62.264722288628583</c:v>
                </c:pt>
                <c:pt idx="624">
                  <c:v>62.752410550641493</c:v>
                </c:pt>
                <c:pt idx="625">
                  <c:v>63.112598613435338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D1-44A0-80C8-CF8A5556E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7624"/>
        <c:axId val="9649672"/>
      </c:lineChart>
      <c:catAx>
        <c:axId val="9647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Deformação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9672"/>
        <c:crosses val="autoZero"/>
        <c:auto val="1"/>
        <c:lblAlgn val="ctr"/>
        <c:lblOffset val="100"/>
        <c:tickLblSkip val="50"/>
        <c:noMultiLvlLbl val="0"/>
      </c:catAx>
      <c:valAx>
        <c:axId val="964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Tesnão (Mpa)</a:t>
                </a:r>
              </a:p>
            </c:rich>
          </c:tx>
          <c:layout>
            <c:manualLayout>
              <c:xMode val="edge"/>
              <c:yMode val="edge"/>
              <c:x val="2.8132900263884389E-2"/>
              <c:y val="0.37262518739761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7</xdr:row>
      <xdr:rowOff>26670</xdr:rowOff>
    </xdr:from>
    <xdr:to>
      <xdr:col>13</xdr:col>
      <xdr:colOff>144780</xdr:colOff>
      <xdr:row>22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318F7C-BB56-EB73-FB4A-9516F651F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6</xdr:row>
      <xdr:rowOff>3810</xdr:rowOff>
    </xdr:from>
    <xdr:to>
      <xdr:col>13</xdr:col>
      <xdr:colOff>144780</xdr:colOff>
      <xdr:row>21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75A4AF-7FE7-7C1C-764F-4BA0DFF3B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5</xdr:row>
      <xdr:rowOff>156210</xdr:rowOff>
    </xdr:from>
    <xdr:to>
      <xdr:col>13</xdr:col>
      <xdr:colOff>167640</xdr:colOff>
      <xdr:row>20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AB8F51-87FB-3327-54D4-86FC93187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5</xdr:row>
      <xdr:rowOff>148590</xdr:rowOff>
    </xdr:from>
    <xdr:to>
      <xdr:col>13</xdr:col>
      <xdr:colOff>335280</xdr:colOff>
      <xdr:row>20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F1F033-CFEA-0089-36B2-D7B80BCF0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5</xdr:row>
      <xdr:rowOff>179070</xdr:rowOff>
    </xdr:from>
    <xdr:to>
      <xdr:col>13</xdr:col>
      <xdr:colOff>350520</xdr:colOff>
      <xdr:row>20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735062-F9BA-9D9C-4078-FB5BAB21B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66674</xdr:rowOff>
    </xdr:from>
    <xdr:to>
      <xdr:col>19</xdr:col>
      <xdr:colOff>55800</xdr:colOff>
      <xdr:row>20</xdr:row>
      <xdr:rowOff>47174</xdr:rowOff>
    </xdr:to>
    <xdr:graphicFrame macro="">
      <xdr:nvGraphicFramePr>
        <xdr:cNvPr id="15" name="Gráfico 1">
          <a:extLst>
            <a:ext uri="{FF2B5EF4-FFF2-40B4-BE49-F238E27FC236}">
              <a16:creationId xmlns:a16="http://schemas.microsoft.com/office/drawing/2014/main" id="{16B349C5-B01A-8CE8-30D7-6A9470730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2FD961-69E2-4C58-8C28-73E825D75113}" name="Tabela11" displayName="Tabela11" ref="A1:F649" totalsRowShown="0" headerRowDxfId="40" dataDxfId="39">
  <autoFilter ref="A1:F649" xr:uid="{872FD961-69E2-4C58-8C28-73E825D75113}"/>
  <tableColumns count="6">
    <tableColumn id="1" xr3:uid="{2958A28F-7044-4FE4-BC70-4F9C2722CE44}" name="Tempo(s)" dataDxfId="38"/>
    <tableColumn id="2" xr3:uid="{290011BD-5AA7-4A34-B508-70B701EFE88A}" name="Alongamento(mm/mm)" dataDxfId="37"/>
    <tableColumn id="3" xr3:uid="{D428657F-E2BD-418D-A564-E8760413DF0D}" name="Deformação(mm/mm)" dataDxfId="36">
      <calculatedColumnFormula>Tabela11[[#This Row],[Alongamento(mm/mm)]]/$I$2</calculatedColumnFormula>
    </tableColumn>
    <tableColumn id="4" xr3:uid="{01E82A9B-0C2B-4737-9590-0339C1BB509C}" name="Força(N)" dataDxfId="35"/>
    <tableColumn id="5" xr3:uid="{5E8D5BB4-17DE-4E88-AED5-F23F29B4E573}" name="Tensão(Pa)" dataDxfId="34">
      <calculatedColumnFormula>Tabela11[[#This Row],[Força(N)]]/$I$5</calculatedColumnFormula>
    </tableColumn>
    <tableColumn id="6" xr3:uid="{EFCF105E-7AA8-47CE-B61D-C5D37C3E0C90}" name="Tensão(Mpa)" dataDxfId="33">
      <calculatedColumnFormula>Tabela11[[#This Row],[Tensão(Pa)]]/1000000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9545-D5FD-43E6-BA18-200CDDDF03F5}" name="Tabela12" displayName="Tabela12" ref="H1:K5" totalsRowShown="0">
  <autoFilter ref="H1:K5" xr:uid="{00009545-D5FD-43E6-BA18-200CDDDF03F5}"/>
  <tableColumns count="4">
    <tableColumn id="1" xr3:uid="{EE35A995-9B54-4789-A372-9DC114B9ACB2}" name="Unidade"/>
    <tableColumn id="2" xr3:uid="{EC2ABF4F-9DE9-424B-9945-708A6456D542}" name="Comprimento"/>
    <tableColumn id="3" xr3:uid="{DC0C70BB-B691-4454-B801-C5F63E93D529}" name="Largura"/>
    <tableColumn id="4" xr3:uid="{A5095E30-041A-43F8-ABDE-C9D2774DA49A}" name="Espessura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689F7F-F240-44AB-8419-F30714CF4EE1}" name="Tabela9" displayName="Tabela9" ref="A1:F596" totalsRowShown="0" headerRowDxfId="32" dataDxfId="31">
  <autoFilter ref="A1:F596" xr:uid="{53689F7F-F240-44AB-8419-F30714CF4EE1}"/>
  <tableColumns count="6">
    <tableColumn id="1" xr3:uid="{A52C58D3-2CA1-4CD2-8A82-3D71C0578586}" name="Tempo(s)" dataDxfId="30"/>
    <tableColumn id="2" xr3:uid="{78F46512-A87A-4B32-AF4C-BB4BA0D71399}" name="Alongamento(mm/mm)" dataDxfId="29"/>
    <tableColumn id="3" xr3:uid="{19A9A309-9935-4143-97AB-6D1D9B2698EC}" name="Deformação(mm/mm)" dataDxfId="28">
      <calculatedColumnFormula>Tabela9[[#This Row],[Alongamento(mm/mm)]]/$I$2</calculatedColumnFormula>
    </tableColumn>
    <tableColumn id="4" xr3:uid="{20312E1F-F7BA-4164-88EA-7B1238AE8F9E}" name="Forτa(N)" dataDxfId="27"/>
    <tableColumn id="5" xr3:uid="{BD5AA386-22D9-405E-BC13-F72B64E899C0}" name="Tensão(Pa)" dataDxfId="26">
      <calculatedColumnFormula>Tabela9[[#This Row],[Forτa(N)]]/$I$5</calculatedColumnFormula>
    </tableColumn>
    <tableColumn id="6" xr3:uid="{DC023DA3-A70E-481E-ADC2-BC1A0A6F9263}" name="Tensão(Mpa)" dataDxfId="25">
      <calculatedColumnFormula>Tabela9[[#This Row],[Tensão(Pa)]]/1000000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C3E410-71AD-497C-83BD-BFBBD7360F76}" name="Tabela10" displayName="Tabela10" ref="H1:K5" totalsRowShown="0">
  <autoFilter ref="H1:K5" xr:uid="{DCC3E410-71AD-497C-83BD-BFBBD7360F76}"/>
  <tableColumns count="4">
    <tableColumn id="1" xr3:uid="{E7810829-B74B-4B0C-AEFC-315C06AB8BBF}" name="Unidade"/>
    <tableColumn id="2" xr3:uid="{CBFF9ACD-5F36-44D9-A5B0-52262E262534}" name="Comprimento"/>
    <tableColumn id="3" xr3:uid="{8D888EA2-EDC6-40FC-B900-FC6A2FC86CCC}" name="Largura"/>
    <tableColumn id="4" xr3:uid="{6EEFBDA5-F7F1-49C0-9D21-FAB45DFA859C}" name="Espessura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C565C-1A28-4985-A400-F309FBA3A097}" name="Tabela7" displayName="Tabela7" ref="A1:F587" totalsRowShown="0" headerRowDxfId="24" dataDxfId="23">
  <autoFilter ref="A1:F587" xr:uid="{2E0C565C-1A28-4985-A400-F309FBA3A097}"/>
  <tableColumns count="6">
    <tableColumn id="1" xr3:uid="{F6299520-220E-4909-8146-FB4BDF800EA7}" name="Tempo(s)" dataDxfId="22"/>
    <tableColumn id="2" xr3:uid="{90AAD0FE-18C4-4E9A-97B7-E26BF051D734}" name="Alongamento(mm/mm)" dataDxfId="21"/>
    <tableColumn id="3" xr3:uid="{3AA93477-FDB9-4DB5-BFB7-4A963D1D98E6}" name="Deformação(mm/mm)" dataDxfId="20">
      <calculatedColumnFormula>Tabela7[[#This Row],[Alongamento(mm/mm)]]/$I$2</calculatedColumnFormula>
    </tableColumn>
    <tableColumn id="4" xr3:uid="{5B57232B-C21B-4855-B0F9-C4FE33899997}" name="Forτa(N)" dataDxfId="19"/>
    <tableColumn id="5" xr3:uid="{1FAB8ADF-98D0-4F29-9EFB-C8E0BBB91893}" name="Tensão(Pa)" dataDxfId="18">
      <calculatedColumnFormula>Tabela7[[#This Row],[Forτa(N)]]/$I$5</calculatedColumnFormula>
    </tableColumn>
    <tableColumn id="6" xr3:uid="{C4DDA775-11BA-452F-A86D-F05D0175C931}" name="Tensão(Mpa)" dataDxfId="17">
      <calculatedColumnFormula>Tabela7[[#This Row],[Tensão(Pa)]]/1000000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A0780D-1E7D-4FCB-9EDC-DE09F114681E}" name="Tabela8" displayName="Tabela8" ref="H1:K5" totalsRowShown="0">
  <autoFilter ref="H1:K5" xr:uid="{B8A0780D-1E7D-4FCB-9EDC-DE09F114681E}"/>
  <tableColumns count="4">
    <tableColumn id="1" xr3:uid="{1525ADAC-E9EC-4B29-8E05-9144B41A9496}" name="Unidade"/>
    <tableColumn id="2" xr3:uid="{96A69ECB-719F-4BF6-979B-EA75B570707E}" name="Comprimento"/>
    <tableColumn id="3" xr3:uid="{FC7928A2-5F30-4D46-B221-A71CB61905D3}" name="Largura"/>
    <tableColumn id="4" xr3:uid="{9F38F485-4FB9-4910-B46F-39FB64596062}" name="Espessura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CFF778-A579-4B2A-89DE-2B33C96B2C78}" name="Tabela5" displayName="Tabela5" ref="A1:F619" totalsRowShown="0" headerRowDxfId="16" dataDxfId="15">
  <autoFilter ref="A1:F619" xr:uid="{78CFF778-A579-4B2A-89DE-2B33C96B2C78}"/>
  <tableColumns count="6">
    <tableColumn id="1" xr3:uid="{F31F2E5F-35EF-47EB-B619-0B00FFF2D3F5}" name="Tempo(s)" dataDxfId="14"/>
    <tableColumn id="2" xr3:uid="{5F42DE75-120E-42BB-8D5C-1F1863F72BEB}" name="Alongamento(mm/mm)" dataDxfId="13"/>
    <tableColumn id="3" xr3:uid="{B96132FF-A03B-4652-BC9B-9F75D976853F}" name="Deformação(mm/mm)" dataDxfId="12">
      <calculatedColumnFormula>Tabela5[[#This Row],[Alongamento(mm/mm)]]/$I$2</calculatedColumnFormula>
    </tableColumn>
    <tableColumn id="4" xr3:uid="{01186D54-2D61-4E45-A176-573B2BBDF623}" name="Forτa(N)" dataDxfId="11"/>
    <tableColumn id="5" xr3:uid="{6618814F-9B8A-4FFA-8846-366F3E819D1F}" name="Tensão(Pa)" dataDxfId="10">
      <calculatedColumnFormula>Tabela5[[#This Row],[Forτa(N)]]/$I$5</calculatedColumnFormula>
    </tableColumn>
    <tableColumn id="6" xr3:uid="{A3183DF0-DB8A-4E20-9D32-EFE4E7C43C4F}" name="Tensão(Mpa)" dataDxfId="9">
      <calculatedColumnFormula>Tabela5[[#This Row],[Tensão(Pa)]]/1000000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3E38A7-E199-40F9-8DCF-41FC2337F526}" name="Tabela6" displayName="Tabela6" ref="H1:K5" totalsRowShown="0">
  <autoFilter ref="H1:K5" xr:uid="{4D3E38A7-E199-40F9-8DCF-41FC2337F526}"/>
  <tableColumns count="4">
    <tableColumn id="1" xr3:uid="{A9F854AB-EEB5-498B-826E-1213648D3332}" name="Unidade"/>
    <tableColumn id="2" xr3:uid="{262CAB75-85F5-46B7-BC4D-5C216F97FA55}" name="Comprimento"/>
    <tableColumn id="3" xr3:uid="{2F5AA671-56B7-4131-822E-8A29C359AE19}" name="Largura"/>
    <tableColumn id="4" xr3:uid="{35098E87-D243-40B1-87DF-7637DB500345}" name="Espessura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337D2-E416-49FB-B9F8-0A0B34D6DA96}" name="Tabela1" displayName="Tabela1" ref="A1:F627" totalsRowShown="0" headerRowDxfId="8" dataDxfId="7">
  <autoFilter ref="A1:F627" xr:uid="{E11337D2-E416-49FB-B9F8-0A0B34D6DA96}"/>
  <tableColumns count="6">
    <tableColumn id="1" xr3:uid="{684453CB-48D7-4835-A756-AE06B3C7187C}" name="Tempo(s)" dataDxfId="6"/>
    <tableColumn id="2" xr3:uid="{80F76FC9-5599-4F62-B11F-E832976992DE}" name="Alongamento(mm/mm)" dataDxfId="5"/>
    <tableColumn id="3" xr3:uid="{C0ED3BE3-F59C-455C-9B04-A7C6C21251F9}" name="Deformação(mm/mm)" dataDxfId="4">
      <calculatedColumnFormula>Tabela1[[#This Row],[Alongamento(mm/mm)]]/$I$2</calculatedColumnFormula>
    </tableColumn>
    <tableColumn id="4" xr3:uid="{DB3CA57A-F9FD-4A77-BC81-EA3DB311A52B}" name="Força(N)" dataDxfId="3"/>
    <tableColumn id="5" xr3:uid="{91A847CB-1DDE-4444-B57C-323173DFF85F}" name="Tensão(Pa)" dataDxfId="2">
      <calculatedColumnFormula>Tabela1[[#This Row],[Força(N)]]/$I$5</calculatedColumnFormula>
    </tableColumn>
    <tableColumn id="6" xr3:uid="{FA285D7C-9529-436B-86A1-53DFDDD43ECC}" name="Tensão(Mpa)" dataDxfId="1">
      <calculatedColumnFormula>Tabela1[[#This Row],[Tensão(Pa)]]/1000000</calculatedColumnFormula>
    </tableColumn>
  </tableColumns>
  <tableStyleInfo name="TableStyleLight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2AE49B-3AC0-465E-B0D7-E6715117B941}" name="Tabela4" displayName="Tabela4" ref="H1:K5" totalsRowShown="0">
  <autoFilter ref="H1:K5" xr:uid="{9D2AE49B-3AC0-465E-B0D7-E6715117B941}"/>
  <tableColumns count="4">
    <tableColumn id="1" xr3:uid="{039CDBF2-7C8F-4F04-82EB-CDA64C27FA1B}" name="Unidade"/>
    <tableColumn id="2" xr3:uid="{7DE215EC-A441-447E-8E90-FFC563D2346C}" name="Comprimento"/>
    <tableColumn id="3" xr3:uid="{2073F227-685D-4DD5-9264-1A9A5612463B}" name="Largura"/>
    <tableColumn id="4" xr3:uid="{C9E34820-D89E-46B9-9B52-22E1F047173D}" name="Espessura"/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2EC72-8164-41F3-8802-BA85873CBF53}" name="Tabela3" displayName="Tabela3" ref="E22:G23" totalsRowShown="0">
  <autoFilter ref="E22:G23" xr:uid="{BB32EC72-8164-41F3-8802-BA85873CBF53}"/>
  <tableColumns count="3">
    <tableColumn id="1" xr3:uid="{52D2EF15-5B70-4515-80B4-1E6CBA6AE772}" name="Desvio Padrão">
      <calculatedColumnFormula>STDEV('A12-1'!F649,'A12-2'!F596,'A12-3'!F587,'A12-4'!F619,'A12-5'!F627)</calculatedColumnFormula>
    </tableColumn>
    <tableColumn id="2" xr3:uid="{1973D289-3F45-495C-8FC3-18D0AA3F88A3}" name="Média" dataDxfId="0">
      <calculatedColumnFormula>AVERAGE('A12-1'!F649,'A12-2'!F596,'A12-3'!F587,'A12-4'!F619,'A12-5'!F627)</calculatedColumnFormula>
    </tableColumn>
    <tableColumn id="3" xr3:uid="{4CC18DF0-773C-45C3-9B9D-F8FA3A5FA9E6}" name="media força maxima">
      <calculatedColumnFormula>AVERAGE('A12-1'!D649,'A12-2'!D596,'A12-3'!D587,'A12-4'!D619,'A12-5'!D627)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9"/>
  <sheetViews>
    <sheetView workbookViewId="0">
      <selection sqref="A1:K1048576"/>
    </sheetView>
  </sheetViews>
  <sheetFormatPr defaultRowHeight="14.4" x14ac:dyDescent="0.3"/>
  <cols>
    <col min="1" max="1" width="11.33203125" style="1" bestFit="1" customWidth="1"/>
    <col min="2" max="2" width="23.88671875" style="1" bestFit="1" customWidth="1"/>
    <col min="3" max="3" width="22.6640625" bestFit="1" customWidth="1"/>
    <col min="4" max="4" width="10.44140625" style="1" bestFit="1" customWidth="1"/>
    <col min="5" max="5" width="13.5546875" style="1" bestFit="1" customWidth="1"/>
    <col min="6" max="6" width="14.44140625" bestFit="1" customWidth="1"/>
    <col min="8" max="8" width="10.33203125" bestFit="1" customWidth="1"/>
    <col min="9" max="9" width="14.88671875" bestFit="1" customWidth="1"/>
    <col min="10" max="10" width="9.5546875" bestFit="1" customWidth="1"/>
    <col min="11" max="11" width="11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1.6667000000000001E-2</v>
      </c>
      <c r="B2" s="1">
        <v>0</v>
      </c>
      <c r="C2" s="1">
        <f>Tabela11[[#This Row],[Alongamento(mm/mm)]]/$I$2</f>
        <v>0</v>
      </c>
      <c r="D2" s="1">
        <v>0</v>
      </c>
      <c r="E2" s="1">
        <f>Tabela11[[#This Row],[Força(N)]]/$I$5</f>
        <v>0</v>
      </c>
      <c r="F2" s="1">
        <f>Tabela11[[#This Row],[Tensão(Pa)]]/1000000</f>
        <v>0</v>
      </c>
      <c r="H2" t="s">
        <v>10</v>
      </c>
      <c r="I2">
        <v>50</v>
      </c>
      <c r="J2">
        <v>12.84</v>
      </c>
      <c r="K2">
        <v>3.3</v>
      </c>
    </row>
    <row r="3" spans="1:11" x14ac:dyDescent="0.3">
      <c r="A3" s="1">
        <v>4.25</v>
      </c>
      <c r="B3" s="1">
        <v>0.34655000000000002</v>
      </c>
      <c r="C3" s="1">
        <f>Tabela11[[#This Row],[Alongamento(mm/mm)]]/$I$2</f>
        <v>6.9310000000000005E-3</v>
      </c>
      <c r="D3" s="1">
        <v>9.3553999999999995</v>
      </c>
      <c r="E3" s="1">
        <f>Tabela11[[#This Row],[Força(N)]]/$I$5</f>
        <v>298203.84094350145</v>
      </c>
      <c r="F3" s="1">
        <f>Tabela11[[#This Row],[Tensão(Pa)]]/1000000</f>
        <v>0.29820384094350144</v>
      </c>
      <c r="H3" t="s">
        <v>11</v>
      </c>
      <c r="I3">
        <v>0.05</v>
      </c>
      <c r="J3">
        <v>1.3349999999999999E-2</v>
      </c>
      <c r="K3">
        <v>2.3500000000000001E-3</v>
      </c>
    </row>
    <row r="4" spans="1:11" x14ac:dyDescent="0.3">
      <c r="A4" s="1">
        <v>4.2832999999999997</v>
      </c>
      <c r="B4" s="1">
        <v>0.34925</v>
      </c>
      <c r="C4" s="1">
        <f>Tabela11[[#This Row],[Alongamento(mm/mm)]]/$I$2</f>
        <v>6.9849999999999999E-3</v>
      </c>
      <c r="D4" s="1">
        <v>9.5254999999999992</v>
      </c>
      <c r="E4" s="1">
        <f>Tabela11[[#This Row],[Força(N)]]/$I$5</f>
        <v>303625.78691529203</v>
      </c>
      <c r="F4" s="1">
        <f>Tabela11[[#This Row],[Tensão(Pa)]]/1000000</f>
        <v>0.30362578691529202</v>
      </c>
    </row>
    <row r="5" spans="1:11" x14ac:dyDescent="0.3">
      <c r="A5" s="1">
        <v>4.3167</v>
      </c>
      <c r="B5" s="1">
        <v>0.35204000000000002</v>
      </c>
      <c r="C5" s="1">
        <f>Tabela11[[#This Row],[Alongamento(mm/mm)]]/$I$2</f>
        <v>7.0408000000000007E-3</v>
      </c>
      <c r="D5" s="1">
        <v>9.5254999999999992</v>
      </c>
      <c r="E5" s="1">
        <f>Tabela11[[#This Row],[Força(N)]]/$I$5</f>
        <v>303625.78691529203</v>
      </c>
      <c r="F5" s="1">
        <f>Tabela11[[#This Row],[Tensão(Pa)]]/1000000</f>
        <v>0.30362578691529202</v>
      </c>
      <c r="H5" t="s">
        <v>12</v>
      </c>
      <c r="I5">
        <v>3.1372499999999998E-5</v>
      </c>
    </row>
    <row r="6" spans="1:11" x14ac:dyDescent="0.3">
      <c r="A6" s="1">
        <v>4.3499999999999996</v>
      </c>
      <c r="B6" s="1">
        <v>0.35482999999999998</v>
      </c>
      <c r="C6" s="1">
        <f>Tabela11[[#This Row],[Alongamento(mm/mm)]]/$I$2</f>
        <v>7.0965999999999998E-3</v>
      </c>
      <c r="D6" s="1">
        <v>9.5254999999999992</v>
      </c>
      <c r="E6" s="1">
        <f>Tabela11[[#This Row],[Força(N)]]/$I$5</f>
        <v>303625.78691529203</v>
      </c>
      <c r="F6" s="1">
        <f>Tabela11[[#This Row],[Tensão(Pa)]]/1000000</f>
        <v>0.30362578691529202</v>
      </c>
    </row>
    <row r="7" spans="1:11" x14ac:dyDescent="0.3">
      <c r="A7" s="1">
        <v>4.3833000000000002</v>
      </c>
      <c r="B7" s="1">
        <v>0.35753000000000001</v>
      </c>
      <c r="C7" s="1">
        <f>Tabela11[[#This Row],[Alongamento(mm/mm)]]/$I$2</f>
        <v>7.1506E-3</v>
      </c>
      <c r="D7" s="1">
        <v>9.6956000000000007</v>
      </c>
      <c r="E7" s="1">
        <f>Tabela11[[#This Row],[Força(N)]]/$I$5</f>
        <v>309047.73288708268</v>
      </c>
      <c r="F7" s="1">
        <f>Tabela11[[#This Row],[Tensão(Pa)]]/1000000</f>
        <v>0.30904773288708265</v>
      </c>
    </row>
    <row r="8" spans="1:11" x14ac:dyDescent="0.3">
      <c r="A8" s="1">
        <v>4.4166999999999996</v>
      </c>
      <c r="B8" s="1">
        <v>0.36031999999999997</v>
      </c>
      <c r="C8" s="1">
        <f>Tabela11[[#This Row],[Alongamento(mm/mm)]]/$I$2</f>
        <v>7.2063999999999991E-3</v>
      </c>
      <c r="D8" s="1">
        <v>9.6956000000000007</v>
      </c>
      <c r="E8" s="1">
        <f>Tabela11[[#This Row],[Força(N)]]/$I$5</f>
        <v>309047.73288708268</v>
      </c>
      <c r="F8" s="1">
        <f>Tabela11[[#This Row],[Tensão(Pa)]]/1000000</f>
        <v>0.30904773288708265</v>
      </c>
    </row>
    <row r="9" spans="1:11" x14ac:dyDescent="0.3">
      <c r="A9" s="1">
        <v>4.45</v>
      </c>
      <c r="B9" s="1">
        <v>0.36310999999999999</v>
      </c>
      <c r="C9" s="1">
        <f>Tabela11[[#This Row],[Alongamento(mm/mm)]]/$I$2</f>
        <v>7.2621999999999999E-3</v>
      </c>
      <c r="D9" s="1">
        <v>9.8657000000000004</v>
      </c>
      <c r="E9" s="1">
        <f>Tabela11[[#This Row],[Força(N)]]/$I$5</f>
        <v>314469.67885887326</v>
      </c>
      <c r="F9" s="1">
        <f>Tabela11[[#This Row],[Tensão(Pa)]]/1000000</f>
        <v>0.31446967885887328</v>
      </c>
    </row>
    <row r="10" spans="1:11" x14ac:dyDescent="0.3">
      <c r="A10" s="1">
        <v>4.4832999999999998</v>
      </c>
      <c r="B10" s="1">
        <v>0.3659</v>
      </c>
      <c r="C10" s="1">
        <f>Tabela11[[#This Row],[Alongamento(mm/mm)]]/$I$2</f>
        <v>7.3179999999999999E-3</v>
      </c>
      <c r="D10" s="1">
        <v>9.8657000000000004</v>
      </c>
      <c r="E10" s="1">
        <f>Tabela11[[#This Row],[Força(N)]]/$I$5</f>
        <v>314469.67885887326</v>
      </c>
      <c r="F10" s="1">
        <f>Tabela11[[#This Row],[Tensão(Pa)]]/1000000</f>
        <v>0.31446967885887328</v>
      </c>
    </row>
    <row r="11" spans="1:11" x14ac:dyDescent="0.3">
      <c r="A11" s="1">
        <v>4.5167000000000002</v>
      </c>
      <c r="B11" s="1">
        <v>0.36870000000000003</v>
      </c>
      <c r="C11" s="1">
        <f>Tabela11[[#This Row],[Alongamento(mm/mm)]]/$I$2</f>
        <v>7.3740000000000003E-3</v>
      </c>
      <c r="D11" s="1">
        <v>10.036</v>
      </c>
      <c r="E11" s="1">
        <f>Tabela11[[#This Row],[Força(N)]]/$I$5</f>
        <v>319897.99984062475</v>
      </c>
      <c r="F11" s="1">
        <f>Tabela11[[#This Row],[Tensão(Pa)]]/1000000</f>
        <v>0.31989799984062472</v>
      </c>
    </row>
    <row r="12" spans="1:11" x14ac:dyDescent="0.3">
      <c r="A12" s="1">
        <v>4.55</v>
      </c>
      <c r="B12" s="1">
        <v>0.37148999999999999</v>
      </c>
      <c r="C12" s="1">
        <f>Tabela11[[#This Row],[Alongamento(mm/mm)]]/$I$2</f>
        <v>7.4297999999999994E-3</v>
      </c>
      <c r="D12" s="1">
        <v>10.036</v>
      </c>
      <c r="E12" s="1">
        <f>Tabela11[[#This Row],[Força(N)]]/$I$5</f>
        <v>319897.99984062475</v>
      </c>
      <c r="F12" s="1">
        <f>Tabela11[[#This Row],[Tensão(Pa)]]/1000000</f>
        <v>0.31989799984062472</v>
      </c>
    </row>
    <row r="13" spans="1:11" x14ac:dyDescent="0.3">
      <c r="A13" s="1">
        <v>4.5999999999999996</v>
      </c>
      <c r="B13" s="1">
        <v>0.37558000000000002</v>
      </c>
      <c r="C13" s="1">
        <f>Tabela11[[#This Row],[Alongamento(mm/mm)]]/$I$2</f>
        <v>7.5116000000000002E-3</v>
      </c>
      <c r="D13" s="1">
        <v>10.036</v>
      </c>
      <c r="E13" s="1">
        <f>Tabela11[[#This Row],[Força(N)]]/$I$5</f>
        <v>319897.99984062475</v>
      </c>
      <c r="F13" s="1">
        <f>Tabela11[[#This Row],[Tensão(Pa)]]/1000000</f>
        <v>0.31989799984062472</v>
      </c>
    </row>
    <row r="14" spans="1:11" x14ac:dyDescent="0.3">
      <c r="A14" s="1">
        <v>4.6500000000000004</v>
      </c>
      <c r="B14" s="1">
        <v>0.37977</v>
      </c>
      <c r="C14" s="1">
        <f>Tabela11[[#This Row],[Alongamento(mm/mm)]]/$I$2</f>
        <v>7.5953999999999995E-3</v>
      </c>
      <c r="D14" s="1">
        <v>10.206</v>
      </c>
      <c r="E14" s="1">
        <f>Tabela11[[#This Row],[Força(N)]]/$I$5</f>
        <v>325316.75830743485</v>
      </c>
      <c r="F14" s="1">
        <f>Tabela11[[#This Row],[Tensão(Pa)]]/1000000</f>
        <v>0.32531675830743484</v>
      </c>
    </row>
    <row r="15" spans="1:11" x14ac:dyDescent="0.3">
      <c r="A15" s="1">
        <v>4.7</v>
      </c>
      <c r="B15" s="1">
        <v>0.38396000000000002</v>
      </c>
      <c r="C15" s="1">
        <f>Tabela11[[#This Row],[Alongamento(mm/mm)]]/$I$2</f>
        <v>7.6792000000000006E-3</v>
      </c>
      <c r="D15" s="1">
        <v>10.375999999999999</v>
      </c>
      <c r="E15" s="1">
        <f>Tabela11[[#This Row],[Força(N)]]/$I$5</f>
        <v>330735.51677424496</v>
      </c>
      <c r="F15" s="1">
        <f>Tabela11[[#This Row],[Tensão(Pa)]]/1000000</f>
        <v>0.33073551677424495</v>
      </c>
    </row>
    <row r="16" spans="1:11" x14ac:dyDescent="0.3">
      <c r="A16" s="1">
        <v>4.75</v>
      </c>
      <c r="B16" s="1">
        <v>0.38813999999999999</v>
      </c>
      <c r="C16" s="1">
        <f>Tabela11[[#This Row],[Alongamento(mm/mm)]]/$I$2</f>
        <v>7.7627999999999994E-3</v>
      </c>
      <c r="D16" s="1">
        <v>10.375999999999999</v>
      </c>
      <c r="E16" s="1">
        <f>Tabela11[[#This Row],[Força(N)]]/$I$5</f>
        <v>330735.51677424496</v>
      </c>
      <c r="F16" s="1">
        <f>Tabela11[[#This Row],[Tensão(Pa)]]/1000000</f>
        <v>0.33073551677424495</v>
      </c>
    </row>
    <row r="17" spans="1:6" x14ac:dyDescent="0.3">
      <c r="A17" s="1">
        <v>4.8</v>
      </c>
      <c r="B17" s="1">
        <v>0.39233000000000001</v>
      </c>
      <c r="C17" s="1">
        <f>Tabela11[[#This Row],[Alongamento(mm/mm)]]/$I$2</f>
        <v>7.8466000000000004E-3</v>
      </c>
      <c r="D17" s="1">
        <v>10.206</v>
      </c>
      <c r="E17" s="1">
        <f>Tabela11[[#This Row],[Força(N)]]/$I$5</f>
        <v>325316.75830743485</v>
      </c>
      <c r="F17" s="1">
        <f>Tabela11[[#This Row],[Tensão(Pa)]]/1000000</f>
        <v>0.32531675830743484</v>
      </c>
    </row>
    <row r="18" spans="1:6" x14ac:dyDescent="0.3">
      <c r="A18" s="1">
        <v>4.8499999999999996</v>
      </c>
      <c r="B18" s="1">
        <v>0.39643</v>
      </c>
      <c r="C18" s="1">
        <f>Tabela11[[#This Row],[Alongamento(mm/mm)]]/$I$2</f>
        <v>7.9286000000000009E-3</v>
      </c>
      <c r="D18" s="1">
        <v>9.6956000000000007</v>
      </c>
      <c r="E18" s="1">
        <f>Tabela11[[#This Row],[Força(N)]]/$I$5</f>
        <v>309047.73288708268</v>
      </c>
      <c r="F18" s="1">
        <f>Tabela11[[#This Row],[Tensão(Pa)]]/1000000</f>
        <v>0.30904773288708265</v>
      </c>
    </row>
    <row r="19" spans="1:6" x14ac:dyDescent="0.3">
      <c r="A19" s="1">
        <v>4.9000000000000004</v>
      </c>
      <c r="B19" s="1">
        <v>0.40061000000000002</v>
      </c>
      <c r="C19" s="1">
        <f>Tabela11[[#This Row],[Alongamento(mm/mm)]]/$I$2</f>
        <v>8.0122000000000006E-3</v>
      </c>
      <c r="D19" s="1">
        <v>9.1852999999999998</v>
      </c>
      <c r="E19" s="1">
        <f>Tabela11[[#This Row],[Força(N)]]/$I$5</f>
        <v>292781.89497171092</v>
      </c>
      <c r="F19" s="1">
        <f>Tabela11[[#This Row],[Tensão(Pa)]]/1000000</f>
        <v>0.29278189497171092</v>
      </c>
    </row>
    <row r="20" spans="1:6" x14ac:dyDescent="0.3">
      <c r="A20" s="1">
        <v>4.95</v>
      </c>
      <c r="B20" s="1">
        <v>0.40471000000000001</v>
      </c>
      <c r="C20" s="1">
        <f>Tabela11[[#This Row],[Alongamento(mm/mm)]]/$I$2</f>
        <v>8.094200000000001E-3</v>
      </c>
      <c r="D20" s="1">
        <v>8.6750000000000007</v>
      </c>
      <c r="E20" s="1">
        <f>Tabela11[[#This Row],[Força(N)]]/$I$5</f>
        <v>276516.05705633917</v>
      </c>
      <c r="F20" s="1">
        <f>Tabela11[[#This Row],[Tensão(Pa)]]/1000000</f>
        <v>0.27651605705633919</v>
      </c>
    </row>
    <row r="21" spans="1:6" x14ac:dyDescent="0.3">
      <c r="A21" s="1">
        <v>5</v>
      </c>
      <c r="B21" s="1">
        <v>0.40899000000000002</v>
      </c>
      <c r="C21" s="1">
        <f>Tabela11[[#This Row],[Alongamento(mm/mm)]]/$I$2</f>
        <v>8.179800000000001E-3</v>
      </c>
      <c r="D21" s="1">
        <v>8.5048999999999992</v>
      </c>
      <c r="E21" s="1">
        <f>Tabela11[[#This Row],[Força(N)]]/$I$5</f>
        <v>271094.11108454858</v>
      </c>
      <c r="F21" s="1">
        <f>Tabela11[[#This Row],[Tensão(Pa)]]/1000000</f>
        <v>0.27109411108454856</v>
      </c>
    </row>
    <row r="22" spans="1:6" x14ac:dyDescent="0.3">
      <c r="A22" s="1">
        <v>5.05</v>
      </c>
      <c r="B22" s="1">
        <v>0.41308</v>
      </c>
      <c r="C22" s="1">
        <f>Tabela11[[#This Row],[Alongamento(mm/mm)]]/$I$2</f>
        <v>8.2616000000000009E-3</v>
      </c>
      <c r="D22" s="1">
        <v>8.5048999999999992</v>
      </c>
      <c r="E22" s="1">
        <f>Tabela11[[#This Row],[Força(N)]]/$I$5</f>
        <v>271094.11108454858</v>
      </c>
      <c r="F22" s="1">
        <f>Tabela11[[#This Row],[Tensão(Pa)]]/1000000</f>
        <v>0.27109411108454856</v>
      </c>
    </row>
    <row r="23" spans="1:6" x14ac:dyDescent="0.3">
      <c r="A23" s="1">
        <v>5.0999999999999996</v>
      </c>
      <c r="B23" s="1">
        <v>0.41726999999999997</v>
      </c>
      <c r="C23" s="1">
        <f>Tabela11[[#This Row],[Alongamento(mm/mm)]]/$I$2</f>
        <v>8.3453999999999993E-3</v>
      </c>
      <c r="D23" s="1">
        <v>8.5048999999999992</v>
      </c>
      <c r="E23" s="1">
        <f>Tabela11[[#This Row],[Força(N)]]/$I$5</f>
        <v>271094.11108454858</v>
      </c>
      <c r="F23" s="1">
        <f>Tabela11[[#This Row],[Tensão(Pa)]]/1000000</f>
        <v>0.27109411108454856</v>
      </c>
    </row>
    <row r="24" spans="1:6" x14ac:dyDescent="0.3">
      <c r="A24" s="1">
        <v>5.15</v>
      </c>
      <c r="B24" s="1">
        <v>0.42146</v>
      </c>
      <c r="C24" s="1">
        <f>Tabela11[[#This Row],[Alongamento(mm/mm)]]/$I$2</f>
        <v>8.4291999999999995E-3</v>
      </c>
      <c r="D24" s="1">
        <v>8.5048999999999992</v>
      </c>
      <c r="E24" s="1">
        <f>Tabela11[[#This Row],[Força(N)]]/$I$5</f>
        <v>271094.11108454858</v>
      </c>
      <c r="F24" s="1">
        <f>Tabela11[[#This Row],[Tensão(Pa)]]/1000000</f>
        <v>0.27109411108454856</v>
      </c>
    </row>
    <row r="25" spans="1:6" x14ac:dyDescent="0.3">
      <c r="A25" s="1">
        <v>5.2</v>
      </c>
      <c r="B25" s="1">
        <v>0.42554999999999998</v>
      </c>
      <c r="C25" s="1">
        <f>Tabela11[[#This Row],[Alongamento(mm/mm)]]/$I$2</f>
        <v>8.5109999999999995E-3</v>
      </c>
      <c r="D25" s="1">
        <v>8.5048999999999992</v>
      </c>
      <c r="E25" s="1">
        <f>Tabela11[[#This Row],[Força(N)]]/$I$5</f>
        <v>271094.11108454858</v>
      </c>
      <c r="F25" s="1">
        <f>Tabela11[[#This Row],[Tensão(Pa)]]/1000000</f>
        <v>0.27109411108454856</v>
      </c>
    </row>
    <row r="26" spans="1:6" x14ac:dyDescent="0.3">
      <c r="A26" s="1">
        <v>5.25</v>
      </c>
      <c r="B26" s="1">
        <v>0.42982999999999999</v>
      </c>
      <c r="C26" s="1">
        <f>Tabela11[[#This Row],[Alongamento(mm/mm)]]/$I$2</f>
        <v>8.5965999999999994E-3</v>
      </c>
      <c r="D26" s="1">
        <v>8.5048999999999992</v>
      </c>
      <c r="E26" s="1">
        <f>Tabela11[[#This Row],[Força(N)]]/$I$5</f>
        <v>271094.11108454858</v>
      </c>
      <c r="F26" s="1">
        <f>Tabela11[[#This Row],[Tensão(Pa)]]/1000000</f>
        <v>0.27109411108454856</v>
      </c>
    </row>
    <row r="27" spans="1:6" x14ac:dyDescent="0.3">
      <c r="A27" s="1">
        <v>5.3</v>
      </c>
      <c r="B27" s="1">
        <v>0.43402000000000002</v>
      </c>
      <c r="C27" s="1">
        <f>Tabela11[[#This Row],[Alongamento(mm/mm)]]/$I$2</f>
        <v>8.6803999999999996E-3</v>
      </c>
      <c r="D27" s="1">
        <v>8.5048999999999992</v>
      </c>
      <c r="E27" s="1">
        <f>Tabela11[[#This Row],[Força(N)]]/$I$5</f>
        <v>271094.11108454858</v>
      </c>
      <c r="F27" s="1">
        <f>Tabela11[[#This Row],[Tensão(Pa)]]/1000000</f>
        <v>0.27109411108454856</v>
      </c>
    </row>
    <row r="28" spans="1:6" x14ac:dyDescent="0.3">
      <c r="A28" s="1">
        <v>5.35</v>
      </c>
      <c r="B28" s="1">
        <v>0.43812000000000001</v>
      </c>
      <c r="C28" s="1">
        <f>Tabela11[[#This Row],[Alongamento(mm/mm)]]/$I$2</f>
        <v>8.7624E-3</v>
      </c>
      <c r="D28" s="1">
        <v>8.6750000000000007</v>
      </c>
      <c r="E28" s="1">
        <f>Tabela11[[#This Row],[Força(N)]]/$I$5</f>
        <v>276516.05705633917</v>
      </c>
      <c r="F28" s="1">
        <f>Tabela11[[#This Row],[Tensão(Pa)]]/1000000</f>
        <v>0.27651605705633919</v>
      </c>
    </row>
    <row r="29" spans="1:6" x14ac:dyDescent="0.3">
      <c r="A29" s="1">
        <v>5.4</v>
      </c>
      <c r="B29" s="1">
        <v>0.44230000000000003</v>
      </c>
      <c r="C29" s="1">
        <f>Tabela11[[#This Row],[Alongamento(mm/mm)]]/$I$2</f>
        <v>8.8459999999999997E-3</v>
      </c>
      <c r="D29" s="1">
        <v>8.8451000000000004</v>
      </c>
      <c r="E29" s="1">
        <f>Tabela11[[#This Row],[Força(N)]]/$I$5</f>
        <v>281938.00302812975</v>
      </c>
      <c r="F29" s="1">
        <f>Tabela11[[#This Row],[Tensão(Pa)]]/1000000</f>
        <v>0.28193800302812977</v>
      </c>
    </row>
    <row r="30" spans="1:6" x14ac:dyDescent="0.3">
      <c r="A30" s="1">
        <v>5.45</v>
      </c>
      <c r="B30" s="1">
        <v>0.44640000000000002</v>
      </c>
      <c r="C30" s="1">
        <f>Tabela11[[#This Row],[Alongamento(mm/mm)]]/$I$2</f>
        <v>8.9280000000000002E-3</v>
      </c>
      <c r="D30" s="1">
        <v>9.0152000000000001</v>
      </c>
      <c r="E30" s="1">
        <f>Tabela11[[#This Row],[Força(N)]]/$I$5</f>
        <v>287359.94899992034</v>
      </c>
      <c r="F30" s="1">
        <f>Tabela11[[#This Row],[Tensão(Pa)]]/1000000</f>
        <v>0.28735994899992034</v>
      </c>
    </row>
    <row r="31" spans="1:6" x14ac:dyDescent="0.3">
      <c r="A31" s="1">
        <v>5.5</v>
      </c>
      <c r="B31" s="1">
        <v>0.45058999999999999</v>
      </c>
      <c r="C31" s="1">
        <f>Tabela11[[#This Row],[Alongamento(mm/mm)]]/$I$2</f>
        <v>9.0118000000000004E-3</v>
      </c>
      <c r="D31" s="1">
        <v>9.1852999999999998</v>
      </c>
      <c r="E31" s="1">
        <f>Tabela11[[#This Row],[Força(N)]]/$I$5</f>
        <v>292781.89497171092</v>
      </c>
      <c r="F31" s="1">
        <f>Tabela11[[#This Row],[Tensão(Pa)]]/1000000</f>
        <v>0.29278189497171092</v>
      </c>
    </row>
    <row r="32" spans="1:6" x14ac:dyDescent="0.3">
      <c r="A32" s="1">
        <v>5.55</v>
      </c>
      <c r="B32" s="1">
        <v>0.45487</v>
      </c>
      <c r="C32" s="1">
        <f>Tabela11[[#This Row],[Alongamento(mm/mm)]]/$I$2</f>
        <v>9.0974000000000003E-3</v>
      </c>
      <c r="D32" s="1">
        <v>9.5254999999999992</v>
      </c>
      <c r="E32" s="1">
        <f>Tabela11[[#This Row],[Força(N)]]/$I$5</f>
        <v>303625.78691529203</v>
      </c>
      <c r="F32" s="1">
        <f>Tabela11[[#This Row],[Tensão(Pa)]]/1000000</f>
        <v>0.30362578691529202</v>
      </c>
    </row>
    <row r="33" spans="1:6" x14ac:dyDescent="0.3">
      <c r="A33" s="1">
        <v>5.6</v>
      </c>
      <c r="B33" s="1">
        <v>0.45895999999999998</v>
      </c>
      <c r="C33" s="1">
        <f>Tabela11[[#This Row],[Alongamento(mm/mm)]]/$I$2</f>
        <v>9.1792000000000002E-3</v>
      </c>
      <c r="D33" s="1">
        <v>9.6956000000000007</v>
      </c>
      <c r="E33" s="1">
        <f>Tabela11[[#This Row],[Força(N)]]/$I$5</f>
        <v>309047.73288708268</v>
      </c>
      <c r="F33" s="1">
        <f>Tabela11[[#This Row],[Tensão(Pa)]]/1000000</f>
        <v>0.30904773288708265</v>
      </c>
    </row>
    <row r="34" spans="1:6" x14ac:dyDescent="0.3">
      <c r="A34" s="1">
        <v>5.65</v>
      </c>
      <c r="B34" s="1">
        <v>0.46315000000000001</v>
      </c>
      <c r="C34" s="1">
        <f>Tabela11[[#This Row],[Alongamento(mm/mm)]]/$I$2</f>
        <v>9.2630000000000004E-3</v>
      </c>
      <c r="D34" s="1">
        <v>9.8657000000000004</v>
      </c>
      <c r="E34" s="1">
        <f>Tabela11[[#This Row],[Força(N)]]/$I$5</f>
        <v>314469.67885887326</v>
      </c>
      <c r="F34" s="1">
        <f>Tabela11[[#This Row],[Tensão(Pa)]]/1000000</f>
        <v>0.31446967885887328</v>
      </c>
    </row>
    <row r="35" spans="1:6" x14ac:dyDescent="0.3">
      <c r="A35" s="1">
        <v>5.7</v>
      </c>
      <c r="B35" s="1">
        <v>0.46723999999999999</v>
      </c>
      <c r="C35" s="1">
        <f>Tabela11[[#This Row],[Alongamento(mm/mm)]]/$I$2</f>
        <v>9.3448000000000003E-3</v>
      </c>
      <c r="D35" s="1">
        <v>10.036</v>
      </c>
      <c r="E35" s="1">
        <f>Tabela11[[#This Row],[Força(N)]]/$I$5</f>
        <v>319897.99984062475</v>
      </c>
      <c r="F35" s="1">
        <f>Tabela11[[#This Row],[Tensão(Pa)]]/1000000</f>
        <v>0.31989799984062472</v>
      </c>
    </row>
    <row r="36" spans="1:6" x14ac:dyDescent="0.3">
      <c r="A36" s="1">
        <v>5.75</v>
      </c>
      <c r="B36" s="1">
        <v>0.47143000000000002</v>
      </c>
      <c r="C36" s="1">
        <f>Tabela11[[#This Row],[Alongamento(mm/mm)]]/$I$2</f>
        <v>9.4286000000000005E-3</v>
      </c>
      <c r="D36" s="1">
        <v>10.206</v>
      </c>
      <c r="E36" s="1">
        <f>Tabela11[[#This Row],[Força(N)]]/$I$5</f>
        <v>325316.75830743485</v>
      </c>
      <c r="F36" s="1">
        <f>Tabela11[[#This Row],[Tensão(Pa)]]/1000000</f>
        <v>0.32531675830743484</v>
      </c>
    </row>
    <row r="37" spans="1:6" x14ac:dyDescent="0.3">
      <c r="A37" s="1">
        <v>5.8</v>
      </c>
      <c r="B37" s="1">
        <v>0.47561999999999999</v>
      </c>
      <c r="C37" s="1">
        <f>Tabela11[[#This Row],[Alongamento(mm/mm)]]/$I$2</f>
        <v>9.512399999999999E-3</v>
      </c>
      <c r="D37" s="1">
        <v>10.375999999999999</v>
      </c>
      <c r="E37" s="1">
        <f>Tabela11[[#This Row],[Força(N)]]/$I$5</f>
        <v>330735.51677424496</v>
      </c>
      <c r="F37" s="1">
        <f>Tabela11[[#This Row],[Tensão(Pa)]]/1000000</f>
        <v>0.33073551677424495</v>
      </c>
    </row>
    <row r="38" spans="1:6" x14ac:dyDescent="0.3">
      <c r="A38" s="1">
        <v>5.85</v>
      </c>
      <c r="B38" s="1">
        <v>0.47981000000000001</v>
      </c>
      <c r="C38" s="1">
        <f>Tabela11[[#This Row],[Alongamento(mm/mm)]]/$I$2</f>
        <v>9.5962000000000009E-3</v>
      </c>
      <c r="D38" s="1">
        <v>10.545999999999999</v>
      </c>
      <c r="E38" s="1">
        <f>Tabela11[[#This Row],[Força(N)]]/$I$5</f>
        <v>336154.27524105506</v>
      </c>
      <c r="F38" s="1">
        <f>Tabela11[[#This Row],[Tensão(Pa)]]/1000000</f>
        <v>0.33615427524105507</v>
      </c>
    </row>
    <row r="39" spans="1:6" x14ac:dyDescent="0.3">
      <c r="A39" s="1">
        <v>5.9</v>
      </c>
      <c r="B39" s="1">
        <v>0.48398999999999998</v>
      </c>
      <c r="C39" s="1">
        <f>Tabela11[[#This Row],[Alongamento(mm/mm)]]/$I$2</f>
        <v>9.6797999999999988E-3</v>
      </c>
      <c r="D39" s="1">
        <v>10.715999999999999</v>
      </c>
      <c r="E39" s="1">
        <f>Tabela11[[#This Row],[Força(N)]]/$I$5</f>
        <v>341573.03370786516</v>
      </c>
      <c r="F39" s="1">
        <f>Tabela11[[#This Row],[Tensão(Pa)]]/1000000</f>
        <v>0.34157303370786518</v>
      </c>
    </row>
    <row r="40" spans="1:6" x14ac:dyDescent="0.3">
      <c r="A40" s="1">
        <v>5.95</v>
      </c>
      <c r="B40" s="1">
        <v>0.48809000000000002</v>
      </c>
      <c r="C40" s="1">
        <f>Tabela11[[#This Row],[Alongamento(mm/mm)]]/$I$2</f>
        <v>9.761800000000001E-3</v>
      </c>
      <c r="D40" s="1">
        <v>10.715999999999999</v>
      </c>
      <c r="E40" s="1">
        <f>Tabela11[[#This Row],[Força(N)]]/$I$5</f>
        <v>341573.03370786516</v>
      </c>
      <c r="F40" s="1">
        <f>Tabela11[[#This Row],[Tensão(Pa)]]/1000000</f>
        <v>0.34157303370786518</v>
      </c>
    </row>
    <row r="41" spans="1:6" x14ac:dyDescent="0.3">
      <c r="A41" s="1">
        <v>6</v>
      </c>
      <c r="B41" s="1">
        <v>0.49228</v>
      </c>
      <c r="C41" s="1">
        <f>Tabela11[[#This Row],[Alongamento(mm/mm)]]/$I$2</f>
        <v>9.8455999999999995E-3</v>
      </c>
      <c r="D41" s="1">
        <v>10.715999999999999</v>
      </c>
      <c r="E41" s="1">
        <f>Tabela11[[#This Row],[Força(N)]]/$I$5</f>
        <v>341573.03370786516</v>
      </c>
      <c r="F41" s="1">
        <f>Tabela11[[#This Row],[Tensão(Pa)]]/1000000</f>
        <v>0.34157303370786518</v>
      </c>
    </row>
    <row r="42" spans="1:6" x14ac:dyDescent="0.3">
      <c r="A42" s="1">
        <v>6.05</v>
      </c>
      <c r="B42" s="1">
        <v>0.49646000000000001</v>
      </c>
      <c r="C42" s="1">
        <f>Tabela11[[#This Row],[Alongamento(mm/mm)]]/$I$2</f>
        <v>9.9292000000000009E-3</v>
      </c>
      <c r="D42" s="1">
        <v>10.715999999999999</v>
      </c>
      <c r="E42" s="1">
        <f>Tabela11[[#This Row],[Força(N)]]/$I$5</f>
        <v>341573.03370786516</v>
      </c>
      <c r="F42" s="1">
        <f>Tabela11[[#This Row],[Tensão(Pa)]]/1000000</f>
        <v>0.34157303370786518</v>
      </c>
    </row>
    <row r="43" spans="1:6" x14ac:dyDescent="0.3">
      <c r="A43" s="1">
        <v>6.1</v>
      </c>
      <c r="B43" s="1">
        <v>0.50065000000000004</v>
      </c>
      <c r="C43" s="1">
        <f>Tabela11[[#This Row],[Alongamento(mm/mm)]]/$I$2</f>
        <v>1.0013000000000001E-2</v>
      </c>
      <c r="D43" s="1">
        <v>10.715999999999999</v>
      </c>
      <c r="E43" s="1">
        <f>Tabela11[[#This Row],[Força(N)]]/$I$5</f>
        <v>341573.03370786516</v>
      </c>
      <c r="F43" s="1">
        <f>Tabela11[[#This Row],[Tensão(Pa)]]/1000000</f>
        <v>0.34157303370786518</v>
      </c>
    </row>
    <row r="44" spans="1:6" x14ac:dyDescent="0.3">
      <c r="A44" s="1">
        <v>6.15</v>
      </c>
      <c r="B44" s="1">
        <v>0.50475000000000003</v>
      </c>
      <c r="C44" s="1">
        <f>Tabela11[[#This Row],[Alongamento(mm/mm)]]/$I$2</f>
        <v>1.0095E-2</v>
      </c>
      <c r="D44" s="1">
        <v>10.715999999999999</v>
      </c>
      <c r="E44" s="1">
        <f>Tabela11[[#This Row],[Força(N)]]/$I$5</f>
        <v>341573.03370786516</v>
      </c>
      <c r="F44" s="1">
        <f>Tabela11[[#This Row],[Tensão(Pa)]]/1000000</f>
        <v>0.34157303370786518</v>
      </c>
    </row>
    <row r="45" spans="1:6" x14ac:dyDescent="0.3">
      <c r="A45" s="1">
        <v>6.2</v>
      </c>
      <c r="B45" s="1">
        <v>0.50892999999999999</v>
      </c>
      <c r="C45" s="1">
        <f>Tabela11[[#This Row],[Alongamento(mm/mm)]]/$I$2</f>
        <v>1.0178599999999999E-2</v>
      </c>
      <c r="D45" s="1">
        <v>10.715999999999999</v>
      </c>
      <c r="E45" s="1">
        <f>Tabela11[[#This Row],[Força(N)]]/$I$5</f>
        <v>341573.03370786516</v>
      </c>
      <c r="F45" s="1">
        <f>Tabela11[[#This Row],[Tensão(Pa)]]/1000000</f>
        <v>0.34157303370786518</v>
      </c>
    </row>
    <row r="46" spans="1:6" x14ac:dyDescent="0.3">
      <c r="A46" s="1">
        <v>6.25</v>
      </c>
      <c r="B46" s="1">
        <v>0.51302999999999999</v>
      </c>
      <c r="C46" s="1">
        <f>Tabela11[[#This Row],[Alongamento(mm/mm)]]/$I$2</f>
        <v>1.02606E-2</v>
      </c>
      <c r="D46" s="1">
        <v>10.715999999999999</v>
      </c>
      <c r="E46" s="1">
        <f>Tabela11[[#This Row],[Força(N)]]/$I$5</f>
        <v>341573.03370786516</v>
      </c>
      <c r="F46" s="1">
        <f>Tabela11[[#This Row],[Tensão(Pa)]]/1000000</f>
        <v>0.34157303370786518</v>
      </c>
    </row>
    <row r="47" spans="1:6" x14ac:dyDescent="0.3">
      <c r="A47" s="1">
        <v>6.3</v>
      </c>
      <c r="B47" s="1">
        <v>0.51731000000000005</v>
      </c>
      <c r="C47" s="1">
        <f>Tabela11[[#This Row],[Alongamento(mm/mm)]]/$I$2</f>
        <v>1.0346200000000002E-2</v>
      </c>
      <c r="D47" s="1">
        <v>10.715999999999999</v>
      </c>
      <c r="E47" s="1">
        <f>Tabela11[[#This Row],[Força(N)]]/$I$5</f>
        <v>341573.03370786516</v>
      </c>
      <c r="F47" s="1">
        <f>Tabela11[[#This Row],[Tensão(Pa)]]/1000000</f>
        <v>0.34157303370786518</v>
      </c>
    </row>
    <row r="48" spans="1:6" x14ac:dyDescent="0.3">
      <c r="A48" s="1">
        <v>6.35</v>
      </c>
      <c r="B48" s="1">
        <v>0.52149999999999996</v>
      </c>
      <c r="C48" s="1">
        <f>Tabela11[[#This Row],[Alongamento(mm/mm)]]/$I$2</f>
        <v>1.043E-2</v>
      </c>
      <c r="D48" s="1">
        <v>10.715999999999999</v>
      </c>
      <c r="E48" s="1">
        <f>Tabela11[[#This Row],[Força(N)]]/$I$5</f>
        <v>341573.03370786516</v>
      </c>
      <c r="F48" s="1">
        <f>Tabela11[[#This Row],[Tensão(Pa)]]/1000000</f>
        <v>0.34157303370786518</v>
      </c>
    </row>
    <row r="49" spans="1:6" x14ac:dyDescent="0.3">
      <c r="A49" s="1">
        <v>6.4</v>
      </c>
      <c r="B49" s="1">
        <v>0.52568000000000004</v>
      </c>
      <c r="C49" s="1">
        <f>Tabela11[[#This Row],[Alongamento(mm/mm)]]/$I$2</f>
        <v>1.0513600000000001E-2</v>
      </c>
      <c r="D49" s="1">
        <v>10.715999999999999</v>
      </c>
      <c r="E49" s="1">
        <f>Tabela11[[#This Row],[Força(N)]]/$I$5</f>
        <v>341573.03370786516</v>
      </c>
      <c r="F49" s="1">
        <f>Tabela11[[#This Row],[Tensão(Pa)]]/1000000</f>
        <v>0.34157303370786518</v>
      </c>
    </row>
    <row r="50" spans="1:6" x14ac:dyDescent="0.3">
      <c r="A50" s="1">
        <v>6.45</v>
      </c>
      <c r="B50" s="1">
        <v>0.52978000000000003</v>
      </c>
      <c r="C50" s="1">
        <f>Tabela11[[#This Row],[Alongamento(mm/mm)]]/$I$2</f>
        <v>1.05956E-2</v>
      </c>
      <c r="D50" s="1">
        <v>10.715999999999999</v>
      </c>
      <c r="E50" s="1">
        <f>Tabela11[[#This Row],[Força(N)]]/$I$5</f>
        <v>341573.03370786516</v>
      </c>
      <c r="F50" s="1">
        <f>Tabela11[[#This Row],[Tensão(Pa)]]/1000000</f>
        <v>0.34157303370786518</v>
      </c>
    </row>
    <row r="51" spans="1:6" x14ac:dyDescent="0.3">
      <c r="A51" s="1">
        <v>6.5</v>
      </c>
      <c r="B51" s="1">
        <v>0.53396999999999994</v>
      </c>
      <c r="C51" s="1">
        <f>Tabela11[[#This Row],[Alongamento(mm/mm)]]/$I$2</f>
        <v>1.0679399999999999E-2</v>
      </c>
      <c r="D51" s="1">
        <v>10.715999999999999</v>
      </c>
      <c r="E51" s="1">
        <f>Tabela11[[#This Row],[Força(N)]]/$I$5</f>
        <v>341573.03370786516</v>
      </c>
      <c r="F51" s="1">
        <f>Tabela11[[#This Row],[Tensão(Pa)]]/1000000</f>
        <v>0.34157303370786518</v>
      </c>
    </row>
    <row r="52" spans="1:6" x14ac:dyDescent="0.3">
      <c r="A52" s="1">
        <v>6.55</v>
      </c>
      <c r="B52" s="1">
        <v>0.53815000000000002</v>
      </c>
      <c r="C52" s="1">
        <f>Tabela11[[#This Row],[Alongamento(mm/mm)]]/$I$2</f>
        <v>1.0763E-2</v>
      </c>
      <c r="D52" s="1">
        <v>10.715999999999999</v>
      </c>
      <c r="E52" s="1">
        <f>Tabela11[[#This Row],[Força(N)]]/$I$5</f>
        <v>341573.03370786516</v>
      </c>
      <c r="F52" s="1">
        <f>Tabela11[[#This Row],[Tensão(Pa)]]/1000000</f>
        <v>0.34157303370786518</v>
      </c>
    </row>
    <row r="53" spans="1:6" x14ac:dyDescent="0.3">
      <c r="A53" s="1">
        <v>6.6</v>
      </c>
      <c r="B53" s="1">
        <v>0.54234000000000004</v>
      </c>
      <c r="C53" s="1">
        <f>Tabela11[[#This Row],[Alongamento(mm/mm)]]/$I$2</f>
        <v>1.08468E-2</v>
      </c>
      <c r="D53" s="1">
        <v>10.715999999999999</v>
      </c>
      <c r="E53" s="1">
        <f>Tabela11[[#This Row],[Força(N)]]/$I$5</f>
        <v>341573.03370786516</v>
      </c>
      <c r="F53" s="1">
        <f>Tabela11[[#This Row],[Tensão(Pa)]]/1000000</f>
        <v>0.34157303370786518</v>
      </c>
    </row>
    <row r="54" spans="1:6" x14ac:dyDescent="0.3">
      <c r="A54" s="1">
        <v>6.6666999999999996</v>
      </c>
      <c r="B54" s="1">
        <v>0.54793000000000003</v>
      </c>
      <c r="C54" s="1">
        <f>Tabela11[[#This Row],[Alongamento(mm/mm)]]/$I$2</f>
        <v>1.0958600000000001E-2</v>
      </c>
      <c r="D54" s="1">
        <v>10.715999999999999</v>
      </c>
      <c r="E54" s="1">
        <f>Tabela11[[#This Row],[Força(N)]]/$I$5</f>
        <v>341573.03370786516</v>
      </c>
      <c r="F54" s="1">
        <f>Tabela11[[#This Row],[Tensão(Pa)]]/1000000</f>
        <v>0.34157303370786518</v>
      </c>
    </row>
    <row r="55" spans="1:6" x14ac:dyDescent="0.3">
      <c r="A55" s="1">
        <v>6.7332999999999998</v>
      </c>
      <c r="B55" s="1">
        <v>0.55342000000000002</v>
      </c>
      <c r="C55" s="1">
        <f>Tabela11[[#This Row],[Alongamento(mm/mm)]]/$I$2</f>
        <v>1.1068400000000001E-2</v>
      </c>
      <c r="D55" s="1">
        <v>10.715999999999999</v>
      </c>
      <c r="E55" s="1">
        <f>Tabela11[[#This Row],[Força(N)]]/$I$5</f>
        <v>341573.03370786516</v>
      </c>
      <c r="F55" s="1">
        <f>Tabela11[[#This Row],[Tensão(Pa)]]/1000000</f>
        <v>0.34157303370786518</v>
      </c>
    </row>
    <row r="56" spans="1:6" x14ac:dyDescent="0.3">
      <c r="A56" s="1">
        <v>6.8</v>
      </c>
      <c r="B56" s="1">
        <v>0.55891000000000002</v>
      </c>
      <c r="C56" s="1">
        <f>Tabela11[[#This Row],[Alongamento(mm/mm)]]/$I$2</f>
        <v>1.1178200000000001E-2</v>
      </c>
      <c r="D56" s="1">
        <v>10.715999999999999</v>
      </c>
      <c r="E56" s="1">
        <f>Tabela11[[#This Row],[Força(N)]]/$I$5</f>
        <v>341573.03370786516</v>
      </c>
      <c r="F56" s="1">
        <f>Tabela11[[#This Row],[Tensão(Pa)]]/1000000</f>
        <v>0.34157303370786518</v>
      </c>
    </row>
    <row r="57" spans="1:6" x14ac:dyDescent="0.3">
      <c r="A57" s="1">
        <v>6.85</v>
      </c>
      <c r="B57" s="1">
        <v>0.56318999999999997</v>
      </c>
      <c r="C57" s="1">
        <f>Tabela11[[#This Row],[Alongamento(mm/mm)]]/$I$2</f>
        <v>1.1263799999999999E-2</v>
      </c>
      <c r="D57" s="1">
        <v>10.715999999999999</v>
      </c>
      <c r="E57" s="1">
        <f>Tabela11[[#This Row],[Força(N)]]/$I$5</f>
        <v>341573.03370786516</v>
      </c>
      <c r="F57" s="1">
        <f>Tabela11[[#This Row],[Tensão(Pa)]]/1000000</f>
        <v>0.34157303370786518</v>
      </c>
    </row>
    <row r="58" spans="1:6" x14ac:dyDescent="0.3">
      <c r="A58" s="1">
        <v>6.9166999999999996</v>
      </c>
      <c r="B58" s="1">
        <v>0.56867999999999996</v>
      </c>
      <c r="C58" s="1">
        <f>Tabela11[[#This Row],[Alongamento(mm/mm)]]/$I$2</f>
        <v>1.1373599999999999E-2</v>
      </c>
      <c r="D58" s="1">
        <v>10.715999999999999</v>
      </c>
      <c r="E58" s="1">
        <f>Tabela11[[#This Row],[Força(N)]]/$I$5</f>
        <v>341573.03370786516</v>
      </c>
      <c r="F58" s="1">
        <f>Tabela11[[#This Row],[Tensão(Pa)]]/1000000</f>
        <v>0.34157303370786518</v>
      </c>
    </row>
    <row r="59" spans="1:6" x14ac:dyDescent="0.3">
      <c r="A59" s="1">
        <v>6.9832999999999998</v>
      </c>
      <c r="B59" s="1">
        <v>0.57425999999999999</v>
      </c>
      <c r="C59" s="1">
        <f>Tabela11[[#This Row],[Alongamento(mm/mm)]]/$I$2</f>
        <v>1.1485199999999999E-2</v>
      </c>
      <c r="D59" s="1">
        <v>10.885999999999999</v>
      </c>
      <c r="E59" s="1">
        <f>Tabela11[[#This Row],[Força(N)]]/$I$5</f>
        <v>346991.79217467527</v>
      </c>
      <c r="F59" s="1">
        <f>Tabela11[[#This Row],[Tensão(Pa)]]/1000000</f>
        <v>0.3469917921746753</v>
      </c>
    </row>
    <row r="60" spans="1:6" x14ac:dyDescent="0.3">
      <c r="A60" s="1">
        <v>7.05</v>
      </c>
      <c r="B60" s="1">
        <v>0.57984000000000002</v>
      </c>
      <c r="C60" s="1">
        <f>Tabela11[[#This Row],[Alongamento(mm/mm)]]/$I$2</f>
        <v>1.1596800000000001E-2</v>
      </c>
      <c r="D60" s="1">
        <v>10.885999999999999</v>
      </c>
      <c r="E60" s="1">
        <f>Tabela11[[#This Row],[Força(N)]]/$I$5</f>
        <v>346991.79217467527</v>
      </c>
      <c r="F60" s="1">
        <f>Tabela11[[#This Row],[Tensão(Pa)]]/1000000</f>
        <v>0.3469917921746753</v>
      </c>
    </row>
    <row r="61" spans="1:6" x14ac:dyDescent="0.3">
      <c r="A61" s="1">
        <v>7.1166999999999998</v>
      </c>
      <c r="B61" s="1">
        <v>0.58533000000000002</v>
      </c>
      <c r="C61" s="1">
        <f>Tabela11[[#This Row],[Alongamento(mm/mm)]]/$I$2</f>
        <v>1.1706600000000001E-2</v>
      </c>
      <c r="D61" s="1">
        <v>10.885999999999999</v>
      </c>
      <c r="E61" s="1">
        <f>Tabela11[[#This Row],[Força(N)]]/$I$5</f>
        <v>346991.79217467527</v>
      </c>
      <c r="F61" s="1">
        <f>Tabela11[[#This Row],[Tensão(Pa)]]/1000000</f>
        <v>0.3469917921746753</v>
      </c>
    </row>
    <row r="62" spans="1:6" x14ac:dyDescent="0.3">
      <c r="A62" s="1">
        <v>7.1833</v>
      </c>
      <c r="B62" s="1">
        <v>0.59082999999999997</v>
      </c>
      <c r="C62" s="1">
        <f>Tabela11[[#This Row],[Alongamento(mm/mm)]]/$I$2</f>
        <v>1.18166E-2</v>
      </c>
      <c r="D62" s="1">
        <v>10.885999999999999</v>
      </c>
      <c r="E62" s="1">
        <f>Tabela11[[#This Row],[Força(N)]]/$I$5</f>
        <v>346991.79217467527</v>
      </c>
      <c r="F62" s="1">
        <f>Tabela11[[#This Row],[Tensão(Pa)]]/1000000</f>
        <v>0.3469917921746753</v>
      </c>
    </row>
    <row r="63" spans="1:6" x14ac:dyDescent="0.3">
      <c r="A63" s="1">
        <v>7.25</v>
      </c>
      <c r="B63" s="1">
        <v>0.59641</v>
      </c>
      <c r="C63" s="1">
        <f>Tabela11[[#This Row],[Alongamento(mm/mm)]]/$I$2</f>
        <v>1.19282E-2</v>
      </c>
      <c r="D63" s="1">
        <v>10.885999999999999</v>
      </c>
      <c r="E63" s="1">
        <f>Tabela11[[#This Row],[Força(N)]]/$I$5</f>
        <v>346991.79217467527</v>
      </c>
      <c r="F63" s="1">
        <f>Tabela11[[#This Row],[Tensão(Pa)]]/1000000</f>
        <v>0.3469917921746753</v>
      </c>
    </row>
    <row r="64" spans="1:6" x14ac:dyDescent="0.3">
      <c r="A64" s="1">
        <v>7.3167</v>
      </c>
      <c r="B64" s="1">
        <v>0.60199000000000003</v>
      </c>
      <c r="C64" s="1">
        <f>Tabela11[[#This Row],[Alongamento(mm/mm)]]/$I$2</f>
        <v>1.20398E-2</v>
      </c>
      <c r="D64" s="1">
        <v>11.055999999999999</v>
      </c>
      <c r="E64" s="1">
        <f>Tabela11[[#This Row],[Força(N)]]/$I$5</f>
        <v>352410.55064148537</v>
      </c>
      <c r="F64" s="1">
        <f>Tabela11[[#This Row],[Tensão(Pa)]]/1000000</f>
        <v>0.35241055064148535</v>
      </c>
    </row>
    <row r="65" spans="1:6" x14ac:dyDescent="0.3">
      <c r="A65" s="1">
        <v>7.3833000000000002</v>
      </c>
      <c r="B65" s="1">
        <v>0.60758000000000001</v>
      </c>
      <c r="C65" s="1">
        <f>Tabela11[[#This Row],[Alongamento(mm/mm)]]/$I$2</f>
        <v>1.21516E-2</v>
      </c>
      <c r="D65" s="1">
        <v>11.055999999999999</v>
      </c>
      <c r="E65" s="1">
        <f>Tabela11[[#This Row],[Força(N)]]/$I$5</f>
        <v>352410.55064148537</v>
      </c>
      <c r="F65" s="1">
        <f>Tabela11[[#This Row],[Tensão(Pa)]]/1000000</f>
        <v>0.35241055064148535</v>
      </c>
    </row>
    <row r="66" spans="1:6" x14ac:dyDescent="0.3">
      <c r="A66" s="1">
        <v>7.45</v>
      </c>
      <c r="B66" s="1">
        <v>0.61307</v>
      </c>
      <c r="C66" s="1">
        <f>Tabela11[[#This Row],[Alongamento(mm/mm)]]/$I$2</f>
        <v>1.22614E-2</v>
      </c>
      <c r="D66" s="1">
        <v>11.055999999999999</v>
      </c>
      <c r="E66" s="1">
        <f>Tabela11[[#This Row],[Força(N)]]/$I$5</f>
        <v>352410.55064148537</v>
      </c>
      <c r="F66" s="1">
        <f>Tabela11[[#This Row],[Tensão(Pa)]]/1000000</f>
        <v>0.35241055064148535</v>
      </c>
    </row>
    <row r="67" spans="1:6" x14ac:dyDescent="0.3">
      <c r="A67" s="1">
        <v>7.5167000000000002</v>
      </c>
      <c r="B67" s="1">
        <v>0.61873999999999996</v>
      </c>
      <c r="C67" s="1">
        <f>Tabela11[[#This Row],[Alongamento(mm/mm)]]/$I$2</f>
        <v>1.2374799999999998E-2</v>
      </c>
      <c r="D67" s="1">
        <v>11.055999999999999</v>
      </c>
      <c r="E67" s="1">
        <f>Tabela11[[#This Row],[Força(N)]]/$I$5</f>
        <v>352410.55064148537</v>
      </c>
      <c r="F67" s="1">
        <f>Tabela11[[#This Row],[Tensão(Pa)]]/1000000</f>
        <v>0.35241055064148535</v>
      </c>
    </row>
    <row r="68" spans="1:6" x14ac:dyDescent="0.3">
      <c r="A68" s="1">
        <v>7.5833000000000004</v>
      </c>
      <c r="B68" s="1">
        <v>0.62433000000000005</v>
      </c>
      <c r="C68" s="1">
        <f>Tabela11[[#This Row],[Alongamento(mm/mm)]]/$I$2</f>
        <v>1.24866E-2</v>
      </c>
      <c r="D68" s="1">
        <v>11.227</v>
      </c>
      <c r="E68" s="1">
        <f>Tabela11[[#This Row],[Força(N)]]/$I$5</f>
        <v>357861.18415810028</v>
      </c>
      <c r="F68" s="1">
        <f>Tabela11[[#This Row],[Tensão(Pa)]]/1000000</f>
        <v>0.35786118415810025</v>
      </c>
    </row>
    <row r="69" spans="1:6" x14ac:dyDescent="0.3">
      <c r="A69" s="1">
        <v>7.65</v>
      </c>
      <c r="B69" s="1">
        <v>0.62982000000000005</v>
      </c>
      <c r="C69" s="1">
        <f>Tabela11[[#This Row],[Alongamento(mm/mm)]]/$I$2</f>
        <v>1.2596400000000001E-2</v>
      </c>
      <c r="D69" s="1">
        <v>11.567</v>
      </c>
      <c r="E69" s="1">
        <f>Tabela11[[#This Row],[Força(N)]]/$I$5</f>
        <v>368698.70109172049</v>
      </c>
      <c r="F69" s="1">
        <f>Tabela11[[#This Row],[Tensão(Pa)]]/1000000</f>
        <v>0.36869870109172048</v>
      </c>
    </row>
    <row r="70" spans="1:6" x14ac:dyDescent="0.3">
      <c r="A70" s="1">
        <v>7.7167000000000003</v>
      </c>
      <c r="B70" s="1">
        <v>0.63539999999999996</v>
      </c>
      <c r="C70" s="1">
        <f>Tabela11[[#This Row],[Alongamento(mm/mm)]]/$I$2</f>
        <v>1.2707999999999999E-2</v>
      </c>
      <c r="D70" s="1">
        <v>11.737</v>
      </c>
      <c r="E70" s="1">
        <f>Tabela11[[#This Row],[Força(N)]]/$I$5</f>
        <v>374117.45955853059</v>
      </c>
      <c r="F70" s="1">
        <f>Tabela11[[#This Row],[Tensão(Pa)]]/1000000</f>
        <v>0.3741174595585306</v>
      </c>
    </row>
    <row r="71" spans="1:6" x14ac:dyDescent="0.3">
      <c r="A71" s="1">
        <v>7.7832999999999997</v>
      </c>
      <c r="B71" s="1">
        <v>0.64097999999999999</v>
      </c>
      <c r="C71" s="1">
        <f>Tabela11[[#This Row],[Alongamento(mm/mm)]]/$I$2</f>
        <v>1.28196E-2</v>
      </c>
      <c r="D71" s="1">
        <v>12.247</v>
      </c>
      <c r="E71" s="1">
        <f>Tabela11[[#This Row],[Força(N)]]/$I$5</f>
        <v>390373.73495896091</v>
      </c>
      <c r="F71" s="1">
        <f>Tabela11[[#This Row],[Tensão(Pa)]]/1000000</f>
        <v>0.39037373495896088</v>
      </c>
    </row>
    <row r="72" spans="1:6" x14ac:dyDescent="0.3">
      <c r="A72" s="1">
        <v>7.85</v>
      </c>
      <c r="B72" s="1">
        <v>0.64646999999999999</v>
      </c>
      <c r="C72" s="1">
        <f>Tabela11[[#This Row],[Alongamento(mm/mm)]]/$I$2</f>
        <v>1.2929400000000001E-2</v>
      </c>
      <c r="D72" s="1">
        <v>12.417</v>
      </c>
      <c r="E72" s="1">
        <f>Tabela11[[#This Row],[Força(N)]]/$I$5</f>
        <v>395792.49342577101</v>
      </c>
      <c r="F72" s="1">
        <f>Tabela11[[#This Row],[Tensão(Pa)]]/1000000</f>
        <v>0.395792493425771</v>
      </c>
    </row>
    <row r="73" spans="1:6" x14ac:dyDescent="0.3">
      <c r="A73" s="1">
        <v>7.9166999999999996</v>
      </c>
      <c r="B73" s="1">
        <v>0.65195999999999998</v>
      </c>
      <c r="C73" s="1">
        <f>Tabela11[[#This Row],[Alongamento(mm/mm)]]/$I$2</f>
        <v>1.3039199999999999E-2</v>
      </c>
      <c r="D73" s="1">
        <v>12.587</v>
      </c>
      <c r="E73" s="1">
        <f>Tabela11[[#This Row],[Força(N)]]/$I$5</f>
        <v>401211.25189258112</v>
      </c>
      <c r="F73" s="1">
        <f>Tabela11[[#This Row],[Tensão(Pa)]]/1000000</f>
        <v>0.40121125189258111</v>
      </c>
    </row>
    <row r="74" spans="1:6" x14ac:dyDescent="0.3">
      <c r="A74" s="1">
        <v>7.9832999999999998</v>
      </c>
      <c r="B74" s="1">
        <v>0.65754999999999997</v>
      </c>
      <c r="C74" s="1">
        <f>Tabela11[[#This Row],[Alongamento(mm/mm)]]/$I$2</f>
        <v>1.3150999999999999E-2</v>
      </c>
      <c r="D74" s="1">
        <v>12.757</v>
      </c>
      <c r="E74" s="1">
        <f>Tabela11[[#This Row],[Força(N)]]/$I$5</f>
        <v>406630.01035939122</v>
      </c>
      <c r="F74" s="1">
        <f>Tabela11[[#This Row],[Tensão(Pa)]]/1000000</f>
        <v>0.40663001035939123</v>
      </c>
    </row>
    <row r="75" spans="1:6" x14ac:dyDescent="0.3">
      <c r="A75" s="1">
        <v>8.0500000000000007</v>
      </c>
      <c r="B75" s="1">
        <v>0.66313</v>
      </c>
      <c r="C75" s="1">
        <f>Tabela11[[#This Row],[Alongamento(mm/mm)]]/$I$2</f>
        <v>1.3262599999999999E-2</v>
      </c>
      <c r="D75" s="1">
        <v>12.757</v>
      </c>
      <c r="E75" s="1">
        <f>Tabela11[[#This Row],[Força(N)]]/$I$5</f>
        <v>406630.01035939122</v>
      </c>
      <c r="F75" s="1">
        <f>Tabela11[[#This Row],[Tensão(Pa)]]/1000000</f>
        <v>0.40663001035939123</v>
      </c>
    </row>
    <row r="76" spans="1:6" x14ac:dyDescent="0.3">
      <c r="A76" s="1">
        <v>8.1166999999999998</v>
      </c>
      <c r="B76" s="1">
        <v>0.66861999999999999</v>
      </c>
      <c r="C76" s="1">
        <f>Tabela11[[#This Row],[Alongamento(mm/mm)]]/$I$2</f>
        <v>1.33724E-2</v>
      </c>
      <c r="D76" s="1">
        <v>12.928000000000001</v>
      </c>
      <c r="E76" s="1">
        <f>Tabela11[[#This Row],[Força(N)]]/$I$5</f>
        <v>412080.64387600613</v>
      </c>
      <c r="F76" s="1">
        <f>Tabela11[[#This Row],[Tensão(Pa)]]/1000000</f>
        <v>0.41208064387600613</v>
      </c>
    </row>
    <row r="77" spans="1:6" x14ac:dyDescent="0.3">
      <c r="A77" s="1">
        <v>8.1832999999999991</v>
      </c>
      <c r="B77" s="1">
        <v>0.67420999999999998</v>
      </c>
      <c r="C77" s="1">
        <f>Tabela11[[#This Row],[Alongamento(mm/mm)]]/$I$2</f>
        <v>1.34842E-2</v>
      </c>
      <c r="D77" s="1">
        <v>12.928000000000001</v>
      </c>
      <c r="E77" s="1">
        <f>Tabela11[[#This Row],[Força(N)]]/$I$5</f>
        <v>412080.64387600613</v>
      </c>
      <c r="F77" s="1">
        <f>Tabela11[[#This Row],[Tensão(Pa)]]/1000000</f>
        <v>0.41208064387600613</v>
      </c>
    </row>
    <row r="78" spans="1:6" x14ac:dyDescent="0.3">
      <c r="A78" s="1">
        <v>8.25</v>
      </c>
      <c r="B78" s="1">
        <v>0.67979000000000001</v>
      </c>
      <c r="C78" s="1">
        <f>Tabela11[[#This Row],[Alongamento(mm/mm)]]/$I$2</f>
        <v>1.35958E-2</v>
      </c>
      <c r="D78" s="1">
        <v>12.928000000000001</v>
      </c>
      <c r="E78" s="1">
        <f>Tabela11[[#This Row],[Força(N)]]/$I$5</f>
        <v>412080.64387600613</v>
      </c>
      <c r="F78" s="1">
        <f>Tabela11[[#This Row],[Tensão(Pa)]]/1000000</f>
        <v>0.41208064387600613</v>
      </c>
    </row>
    <row r="79" spans="1:6" x14ac:dyDescent="0.3">
      <c r="A79" s="1">
        <v>8.3167000000000009</v>
      </c>
      <c r="B79" s="1">
        <v>0.68528</v>
      </c>
      <c r="C79" s="1">
        <f>Tabela11[[#This Row],[Alongamento(mm/mm)]]/$I$2</f>
        <v>1.37056E-2</v>
      </c>
      <c r="D79" s="1">
        <v>12.928000000000001</v>
      </c>
      <c r="E79" s="1">
        <f>Tabela11[[#This Row],[Força(N)]]/$I$5</f>
        <v>412080.64387600613</v>
      </c>
      <c r="F79" s="1">
        <f>Tabela11[[#This Row],[Tensão(Pa)]]/1000000</f>
        <v>0.41208064387600613</v>
      </c>
    </row>
    <row r="80" spans="1:6" x14ac:dyDescent="0.3">
      <c r="A80" s="1">
        <v>8.3833000000000002</v>
      </c>
      <c r="B80" s="1">
        <v>0.69086000000000003</v>
      </c>
      <c r="C80" s="1">
        <f>Tabela11[[#This Row],[Alongamento(mm/mm)]]/$I$2</f>
        <v>1.38172E-2</v>
      </c>
      <c r="D80" s="1">
        <v>12.928000000000001</v>
      </c>
      <c r="E80" s="1">
        <f>Tabela11[[#This Row],[Força(N)]]/$I$5</f>
        <v>412080.64387600613</v>
      </c>
      <c r="F80" s="1">
        <f>Tabela11[[#This Row],[Tensão(Pa)]]/1000000</f>
        <v>0.41208064387600613</v>
      </c>
    </row>
    <row r="81" spans="1:6" x14ac:dyDescent="0.3">
      <c r="A81" s="1">
        <v>8.4499999999999993</v>
      </c>
      <c r="B81" s="1">
        <v>0.69645000000000001</v>
      </c>
      <c r="C81" s="1">
        <f>Tabela11[[#This Row],[Alongamento(mm/mm)]]/$I$2</f>
        <v>1.3929E-2</v>
      </c>
      <c r="D81" s="1">
        <v>13.098000000000001</v>
      </c>
      <c r="E81" s="1">
        <f>Tabela11[[#This Row],[Força(N)]]/$I$5</f>
        <v>417499.40234281623</v>
      </c>
      <c r="F81" s="1">
        <f>Tabela11[[#This Row],[Tensão(Pa)]]/1000000</f>
        <v>0.41749940234281624</v>
      </c>
    </row>
    <row r="82" spans="1:6" x14ac:dyDescent="0.3">
      <c r="A82" s="1">
        <v>8.5167000000000002</v>
      </c>
      <c r="B82" s="1">
        <v>0.70203000000000004</v>
      </c>
      <c r="C82" s="1">
        <f>Tabela11[[#This Row],[Alongamento(mm/mm)]]/$I$2</f>
        <v>1.40406E-2</v>
      </c>
      <c r="D82" s="1">
        <v>13.098000000000001</v>
      </c>
      <c r="E82" s="1">
        <f>Tabela11[[#This Row],[Força(N)]]/$I$5</f>
        <v>417499.40234281623</v>
      </c>
      <c r="F82" s="1">
        <f>Tabela11[[#This Row],[Tensão(Pa)]]/1000000</f>
        <v>0.41749940234281624</v>
      </c>
    </row>
    <row r="83" spans="1:6" x14ac:dyDescent="0.3">
      <c r="A83" s="1">
        <v>8.5832999999999995</v>
      </c>
      <c r="B83" s="1">
        <v>0.70760999999999996</v>
      </c>
      <c r="C83" s="1">
        <f>Tabela11[[#This Row],[Alongamento(mm/mm)]]/$I$2</f>
        <v>1.4152199999999998E-2</v>
      </c>
      <c r="D83" s="1">
        <v>13.098000000000001</v>
      </c>
      <c r="E83" s="1">
        <f>Tabela11[[#This Row],[Força(N)]]/$I$5</f>
        <v>417499.40234281623</v>
      </c>
      <c r="F83" s="1">
        <f>Tabela11[[#This Row],[Tensão(Pa)]]/1000000</f>
        <v>0.41749940234281624</v>
      </c>
    </row>
    <row r="84" spans="1:6" x14ac:dyDescent="0.3">
      <c r="A84" s="1">
        <v>8.65</v>
      </c>
      <c r="B84" s="1">
        <v>0.71319999999999995</v>
      </c>
      <c r="C84" s="1">
        <f>Tabela11[[#This Row],[Alongamento(mm/mm)]]/$I$2</f>
        <v>1.4263999999999999E-2</v>
      </c>
      <c r="D84" s="1">
        <v>13.098000000000001</v>
      </c>
      <c r="E84" s="1">
        <f>Tabela11[[#This Row],[Força(N)]]/$I$5</f>
        <v>417499.40234281623</v>
      </c>
      <c r="F84" s="1">
        <f>Tabela11[[#This Row],[Tensão(Pa)]]/1000000</f>
        <v>0.41749940234281624</v>
      </c>
    </row>
    <row r="85" spans="1:6" x14ac:dyDescent="0.3">
      <c r="A85" s="1">
        <v>8.7166999999999994</v>
      </c>
      <c r="B85" s="1">
        <v>0.71877999999999997</v>
      </c>
      <c r="C85" s="1">
        <f>Tabela11[[#This Row],[Alongamento(mm/mm)]]/$I$2</f>
        <v>1.4375599999999999E-2</v>
      </c>
      <c r="D85" s="1">
        <v>13.098000000000001</v>
      </c>
      <c r="E85" s="1">
        <f>Tabela11[[#This Row],[Força(N)]]/$I$5</f>
        <v>417499.40234281623</v>
      </c>
      <c r="F85" s="1">
        <f>Tabela11[[#This Row],[Tensão(Pa)]]/1000000</f>
        <v>0.41749940234281624</v>
      </c>
    </row>
    <row r="86" spans="1:6" x14ac:dyDescent="0.3">
      <c r="A86" s="1">
        <v>8.8000000000000007</v>
      </c>
      <c r="B86" s="1">
        <v>0.72557000000000005</v>
      </c>
      <c r="C86" s="1">
        <f>Tabela11[[#This Row],[Alongamento(mm/mm)]]/$I$2</f>
        <v>1.4511400000000001E-2</v>
      </c>
      <c r="D86" s="1">
        <v>13.098000000000001</v>
      </c>
      <c r="E86" s="1">
        <f>Tabela11[[#This Row],[Força(N)]]/$I$5</f>
        <v>417499.40234281623</v>
      </c>
      <c r="F86" s="1">
        <f>Tabela11[[#This Row],[Tensão(Pa)]]/1000000</f>
        <v>0.41749940234281624</v>
      </c>
    </row>
    <row r="87" spans="1:6" x14ac:dyDescent="0.3">
      <c r="A87" s="1">
        <v>8.8833000000000002</v>
      </c>
      <c r="B87" s="1">
        <v>0.73255000000000003</v>
      </c>
      <c r="C87" s="1">
        <f>Tabela11[[#This Row],[Alongamento(mm/mm)]]/$I$2</f>
        <v>1.4651000000000001E-2</v>
      </c>
      <c r="D87" s="1">
        <v>12.928000000000001</v>
      </c>
      <c r="E87" s="1">
        <f>Tabela11[[#This Row],[Força(N)]]/$I$5</f>
        <v>412080.64387600613</v>
      </c>
      <c r="F87" s="1">
        <f>Tabela11[[#This Row],[Tensão(Pa)]]/1000000</f>
        <v>0.41208064387600613</v>
      </c>
    </row>
    <row r="88" spans="1:6" x14ac:dyDescent="0.3">
      <c r="A88" s="1">
        <v>8.9666999999999994</v>
      </c>
      <c r="B88" s="1">
        <v>0.73953000000000002</v>
      </c>
      <c r="C88" s="1">
        <f>Tabela11[[#This Row],[Alongamento(mm/mm)]]/$I$2</f>
        <v>1.4790600000000001E-2</v>
      </c>
      <c r="D88" s="1">
        <v>13.098000000000001</v>
      </c>
      <c r="E88" s="1">
        <f>Tabela11[[#This Row],[Força(N)]]/$I$5</f>
        <v>417499.40234281623</v>
      </c>
      <c r="F88" s="1">
        <f>Tabela11[[#This Row],[Tensão(Pa)]]/1000000</f>
        <v>0.41749940234281624</v>
      </c>
    </row>
    <row r="89" spans="1:6" x14ac:dyDescent="0.3">
      <c r="A89" s="1">
        <v>9.0500000000000007</v>
      </c>
      <c r="B89" s="1">
        <v>0.74641999999999997</v>
      </c>
      <c r="C89" s="1">
        <f>Tabela11[[#This Row],[Alongamento(mm/mm)]]/$I$2</f>
        <v>1.49284E-2</v>
      </c>
      <c r="D89" s="1">
        <v>13.098000000000001</v>
      </c>
      <c r="E89" s="1">
        <f>Tabela11[[#This Row],[Força(N)]]/$I$5</f>
        <v>417499.40234281623</v>
      </c>
      <c r="F89" s="1">
        <f>Tabela11[[#This Row],[Tensão(Pa)]]/1000000</f>
        <v>0.41749940234281624</v>
      </c>
    </row>
    <row r="90" spans="1:6" x14ac:dyDescent="0.3">
      <c r="A90" s="1">
        <v>9.1333000000000002</v>
      </c>
      <c r="B90" s="1">
        <v>0.75339999999999996</v>
      </c>
      <c r="C90" s="1">
        <f>Tabela11[[#This Row],[Alongamento(mm/mm)]]/$I$2</f>
        <v>1.5068E-2</v>
      </c>
      <c r="D90" s="1">
        <v>13.098000000000001</v>
      </c>
      <c r="E90" s="1">
        <f>Tabela11[[#This Row],[Força(N)]]/$I$5</f>
        <v>417499.40234281623</v>
      </c>
      <c r="F90" s="1">
        <f>Tabela11[[#This Row],[Tensão(Pa)]]/1000000</f>
        <v>0.41749940234281624</v>
      </c>
    </row>
    <row r="91" spans="1:6" x14ac:dyDescent="0.3">
      <c r="A91" s="1">
        <v>9.2166999999999994</v>
      </c>
      <c r="B91" s="1">
        <v>0.76037999999999994</v>
      </c>
      <c r="C91" s="1">
        <f>Tabela11[[#This Row],[Alongamento(mm/mm)]]/$I$2</f>
        <v>1.5207599999999998E-2</v>
      </c>
      <c r="D91" s="1">
        <v>13.098000000000001</v>
      </c>
      <c r="E91" s="1">
        <f>Tabela11[[#This Row],[Força(N)]]/$I$5</f>
        <v>417499.40234281623</v>
      </c>
      <c r="F91" s="1">
        <f>Tabela11[[#This Row],[Tensão(Pa)]]/1000000</f>
        <v>0.41749940234281624</v>
      </c>
    </row>
    <row r="92" spans="1:6" x14ac:dyDescent="0.3">
      <c r="A92" s="1">
        <v>9.3000000000000007</v>
      </c>
      <c r="B92" s="1">
        <v>0.76726000000000005</v>
      </c>
      <c r="C92" s="1">
        <f>Tabela11[[#This Row],[Alongamento(mm/mm)]]/$I$2</f>
        <v>1.5345200000000002E-2</v>
      </c>
      <c r="D92" s="1">
        <v>13.098000000000001</v>
      </c>
      <c r="E92" s="1">
        <f>Tabela11[[#This Row],[Força(N)]]/$I$5</f>
        <v>417499.40234281623</v>
      </c>
      <c r="F92" s="1">
        <f>Tabela11[[#This Row],[Tensão(Pa)]]/1000000</f>
        <v>0.41749940234281624</v>
      </c>
    </row>
    <row r="93" spans="1:6" x14ac:dyDescent="0.3">
      <c r="A93" s="1">
        <v>9.3833000000000002</v>
      </c>
      <c r="B93" s="1">
        <v>0.77424000000000004</v>
      </c>
      <c r="C93" s="1">
        <f>Tabela11[[#This Row],[Alongamento(mm/mm)]]/$I$2</f>
        <v>1.54848E-2</v>
      </c>
      <c r="D93" s="1">
        <v>13.098000000000001</v>
      </c>
      <c r="E93" s="1">
        <f>Tabela11[[#This Row],[Força(N)]]/$I$5</f>
        <v>417499.40234281623</v>
      </c>
      <c r="F93" s="1">
        <f>Tabela11[[#This Row],[Tensão(Pa)]]/1000000</f>
        <v>0.41749940234281624</v>
      </c>
    </row>
    <row r="94" spans="1:6" x14ac:dyDescent="0.3">
      <c r="A94" s="1">
        <v>9.4666999999999994</v>
      </c>
      <c r="B94" s="1">
        <v>0.78122000000000003</v>
      </c>
      <c r="C94" s="1">
        <f>Tabela11[[#This Row],[Alongamento(mm/mm)]]/$I$2</f>
        <v>1.56244E-2</v>
      </c>
      <c r="D94" s="1">
        <v>13.098000000000001</v>
      </c>
      <c r="E94" s="1">
        <f>Tabela11[[#This Row],[Força(N)]]/$I$5</f>
        <v>417499.40234281623</v>
      </c>
      <c r="F94" s="1">
        <f>Tabela11[[#This Row],[Tensão(Pa)]]/1000000</f>
        <v>0.41749940234281624</v>
      </c>
    </row>
    <row r="95" spans="1:6" x14ac:dyDescent="0.3">
      <c r="A95" s="1">
        <v>9.5500000000000007</v>
      </c>
      <c r="B95" s="1">
        <v>0.78810999999999998</v>
      </c>
      <c r="C95" s="1">
        <f>Tabela11[[#This Row],[Alongamento(mm/mm)]]/$I$2</f>
        <v>1.5762200000000001E-2</v>
      </c>
      <c r="D95" s="1">
        <v>13.098000000000001</v>
      </c>
      <c r="E95" s="1">
        <f>Tabela11[[#This Row],[Força(N)]]/$I$5</f>
        <v>417499.40234281623</v>
      </c>
      <c r="F95" s="1">
        <f>Tabela11[[#This Row],[Tensão(Pa)]]/1000000</f>
        <v>0.41749940234281624</v>
      </c>
    </row>
    <row r="96" spans="1:6" x14ac:dyDescent="0.3">
      <c r="A96" s="1">
        <v>9.6333000000000002</v>
      </c>
      <c r="B96" s="1">
        <v>0.79508999999999996</v>
      </c>
      <c r="C96" s="1">
        <f>Tabela11[[#This Row],[Alongamento(mm/mm)]]/$I$2</f>
        <v>1.5901800000000001E-2</v>
      </c>
      <c r="D96" s="1">
        <v>13.098000000000001</v>
      </c>
      <c r="E96" s="1">
        <f>Tabela11[[#This Row],[Força(N)]]/$I$5</f>
        <v>417499.40234281623</v>
      </c>
      <c r="F96" s="1">
        <f>Tabela11[[#This Row],[Tensão(Pa)]]/1000000</f>
        <v>0.41749940234281624</v>
      </c>
    </row>
    <row r="97" spans="1:6" x14ac:dyDescent="0.3">
      <c r="A97" s="1">
        <v>9.7166999999999994</v>
      </c>
      <c r="B97" s="1">
        <v>0.80206999999999995</v>
      </c>
      <c r="C97" s="1">
        <f>Tabela11[[#This Row],[Alongamento(mm/mm)]]/$I$2</f>
        <v>1.6041399999999997E-2</v>
      </c>
      <c r="D97" s="1">
        <v>13.098000000000001</v>
      </c>
      <c r="E97" s="1">
        <f>Tabela11[[#This Row],[Força(N)]]/$I$5</f>
        <v>417499.40234281623</v>
      </c>
      <c r="F97" s="1">
        <f>Tabela11[[#This Row],[Tensão(Pa)]]/1000000</f>
        <v>0.41749940234281624</v>
      </c>
    </row>
    <row r="98" spans="1:6" x14ac:dyDescent="0.3">
      <c r="A98" s="1">
        <v>9.8000000000000007</v>
      </c>
      <c r="B98" s="1">
        <v>0.80894999999999995</v>
      </c>
      <c r="C98" s="1">
        <f>Tabela11[[#This Row],[Alongamento(mm/mm)]]/$I$2</f>
        <v>1.6178999999999999E-2</v>
      </c>
      <c r="D98" s="1">
        <v>13.098000000000001</v>
      </c>
      <c r="E98" s="1">
        <f>Tabela11[[#This Row],[Força(N)]]/$I$5</f>
        <v>417499.40234281623</v>
      </c>
      <c r="F98" s="1">
        <f>Tabela11[[#This Row],[Tensão(Pa)]]/1000000</f>
        <v>0.41749940234281624</v>
      </c>
    </row>
    <row r="99" spans="1:6" x14ac:dyDescent="0.3">
      <c r="A99" s="1">
        <v>9.8833000000000002</v>
      </c>
      <c r="B99" s="1">
        <v>0.81593000000000004</v>
      </c>
      <c r="C99" s="1">
        <f>Tabela11[[#This Row],[Alongamento(mm/mm)]]/$I$2</f>
        <v>1.6318600000000003E-2</v>
      </c>
      <c r="D99" s="1">
        <v>13.098000000000001</v>
      </c>
      <c r="E99" s="1">
        <f>Tabela11[[#This Row],[Força(N)]]/$I$5</f>
        <v>417499.40234281623</v>
      </c>
      <c r="F99" s="1">
        <f>Tabela11[[#This Row],[Tensão(Pa)]]/1000000</f>
        <v>0.41749940234281624</v>
      </c>
    </row>
    <row r="100" spans="1:6" x14ac:dyDescent="0.3">
      <c r="A100" s="1">
        <v>9.9666999999999994</v>
      </c>
      <c r="B100" s="1">
        <v>0.82282</v>
      </c>
      <c r="C100" s="1">
        <f>Tabela11[[#This Row],[Alongamento(mm/mm)]]/$I$2</f>
        <v>1.64564E-2</v>
      </c>
      <c r="D100" s="1">
        <v>13.098000000000001</v>
      </c>
      <c r="E100" s="1">
        <f>Tabela11[[#This Row],[Força(N)]]/$I$5</f>
        <v>417499.40234281623</v>
      </c>
      <c r="F100" s="1">
        <f>Tabela11[[#This Row],[Tensão(Pa)]]/1000000</f>
        <v>0.41749940234281624</v>
      </c>
    </row>
    <row r="101" spans="1:6" x14ac:dyDescent="0.3">
      <c r="A101" s="1">
        <v>10.050000000000001</v>
      </c>
      <c r="B101" s="1">
        <v>0.82979999999999998</v>
      </c>
      <c r="C101" s="1">
        <f>Tabela11[[#This Row],[Alongamento(mm/mm)]]/$I$2</f>
        <v>1.6596E-2</v>
      </c>
      <c r="D101" s="1">
        <v>13.098000000000001</v>
      </c>
      <c r="E101" s="1">
        <f>Tabela11[[#This Row],[Força(N)]]/$I$5</f>
        <v>417499.40234281623</v>
      </c>
      <c r="F101" s="1">
        <f>Tabela11[[#This Row],[Tensão(Pa)]]/1000000</f>
        <v>0.41749940234281624</v>
      </c>
    </row>
    <row r="102" spans="1:6" x14ac:dyDescent="0.3">
      <c r="A102" s="1">
        <v>10.132999999999999</v>
      </c>
      <c r="B102" s="1">
        <v>0.83677999999999997</v>
      </c>
      <c r="C102" s="1">
        <f>Tabela11[[#This Row],[Alongamento(mm/mm)]]/$I$2</f>
        <v>1.67356E-2</v>
      </c>
      <c r="D102" s="1">
        <v>13.098000000000001</v>
      </c>
      <c r="E102" s="1">
        <f>Tabela11[[#This Row],[Força(N)]]/$I$5</f>
        <v>417499.40234281623</v>
      </c>
      <c r="F102" s="1">
        <f>Tabela11[[#This Row],[Tensão(Pa)]]/1000000</f>
        <v>0.41749940234281624</v>
      </c>
    </row>
    <row r="103" spans="1:6" x14ac:dyDescent="0.3">
      <c r="A103" s="1">
        <v>10.217000000000001</v>
      </c>
      <c r="B103" s="1">
        <v>0.84365999999999997</v>
      </c>
      <c r="C103" s="1">
        <f>Tabela11[[#This Row],[Alongamento(mm/mm)]]/$I$2</f>
        <v>1.6873199999999998E-2</v>
      </c>
      <c r="D103" s="1">
        <v>13.098000000000001</v>
      </c>
      <c r="E103" s="1">
        <f>Tabela11[[#This Row],[Força(N)]]/$I$5</f>
        <v>417499.40234281623</v>
      </c>
      <c r="F103" s="1">
        <f>Tabela11[[#This Row],[Tensão(Pa)]]/1000000</f>
        <v>0.41749940234281624</v>
      </c>
    </row>
    <row r="104" spans="1:6" x14ac:dyDescent="0.3">
      <c r="A104" s="1">
        <v>10.3</v>
      </c>
      <c r="B104" s="1">
        <v>0.85063999999999995</v>
      </c>
      <c r="C104" s="1">
        <f>Tabela11[[#This Row],[Alongamento(mm/mm)]]/$I$2</f>
        <v>1.7012799999999998E-2</v>
      </c>
      <c r="D104" s="1">
        <v>13.098000000000001</v>
      </c>
      <c r="E104" s="1">
        <f>Tabela11[[#This Row],[Força(N)]]/$I$5</f>
        <v>417499.40234281623</v>
      </c>
      <c r="F104" s="1">
        <f>Tabela11[[#This Row],[Tensão(Pa)]]/1000000</f>
        <v>0.41749940234281624</v>
      </c>
    </row>
    <row r="105" spans="1:6" x14ac:dyDescent="0.3">
      <c r="A105" s="1">
        <v>10.382999999999999</v>
      </c>
      <c r="B105" s="1">
        <v>0.85762000000000005</v>
      </c>
      <c r="C105" s="1">
        <f>Tabela11[[#This Row],[Alongamento(mm/mm)]]/$I$2</f>
        <v>1.7152400000000002E-2</v>
      </c>
      <c r="D105" s="1">
        <v>13.098000000000001</v>
      </c>
      <c r="E105" s="1">
        <f>Tabela11[[#This Row],[Força(N)]]/$I$5</f>
        <v>417499.40234281623</v>
      </c>
      <c r="F105" s="1">
        <f>Tabela11[[#This Row],[Tensão(Pa)]]/1000000</f>
        <v>0.41749940234281624</v>
      </c>
    </row>
    <row r="106" spans="1:6" x14ac:dyDescent="0.3">
      <c r="A106" s="1">
        <v>10.467000000000001</v>
      </c>
      <c r="B106" s="1">
        <v>0.86451</v>
      </c>
      <c r="C106" s="1">
        <f>Tabela11[[#This Row],[Alongamento(mm/mm)]]/$I$2</f>
        <v>1.7290199999999999E-2</v>
      </c>
      <c r="D106" s="1">
        <v>13.098000000000001</v>
      </c>
      <c r="E106" s="1">
        <f>Tabela11[[#This Row],[Força(N)]]/$I$5</f>
        <v>417499.40234281623</v>
      </c>
      <c r="F106" s="1">
        <f>Tabela11[[#This Row],[Tensão(Pa)]]/1000000</f>
        <v>0.41749940234281624</v>
      </c>
    </row>
    <row r="107" spans="1:6" x14ac:dyDescent="0.3">
      <c r="A107" s="1">
        <v>10.55</v>
      </c>
      <c r="B107" s="1">
        <v>0.87139999999999995</v>
      </c>
      <c r="C107" s="1">
        <f>Tabela11[[#This Row],[Alongamento(mm/mm)]]/$I$2</f>
        <v>1.7427999999999999E-2</v>
      </c>
      <c r="D107" s="1">
        <v>13.098000000000001</v>
      </c>
      <c r="E107" s="1">
        <f>Tabela11[[#This Row],[Força(N)]]/$I$5</f>
        <v>417499.40234281623</v>
      </c>
      <c r="F107" s="1">
        <f>Tabela11[[#This Row],[Tensão(Pa)]]/1000000</f>
        <v>0.41749940234281624</v>
      </c>
    </row>
    <row r="108" spans="1:6" x14ac:dyDescent="0.3">
      <c r="A108" s="1">
        <v>10.632999999999999</v>
      </c>
      <c r="B108" s="1">
        <v>0.87836999999999998</v>
      </c>
      <c r="C108" s="1">
        <f>Tabela11[[#This Row],[Alongamento(mm/mm)]]/$I$2</f>
        <v>1.75674E-2</v>
      </c>
      <c r="D108" s="1">
        <v>13.098000000000001</v>
      </c>
      <c r="E108" s="1">
        <f>Tabela11[[#This Row],[Força(N)]]/$I$5</f>
        <v>417499.40234281623</v>
      </c>
      <c r="F108" s="1">
        <f>Tabela11[[#This Row],[Tensão(Pa)]]/1000000</f>
        <v>0.41749940234281624</v>
      </c>
    </row>
    <row r="109" spans="1:6" x14ac:dyDescent="0.3">
      <c r="A109" s="1">
        <v>10.717000000000001</v>
      </c>
      <c r="B109" s="1">
        <v>0.88526000000000005</v>
      </c>
      <c r="C109" s="1">
        <f>Tabela11[[#This Row],[Alongamento(mm/mm)]]/$I$2</f>
        <v>1.7705200000000001E-2</v>
      </c>
      <c r="D109" s="1">
        <v>13.268000000000001</v>
      </c>
      <c r="E109" s="1">
        <f>Tabela11[[#This Row],[Força(N)]]/$I$5</f>
        <v>422918.16080962634</v>
      </c>
      <c r="F109" s="1">
        <f>Tabela11[[#This Row],[Tensão(Pa)]]/1000000</f>
        <v>0.42291816080962635</v>
      </c>
    </row>
    <row r="110" spans="1:6" x14ac:dyDescent="0.3">
      <c r="A110" s="1">
        <v>10.8</v>
      </c>
      <c r="B110" s="1">
        <v>0.89232999999999996</v>
      </c>
      <c r="C110" s="1">
        <f>Tabela11[[#This Row],[Alongamento(mm/mm)]]/$I$2</f>
        <v>1.7846600000000001E-2</v>
      </c>
      <c r="D110" s="1">
        <v>13.268000000000001</v>
      </c>
      <c r="E110" s="1">
        <f>Tabela11[[#This Row],[Força(N)]]/$I$5</f>
        <v>422918.16080962634</v>
      </c>
      <c r="F110" s="1">
        <f>Tabela11[[#This Row],[Tensão(Pa)]]/1000000</f>
        <v>0.42291816080962635</v>
      </c>
    </row>
    <row r="111" spans="1:6" x14ac:dyDescent="0.3">
      <c r="A111" s="1">
        <v>10.882999999999999</v>
      </c>
      <c r="B111" s="1">
        <v>0.89931000000000005</v>
      </c>
      <c r="C111" s="1">
        <f>Tabela11[[#This Row],[Alongamento(mm/mm)]]/$I$2</f>
        <v>1.7986200000000001E-2</v>
      </c>
      <c r="D111" s="1">
        <v>13.268000000000001</v>
      </c>
      <c r="E111" s="1">
        <f>Tabela11[[#This Row],[Força(N)]]/$I$5</f>
        <v>422918.16080962634</v>
      </c>
      <c r="F111" s="1">
        <f>Tabela11[[#This Row],[Tensão(Pa)]]/1000000</f>
        <v>0.42291816080962635</v>
      </c>
    </row>
    <row r="112" spans="1:6" x14ac:dyDescent="0.3">
      <c r="A112" s="1">
        <v>10.983000000000001</v>
      </c>
      <c r="B112" s="1">
        <v>0.90749999999999997</v>
      </c>
      <c r="C112" s="1">
        <f>Tabela11[[#This Row],[Alongamento(mm/mm)]]/$I$2</f>
        <v>1.8149999999999999E-2</v>
      </c>
      <c r="D112" s="1">
        <v>13.268000000000001</v>
      </c>
      <c r="E112" s="1">
        <f>Tabela11[[#This Row],[Força(N)]]/$I$5</f>
        <v>422918.16080962634</v>
      </c>
      <c r="F112" s="1">
        <f>Tabela11[[#This Row],[Tensão(Pa)]]/1000000</f>
        <v>0.42291816080962635</v>
      </c>
    </row>
    <row r="113" spans="1:6" x14ac:dyDescent="0.3">
      <c r="A113" s="1">
        <v>11.067</v>
      </c>
      <c r="B113" s="1">
        <v>0.91456999999999999</v>
      </c>
      <c r="C113" s="1">
        <f>Tabela11[[#This Row],[Alongamento(mm/mm)]]/$I$2</f>
        <v>1.8291399999999999E-2</v>
      </c>
      <c r="D113" s="1">
        <v>13.268000000000001</v>
      </c>
      <c r="E113" s="1">
        <f>Tabela11[[#This Row],[Força(N)]]/$I$5</f>
        <v>422918.16080962634</v>
      </c>
      <c r="F113" s="1">
        <f>Tabela11[[#This Row],[Tensão(Pa)]]/1000000</f>
        <v>0.42291816080962635</v>
      </c>
    </row>
    <row r="114" spans="1:6" x14ac:dyDescent="0.3">
      <c r="A114" s="1">
        <v>11.167</v>
      </c>
      <c r="B114" s="1">
        <v>0.92286000000000001</v>
      </c>
      <c r="C114" s="1">
        <f>Tabela11[[#This Row],[Alongamento(mm/mm)]]/$I$2</f>
        <v>1.84572E-2</v>
      </c>
      <c r="D114" s="1">
        <v>13.268000000000001</v>
      </c>
      <c r="E114" s="1">
        <f>Tabela11[[#This Row],[Força(N)]]/$I$5</f>
        <v>422918.16080962634</v>
      </c>
      <c r="F114" s="1">
        <f>Tabela11[[#This Row],[Tensão(Pa)]]/1000000</f>
        <v>0.42291816080962635</v>
      </c>
    </row>
    <row r="115" spans="1:6" x14ac:dyDescent="0.3">
      <c r="A115" s="1">
        <v>11.266999999999999</v>
      </c>
      <c r="B115" s="1">
        <v>0.93113999999999997</v>
      </c>
      <c r="C115" s="1">
        <f>Tabela11[[#This Row],[Alongamento(mm/mm)]]/$I$2</f>
        <v>1.8622799999999998E-2</v>
      </c>
      <c r="D115" s="1">
        <v>13.438000000000001</v>
      </c>
      <c r="E115" s="1">
        <f>Tabela11[[#This Row],[Força(N)]]/$I$5</f>
        <v>428336.91927643644</v>
      </c>
      <c r="F115" s="1">
        <f>Tabela11[[#This Row],[Tensão(Pa)]]/1000000</f>
        <v>0.42833691927643647</v>
      </c>
    </row>
    <row r="116" spans="1:6" x14ac:dyDescent="0.3">
      <c r="A116" s="1">
        <v>11.367000000000001</v>
      </c>
      <c r="B116" s="1">
        <v>0.93950999999999996</v>
      </c>
      <c r="C116" s="1">
        <f>Tabela11[[#This Row],[Alongamento(mm/mm)]]/$I$2</f>
        <v>1.87902E-2</v>
      </c>
      <c r="D116" s="1">
        <v>13.438000000000001</v>
      </c>
      <c r="E116" s="1">
        <f>Tabela11[[#This Row],[Força(N)]]/$I$5</f>
        <v>428336.91927643644</v>
      </c>
      <c r="F116" s="1">
        <f>Tabela11[[#This Row],[Tensão(Pa)]]/1000000</f>
        <v>0.42833691927643647</v>
      </c>
    </row>
    <row r="117" spans="1:6" x14ac:dyDescent="0.3">
      <c r="A117" s="1">
        <v>11.467000000000001</v>
      </c>
      <c r="B117" s="1">
        <v>0.94779999999999998</v>
      </c>
      <c r="C117" s="1">
        <f>Tabela11[[#This Row],[Alongamento(mm/mm)]]/$I$2</f>
        <v>1.8956000000000001E-2</v>
      </c>
      <c r="D117" s="1">
        <v>13.438000000000001</v>
      </c>
      <c r="E117" s="1">
        <f>Tabela11[[#This Row],[Força(N)]]/$I$5</f>
        <v>428336.91927643644</v>
      </c>
      <c r="F117" s="1">
        <f>Tabela11[[#This Row],[Tensão(Pa)]]/1000000</f>
        <v>0.42833691927643647</v>
      </c>
    </row>
    <row r="118" spans="1:6" x14ac:dyDescent="0.3">
      <c r="A118" s="1">
        <v>11.567</v>
      </c>
      <c r="B118" s="1">
        <v>0.95616999999999996</v>
      </c>
      <c r="C118" s="1">
        <f>Tabela11[[#This Row],[Alongamento(mm/mm)]]/$I$2</f>
        <v>1.9123399999999999E-2</v>
      </c>
      <c r="D118" s="1">
        <v>13.438000000000001</v>
      </c>
      <c r="E118" s="1">
        <f>Tabela11[[#This Row],[Força(N)]]/$I$5</f>
        <v>428336.91927643644</v>
      </c>
      <c r="F118" s="1">
        <f>Tabela11[[#This Row],[Tensão(Pa)]]/1000000</f>
        <v>0.42833691927643647</v>
      </c>
    </row>
    <row r="119" spans="1:6" x14ac:dyDescent="0.3">
      <c r="A119" s="1">
        <v>11.667</v>
      </c>
      <c r="B119" s="1">
        <v>0.96445000000000003</v>
      </c>
      <c r="C119" s="1">
        <f>Tabela11[[#This Row],[Alongamento(mm/mm)]]/$I$2</f>
        <v>1.9289000000000001E-2</v>
      </c>
      <c r="D119" s="1">
        <v>13.438000000000001</v>
      </c>
      <c r="E119" s="1">
        <f>Tabela11[[#This Row],[Força(N)]]/$I$5</f>
        <v>428336.91927643644</v>
      </c>
      <c r="F119" s="1">
        <f>Tabela11[[#This Row],[Tensão(Pa)]]/1000000</f>
        <v>0.42833691927643647</v>
      </c>
    </row>
    <row r="120" spans="1:6" x14ac:dyDescent="0.3">
      <c r="A120" s="1">
        <v>11.766999999999999</v>
      </c>
      <c r="B120" s="1">
        <v>0.97282999999999997</v>
      </c>
      <c r="C120" s="1">
        <f>Tabela11[[#This Row],[Alongamento(mm/mm)]]/$I$2</f>
        <v>1.9456600000000001E-2</v>
      </c>
      <c r="D120" s="1">
        <v>13.438000000000001</v>
      </c>
      <c r="E120" s="1">
        <f>Tabela11[[#This Row],[Força(N)]]/$I$5</f>
        <v>428336.91927643644</v>
      </c>
      <c r="F120" s="1">
        <f>Tabela11[[#This Row],[Tensão(Pa)]]/1000000</f>
        <v>0.42833691927643647</v>
      </c>
    </row>
    <row r="121" spans="1:6" x14ac:dyDescent="0.3">
      <c r="A121" s="1">
        <v>11.867000000000001</v>
      </c>
      <c r="B121" s="1">
        <v>0.98119999999999996</v>
      </c>
      <c r="C121" s="1">
        <f>Tabela11[[#This Row],[Alongamento(mm/mm)]]/$I$2</f>
        <v>1.9623999999999999E-2</v>
      </c>
      <c r="D121" s="1">
        <v>13.438000000000001</v>
      </c>
      <c r="E121" s="1">
        <f>Tabela11[[#This Row],[Força(N)]]/$I$5</f>
        <v>428336.91927643644</v>
      </c>
      <c r="F121" s="1">
        <f>Tabela11[[#This Row],[Tensão(Pa)]]/1000000</f>
        <v>0.42833691927643647</v>
      </c>
    </row>
    <row r="122" spans="1:6" x14ac:dyDescent="0.3">
      <c r="A122" s="1">
        <v>11.967000000000001</v>
      </c>
      <c r="B122" s="1">
        <v>0.98948999999999998</v>
      </c>
      <c r="C122" s="1">
        <f>Tabela11[[#This Row],[Alongamento(mm/mm)]]/$I$2</f>
        <v>1.97898E-2</v>
      </c>
      <c r="D122" s="1">
        <v>13.268000000000001</v>
      </c>
      <c r="E122" s="1">
        <f>Tabela11[[#This Row],[Força(N)]]/$I$5</f>
        <v>422918.16080962634</v>
      </c>
      <c r="F122" s="1">
        <f>Tabela11[[#This Row],[Tensão(Pa)]]/1000000</f>
        <v>0.42291816080962635</v>
      </c>
    </row>
    <row r="123" spans="1:6" x14ac:dyDescent="0.3">
      <c r="A123" s="1">
        <v>12.067</v>
      </c>
      <c r="B123" s="1">
        <v>0.99795</v>
      </c>
      <c r="C123" s="1">
        <f>Tabela11[[#This Row],[Alongamento(mm/mm)]]/$I$2</f>
        <v>1.9959000000000001E-2</v>
      </c>
      <c r="D123" s="1">
        <v>13.268000000000001</v>
      </c>
      <c r="E123" s="1">
        <f>Tabela11[[#This Row],[Força(N)]]/$I$5</f>
        <v>422918.16080962634</v>
      </c>
      <c r="F123" s="1">
        <f>Tabela11[[#This Row],[Tensão(Pa)]]/1000000</f>
        <v>0.42291816080962635</v>
      </c>
    </row>
    <row r="124" spans="1:6" x14ac:dyDescent="0.3">
      <c r="A124" s="1">
        <v>12.167</v>
      </c>
      <c r="B124" s="1">
        <v>1.0061</v>
      </c>
      <c r="C124" s="1">
        <f>Tabela11[[#This Row],[Alongamento(mm/mm)]]/$I$2</f>
        <v>2.0122000000000001E-2</v>
      </c>
      <c r="D124" s="1">
        <v>13.438000000000001</v>
      </c>
      <c r="E124" s="1">
        <f>Tabela11[[#This Row],[Força(N)]]/$I$5</f>
        <v>428336.91927643644</v>
      </c>
      <c r="F124" s="1">
        <f>Tabela11[[#This Row],[Tensão(Pa)]]/1000000</f>
        <v>0.42833691927643647</v>
      </c>
    </row>
    <row r="125" spans="1:6" x14ac:dyDescent="0.3">
      <c r="A125" s="1">
        <v>12.266999999999999</v>
      </c>
      <c r="B125" s="1">
        <v>1.0145</v>
      </c>
      <c r="C125" s="1">
        <f>Tabela11[[#This Row],[Alongamento(mm/mm)]]/$I$2</f>
        <v>2.0289999999999999E-2</v>
      </c>
      <c r="D125" s="1">
        <v>13.438000000000001</v>
      </c>
      <c r="E125" s="1">
        <f>Tabela11[[#This Row],[Força(N)]]/$I$5</f>
        <v>428336.91927643644</v>
      </c>
      <c r="F125" s="1">
        <f>Tabela11[[#This Row],[Tensão(Pa)]]/1000000</f>
        <v>0.42833691927643647</v>
      </c>
    </row>
    <row r="126" spans="1:6" x14ac:dyDescent="0.3">
      <c r="A126" s="1">
        <v>12.367000000000001</v>
      </c>
      <c r="B126" s="1">
        <v>1.0228999999999999</v>
      </c>
      <c r="C126" s="1">
        <f>Tabela11[[#This Row],[Alongamento(mm/mm)]]/$I$2</f>
        <v>2.0457999999999997E-2</v>
      </c>
      <c r="D126" s="1">
        <v>13.438000000000001</v>
      </c>
      <c r="E126" s="1">
        <f>Tabela11[[#This Row],[Força(N)]]/$I$5</f>
        <v>428336.91927643644</v>
      </c>
      <c r="F126" s="1">
        <f>Tabela11[[#This Row],[Tensão(Pa)]]/1000000</f>
        <v>0.42833691927643647</v>
      </c>
    </row>
    <row r="127" spans="1:6" x14ac:dyDescent="0.3">
      <c r="A127" s="1">
        <v>12.467000000000001</v>
      </c>
      <c r="B127" s="1">
        <v>1.0311999999999999</v>
      </c>
      <c r="C127" s="1">
        <f>Tabela11[[#This Row],[Alongamento(mm/mm)]]/$I$2</f>
        <v>2.0623999999999997E-2</v>
      </c>
      <c r="D127" s="1">
        <v>13.438000000000001</v>
      </c>
      <c r="E127" s="1">
        <f>Tabela11[[#This Row],[Força(N)]]/$I$5</f>
        <v>428336.91927643644</v>
      </c>
      <c r="F127" s="1">
        <f>Tabela11[[#This Row],[Tensão(Pa)]]/1000000</f>
        <v>0.42833691927643647</v>
      </c>
    </row>
    <row r="128" spans="1:6" x14ac:dyDescent="0.3">
      <c r="A128" s="1">
        <v>12.567</v>
      </c>
      <c r="B128" s="1">
        <v>1.0396000000000001</v>
      </c>
      <c r="C128" s="1">
        <f>Tabela11[[#This Row],[Alongamento(mm/mm)]]/$I$2</f>
        <v>2.0792000000000001E-2</v>
      </c>
      <c r="D128" s="1">
        <v>13.608000000000001</v>
      </c>
      <c r="E128" s="1">
        <f>Tabela11[[#This Row],[Força(N)]]/$I$5</f>
        <v>433755.67774324649</v>
      </c>
      <c r="F128" s="1">
        <f>Tabela11[[#This Row],[Tensão(Pa)]]/1000000</f>
        <v>0.43375567774324647</v>
      </c>
    </row>
    <row r="129" spans="1:6" x14ac:dyDescent="0.3">
      <c r="A129" s="1">
        <v>12.667</v>
      </c>
      <c r="B129" s="1">
        <v>1.0478000000000001</v>
      </c>
      <c r="C129" s="1">
        <f>Tabela11[[#This Row],[Alongamento(mm/mm)]]/$I$2</f>
        <v>2.0956000000000002E-2</v>
      </c>
      <c r="D129" s="1">
        <v>13.608000000000001</v>
      </c>
      <c r="E129" s="1">
        <f>Tabela11[[#This Row],[Força(N)]]/$I$5</f>
        <v>433755.67774324649</v>
      </c>
      <c r="F129" s="1">
        <f>Tabela11[[#This Row],[Tensão(Pa)]]/1000000</f>
        <v>0.43375567774324647</v>
      </c>
    </row>
    <row r="130" spans="1:6" x14ac:dyDescent="0.3">
      <c r="A130" s="1">
        <v>12.766999999999999</v>
      </c>
      <c r="B130" s="1">
        <v>1.0561</v>
      </c>
      <c r="C130" s="1">
        <f>Tabela11[[#This Row],[Alongamento(mm/mm)]]/$I$2</f>
        <v>2.1122000000000002E-2</v>
      </c>
      <c r="D130" s="1">
        <v>13.778</v>
      </c>
      <c r="E130" s="1">
        <f>Tabela11[[#This Row],[Força(N)]]/$I$5</f>
        <v>439174.43621005659</v>
      </c>
      <c r="F130" s="1">
        <f>Tabela11[[#This Row],[Tensão(Pa)]]/1000000</f>
        <v>0.43917443621005658</v>
      </c>
    </row>
    <row r="131" spans="1:6" x14ac:dyDescent="0.3">
      <c r="A131" s="1">
        <v>12.867000000000001</v>
      </c>
      <c r="B131" s="1">
        <v>1.0645</v>
      </c>
      <c r="C131" s="1">
        <f>Tabela11[[#This Row],[Alongamento(mm/mm)]]/$I$2</f>
        <v>2.129E-2</v>
      </c>
      <c r="D131" s="1">
        <v>13.948</v>
      </c>
      <c r="E131" s="1">
        <f>Tabela11[[#This Row],[Força(N)]]/$I$5</f>
        <v>444593.1946768667</v>
      </c>
      <c r="F131" s="1">
        <f>Tabela11[[#This Row],[Tensão(Pa)]]/1000000</f>
        <v>0.4445931946768667</v>
      </c>
    </row>
    <row r="132" spans="1:6" x14ac:dyDescent="0.3">
      <c r="A132" s="1">
        <v>12.967000000000001</v>
      </c>
      <c r="B132" s="1">
        <v>1.0728</v>
      </c>
      <c r="C132" s="1">
        <f>Tabela11[[#This Row],[Alongamento(mm/mm)]]/$I$2</f>
        <v>2.1455999999999999E-2</v>
      </c>
      <c r="D132" s="1">
        <v>13.948</v>
      </c>
      <c r="E132" s="1">
        <f>Tabela11[[#This Row],[Força(N)]]/$I$5</f>
        <v>444593.1946768667</v>
      </c>
      <c r="F132" s="1">
        <f>Tabela11[[#This Row],[Tensão(Pa)]]/1000000</f>
        <v>0.4445931946768667</v>
      </c>
    </row>
    <row r="133" spans="1:6" x14ac:dyDescent="0.3">
      <c r="A133" s="1">
        <v>13.067</v>
      </c>
      <c r="B133" s="1">
        <v>1.0811999999999999</v>
      </c>
      <c r="C133" s="1">
        <f>Tabela11[[#This Row],[Alongamento(mm/mm)]]/$I$2</f>
        <v>2.1623999999999997E-2</v>
      </c>
      <c r="D133" s="1">
        <v>14.118</v>
      </c>
      <c r="E133" s="1">
        <f>Tabela11[[#This Row],[Força(N)]]/$I$5</f>
        <v>450011.9531436768</v>
      </c>
      <c r="F133" s="1">
        <f>Tabela11[[#This Row],[Tensão(Pa)]]/1000000</f>
        <v>0.45001195314367681</v>
      </c>
    </row>
    <row r="134" spans="1:6" x14ac:dyDescent="0.3">
      <c r="A134" s="1">
        <v>13.167</v>
      </c>
      <c r="B134" s="1">
        <v>1.0895999999999999</v>
      </c>
      <c r="C134" s="1">
        <f>Tabela11[[#This Row],[Alongamento(mm/mm)]]/$I$2</f>
        <v>2.1791999999999999E-2</v>
      </c>
      <c r="D134" s="1">
        <v>14.458</v>
      </c>
      <c r="E134" s="1">
        <f>Tabela11[[#This Row],[Força(N)]]/$I$5</f>
        <v>460849.47007729701</v>
      </c>
      <c r="F134" s="1">
        <f>Tabela11[[#This Row],[Tensão(Pa)]]/1000000</f>
        <v>0.46084947007729699</v>
      </c>
    </row>
    <row r="135" spans="1:6" x14ac:dyDescent="0.3">
      <c r="A135" s="1">
        <v>13.282999999999999</v>
      </c>
      <c r="B135" s="1">
        <v>1.0992</v>
      </c>
      <c r="C135" s="1">
        <f>Tabela11[[#This Row],[Alongamento(mm/mm)]]/$I$2</f>
        <v>2.1984E-2</v>
      </c>
      <c r="D135" s="1">
        <v>14.628</v>
      </c>
      <c r="E135" s="1">
        <f>Tabela11[[#This Row],[Força(N)]]/$I$5</f>
        <v>466268.22854410711</v>
      </c>
      <c r="F135" s="1">
        <f>Tabela11[[#This Row],[Tensão(Pa)]]/1000000</f>
        <v>0.4662682285441071</v>
      </c>
    </row>
    <row r="136" spans="1:6" x14ac:dyDescent="0.3">
      <c r="A136" s="1">
        <v>13.4</v>
      </c>
      <c r="B136" s="1">
        <v>1.109</v>
      </c>
      <c r="C136" s="1">
        <f>Tabela11[[#This Row],[Alongamento(mm/mm)]]/$I$2</f>
        <v>2.2179999999999998E-2</v>
      </c>
      <c r="D136" s="1">
        <v>14.968999999999999</v>
      </c>
      <c r="E136" s="1">
        <f>Tabela11[[#This Row],[Força(N)]]/$I$5</f>
        <v>477137.62052753207</v>
      </c>
      <c r="F136" s="1">
        <f>Tabela11[[#This Row],[Tensão(Pa)]]/1000000</f>
        <v>0.47713762052753206</v>
      </c>
    </row>
    <row r="137" spans="1:6" x14ac:dyDescent="0.3">
      <c r="A137" s="1">
        <v>13.516999999999999</v>
      </c>
      <c r="B137" s="1">
        <v>1.1187</v>
      </c>
      <c r="C137" s="1">
        <f>Tabela11[[#This Row],[Alongamento(mm/mm)]]/$I$2</f>
        <v>2.2374000000000002E-2</v>
      </c>
      <c r="D137" s="1">
        <v>15.478999999999999</v>
      </c>
      <c r="E137" s="1">
        <f>Tabela11[[#This Row],[Força(N)]]/$I$5</f>
        <v>493393.89592796238</v>
      </c>
      <c r="F137" s="1">
        <f>Tabela11[[#This Row],[Tensão(Pa)]]/1000000</f>
        <v>0.4933938959279624</v>
      </c>
    </row>
    <row r="138" spans="1:6" x14ac:dyDescent="0.3">
      <c r="A138" s="1">
        <v>13.632999999999999</v>
      </c>
      <c r="B138" s="1">
        <v>1.1284000000000001</v>
      </c>
      <c r="C138" s="1">
        <f>Tabela11[[#This Row],[Alongamento(mm/mm)]]/$I$2</f>
        <v>2.2568000000000001E-2</v>
      </c>
      <c r="D138" s="1">
        <v>16.158999999999999</v>
      </c>
      <c r="E138" s="1">
        <f>Tabela11[[#This Row],[Força(N)]]/$I$5</f>
        <v>515068.9297952028</v>
      </c>
      <c r="F138" s="1">
        <f>Tabela11[[#This Row],[Tensão(Pa)]]/1000000</f>
        <v>0.5150689297952028</v>
      </c>
    </row>
    <row r="139" spans="1:6" x14ac:dyDescent="0.3">
      <c r="A139" s="1">
        <v>13.75</v>
      </c>
      <c r="B139" s="1">
        <v>1.1380999999999999</v>
      </c>
      <c r="C139" s="1">
        <f>Tabela11[[#This Row],[Alongamento(mm/mm)]]/$I$2</f>
        <v>2.2761999999999998E-2</v>
      </c>
      <c r="D139" s="1">
        <v>16.670000000000002</v>
      </c>
      <c r="E139" s="1">
        <f>Tabela11[[#This Row],[Força(N)]]/$I$5</f>
        <v>531357.08024543792</v>
      </c>
      <c r="F139" s="1">
        <f>Tabela11[[#This Row],[Tensão(Pa)]]/1000000</f>
        <v>0.53135708024543793</v>
      </c>
    </row>
    <row r="140" spans="1:6" x14ac:dyDescent="0.3">
      <c r="A140" s="1">
        <v>13.85</v>
      </c>
      <c r="B140" s="1">
        <v>1.1465000000000001</v>
      </c>
      <c r="C140" s="1">
        <f>Tabela11[[#This Row],[Alongamento(mm/mm)]]/$I$2</f>
        <v>2.2930000000000002E-2</v>
      </c>
      <c r="D140" s="1">
        <v>17.350000000000001</v>
      </c>
      <c r="E140" s="1">
        <f>Tabela11[[#This Row],[Força(N)]]/$I$5</f>
        <v>553032.11411267833</v>
      </c>
      <c r="F140" s="1">
        <f>Tabela11[[#This Row],[Tensão(Pa)]]/1000000</f>
        <v>0.55303211411267839</v>
      </c>
    </row>
    <row r="141" spans="1:6" x14ac:dyDescent="0.3">
      <c r="A141" s="1">
        <v>13.967000000000001</v>
      </c>
      <c r="B141" s="1">
        <v>1.1561999999999999</v>
      </c>
      <c r="C141" s="1">
        <f>Tabela11[[#This Row],[Alongamento(mm/mm)]]/$I$2</f>
        <v>2.3123999999999999E-2</v>
      </c>
      <c r="D141" s="1">
        <v>18.03</v>
      </c>
      <c r="E141" s="1">
        <f>Tabela11[[#This Row],[Força(N)]]/$I$5</f>
        <v>574707.14797991875</v>
      </c>
      <c r="F141" s="1">
        <f>Tabela11[[#This Row],[Tensão(Pa)]]/1000000</f>
        <v>0.57470714797991873</v>
      </c>
    </row>
    <row r="142" spans="1:6" x14ac:dyDescent="0.3">
      <c r="A142" s="1">
        <v>14.083</v>
      </c>
      <c r="B142" s="1">
        <v>1.1657999999999999</v>
      </c>
      <c r="C142" s="1">
        <f>Tabela11[[#This Row],[Alongamento(mm/mm)]]/$I$2</f>
        <v>2.3316E-2</v>
      </c>
      <c r="D142" s="1">
        <v>18.541</v>
      </c>
      <c r="E142" s="1">
        <f>Tabela11[[#This Row],[Força(N)]]/$I$5</f>
        <v>590995.29843015387</v>
      </c>
      <c r="F142" s="1">
        <f>Tabela11[[#This Row],[Tensão(Pa)]]/1000000</f>
        <v>0.59099529843015386</v>
      </c>
    </row>
    <row r="143" spans="1:6" x14ac:dyDescent="0.3">
      <c r="A143" s="1">
        <v>14.183</v>
      </c>
      <c r="B143" s="1">
        <v>1.1742999999999999</v>
      </c>
      <c r="C143" s="1">
        <f>Tabela11[[#This Row],[Alongamento(mm/mm)]]/$I$2</f>
        <v>2.3485999999999996E-2</v>
      </c>
      <c r="D143" s="1">
        <v>19.221</v>
      </c>
      <c r="E143" s="1">
        <f>Tabela11[[#This Row],[Força(N)]]/$I$5</f>
        <v>612670.33229739428</v>
      </c>
      <c r="F143" s="1">
        <f>Tabela11[[#This Row],[Tensão(Pa)]]/1000000</f>
        <v>0.61267033229739432</v>
      </c>
    </row>
    <row r="144" spans="1:6" x14ac:dyDescent="0.3">
      <c r="A144" s="1">
        <v>14.3</v>
      </c>
      <c r="B144" s="1">
        <v>1.1839999999999999</v>
      </c>
      <c r="C144" s="1">
        <f>Tabela11[[#This Row],[Alongamento(mm/mm)]]/$I$2</f>
        <v>2.368E-2</v>
      </c>
      <c r="D144" s="1">
        <v>19.561</v>
      </c>
      <c r="E144" s="1">
        <f>Tabela11[[#This Row],[Força(N)]]/$I$5</f>
        <v>623507.84923101449</v>
      </c>
      <c r="F144" s="1">
        <f>Tabela11[[#This Row],[Tensão(Pa)]]/1000000</f>
        <v>0.62350784923101454</v>
      </c>
    </row>
    <row r="145" spans="1:6" x14ac:dyDescent="0.3">
      <c r="A145" s="1">
        <v>14.4</v>
      </c>
      <c r="B145" s="1">
        <v>1.1922999999999999</v>
      </c>
      <c r="C145" s="1">
        <f>Tabela11[[#This Row],[Alongamento(mm/mm)]]/$I$2</f>
        <v>2.3845999999999999E-2</v>
      </c>
      <c r="D145" s="1">
        <v>20.242000000000001</v>
      </c>
      <c r="E145" s="1">
        <f>Tabela11[[#This Row],[Força(N)]]/$I$5</f>
        <v>645214.75814805971</v>
      </c>
      <c r="F145" s="1">
        <f>Tabela11[[#This Row],[Tensão(Pa)]]/1000000</f>
        <v>0.64521475814805973</v>
      </c>
    </row>
    <row r="146" spans="1:6" x14ac:dyDescent="0.3">
      <c r="A146" s="1">
        <v>14.516999999999999</v>
      </c>
      <c r="B146" s="1">
        <v>1.202</v>
      </c>
      <c r="C146" s="1">
        <f>Tabela11[[#This Row],[Alongamento(mm/mm)]]/$I$2</f>
        <v>2.4039999999999999E-2</v>
      </c>
      <c r="D146" s="1">
        <v>20.751999999999999</v>
      </c>
      <c r="E146" s="1">
        <f>Tabela11[[#This Row],[Força(N)]]/$I$5</f>
        <v>661471.03354848991</v>
      </c>
      <c r="F146" s="1">
        <f>Tabela11[[#This Row],[Tensão(Pa)]]/1000000</f>
        <v>0.66147103354848991</v>
      </c>
    </row>
    <row r="147" spans="1:6" x14ac:dyDescent="0.3">
      <c r="A147" s="1">
        <v>14.617000000000001</v>
      </c>
      <c r="B147" s="1">
        <v>1.2102999999999999</v>
      </c>
      <c r="C147" s="1">
        <f>Tabela11[[#This Row],[Alongamento(mm/mm)]]/$I$2</f>
        <v>2.4205999999999998E-2</v>
      </c>
      <c r="D147" s="1">
        <v>21.431999999999999</v>
      </c>
      <c r="E147" s="1">
        <f>Tabela11[[#This Row],[Força(N)]]/$I$5</f>
        <v>683146.06741573033</v>
      </c>
      <c r="F147" s="1">
        <f>Tabela11[[#This Row],[Tensão(Pa)]]/1000000</f>
        <v>0.68314606741573036</v>
      </c>
    </row>
    <row r="148" spans="1:6" x14ac:dyDescent="0.3">
      <c r="A148" s="1">
        <v>14.733000000000001</v>
      </c>
      <c r="B148" s="1">
        <v>1.2201</v>
      </c>
      <c r="C148" s="1">
        <f>Tabela11[[#This Row],[Alongamento(mm/mm)]]/$I$2</f>
        <v>2.4402E-2</v>
      </c>
      <c r="D148" s="1">
        <v>22.113</v>
      </c>
      <c r="E148" s="1">
        <f>Tabela11[[#This Row],[Força(N)]]/$I$5</f>
        <v>704852.97633277555</v>
      </c>
      <c r="F148" s="1">
        <f>Tabela11[[#This Row],[Tensão(Pa)]]/1000000</f>
        <v>0.70485297633277555</v>
      </c>
    </row>
    <row r="149" spans="1:6" x14ac:dyDescent="0.3">
      <c r="A149" s="1">
        <v>14.85</v>
      </c>
      <c r="B149" s="1">
        <v>1.2299</v>
      </c>
      <c r="C149" s="1">
        <f>Tabela11[[#This Row],[Alongamento(mm/mm)]]/$I$2</f>
        <v>2.4597999999999998E-2</v>
      </c>
      <c r="D149" s="1">
        <v>22.452999999999999</v>
      </c>
      <c r="E149" s="1">
        <f>Tabela11[[#This Row],[Força(N)]]/$I$5</f>
        <v>715690.49326639576</v>
      </c>
      <c r="F149" s="1">
        <f>Tabela11[[#This Row],[Tensão(Pa)]]/1000000</f>
        <v>0.71569049326639578</v>
      </c>
    </row>
    <row r="150" spans="1:6" x14ac:dyDescent="0.3">
      <c r="A150" s="1">
        <v>14.933</v>
      </c>
      <c r="B150" s="1">
        <v>1.2366999999999999</v>
      </c>
      <c r="C150" s="1">
        <f>Tabela11[[#This Row],[Alongamento(mm/mm)]]/$I$2</f>
        <v>2.4733999999999999E-2</v>
      </c>
      <c r="D150" s="1">
        <v>23.132999999999999</v>
      </c>
      <c r="E150" s="1">
        <f>Tabela11[[#This Row],[Força(N)]]/$I$5</f>
        <v>737365.52713363618</v>
      </c>
      <c r="F150" s="1">
        <f>Tabela11[[#This Row],[Tensão(Pa)]]/1000000</f>
        <v>0.73736552713363612</v>
      </c>
    </row>
    <row r="151" spans="1:6" x14ac:dyDescent="0.3">
      <c r="A151" s="1">
        <v>15.05</v>
      </c>
      <c r="B151" s="1">
        <v>1.2464999999999999</v>
      </c>
      <c r="C151" s="1">
        <f>Tabela11[[#This Row],[Alongamento(mm/mm)]]/$I$2</f>
        <v>2.4929999999999997E-2</v>
      </c>
      <c r="D151" s="1">
        <v>23.643999999999998</v>
      </c>
      <c r="E151" s="1">
        <f>Tabela11[[#This Row],[Força(N)]]/$I$5</f>
        <v>753653.67758387118</v>
      </c>
      <c r="F151" s="1">
        <f>Tabela11[[#This Row],[Tensão(Pa)]]/1000000</f>
        <v>0.75365367758387114</v>
      </c>
    </row>
    <row r="152" spans="1:6" x14ac:dyDescent="0.3">
      <c r="A152" s="1">
        <v>15.132999999999999</v>
      </c>
      <c r="B152" s="1">
        <v>1.2534000000000001</v>
      </c>
      <c r="C152" s="1">
        <f>Tabela11[[#This Row],[Alongamento(mm/mm)]]/$I$2</f>
        <v>2.5068E-2</v>
      </c>
      <c r="D152" s="1">
        <v>24.324000000000002</v>
      </c>
      <c r="E152" s="1">
        <f>Tabela11[[#This Row],[Força(N)]]/$I$5</f>
        <v>775328.71145111171</v>
      </c>
      <c r="F152" s="1">
        <f>Tabela11[[#This Row],[Tensão(Pa)]]/1000000</f>
        <v>0.77532871145111171</v>
      </c>
    </row>
    <row r="153" spans="1:6" x14ac:dyDescent="0.3">
      <c r="A153" s="1">
        <v>15.25</v>
      </c>
      <c r="B153" s="1">
        <v>1.2632000000000001</v>
      </c>
      <c r="C153" s="1">
        <f>Tabela11[[#This Row],[Alongamento(mm/mm)]]/$I$2</f>
        <v>2.5264000000000002E-2</v>
      </c>
      <c r="D153" s="1">
        <v>24.834</v>
      </c>
      <c r="E153" s="1">
        <f>Tabela11[[#This Row],[Força(N)]]/$I$5</f>
        <v>791584.98685154202</v>
      </c>
      <c r="F153" s="1">
        <f>Tabela11[[#This Row],[Tensão(Pa)]]/1000000</f>
        <v>0.79158498685154199</v>
      </c>
    </row>
    <row r="154" spans="1:6" x14ac:dyDescent="0.3">
      <c r="A154" s="1">
        <v>15.367000000000001</v>
      </c>
      <c r="B154" s="1">
        <v>1.2727999999999999</v>
      </c>
      <c r="C154" s="1">
        <f>Tabela11[[#This Row],[Alongamento(mm/mm)]]/$I$2</f>
        <v>2.5455999999999999E-2</v>
      </c>
      <c r="D154" s="1">
        <v>25.515000000000001</v>
      </c>
      <c r="E154" s="1">
        <f>Tabela11[[#This Row],[Força(N)]]/$I$5</f>
        <v>813291.89576858724</v>
      </c>
      <c r="F154" s="1">
        <f>Tabela11[[#This Row],[Tensão(Pa)]]/1000000</f>
        <v>0.81329189576858729</v>
      </c>
    </row>
    <row r="155" spans="1:6" x14ac:dyDescent="0.3">
      <c r="A155" s="1">
        <v>15.483000000000001</v>
      </c>
      <c r="B155" s="1">
        <v>1.2825</v>
      </c>
      <c r="C155" s="1">
        <f>Tabela11[[#This Row],[Alongamento(mm/mm)]]/$I$2</f>
        <v>2.5649999999999999E-2</v>
      </c>
      <c r="D155" s="1">
        <v>26.195</v>
      </c>
      <c r="E155" s="1">
        <f>Tabela11[[#This Row],[Força(N)]]/$I$5</f>
        <v>834966.92963582766</v>
      </c>
      <c r="F155" s="1">
        <f>Tabela11[[#This Row],[Tensão(Pa)]]/1000000</f>
        <v>0.83496692963582764</v>
      </c>
    </row>
    <row r="156" spans="1:6" x14ac:dyDescent="0.3">
      <c r="A156" s="1">
        <v>15.583</v>
      </c>
      <c r="B156" s="1">
        <v>1.2908999999999999</v>
      </c>
      <c r="C156" s="1">
        <f>Tabela11[[#This Row],[Alongamento(mm/mm)]]/$I$2</f>
        <v>2.5817999999999997E-2</v>
      </c>
      <c r="D156" s="1">
        <v>26.876000000000001</v>
      </c>
      <c r="E156" s="1">
        <f>Tabela11[[#This Row],[Força(N)]]/$I$5</f>
        <v>856673.83855287288</v>
      </c>
      <c r="F156" s="1">
        <f>Tabela11[[#This Row],[Tensão(Pa)]]/1000000</f>
        <v>0.85667383855287293</v>
      </c>
    </row>
    <row r="157" spans="1:6" x14ac:dyDescent="0.3">
      <c r="A157" s="1">
        <v>15.717000000000001</v>
      </c>
      <c r="B157" s="1">
        <v>1.3021</v>
      </c>
      <c r="C157" s="1">
        <f>Tabela11[[#This Row],[Alongamento(mm/mm)]]/$I$2</f>
        <v>2.6041999999999999E-2</v>
      </c>
      <c r="D157" s="1">
        <v>27.556000000000001</v>
      </c>
      <c r="E157" s="1">
        <f>Tabela11[[#This Row],[Força(N)]]/$I$5</f>
        <v>878348.87242011318</v>
      </c>
      <c r="F157" s="1">
        <f>Tabela11[[#This Row],[Tensão(Pa)]]/1000000</f>
        <v>0.87834887242011317</v>
      </c>
    </row>
    <row r="158" spans="1:6" x14ac:dyDescent="0.3">
      <c r="A158" s="1">
        <v>15.833</v>
      </c>
      <c r="B158" s="1">
        <v>1.3117000000000001</v>
      </c>
      <c r="C158" s="1">
        <f>Tabela11[[#This Row],[Alongamento(mm/mm)]]/$I$2</f>
        <v>2.6234E-2</v>
      </c>
      <c r="D158" s="1">
        <v>28.236000000000001</v>
      </c>
      <c r="E158" s="1">
        <f>Tabela11[[#This Row],[Força(N)]]/$I$5</f>
        <v>900023.9062873536</v>
      </c>
      <c r="F158" s="1">
        <f>Tabela11[[#This Row],[Tensão(Pa)]]/1000000</f>
        <v>0.90002390628735363</v>
      </c>
    </row>
    <row r="159" spans="1:6" x14ac:dyDescent="0.3">
      <c r="A159" s="1">
        <v>15.95</v>
      </c>
      <c r="B159" s="1">
        <v>1.3213999999999999</v>
      </c>
      <c r="C159" s="1">
        <f>Tabela11[[#This Row],[Alongamento(mm/mm)]]/$I$2</f>
        <v>2.6427999999999997E-2</v>
      </c>
      <c r="D159" s="1">
        <v>28.917000000000002</v>
      </c>
      <c r="E159" s="1">
        <f>Tabela11[[#This Row],[Força(N)]]/$I$5</f>
        <v>921730.81520439882</v>
      </c>
      <c r="F159" s="1">
        <f>Tabela11[[#This Row],[Tensão(Pa)]]/1000000</f>
        <v>0.92173081520439881</v>
      </c>
    </row>
    <row r="160" spans="1:6" x14ac:dyDescent="0.3">
      <c r="A160" s="1">
        <v>16.067</v>
      </c>
      <c r="B160" s="1">
        <v>1.3311999999999999</v>
      </c>
      <c r="C160" s="1">
        <f>Tabela11[[#This Row],[Alongamento(mm/mm)]]/$I$2</f>
        <v>2.6623999999999998E-2</v>
      </c>
      <c r="D160" s="1">
        <v>29.597000000000001</v>
      </c>
      <c r="E160" s="1">
        <f>Tabela11[[#This Row],[Força(N)]]/$I$5</f>
        <v>943405.84907163924</v>
      </c>
      <c r="F160" s="1">
        <f>Tabela11[[#This Row],[Tensão(Pa)]]/1000000</f>
        <v>0.94340584907163927</v>
      </c>
    </row>
    <row r="161" spans="1:6" x14ac:dyDescent="0.3">
      <c r="A161" s="1">
        <v>16.183</v>
      </c>
      <c r="B161" s="1">
        <v>1.3409</v>
      </c>
      <c r="C161" s="1">
        <f>Tabela11[[#This Row],[Alongamento(mm/mm)]]/$I$2</f>
        <v>2.6817999999999998E-2</v>
      </c>
      <c r="D161" s="1">
        <v>30.277999999999999</v>
      </c>
      <c r="E161" s="1">
        <f>Tabela11[[#This Row],[Força(N)]]/$I$5</f>
        <v>965112.75798868435</v>
      </c>
      <c r="F161" s="1">
        <f>Tabela11[[#This Row],[Tensão(Pa)]]/1000000</f>
        <v>0.96511275798868434</v>
      </c>
    </row>
    <row r="162" spans="1:6" x14ac:dyDescent="0.3">
      <c r="A162" s="1">
        <v>16.283000000000001</v>
      </c>
      <c r="B162" s="1">
        <v>1.3492</v>
      </c>
      <c r="C162" s="1">
        <f>Tabela11[[#This Row],[Alongamento(mm/mm)]]/$I$2</f>
        <v>2.6983999999999998E-2</v>
      </c>
      <c r="D162" s="1">
        <v>30.957999999999998</v>
      </c>
      <c r="E162" s="1">
        <f>Tabela11[[#This Row],[Força(N)]]/$I$5</f>
        <v>986787.79185592476</v>
      </c>
      <c r="F162" s="1">
        <f>Tabela11[[#This Row],[Tensão(Pa)]]/1000000</f>
        <v>0.9867877918559248</v>
      </c>
    </row>
    <row r="163" spans="1:6" x14ac:dyDescent="0.3">
      <c r="A163" s="1">
        <v>16.399999999999999</v>
      </c>
      <c r="B163" s="1">
        <v>1.3589</v>
      </c>
      <c r="C163" s="1">
        <f>Tabela11[[#This Row],[Alongamento(mm/mm)]]/$I$2</f>
        <v>2.7178000000000001E-2</v>
      </c>
      <c r="D163" s="1">
        <v>31.638000000000002</v>
      </c>
      <c r="E163" s="1">
        <f>Tabela11[[#This Row],[Força(N)]]/$I$5</f>
        <v>1008462.8257231653</v>
      </c>
      <c r="F163" s="1">
        <f>Tabela11[[#This Row],[Tensão(Pa)]]/1000000</f>
        <v>1.0084628257231654</v>
      </c>
    </row>
    <row r="164" spans="1:6" x14ac:dyDescent="0.3">
      <c r="A164" s="1">
        <v>16.516999999999999</v>
      </c>
      <c r="B164" s="1">
        <v>1.3687</v>
      </c>
      <c r="C164" s="1">
        <f>Tabela11[[#This Row],[Alongamento(mm/mm)]]/$I$2</f>
        <v>2.7373999999999999E-2</v>
      </c>
      <c r="D164" s="1">
        <v>32.319000000000003</v>
      </c>
      <c r="E164" s="1">
        <f>Tabela11[[#This Row],[Força(N)]]/$I$5</f>
        <v>1030169.7346402105</v>
      </c>
      <c r="F164" s="1">
        <f>Tabela11[[#This Row],[Tensão(Pa)]]/1000000</f>
        <v>1.0301697346402106</v>
      </c>
    </row>
    <row r="165" spans="1:6" x14ac:dyDescent="0.3">
      <c r="A165" s="1">
        <v>16.632999999999999</v>
      </c>
      <c r="B165" s="1">
        <v>1.3784000000000001</v>
      </c>
      <c r="C165" s="1">
        <f>Tabela11[[#This Row],[Alongamento(mm/mm)]]/$I$2</f>
        <v>2.7568000000000002E-2</v>
      </c>
      <c r="D165" s="1">
        <v>32.999000000000002</v>
      </c>
      <c r="E165" s="1">
        <f>Tabela11[[#This Row],[Força(N)]]/$I$5</f>
        <v>1051844.7685074508</v>
      </c>
      <c r="F165" s="1">
        <f>Tabela11[[#This Row],[Tensão(Pa)]]/1000000</f>
        <v>1.0518447685074508</v>
      </c>
    </row>
    <row r="166" spans="1:6" x14ac:dyDescent="0.3">
      <c r="A166" s="1">
        <v>16.75</v>
      </c>
      <c r="B166" s="1">
        <v>1.3880999999999999</v>
      </c>
      <c r="C166" s="1">
        <f>Tabela11[[#This Row],[Alongamento(mm/mm)]]/$I$2</f>
        <v>2.7761999999999998E-2</v>
      </c>
      <c r="D166" s="1">
        <v>33.68</v>
      </c>
      <c r="E166" s="1">
        <f>Tabela11[[#This Row],[Força(N)]]/$I$5</f>
        <v>1073551.677424496</v>
      </c>
      <c r="F166" s="1">
        <f>Tabela11[[#This Row],[Tensão(Pa)]]/1000000</f>
        <v>1.073551677424496</v>
      </c>
    </row>
    <row r="167" spans="1:6" x14ac:dyDescent="0.3">
      <c r="A167" s="1">
        <v>16.867000000000001</v>
      </c>
      <c r="B167" s="1">
        <v>1.3977999999999999</v>
      </c>
      <c r="C167" s="1">
        <f>Tabela11[[#This Row],[Alongamento(mm/mm)]]/$I$2</f>
        <v>2.7955999999999998E-2</v>
      </c>
      <c r="D167" s="1">
        <v>34.36</v>
      </c>
      <c r="E167" s="1">
        <f>Tabela11[[#This Row],[Força(N)]]/$I$5</f>
        <v>1095226.7112917365</v>
      </c>
      <c r="F167" s="1">
        <f>Tabela11[[#This Row],[Tensão(Pa)]]/1000000</f>
        <v>1.0952267112917364</v>
      </c>
    </row>
    <row r="168" spans="1:6" x14ac:dyDescent="0.3">
      <c r="A168" s="1">
        <v>16.983000000000001</v>
      </c>
      <c r="B168" s="1">
        <v>1.4076</v>
      </c>
      <c r="C168" s="1">
        <f>Tabela11[[#This Row],[Alongamento(mm/mm)]]/$I$2</f>
        <v>2.8152E-2</v>
      </c>
      <c r="D168" s="1">
        <v>35.04</v>
      </c>
      <c r="E168" s="1">
        <f>Tabela11[[#This Row],[Força(N)]]/$I$5</f>
        <v>1116901.7451589769</v>
      </c>
      <c r="F168" s="1">
        <f>Tabela11[[#This Row],[Tensão(Pa)]]/1000000</f>
        <v>1.1169017451589769</v>
      </c>
    </row>
    <row r="169" spans="1:6" x14ac:dyDescent="0.3">
      <c r="A169" s="1">
        <v>17.100000000000001</v>
      </c>
      <c r="B169" s="1">
        <v>1.4173</v>
      </c>
      <c r="C169" s="1">
        <f>Tabela11[[#This Row],[Alongamento(mm/mm)]]/$I$2</f>
        <v>2.8346E-2</v>
      </c>
      <c r="D169" s="1">
        <v>35.720999999999997</v>
      </c>
      <c r="E169" s="1">
        <f>Tabela11[[#This Row],[Força(N)]]/$I$5</f>
        <v>1138608.6540760219</v>
      </c>
      <c r="F169" s="1">
        <f>Tabela11[[#This Row],[Tensão(Pa)]]/1000000</f>
        <v>1.1386086540760219</v>
      </c>
    </row>
    <row r="170" spans="1:6" x14ac:dyDescent="0.3">
      <c r="A170" s="1">
        <v>17.216999999999999</v>
      </c>
      <c r="B170" s="1">
        <v>1.427</v>
      </c>
      <c r="C170" s="1">
        <f>Tabela11[[#This Row],[Alongamento(mm/mm)]]/$I$2</f>
        <v>2.8539999999999999E-2</v>
      </c>
      <c r="D170" s="1">
        <v>36.401000000000003</v>
      </c>
      <c r="E170" s="1">
        <f>Tabela11[[#This Row],[Força(N)]]/$I$5</f>
        <v>1160283.6879432625</v>
      </c>
      <c r="F170" s="1">
        <f>Tabela11[[#This Row],[Tensão(Pa)]]/1000000</f>
        <v>1.1602836879432625</v>
      </c>
    </row>
    <row r="171" spans="1:6" x14ac:dyDescent="0.3">
      <c r="A171" s="1">
        <v>17.332999999999998</v>
      </c>
      <c r="B171" s="1">
        <v>1.4367000000000001</v>
      </c>
      <c r="C171" s="1">
        <f>Tabela11[[#This Row],[Alongamento(mm/mm)]]/$I$2</f>
        <v>2.8734000000000003E-2</v>
      </c>
      <c r="D171" s="1">
        <v>37.082000000000001</v>
      </c>
      <c r="E171" s="1">
        <f>Tabela11[[#This Row],[Força(N)]]/$I$5</f>
        <v>1181990.5968603077</v>
      </c>
      <c r="F171" s="1">
        <f>Tabela11[[#This Row],[Tensão(Pa)]]/1000000</f>
        <v>1.1819905968603077</v>
      </c>
    </row>
    <row r="172" spans="1:6" x14ac:dyDescent="0.3">
      <c r="A172" s="1">
        <v>17.45</v>
      </c>
      <c r="B172" s="1">
        <v>1.4464999999999999</v>
      </c>
      <c r="C172" s="1">
        <f>Tabela11[[#This Row],[Alongamento(mm/mm)]]/$I$2</f>
        <v>2.8929999999999997E-2</v>
      </c>
      <c r="D172" s="1">
        <v>37.762</v>
      </c>
      <c r="E172" s="1">
        <f>Tabela11[[#This Row],[Força(N)]]/$I$5</f>
        <v>1203665.6307275482</v>
      </c>
      <c r="F172" s="1">
        <f>Tabela11[[#This Row],[Tensão(Pa)]]/1000000</f>
        <v>1.2036656307275482</v>
      </c>
    </row>
    <row r="173" spans="1:6" x14ac:dyDescent="0.3">
      <c r="A173" s="1">
        <v>17.567</v>
      </c>
      <c r="B173" s="1">
        <v>1.4562999999999999</v>
      </c>
      <c r="C173" s="1">
        <f>Tabela11[[#This Row],[Alongamento(mm/mm)]]/$I$2</f>
        <v>2.9125999999999999E-2</v>
      </c>
      <c r="D173" s="1">
        <v>38.442</v>
      </c>
      <c r="E173" s="1">
        <f>Tabela11[[#This Row],[Força(N)]]/$I$5</f>
        <v>1225340.6645947886</v>
      </c>
      <c r="F173" s="1">
        <f>Tabela11[[#This Row],[Tensão(Pa)]]/1000000</f>
        <v>1.2253406645947886</v>
      </c>
    </row>
    <row r="174" spans="1:6" x14ac:dyDescent="0.3">
      <c r="A174" s="1">
        <v>17.667000000000002</v>
      </c>
      <c r="B174" s="1">
        <v>1.4644999999999999</v>
      </c>
      <c r="C174" s="1">
        <f>Tabela11[[#This Row],[Alongamento(mm/mm)]]/$I$2</f>
        <v>2.9289999999999997E-2</v>
      </c>
      <c r="D174" s="1">
        <v>39.122999999999998</v>
      </c>
      <c r="E174" s="1">
        <f>Tabela11[[#This Row],[Força(N)]]/$I$5</f>
        <v>1247047.5735118336</v>
      </c>
      <c r="F174" s="1">
        <f>Tabela11[[#This Row],[Tensão(Pa)]]/1000000</f>
        <v>1.2470475735118336</v>
      </c>
    </row>
    <row r="175" spans="1:6" x14ac:dyDescent="0.3">
      <c r="A175" s="1">
        <v>17.766999999999999</v>
      </c>
      <c r="B175" s="1">
        <v>1.4728000000000001</v>
      </c>
      <c r="C175" s="1">
        <f>Tabela11[[#This Row],[Alongamento(mm/mm)]]/$I$2</f>
        <v>2.9456000000000003E-2</v>
      </c>
      <c r="D175" s="1">
        <v>39.802999999999997</v>
      </c>
      <c r="E175" s="1">
        <f>Tabela11[[#This Row],[Força(N)]]/$I$5</f>
        <v>1268722.607379074</v>
      </c>
      <c r="F175" s="1">
        <f>Tabela11[[#This Row],[Tensão(Pa)]]/1000000</f>
        <v>1.2687226073790741</v>
      </c>
    </row>
    <row r="176" spans="1:6" x14ac:dyDescent="0.3">
      <c r="A176" s="1">
        <v>17.867000000000001</v>
      </c>
      <c r="B176" s="1">
        <v>1.4811000000000001</v>
      </c>
      <c r="C176" s="1">
        <f>Tabela11[[#This Row],[Alongamento(mm/mm)]]/$I$2</f>
        <v>2.9622000000000002E-2</v>
      </c>
      <c r="D176" s="1">
        <v>40.484000000000002</v>
      </c>
      <c r="E176" s="1">
        <f>Tabela11[[#This Row],[Força(N)]]/$I$5</f>
        <v>1290429.5162961194</v>
      </c>
      <c r="F176" s="1">
        <f>Tabela11[[#This Row],[Tensão(Pa)]]/1000000</f>
        <v>1.2904295162961195</v>
      </c>
    </row>
    <row r="177" spans="1:6" x14ac:dyDescent="0.3">
      <c r="A177" s="1">
        <v>17.966999999999999</v>
      </c>
      <c r="B177" s="1">
        <v>1.4895</v>
      </c>
      <c r="C177" s="1">
        <f>Tabela11[[#This Row],[Alongamento(mm/mm)]]/$I$2</f>
        <v>2.9790000000000001E-2</v>
      </c>
      <c r="D177" s="1">
        <v>41.164000000000001</v>
      </c>
      <c r="E177" s="1">
        <f>Tabela11[[#This Row],[Força(N)]]/$I$5</f>
        <v>1312104.5501633598</v>
      </c>
      <c r="F177" s="1">
        <f>Tabela11[[#This Row],[Tensão(Pa)]]/1000000</f>
        <v>1.3121045501633599</v>
      </c>
    </row>
    <row r="178" spans="1:6" x14ac:dyDescent="0.3">
      <c r="A178" s="1">
        <v>18.067</v>
      </c>
      <c r="B178" s="1">
        <v>1.4979</v>
      </c>
      <c r="C178" s="1">
        <f>Tabela11[[#This Row],[Alongamento(mm/mm)]]/$I$2</f>
        <v>2.9957999999999999E-2</v>
      </c>
      <c r="D178" s="1">
        <v>41.844000000000001</v>
      </c>
      <c r="E178" s="1">
        <f>Tabela11[[#This Row],[Força(N)]]/$I$5</f>
        <v>1333779.5840306003</v>
      </c>
      <c r="F178" s="1">
        <f>Tabela11[[#This Row],[Tensão(Pa)]]/1000000</f>
        <v>1.3337795840306004</v>
      </c>
    </row>
    <row r="179" spans="1:6" x14ac:dyDescent="0.3">
      <c r="A179" s="1">
        <v>18.149999999999999</v>
      </c>
      <c r="B179" s="1">
        <v>1.5047999999999999</v>
      </c>
      <c r="C179" s="1">
        <f>Tabela11[[#This Row],[Alongamento(mm/mm)]]/$I$2</f>
        <v>3.0095999999999998E-2</v>
      </c>
      <c r="D179" s="1">
        <v>42.524999999999999</v>
      </c>
      <c r="E179" s="1">
        <f>Tabela11[[#This Row],[Força(N)]]/$I$5</f>
        <v>1355486.4929476453</v>
      </c>
      <c r="F179" s="1">
        <f>Tabela11[[#This Row],[Tensão(Pa)]]/1000000</f>
        <v>1.3554864929476453</v>
      </c>
    </row>
    <row r="180" spans="1:6" x14ac:dyDescent="0.3">
      <c r="A180" s="1">
        <v>18.233000000000001</v>
      </c>
      <c r="B180" s="1">
        <v>1.5117</v>
      </c>
      <c r="C180" s="1">
        <f>Tabela11[[#This Row],[Alongamento(mm/mm)]]/$I$2</f>
        <v>3.0234E-2</v>
      </c>
      <c r="D180" s="1">
        <v>43.204999999999998</v>
      </c>
      <c r="E180" s="1">
        <f>Tabela11[[#This Row],[Força(N)]]/$I$5</f>
        <v>1377161.5268148857</v>
      </c>
      <c r="F180" s="1">
        <f>Tabela11[[#This Row],[Tensão(Pa)]]/1000000</f>
        <v>1.3771615268148856</v>
      </c>
    </row>
    <row r="181" spans="1:6" x14ac:dyDescent="0.3">
      <c r="A181" s="1">
        <v>18.317</v>
      </c>
      <c r="B181" s="1">
        <v>1.5186999999999999</v>
      </c>
      <c r="C181" s="1">
        <f>Tabela11[[#This Row],[Alongamento(mm/mm)]]/$I$2</f>
        <v>3.0373999999999998E-2</v>
      </c>
      <c r="D181" s="1">
        <v>43.884999999999998</v>
      </c>
      <c r="E181" s="1">
        <f>Tabela11[[#This Row],[Força(N)]]/$I$5</f>
        <v>1398836.5606821261</v>
      </c>
      <c r="F181" s="1">
        <f>Tabela11[[#This Row],[Tensão(Pa)]]/1000000</f>
        <v>1.398836560682126</v>
      </c>
    </row>
    <row r="182" spans="1:6" x14ac:dyDescent="0.3">
      <c r="A182" s="1">
        <v>18.417000000000002</v>
      </c>
      <c r="B182" s="1">
        <v>1.5269999999999999</v>
      </c>
      <c r="C182" s="1">
        <f>Tabela11[[#This Row],[Alongamento(mm/mm)]]/$I$2</f>
        <v>3.0539999999999998E-2</v>
      </c>
      <c r="D182" s="1">
        <v>44.566000000000003</v>
      </c>
      <c r="E182" s="1">
        <f>Tabela11[[#This Row],[Força(N)]]/$I$5</f>
        <v>1420543.4695991713</v>
      </c>
      <c r="F182" s="1">
        <f>Tabela11[[#This Row],[Tensão(Pa)]]/1000000</f>
        <v>1.4205434695991712</v>
      </c>
    </row>
    <row r="183" spans="1:6" x14ac:dyDescent="0.3">
      <c r="A183" s="1">
        <v>18.5</v>
      </c>
      <c r="B183" s="1">
        <v>1.534</v>
      </c>
      <c r="C183" s="1">
        <f>Tabela11[[#This Row],[Alongamento(mm/mm)]]/$I$2</f>
        <v>3.0679999999999999E-2</v>
      </c>
      <c r="D183" s="1">
        <v>45.246000000000002</v>
      </c>
      <c r="E183" s="1">
        <f>Tabela11[[#This Row],[Força(N)]]/$I$5</f>
        <v>1442218.5034664117</v>
      </c>
      <c r="F183" s="1">
        <f>Tabela11[[#This Row],[Tensão(Pa)]]/1000000</f>
        <v>1.4422185034664117</v>
      </c>
    </row>
    <row r="184" spans="1:6" x14ac:dyDescent="0.3">
      <c r="A184" s="1">
        <v>18.582999999999998</v>
      </c>
      <c r="B184" s="1">
        <v>1.5408999999999999</v>
      </c>
      <c r="C184" s="1">
        <f>Tabela11[[#This Row],[Alongamento(mm/mm)]]/$I$2</f>
        <v>3.0817999999999998E-2</v>
      </c>
      <c r="D184" s="1">
        <v>45.927</v>
      </c>
      <c r="E184" s="1">
        <f>Tabela11[[#This Row],[Força(N)]]/$I$5</f>
        <v>1463925.4123834569</v>
      </c>
      <c r="F184" s="1">
        <f>Tabela11[[#This Row],[Tensão(Pa)]]/1000000</f>
        <v>1.4639254123834569</v>
      </c>
    </row>
    <row r="185" spans="1:6" x14ac:dyDescent="0.3">
      <c r="A185" s="1">
        <v>18.667000000000002</v>
      </c>
      <c r="B185" s="1">
        <v>1.5478000000000001</v>
      </c>
      <c r="C185" s="1">
        <f>Tabela11[[#This Row],[Alongamento(mm/mm)]]/$I$2</f>
        <v>3.0956000000000001E-2</v>
      </c>
      <c r="D185" s="1">
        <v>46.606999999999999</v>
      </c>
      <c r="E185" s="1">
        <f>Tabela11[[#This Row],[Força(N)]]/$I$5</f>
        <v>1485600.4462506974</v>
      </c>
      <c r="F185" s="1">
        <f>Tabela11[[#This Row],[Tensão(Pa)]]/1000000</f>
        <v>1.4856004462506973</v>
      </c>
    </row>
    <row r="186" spans="1:6" x14ac:dyDescent="0.3">
      <c r="A186" s="1">
        <v>18.75</v>
      </c>
      <c r="B186" s="1">
        <v>1.5548</v>
      </c>
      <c r="C186" s="1">
        <f>Tabela11[[#This Row],[Alongamento(mm/mm)]]/$I$2</f>
        <v>3.1095999999999999E-2</v>
      </c>
      <c r="D186" s="1">
        <v>47.286999999999999</v>
      </c>
      <c r="E186" s="1">
        <f>Tabela11[[#This Row],[Força(N)]]/$I$5</f>
        <v>1507275.4801179378</v>
      </c>
      <c r="F186" s="1">
        <f>Tabela11[[#This Row],[Tensão(Pa)]]/1000000</f>
        <v>1.5072754801179378</v>
      </c>
    </row>
    <row r="187" spans="1:6" x14ac:dyDescent="0.3">
      <c r="A187" s="1">
        <v>18.832999999999998</v>
      </c>
      <c r="B187" s="1">
        <v>1.5617000000000001</v>
      </c>
      <c r="C187" s="1">
        <f>Tabela11[[#This Row],[Alongamento(mm/mm)]]/$I$2</f>
        <v>3.1234000000000001E-2</v>
      </c>
      <c r="D187" s="1">
        <v>47.968000000000004</v>
      </c>
      <c r="E187" s="1">
        <f>Tabela11[[#This Row],[Força(N)]]/$I$5</f>
        <v>1528982.389034983</v>
      </c>
      <c r="F187" s="1">
        <f>Tabela11[[#This Row],[Tensão(Pa)]]/1000000</f>
        <v>1.528982389034983</v>
      </c>
    </row>
    <row r="188" spans="1:6" x14ac:dyDescent="0.3">
      <c r="A188" s="1">
        <v>18.899999999999999</v>
      </c>
      <c r="B188" s="1">
        <v>1.5672999999999999</v>
      </c>
      <c r="C188" s="1">
        <f>Tabela11[[#This Row],[Alongamento(mm/mm)]]/$I$2</f>
        <v>3.1345999999999999E-2</v>
      </c>
      <c r="D188" s="1">
        <v>48.648000000000003</v>
      </c>
      <c r="E188" s="1">
        <f>Tabela11[[#This Row],[Força(N)]]/$I$5</f>
        <v>1550657.4229022234</v>
      </c>
      <c r="F188" s="1">
        <f>Tabela11[[#This Row],[Tensão(Pa)]]/1000000</f>
        <v>1.5506574229022234</v>
      </c>
    </row>
    <row r="189" spans="1:6" x14ac:dyDescent="0.3">
      <c r="A189" s="1">
        <v>18.983000000000001</v>
      </c>
      <c r="B189" s="1">
        <v>1.5743</v>
      </c>
      <c r="C189" s="1">
        <f>Tabela11[[#This Row],[Alongamento(mm/mm)]]/$I$2</f>
        <v>3.1486E-2</v>
      </c>
      <c r="D189" s="1">
        <v>49.329000000000001</v>
      </c>
      <c r="E189" s="1">
        <f>Tabela11[[#This Row],[Força(N)]]/$I$5</f>
        <v>1572364.3318192686</v>
      </c>
      <c r="F189" s="1">
        <f>Tabela11[[#This Row],[Tensão(Pa)]]/1000000</f>
        <v>1.5723643318192686</v>
      </c>
    </row>
    <row r="190" spans="1:6" x14ac:dyDescent="0.3">
      <c r="A190" s="1">
        <v>19.067</v>
      </c>
      <c r="B190" s="1">
        <v>1.5811999999999999</v>
      </c>
      <c r="C190" s="1">
        <f>Tabela11[[#This Row],[Alongamento(mm/mm)]]/$I$2</f>
        <v>3.1623999999999999E-2</v>
      </c>
      <c r="D190" s="1">
        <v>50.009</v>
      </c>
      <c r="E190" s="1">
        <f>Tabela11[[#This Row],[Força(N)]]/$I$5</f>
        <v>1594039.3656865091</v>
      </c>
      <c r="F190" s="1">
        <f>Tabela11[[#This Row],[Tensão(Pa)]]/1000000</f>
        <v>1.5940393656865091</v>
      </c>
    </row>
    <row r="191" spans="1:6" x14ac:dyDescent="0.3">
      <c r="A191" s="1">
        <v>19.132999999999999</v>
      </c>
      <c r="B191" s="1">
        <v>1.5867</v>
      </c>
      <c r="C191" s="1">
        <f>Tabela11[[#This Row],[Alongamento(mm/mm)]]/$I$2</f>
        <v>3.1733999999999998E-2</v>
      </c>
      <c r="D191" s="1">
        <v>50.689</v>
      </c>
      <c r="E191" s="1">
        <f>Tabela11[[#This Row],[Força(N)]]/$I$5</f>
        <v>1615714.3995537495</v>
      </c>
      <c r="F191" s="1">
        <f>Tabela11[[#This Row],[Tensão(Pa)]]/1000000</f>
        <v>1.6157143995537495</v>
      </c>
    </row>
    <row r="192" spans="1:6" x14ac:dyDescent="0.3">
      <c r="A192" s="1">
        <v>19.216999999999999</v>
      </c>
      <c r="B192" s="1">
        <v>1.5936999999999999</v>
      </c>
      <c r="C192" s="1">
        <f>Tabela11[[#This Row],[Alongamento(mm/mm)]]/$I$2</f>
        <v>3.1874E-2</v>
      </c>
      <c r="D192" s="1">
        <v>51.37</v>
      </c>
      <c r="E192" s="1">
        <f>Tabela11[[#This Row],[Força(N)]]/$I$5</f>
        <v>1637421.3084707945</v>
      </c>
      <c r="F192" s="1">
        <f>Tabela11[[#This Row],[Tensão(Pa)]]/1000000</f>
        <v>1.6374213084707945</v>
      </c>
    </row>
    <row r="193" spans="1:6" x14ac:dyDescent="0.3">
      <c r="A193" s="1">
        <v>19.283000000000001</v>
      </c>
      <c r="B193" s="1">
        <v>1.5992</v>
      </c>
      <c r="C193" s="1">
        <f>Tabela11[[#This Row],[Alongamento(mm/mm)]]/$I$2</f>
        <v>3.1983999999999999E-2</v>
      </c>
      <c r="D193" s="1">
        <v>52.05</v>
      </c>
      <c r="E193" s="1">
        <f>Tabela11[[#This Row],[Força(N)]]/$I$5</f>
        <v>1659096.3423380349</v>
      </c>
      <c r="F193" s="1">
        <f>Tabela11[[#This Row],[Tensão(Pa)]]/1000000</f>
        <v>1.6590963423380349</v>
      </c>
    </row>
    <row r="194" spans="1:6" x14ac:dyDescent="0.3">
      <c r="A194" s="1">
        <v>19.367000000000001</v>
      </c>
      <c r="B194" s="1">
        <v>1.6062000000000001</v>
      </c>
      <c r="C194" s="1">
        <f>Tabela11[[#This Row],[Alongamento(mm/mm)]]/$I$2</f>
        <v>3.2124E-2</v>
      </c>
      <c r="D194" s="1">
        <v>52.731000000000002</v>
      </c>
      <c r="E194" s="1">
        <f>Tabela11[[#This Row],[Força(N)]]/$I$5</f>
        <v>1680803.2512550803</v>
      </c>
      <c r="F194" s="1">
        <f>Tabela11[[#This Row],[Tensão(Pa)]]/1000000</f>
        <v>1.6808032512550803</v>
      </c>
    </row>
    <row r="195" spans="1:6" x14ac:dyDescent="0.3">
      <c r="A195" s="1">
        <v>19.433</v>
      </c>
      <c r="B195" s="1">
        <v>1.6117999999999999</v>
      </c>
      <c r="C195" s="1">
        <f>Tabela11[[#This Row],[Alongamento(mm/mm)]]/$I$2</f>
        <v>3.2236000000000001E-2</v>
      </c>
      <c r="D195" s="1">
        <v>53.411000000000001</v>
      </c>
      <c r="E195" s="1">
        <f>Tabela11[[#This Row],[Força(N)]]/$I$5</f>
        <v>1702478.2851223208</v>
      </c>
      <c r="F195" s="1">
        <f>Tabela11[[#This Row],[Tensão(Pa)]]/1000000</f>
        <v>1.7024782851223208</v>
      </c>
    </row>
    <row r="196" spans="1:6" x14ac:dyDescent="0.3">
      <c r="A196" s="1">
        <v>19.5</v>
      </c>
      <c r="B196" s="1">
        <v>1.6173</v>
      </c>
      <c r="C196" s="1">
        <f>Tabela11[[#This Row],[Alongamento(mm/mm)]]/$I$2</f>
        <v>3.2346E-2</v>
      </c>
      <c r="D196" s="1">
        <v>54.091000000000001</v>
      </c>
      <c r="E196" s="1">
        <f>Tabela11[[#This Row],[Força(N)]]/$I$5</f>
        <v>1724153.3189895609</v>
      </c>
      <c r="F196" s="1">
        <f>Tabela11[[#This Row],[Tensão(Pa)]]/1000000</f>
        <v>1.724153318989561</v>
      </c>
    </row>
    <row r="197" spans="1:6" x14ac:dyDescent="0.3">
      <c r="A197" s="1">
        <v>19.582999999999998</v>
      </c>
      <c r="B197" s="1">
        <v>1.6242000000000001</v>
      </c>
      <c r="C197" s="1">
        <f>Tabela11[[#This Row],[Alongamento(mm/mm)]]/$I$2</f>
        <v>3.2483999999999999E-2</v>
      </c>
      <c r="D197" s="1">
        <v>54.771999999999998</v>
      </c>
      <c r="E197" s="1">
        <f>Tabela11[[#This Row],[Força(N)]]/$I$5</f>
        <v>1745860.2279066062</v>
      </c>
      <c r="F197" s="1">
        <f>Tabela11[[#This Row],[Tensão(Pa)]]/1000000</f>
        <v>1.7458602279066062</v>
      </c>
    </row>
    <row r="198" spans="1:6" x14ac:dyDescent="0.3">
      <c r="A198" s="1">
        <v>19.649999999999999</v>
      </c>
      <c r="B198" s="1">
        <v>1.6296999999999999</v>
      </c>
      <c r="C198" s="1">
        <f>Tabela11[[#This Row],[Alongamento(mm/mm)]]/$I$2</f>
        <v>3.2593999999999998E-2</v>
      </c>
      <c r="D198" s="1">
        <v>55.451999999999998</v>
      </c>
      <c r="E198" s="1">
        <f>Tabela11[[#This Row],[Força(N)]]/$I$5</f>
        <v>1767535.2617738466</v>
      </c>
      <c r="F198" s="1">
        <f>Tabela11[[#This Row],[Tensão(Pa)]]/1000000</f>
        <v>1.7675352617738467</v>
      </c>
    </row>
    <row r="199" spans="1:6" x14ac:dyDescent="0.3">
      <c r="A199" s="1">
        <v>19.733000000000001</v>
      </c>
      <c r="B199" s="1">
        <v>1.6368</v>
      </c>
      <c r="C199" s="1">
        <f>Tabela11[[#This Row],[Alongamento(mm/mm)]]/$I$2</f>
        <v>3.2736000000000001E-2</v>
      </c>
      <c r="D199" s="1">
        <v>56.133000000000003</v>
      </c>
      <c r="E199" s="1">
        <f>Tabela11[[#This Row],[Força(N)]]/$I$5</f>
        <v>1789242.1706908918</v>
      </c>
      <c r="F199" s="1">
        <f>Tabela11[[#This Row],[Tensão(Pa)]]/1000000</f>
        <v>1.7892421706908919</v>
      </c>
    </row>
    <row r="200" spans="1:6" x14ac:dyDescent="0.3">
      <c r="A200" s="1">
        <v>19.817</v>
      </c>
      <c r="B200" s="1">
        <v>1.6437999999999999</v>
      </c>
      <c r="C200" s="1">
        <f>Tabela11[[#This Row],[Alongamento(mm/mm)]]/$I$2</f>
        <v>3.2875999999999996E-2</v>
      </c>
      <c r="D200" s="1">
        <v>56.813000000000002</v>
      </c>
      <c r="E200" s="1">
        <f>Tabela11[[#This Row],[Força(N)]]/$I$5</f>
        <v>1810917.2045581322</v>
      </c>
      <c r="F200" s="1">
        <f>Tabela11[[#This Row],[Tensão(Pa)]]/1000000</f>
        <v>1.8109172045581323</v>
      </c>
    </row>
    <row r="201" spans="1:6" x14ac:dyDescent="0.3">
      <c r="A201" s="1">
        <v>19.882999999999999</v>
      </c>
      <c r="B201" s="1">
        <v>1.6493</v>
      </c>
      <c r="C201" s="1">
        <f>Tabela11[[#This Row],[Alongamento(mm/mm)]]/$I$2</f>
        <v>3.2986000000000001E-2</v>
      </c>
      <c r="D201" s="1">
        <v>57.493000000000002</v>
      </c>
      <c r="E201" s="1">
        <f>Tabela11[[#This Row],[Força(N)]]/$I$5</f>
        <v>1832592.2384253726</v>
      </c>
      <c r="F201" s="1">
        <f>Tabela11[[#This Row],[Tensão(Pa)]]/1000000</f>
        <v>1.8325922384253726</v>
      </c>
    </row>
    <row r="202" spans="1:6" x14ac:dyDescent="0.3">
      <c r="A202" s="1">
        <v>19.966999999999999</v>
      </c>
      <c r="B202" s="1">
        <v>1.6561999999999999</v>
      </c>
      <c r="C202" s="1">
        <f>Tabela11[[#This Row],[Alongamento(mm/mm)]]/$I$2</f>
        <v>3.3124000000000001E-2</v>
      </c>
      <c r="D202" s="1">
        <v>58.173999999999999</v>
      </c>
      <c r="E202" s="1">
        <f>Tabela11[[#This Row],[Força(N)]]/$I$5</f>
        <v>1854299.1473424179</v>
      </c>
      <c r="F202" s="1">
        <f>Tabela11[[#This Row],[Tensão(Pa)]]/1000000</f>
        <v>1.854299147342418</v>
      </c>
    </row>
    <row r="203" spans="1:6" x14ac:dyDescent="0.3">
      <c r="A203" s="1">
        <v>20.05</v>
      </c>
      <c r="B203" s="1">
        <v>1.6631</v>
      </c>
      <c r="C203" s="1">
        <f>Tabela11[[#This Row],[Alongamento(mm/mm)]]/$I$2</f>
        <v>3.3262E-2</v>
      </c>
      <c r="D203" s="1">
        <v>58.853999999999999</v>
      </c>
      <c r="E203" s="1">
        <f>Tabela11[[#This Row],[Força(N)]]/$I$5</f>
        <v>1875974.1812096583</v>
      </c>
      <c r="F203" s="1">
        <f>Tabela11[[#This Row],[Tensão(Pa)]]/1000000</f>
        <v>1.8759741812096582</v>
      </c>
    </row>
    <row r="204" spans="1:6" x14ac:dyDescent="0.3">
      <c r="A204" s="1">
        <v>20.132999999999999</v>
      </c>
      <c r="B204" s="1">
        <v>1.6700999999999999</v>
      </c>
      <c r="C204" s="1">
        <f>Tabela11[[#This Row],[Alongamento(mm/mm)]]/$I$2</f>
        <v>3.3402000000000001E-2</v>
      </c>
      <c r="D204" s="1">
        <v>59.534999999999997</v>
      </c>
      <c r="E204" s="1">
        <f>Tabela11[[#This Row],[Força(N)]]/$I$5</f>
        <v>1897681.0901267033</v>
      </c>
      <c r="F204" s="1">
        <f>Tabela11[[#This Row],[Tensão(Pa)]]/1000000</f>
        <v>1.8976810901267032</v>
      </c>
    </row>
    <row r="205" spans="1:6" x14ac:dyDescent="0.3">
      <c r="A205" s="1">
        <v>20.216999999999999</v>
      </c>
      <c r="B205" s="1">
        <v>1.6769000000000001</v>
      </c>
      <c r="C205" s="1">
        <f>Tabela11[[#This Row],[Alongamento(mm/mm)]]/$I$2</f>
        <v>3.3537999999999998E-2</v>
      </c>
      <c r="D205" s="1">
        <v>60.215000000000003</v>
      </c>
      <c r="E205" s="1">
        <f>Tabela11[[#This Row],[Força(N)]]/$I$5</f>
        <v>1919356.1239939439</v>
      </c>
      <c r="F205" s="1">
        <f>Tabela11[[#This Row],[Tensão(Pa)]]/1000000</f>
        <v>1.9193561239939438</v>
      </c>
    </row>
    <row r="206" spans="1:6" x14ac:dyDescent="0.3">
      <c r="A206" s="1">
        <v>20.3</v>
      </c>
      <c r="B206" s="1">
        <v>1.6839999999999999</v>
      </c>
      <c r="C206" s="1">
        <f>Tabela11[[#This Row],[Alongamento(mm/mm)]]/$I$2</f>
        <v>3.3680000000000002E-2</v>
      </c>
      <c r="D206" s="1">
        <v>60.895000000000003</v>
      </c>
      <c r="E206" s="1">
        <f>Tabela11[[#This Row],[Força(N)]]/$I$5</f>
        <v>1941031.1578611843</v>
      </c>
      <c r="F206" s="1">
        <f>Tabela11[[#This Row],[Tensão(Pa)]]/1000000</f>
        <v>1.9410311578611843</v>
      </c>
    </row>
    <row r="207" spans="1:6" x14ac:dyDescent="0.3">
      <c r="A207" s="1">
        <v>20.367000000000001</v>
      </c>
      <c r="B207" s="1">
        <v>1.6896</v>
      </c>
      <c r="C207" s="1">
        <f>Tabela11[[#This Row],[Alongamento(mm/mm)]]/$I$2</f>
        <v>3.3792000000000003E-2</v>
      </c>
      <c r="D207" s="1">
        <v>61.576000000000001</v>
      </c>
      <c r="E207" s="1">
        <f>Tabela11[[#This Row],[Força(N)]]/$I$5</f>
        <v>1962738.0667782295</v>
      </c>
      <c r="F207" s="1">
        <f>Tabela11[[#This Row],[Tensão(Pa)]]/1000000</f>
        <v>1.9627380667782295</v>
      </c>
    </row>
    <row r="208" spans="1:6" x14ac:dyDescent="0.3">
      <c r="A208" s="1">
        <v>20.45</v>
      </c>
      <c r="B208" s="1">
        <v>1.6963999999999999</v>
      </c>
      <c r="C208" s="1">
        <f>Tabela11[[#This Row],[Alongamento(mm/mm)]]/$I$2</f>
        <v>3.3928E-2</v>
      </c>
      <c r="D208" s="1">
        <v>62.256</v>
      </c>
      <c r="E208" s="1">
        <f>Tabela11[[#This Row],[Força(N)]]/$I$5</f>
        <v>1984413.10064547</v>
      </c>
      <c r="F208" s="1">
        <f>Tabela11[[#This Row],[Tensão(Pa)]]/1000000</f>
        <v>1.9844131006454699</v>
      </c>
    </row>
    <row r="209" spans="1:6" x14ac:dyDescent="0.3">
      <c r="A209" s="1">
        <v>20.516999999999999</v>
      </c>
      <c r="B209" s="1">
        <v>1.702</v>
      </c>
      <c r="C209" s="1">
        <f>Tabela11[[#This Row],[Alongamento(mm/mm)]]/$I$2</f>
        <v>3.4040000000000001E-2</v>
      </c>
      <c r="D209" s="1">
        <v>62.936999999999998</v>
      </c>
      <c r="E209" s="1">
        <f>Tabela11[[#This Row],[Força(N)]]/$I$5</f>
        <v>2006120.009562515</v>
      </c>
      <c r="F209" s="1">
        <f>Tabela11[[#This Row],[Tensão(Pa)]]/1000000</f>
        <v>2.0061200095625149</v>
      </c>
    </row>
    <row r="210" spans="1:6" x14ac:dyDescent="0.3">
      <c r="A210" s="1">
        <v>20.6</v>
      </c>
      <c r="B210" s="1">
        <v>1.7089000000000001</v>
      </c>
      <c r="C210" s="1">
        <f>Tabela11[[#This Row],[Alongamento(mm/mm)]]/$I$2</f>
        <v>3.4178E-2</v>
      </c>
      <c r="D210" s="1">
        <v>63.616999999999997</v>
      </c>
      <c r="E210" s="1">
        <f>Tabela11[[#This Row],[Força(N)]]/$I$5</f>
        <v>2027795.0434297554</v>
      </c>
      <c r="F210" s="1">
        <f>Tabela11[[#This Row],[Tensão(Pa)]]/1000000</f>
        <v>2.0277950434297556</v>
      </c>
    </row>
    <row r="211" spans="1:6" x14ac:dyDescent="0.3">
      <c r="A211" s="1">
        <v>20.667000000000002</v>
      </c>
      <c r="B211" s="1">
        <v>1.7144999999999999</v>
      </c>
      <c r="C211" s="1">
        <f>Tabela11[[#This Row],[Alongamento(mm/mm)]]/$I$2</f>
        <v>3.4290000000000001E-2</v>
      </c>
      <c r="D211" s="1">
        <v>64.296999999999997</v>
      </c>
      <c r="E211" s="1">
        <f>Tabela11[[#This Row],[Força(N)]]/$I$5</f>
        <v>2049470.0772969958</v>
      </c>
      <c r="F211" s="1">
        <f>Tabela11[[#This Row],[Tensão(Pa)]]/1000000</f>
        <v>2.0494700772969958</v>
      </c>
    </row>
    <row r="212" spans="1:6" x14ac:dyDescent="0.3">
      <c r="A212" s="1">
        <v>20.75</v>
      </c>
      <c r="B212" s="1">
        <v>1.7215</v>
      </c>
      <c r="C212" s="1">
        <f>Tabela11[[#This Row],[Alongamento(mm/mm)]]/$I$2</f>
        <v>3.4430000000000002E-2</v>
      </c>
      <c r="D212" s="1">
        <v>64.977999999999994</v>
      </c>
      <c r="E212" s="1">
        <f>Tabela11[[#This Row],[Força(N)]]/$I$5</f>
        <v>2071176.986214041</v>
      </c>
      <c r="F212" s="1">
        <f>Tabela11[[#This Row],[Tensão(Pa)]]/1000000</f>
        <v>2.071176986214041</v>
      </c>
    </row>
    <row r="213" spans="1:6" x14ac:dyDescent="0.3">
      <c r="A213" s="1">
        <v>20.832999999999998</v>
      </c>
      <c r="B213" s="1">
        <v>1.7283999999999999</v>
      </c>
      <c r="C213" s="1">
        <f>Tabela11[[#This Row],[Alongamento(mm/mm)]]/$I$2</f>
        <v>3.4568000000000002E-2</v>
      </c>
      <c r="D213" s="1">
        <v>65.658000000000001</v>
      </c>
      <c r="E213" s="1">
        <f>Tabela11[[#This Row],[Força(N)]]/$I$5</f>
        <v>2092852.0200812814</v>
      </c>
      <c r="F213" s="1">
        <f>Tabela11[[#This Row],[Tensão(Pa)]]/1000000</f>
        <v>2.0928520200812812</v>
      </c>
    </row>
    <row r="214" spans="1:6" x14ac:dyDescent="0.3">
      <c r="A214" s="1">
        <v>20.917000000000002</v>
      </c>
      <c r="B214" s="1">
        <v>1.7353000000000001</v>
      </c>
      <c r="C214" s="1">
        <f>Tabela11[[#This Row],[Alongamento(mm/mm)]]/$I$2</f>
        <v>3.4706000000000001E-2</v>
      </c>
      <c r="D214" s="1">
        <v>66.338999999999999</v>
      </c>
      <c r="E214" s="1">
        <f>Tabela11[[#This Row],[Força(N)]]/$I$5</f>
        <v>2114558.9289983264</v>
      </c>
      <c r="F214" s="1">
        <f>Tabela11[[#This Row],[Tensão(Pa)]]/1000000</f>
        <v>2.1145589289983264</v>
      </c>
    </row>
    <row r="215" spans="1:6" x14ac:dyDescent="0.3">
      <c r="A215" s="1">
        <v>20.983000000000001</v>
      </c>
      <c r="B215" s="1">
        <v>1.7408999999999999</v>
      </c>
      <c r="C215" s="1">
        <f>Tabela11[[#This Row],[Alongamento(mm/mm)]]/$I$2</f>
        <v>3.4817999999999995E-2</v>
      </c>
      <c r="D215" s="1">
        <v>67.019000000000005</v>
      </c>
      <c r="E215" s="1">
        <f>Tabela11[[#This Row],[Força(N)]]/$I$5</f>
        <v>2136233.9628655673</v>
      </c>
      <c r="F215" s="1">
        <f>Tabela11[[#This Row],[Tensão(Pa)]]/1000000</f>
        <v>2.1362339628655671</v>
      </c>
    </row>
    <row r="216" spans="1:6" x14ac:dyDescent="0.3">
      <c r="A216" s="1">
        <v>21.067</v>
      </c>
      <c r="B216" s="1">
        <v>1.7478</v>
      </c>
      <c r="C216" s="1">
        <f>Tabela11[[#This Row],[Alongamento(mm/mm)]]/$I$2</f>
        <v>3.4956000000000001E-2</v>
      </c>
      <c r="D216" s="1">
        <v>67.698999999999998</v>
      </c>
      <c r="E216" s="1">
        <f>Tabela11[[#This Row],[Força(N)]]/$I$5</f>
        <v>2157908.9967328073</v>
      </c>
      <c r="F216" s="1">
        <f>Tabela11[[#This Row],[Tensão(Pa)]]/1000000</f>
        <v>2.1579089967328073</v>
      </c>
    </row>
    <row r="217" spans="1:6" x14ac:dyDescent="0.3">
      <c r="A217" s="1">
        <v>21.15</v>
      </c>
      <c r="B217" s="1">
        <v>1.7546999999999999</v>
      </c>
      <c r="C217" s="1">
        <f>Tabela11[[#This Row],[Alongamento(mm/mm)]]/$I$2</f>
        <v>3.5094E-2</v>
      </c>
      <c r="D217" s="1">
        <v>68.38</v>
      </c>
      <c r="E217" s="1">
        <f>Tabela11[[#This Row],[Força(N)]]/$I$5</f>
        <v>2179615.9056498525</v>
      </c>
      <c r="F217" s="1">
        <f>Tabela11[[#This Row],[Tensão(Pa)]]/1000000</f>
        <v>2.1796159056498525</v>
      </c>
    </row>
    <row r="218" spans="1:6" x14ac:dyDescent="0.3">
      <c r="A218" s="1">
        <v>21.233000000000001</v>
      </c>
      <c r="B218" s="1">
        <v>1.7618</v>
      </c>
      <c r="C218" s="1">
        <f>Tabela11[[#This Row],[Alongamento(mm/mm)]]/$I$2</f>
        <v>3.5236000000000003E-2</v>
      </c>
      <c r="D218" s="1">
        <v>69.06</v>
      </c>
      <c r="E218" s="1">
        <f>Tabela11[[#This Row],[Força(N)]]/$I$5</f>
        <v>2201290.9395170934</v>
      </c>
      <c r="F218" s="1">
        <f>Tabela11[[#This Row],[Tensão(Pa)]]/1000000</f>
        <v>2.2012909395170932</v>
      </c>
    </row>
    <row r="219" spans="1:6" x14ac:dyDescent="0.3">
      <c r="A219" s="1">
        <v>21.317</v>
      </c>
      <c r="B219" s="1">
        <v>1.7686999999999999</v>
      </c>
      <c r="C219" s="1">
        <f>Tabela11[[#This Row],[Alongamento(mm/mm)]]/$I$2</f>
        <v>3.5373999999999996E-2</v>
      </c>
      <c r="D219" s="1">
        <v>69.741</v>
      </c>
      <c r="E219" s="1">
        <f>Tabela11[[#This Row],[Força(N)]]/$I$5</f>
        <v>2222997.8484341381</v>
      </c>
      <c r="F219" s="1">
        <f>Tabela11[[#This Row],[Tensão(Pa)]]/1000000</f>
        <v>2.2229978484341379</v>
      </c>
    </row>
    <row r="220" spans="1:6" x14ac:dyDescent="0.3">
      <c r="A220" s="1">
        <v>21.4</v>
      </c>
      <c r="B220" s="1">
        <v>1.7756000000000001</v>
      </c>
      <c r="C220" s="1">
        <f>Tabela11[[#This Row],[Alongamento(mm/mm)]]/$I$2</f>
        <v>3.5512000000000002E-2</v>
      </c>
      <c r="D220" s="1">
        <v>70.421000000000006</v>
      </c>
      <c r="E220" s="1">
        <f>Tabela11[[#This Row],[Força(N)]]/$I$5</f>
        <v>2244672.882301379</v>
      </c>
      <c r="F220" s="1">
        <f>Tabela11[[#This Row],[Tensão(Pa)]]/1000000</f>
        <v>2.2446728823013791</v>
      </c>
    </row>
    <row r="221" spans="1:6" x14ac:dyDescent="0.3">
      <c r="A221" s="1">
        <v>21.483000000000001</v>
      </c>
      <c r="B221" s="1">
        <v>1.7826</v>
      </c>
      <c r="C221" s="1">
        <f>Tabela11[[#This Row],[Alongamento(mm/mm)]]/$I$2</f>
        <v>3.5651999999999996E-2</v>
      </c>
      <c r="D221" s="1">
        <v>71.100999999999999</v>
      </c>
      <c r="E221" s="1">
        <f>Tabela11[[#This Row],[Força(N)]]/$I$5</f>
        <v>2266347.9161686189</v>
      </c>
      <c r="F221" s="1">
        <f>Tabela11[[#This Row],[Tensão(Pa)]]/1000000</f>
        <v>2.2663479161686189</v>
      </c>
    </row>
    <row r="222" spans="1:6" x14ac:dyDescent="0.3">
      <c r="A222" s="1">
        <v>21.567</v>
      </c>
      <c r="B222" s="1">
        <v>1.7895000000000001</v>
      </c>
      <c r="C222" s="1">
        <f>Tabela11[[#This Row],[Alongamento(mm/mm)]]/$I$2</f>
        <v>3.5790000000000002E-2</v>
      </c>
      <c r="D222" s="1">
        <v>71.781999999999996</v>
      </c>
      <c r="E222" s="1">
        <f>Tabela11[[#This Row],[Força(N)]]/$I$5</f>
        <v>2288054.8250856642</v>
      </c>
      <c r="F222" s="1">
        <f>Tabela11[[#This Row],[Tensão(Pa)]]/1000000</f>
        <v>2.288054825085664</v>
      </c>
    </row>
    <row r="223" spans="1:6" x14ac:dyDescent="0.3">
      <c r="A223" s="1">
        <v>21.632999999999999</v>
      </c>
      <c r="B223" s="1">
        <v>1.7950999999999999</v>
      </c>
      <c r="C223" s="1">
        <f>Tabela11[[#This Row],[Alongamento(mm/mm)]]/$I$2</f>
        <v>3.5901999999999996E-2</v>
      </c>
      <c r="D223" s="1">
        <v>72.462000000000003</v>
      </c>
      <c r="E223" s="1">
        <f>Tabela11[[#This Row],[Força(N)]]/$I$5</f>
        <v>2309729.8589529051</v>
      </c>
      <c r="F223" s="1">
        <f>Tabela11[[#This Row],[Tensão(Pa)]]/1000000</f>
        <v>2.3097298589529052</v>
      </c>
    </row>
    <row r="224" spans="1:6" x14ac:dyDescent="0.3">
      <c r="A224" s="1">
        <v>21.716999999999999</v>
      </c>
      <c r="B224" s="1">
        <v>1.802</v>
      </c>
      <c r="C224" s="1">
        <f>Tabela11[[#This Row],[Alongamento(mm/mm)]]/$I$2</f>
        <v>3.6040000000000003E-2</v>
      </c>
      <c r="D224" s="1">
        <v>73.141999999999996</v>
      </c>
      <c r="E224" s="1">
        <f>Tabela11[[#This Row],[Força(N)]]/$I$5</f>
        <v>2331404.892820145</v>
      </c>
      <c r="F224" s="1">
        <f>Tabela11[[#This Row],[Tensão(Pa)]]/1000000</f>
        <v>2.331404892820145</v>
      </c>
    </row>
    <row r="225" spans="1:6" x14ac:dyDescent="0.3">
      <c r="A225" s="1">
        <v>21.783000000000001</v>
      </c>
      <c r="B225" s="1">
        <v>1.8076000000000001</v>
      </c>
      <c r="C225" s="1">
        <f>Tabela11[[#This Row],[Alongamento(mm/mm)]]/$I$2</f>
        <v>3.6152000000000004E-2</v>
      </c>
      <c r="D225" s="1">
        <v>73.822999999999993</v>
      </c>
      <c r="E225" s="1">
        <f>Tabela11[[#This Row],[Força(N)]]/$I$5</f>
        <v>2353111.8017371902</v>
      </c>
      <c r="F225" s="1">
        <f>Tabela11[[#This Row],[Tensão(Pa)]]/1000000</f>
        <v>2.3531118017371901</v>
      </c>
    </row>
    <row r="226" spans="1:6" x14ac:dyDescent="0.3">
      <c r="A226" s="1">
        <v>21.867000000000001</v>
      </c>
      <c r="B226" s="1">
        <v>1.8145</v>
      </c>
      <c r="C226" s="1">
        <f>Tabela11[[#This Row],[Alongamento(mm/mm)]]/$I$2</f>
        <v>3.6290000000000003E-2</v>
      </c>
      <c r="D226" s="1">
        <v>74.503</v>
      </c>
      <c r="E226" s="1">
        <f>Tabela11[[#This Row],[Força(N)]]/$I$5</f>
        <v>2374786.8356044306</v>
      </c>
      <c r="F226" s="1">
        <f>Tabela11[[#This Row],[Tensão(Pa)]]/1000000</f>
        <v>2.3747868356044308</v>
      </c>
    </row>
    <row r="227" spans="1:6" x14ac:dyDescent="0.3">
      <c r="A227" s="1">
        <v>21.933</v>
      </c>
      <c r="B227" s="1">
        <v>1.8201000000000001</v>
      </c>
      <c r="C227" s="1">
        <f>Tabela11[[#This Row],[Alongamento(mm/mm)]]/$I$2</f>
        <v>3.6402000000000004E-2</v>
      </c>
      <c r="D227" s="1">
        <v>75.183999999999997</v>
      </c>
      <c r="E227" s="1">
        <f>Tabela11[[#This Row],[Força(N)]]/$I$5</f>
        <v>2396493.7445214759</v>
      </c>
      <c r="F227" s="1">
        <f>Tabela11[[#This Row],[Tensão(Pa)]]/1000000</f>
        <v>2.396493744521476</v>
      </c>
    </row>
    <row r="228" spans="1:6" x14ac:dyDescent="0.3">
      <c r="A228" s="1">
        <v>22.016999999999999</v>
      </c>
      <c r="B228" s="1">
        <v>1.827</v>
      </c>
      <c r="C228" s="1">
        <f>Tabela11[[#This Row],[Alongamento(mm/mm)]]/$I$2</f>
        <v>3.6539999999999996E-2</v>
      </c>
      <c r="D228" s="1">
        <v>75.864000000000004</v>
      </c>
      <c r="E228" s="1">
        <f>Tabela11[[#This Row],[Força(N)]]/$I$5</f>
        <v>2418168.7783887163</v>
      </c>
      <c r="F228" s="1">
        <f>Tabela11[[#This Row],[Tensão(Pa)]]/1000000</f>
        <v>2.4181687783887162</v>
      </c>
    </row>
    <row r="229" spans="1:6" x14ac:dyDescent="0.3">
      <c r="A229" s="1">
        <v>22.082999999999998</v>
      </c>
      <c r="B229" s="1">
        <v>1.8326</v>
      </c>
      <c r="C229" s="1">
        <f>Tabela11[[#This Row],[Alongamento(mm/mm)]]/$I$2</f>
        <v>3.6651999999999997E-2</v>
      </c>
      <c r="D229" s="1">
        <v>76.543999999999997</v>
      </c>
      <c r="E229" s="1">
        <f>Tabela11[[#This Row],[Força(N)]]/$I$5</f>
        <v>2439843.8122559567</v>
      </c>
      <c r="F229" s="1">
        <f>Tabela11[[#This Row],[Tensão(Pa)]]/1000000</f>
        <v>2.4398438122559565</v>
      </c>
    </row>
    <row r="230" spans="1:6" x14ac:dyDescent="0.3">
      <c r="A230" s="1">
        <v>22.15</v>
      </c>
      <c r="B230" s="1">
        <v>1.8381000000000001</v>
      </c>
      <c r="C230" s="1">
        <f>Tabela11[[#This Row],[Alongamento(mm/mm)]]/$I$2</f>
        <v>3.6762000000000003E-2</v>
      </c>
      <c r="D230" s="1">
        <v>77.224999999999994</v>
      </c>
      <c r="E230" s="1">
        <f>Tabela11[[#This Row],[Força(N)]]/$I$5</f>
        <v>2461550.7211730019</v>
      </c>
      <c r="F230" s="1">
        <f>Tabela11[[#This Row],[Tensão(Pa)]]/1000000</f>
        <v>2.4615507211730021</v>
      </c>
    </row>
    <row r="231" spans="1:6" x14ac:dyDescent="0.3">
      <c r="A231" s="1">
        <v>22.233000000000001</v>
      </c>
      <c r="B231" s="1">
        <v>1.8451</v>
      </c>
      <c r="C231" s="1">
        <f>Tabela11[[#This Row],[Alongamento(mm/mm)]]/$I$2</f>
        <v>3.6901999999999997E-2</v>
      </c>
      <c r="D231" s="1">
        <v>77.905000000000001</v>
      </c>
      <c r="E231" s="1">
        <f>Tabela11[[#This Row],[Força(N)]]/$I$5</f>
        <v>2483225.7550402423</v>
      </c>
      <c r="F231" s="1">
        <f>Tabela11[[#This Row],[Tensão(Pa)]]/1000000</f>
        <v>2.4832257550402423</v>
      </c>
    </row>
    <row r="232" spans="1:6" x14ac:dyDescent="0.3">
      <c r="A232" s="1">
        <v>22.3</v>
      </c>
      <c r="B232" s="1">
        <v>1.8506</v>
      </c>
      <c r="C232" s="1">
        <f>Tabela11[[#This Row],[Alongamento(mm/mm)]]/$I$2</f>
        <v>3.7012000000000003E-2</v>
      </c>
      <c r="D232" s="1">
        <v>78.585999999999999</v>
      </c>
      <c r="E232" s="1">
        <f>Tabela11[[#This Row],[Força(N)]]/$I$5</f>
        <v>2504932.6639572876</v>
      </c>
      <c r="F232" s="1">
        <f>Tabela11[[#This Row],[Tensão(Pa)]]/1000000</f>
        <v>2.5049326639572875</v>
      </c>
    </row>
    <row r="233" spans="1:6" x14ac:dyDescent="0.3">
      <c r="A233" s="1">
        <v>22.367000000000001</v>
      </c>
      <c r="B233" s="1">
        <v>1.8562000000000001</v>
      </c>
      <c r="C233" s="1">
        <f>Tabela11[[#This Row],[Alongamento(mm/mm)]]/$I$2</f>
        <v>3.7124000000000004E-2</v>
      </c>
      <c r="D233" s="1">
        <v>79.266000000000005</v>
      </c>
      <c r="E233" s="1">
        <f>Tabela11[[#This Row],[Força(N)]]/$I$5</f>
        <v>2526607.697824528</v>
      </c>
      <c r="F233" s="1">
        <f>Tabela11[[#This Row],[Tensão(Pa)]]/1000000</f>
        <v>2.5266076978245278</v>
      </c>
    </row>
    <row r="234" spans="1:6" x14ac:dyDescent="0.3">
      <c r="A234" s="1">
        <v>22.433</v>
      </c>
      <c r="B234" s="1">
        <v>1.8616999999999999</v>
      </c>
      <c r="C234" s="1">
        <f>Tabela11[[#This Row],[Alongamento(mm/mm)]]/$I$2</f>
        <v>3.7233999999999996E-2</v>
      </c>
      <c r="D234" s="1">
        <v>79.945999999999998</v>
      </c>
      <c r="E234" s="1">
        <f>Tabela11[[#This Row],[Força(N)]]/$I$5</f>
        <v>2548282.7316917684</v>
      </c>
      <c r="F234" s="1">
        <f>Tabela11[[#This Row],[Tensão(Pa)]]/1000000</f>
        <v>2.5482827316917684</v>
      </c>
    </row>
    <row r="235" spans="1:6" x14ac:dyDescent="0.3">
      <c r="A235" s="1">
        <v>22.5</v>
      </c>
      <c r="B235" s="1">
        <v>1.8673</v>
      </c>
      <c r="C235" s="1">
        <f>Tabela11[[#This Row],[Alongamento(mm/mm)]]/$I$2</f>
        <v>3.7345999999999997E-2</v>
      </c>
      <c r="D235" s="1">
        <v>80.626999999999995</v>
      </c>
      <c r="E235" s="1">
        <f>Tabela11[[#This Row],[Força(N)]]/$I$5</f>
        <v>2569989.6406088136</v>
      </c>
      <c r="F235" s="1">
        <f>Tabela11[[#This Row],[Tensão(Pa)]]/1000000</f>
        <v>2.5699896406088136</v>
      </c>
    </row>
    <row r="236" spans="1:6" x14ac:dyDescent="0.3">
      <c r="A236" s="1">
        <v>22.567</v>
      </c>
      <c r="B236" s="1">
        <v>1.8729</v>
      </c>
      <c r="C236" s="1">
        <f>Tabela11[[#This Row],[Alongamento(mm/mm)]]/$I$2</f>
        <v>3.7457999999999998E-2</v>
      </c>
      <c r="D236" s="1">
        <v>81.307000000000002</v>
      </c>
      <c r="E236" s="1">
        <f>Tabela11[[#This Row],[Força(N)]]/$I$5</f>
        <v>2591664.674476054</v>
      </c>
      <c r="F236" s="1">
        <f>Tabela11[[#This Row],[Tensão(Pa)]]/1000000</f>
        <v>2.5916646744760539</v>
      </c>
    </row>
    <row r="237" spans="1:6" x14ac:dyDescent="0.3">
      <c r="A237" s="1">
        <v>22.65</v>
      </c>
      <c r="B237" s="1">
        <v>1.8797999999999999</v>
      </c>
      <c r="C237" s="1">
        <f>Tabela11[[#This Row],[Alongamento(mm/mm)]]/$I$2</f>
        <v>3.7595999999999997E-2</v>
      </c>
      <c r="D237" s="1">
        <v>81.988</v>
      </c>
      <c r="E237" s="1">
        <f>Tabela11[[#This Row],[Força(N)]]/$I$5</f>
        <v>2613371.5833930993</v>
      </c>
      <c r="F237" s="1">
        <f>Tabela11[[#This Row],[Tensão(Pa)]]/1000000</f>
        <v>2.6133715833930991</v>
      </c>
    </row>
    <row r="238" spans="1:6" x14ac:dyDescent="0.3">
      <c r="A238" s="1">
        <v>22.716999999999999</v>
      </c>
      <c r="B238" s="1">
        <v>1.8854</v>
      </c>
      <c r="C238" s="1">
        <f>Tabela11[[#This Row],[Alongamento(mm/mm)]]/$I$2</f>
        <v>3.7707999999999998E-2</v>
      </c>
      <c r="D238" s="1">
        <v>82.668000000000006</v>
      </c>
      <c r="E238" s="1">
        <f>Tabela11[[#This Row],[Força(N)]]/$I$5</f>
        <v>2635046.6172603397</v>
      </c>
      <c r="F238" s="1">
        <f>Tabela11[[#This Row],[Tensão(Pa)]]/1000000</f>
        <v>2.6350466172603397</v>
      </c>
    </row>
    <row r="239" spans="1:6" x14ac:dyDescent="0.3">
      <c r="A239" s="1">
        <v>22.783000000000001</v>
      </c>
      <c r="B239" s="1">
        <v>1.8909</v>
      </c>
      <c r="C239" s="1">
        <f>Tabela11[[#This Row],[Alongamento(mm/mm)]]/$I$2</f>
        <v>3.7817999999999997E-2</v>
      </c>
      <c r="D239" s="1">
        <v>83.347999999999999</v>
      </c>
      <c r="E239" s="1">
        <f>Tabela11[[#This Row],[Força(N)]]/$I$5</f>
        <v>2656721.6511275801</v>
      </c>
      <c r="F239" s="1">
        <f>Tabela11[[#This Row],[Tensão(Pa)]]/1000000</f>
        <v>2.65672165112758</v>
      </c>
    </row>
    <row r="240" spans="1:6" x14ac:dyDescent="0.3">
      <c r="A240" s="1">
        <v>22.867000000000001</v>
      </c>
      <c r="B240" s="1">
        <v>1.8978999999999999</v>
      </c>
      <c r="C240" s="1">
        <f>Tabela11[[#This Row],[Alongamento(mm/mm)]]/$I$2</f>
        <v>3.7957999999999999E-2</v>
      </c>
      <c r="D240" s="1">
        <v>84.028999999999996</v>
      </c>
      <c r="E240" s="1">
        <f>Tabela11[[#This Row],[Força(N)]]/$I$5</f>
        <v>2678428.5600446253</v>
      </c>
      <c r="F240" s="1">
        <f>Tabela11[[#This Row],[Tensão(Pa)]]/1000000</f>
        <v>2.6784285600446252</v>
      </c>
    </row>
    <row r="241" spans="1:6" x14ac:dyDescent="0.3">
      <c r="A241" s="1">
        <v>22.95</v>
      </c>
      <c r="B241" s="1">
        <v>1.9048</v>
      </c>
      <c r="C241" s="1">
        <f>Tabela11[[#This Row],[Alongamento(mm/mm)]]/$I$2</f>
        <v>3.8095999999999998E-2</v>
      </c>
      <c r="D241" s="1">
        <v>84.709000000000003</v>
      </c>
      <c r="E241" s="1">
        <f>Tabela11[[#This Row],[Força(N)]]/$I$5</f>
        <v>2700103.5939118657</v>
      </c>
      <c r="F241" s="1">
        <f>Tabela11[[#This Row],[Tensão(Pa)]]/1000000</f>
        <v>2.7001035939118658</v>
      </c>
    </row>
    <row r="242" spans="1:6" x14ac:dyDescent="0.3">
      <c r="A242" s="1">
        <v>23.033000000000001</v>
      </c>
      <c r="B242" s="1">
        <v>1.9117999999999999</v>
      </c>
      <c r="C242" s="1">
        <f>Tabela11[[#This Row],[Alongamento(mm/mm)]]/$I$2</f>
        <v>3.8235999999999999E-2</v>
      </c>
      <c r="D242" s="1">
        <v>85.39</v>
      </c>
      <c r="E242" s="1">
        <f>Tabela11[[#This Row],[Força(N)]]/$I$5</f>
        <v>2721810.5028289109</v>
      </c>
      <c r="F242" s="1">
        <f>Tabela11[[#This Row],[Tensão(Pa)]]/1000000</f>
        <v>2.721810502828911</v>
      </c>
    </row>
    <row r="243" spans="1:6" x14ac:dyDescent="0.3">
      <c r="A243" s="1">
        <v>23.117000000000001</v>
      </c>
      <c r="B243" s="1">
        <v>1.9187000000000001</v>
      </c>
      <c r="C243" s="1">
        <f>Tabela11[[#This Row],[Alongamento(mm/mm)]]/$I$2</f>
        <v>3.8373999999999998E-2</v>
      </c>
      <c r="D243" s="1">
        <v>86.07</v>
      </c>
      <c r="E243" s="1">
        <f>Tabela11[[#This Row],[Força(N)]]/$I$5</f>
        <v>2743485.5366961509</v>
      </c>
      <c r="F243" s="1">
        <f>Tabela11[[#This Row],[Tensão(Pa)]]/1000000</f>
        <v>2.7434855366961508</v>
      </c>
    </row>
    <row r="244" spans="1:6" x14ac:dyDescent="0.3">
      <c r="A244" s="1">
        <v>23.2</v>
      </c>
      <c r="B244" s="1">
        <v>1.9256</v>
      </c>
      <c r="C244" s="1">
        <f>Tabela11[[#This Row],[Alongamento(mm/mm)]]/$I$2</f>
        <v>3.8511999999999998E-2</v>
      </c>
      <c r="D244" s="1">
        <v>86.75</v>
      </c>
      <c r="E244" s="1">
        <f>Tabela11[[#This Row],[Força(N)]]/$I$5</f>
        <v>2765160.5705633918</v>
      </c>
      <c r="F244" s="1">
        <f>Tabela11[[#This Row],[Tensão(Pa)]]/1000000</f>
        <v>2.7651605705633919</v>
      </c>
    </row>
    <row r="245" spans="1:6" x14ac:dyDescent="0.3">
      <c r="A245" s="1">
        <v>23.283000000000001</v>
      </c>
      <c r="B245" s="1">
        <v>1.9325000000000001</v>
      </c>
      <c r="C245" s="1">
        <f>Tabela11[[#This Row],[Alongamento(mm/mm)]]/$I$2</f>
        <v>3.8650000000000004E-2</v>
      </c>
      <c r="D245" s="1">
        <v>87.430999999999997</v>
      </c>
      <c r="E245" s="1">
        <f>Tabela11[[#This Row],[Força(N)]]/$I$5</f>
        <v>2786867.4794804365</v>
      </c>
      <c r="F245" s="1">
        <f>Tabela11[[#This Row],[Tensão(Pa)]]/1000000</f>
        <v>2.7868674794804367</v>
      </c>
    </row>
    <row r="246" spans="1:6" x14ac:dyDescent="0.3">
      <c r="A246" s="1">
        <v>23.367000000000001</v>
      </c>
      <c r="B246" s="1">
        <v>1.9395</v>
      </c>
      <c r="C246" s="1">
        <f>Tabela11[[#This Row],[Alongamento(mm/mm)]]/$I$2</f>
        <v>3.8789999999999998E-2</v>
      </c>
      <c r="D246" s="1">
        <v>88.111000000000004</v>
      </c>
      <c r="E246" s="1">
        <f>Tabela11[[#This Row],[Força(N)]]/$I$5</f>
        <v>2808542.5133476774</v>
      </c>
      <c r="F246" s="1">
        <f>Tabela11[[#This Row],[Tensão(Pa)]]/1000000</f>
        <v>2.8085425133476773</v>
      </c>
    </row>
    <row r="247" spans="1:6" x14ac:dyDescent="0.3">
      <c r="A247" s="1">
        <v>23.45</v>
      </c>
      <c r="B247" s="1">
        <v>1.9463999999999999</v>
      </c>
      <c r="C247" s="1">
        <f>Tabela11[[#This Row],[Alongamento(mm/mm)]]/$I$2</f>
        <v>3.8927999999999997E-2</v>
      </c>
      <c r="D247" s="1">
        <v>88.792000000000002</v>
      </c>
      <c r="E247" s="1">
        <f>Tabela11[[#This Row],[Força(N)]]/$I$5</f>
        <v>2830249.4222647226</v>
      </c>
      <c r="F247" s="1">
        <f>Tabela11[[#This Row],[Tensão(Pa)]]/1000000</f>
        <v>2.8302494222647225</v>
      </c>
    </row>
    <row r="248" spans="1:6" x14ac:dyDescent="0.3">
      <c r="A248" s="1">
        <v>23.516999999999999</v>
      </c>
      <c r="B248" s="1">
        <v>1.952</v>
      </c>
      <c r="C248" s="1">
        <f>Tabela11[[#This Row],[Alongamento(mm/mm)]]/$I$2</f>
        <v>3.9039999999999998E-2</v>
      </c>
      <c r="D248" s="1">
        <v>89.471999999999994</v>
      </c>
      <c r="E248" s="1">
        <f>Tabela11[[#This Row],[Força(N)]]/$I$5</f>
        <v>2851924.4561319626</v>
      </c>
      <c r="F248" s="1">
        <f>Tabela11[[#This Row],[Tensão(Pa)]]/1000000</f>
        <v>2.8519244561319628</v>
      </c>
    </row>
    <row r="249" spans="1:6" x14ac:dyDescent="0.3">
      <c r="A249" s="1">
        <v>23.6</v>
      </c>
      <c r="B249" s="1">
        <v>1.9590000000000001</v>
      </c>
      <c r="C249" s="1">
        <f>Tabela11[[#This Row],[Alongamento(mm/mm)]]/$I$2</f>
        <v>3.918E-2</v>
      </c>
      <c r="D249" s="1">
        <v>90.152000000000001</v>
      </c>
      <c r="E249" s="1">
        <f>Tabela11[[#This Row],[Força(N)]]/$I$5</f>
        <v>2873599.4899992035</v>
      </c>
      <c r="F249" s="1">
        <f>Tabela11[[#This Row],[Tensão(Pa)]]/1000000</f>
        <v>2.8735994899992034</v>
      </c>
    </row>
    <row r="250" spans="1:6" x14ac:dyDescent="0.3">
      <c r="A250" s="1">
        <v>23.667000000000002</v>
      </c>
      <c r="B250" s="1">
        <v>1.9644999999999999</v>
      </c>
      <c r="C250" s="1">
        <f>Tabela11[[#This Row],[Alongamento(mm/mm)]]/$I$2</f>
        <v>3.9289999999999999E-2</v>
      </c>
      <c r="D250" s="1">
        <v>90.832999999999998</v>
      </c>
      <c r="E250" s="1">
        <f>Tabela11[[#This Row],[Força(N)]]/$I$5</f>
        <v>2895306.3989162482</v>
      </c>
      <c r="F250" s="1">
        <f>Tabela11[[#This Row],[Tensão(Pa)]]/1000000</f>
        <v>2.8953063989162482</v>
      </c>
    </row>
    <row r="251" spans="1:6" x14ac:dyDescent="0.3">
      <c r="A251" s="1">
        <v>23.75</v>
      </c>
      <c r="B251" s="1">
        <v>1.9714</v>
      </c>
      <c r="C251" s="1">
        <f>Tabela11[[#This Row],[Alongamento(mm/mm)]]/$I$2</f>
        <v>3.9427999999999998E-2</v>
      </c>
      <c r="D251" s="1">
        <v>91.513000000000005</v>
      </c>
      <c r="E251" s="1">
        <f>Tabela11[[#This Row],[Força(N)]]/$I$5</f>
        <v>2916981.4327834891</v>
      </c>
      <c r="F251" s="1">
        <f>Tabela11[[#This Row],[Tensão(Pa)]]/1000000</f>
        <v>2.9169814327834893</v>
      </c>
    </row>
    <row r="252" spans="1:6" x14ac:dyDescent="0.3">
      <c r="A252" s="1">
        <v>23.832999999999998</v>
      </c>
      <c r="B252" s="1">
        <v>1.9783999999999999</v>
      </c>
      <c r="C252" s="1">
        <f>Tabela11[[#This Row],[Alongamento(mm/mm)]]/$I$2</f>
        <v>3.9567999999999999E-2</v>
      </c>
      <c r="D252" s="1">
        <v>92.194000000000003</v>
      </c>
      <c r="E252" s="1">
        <f>Tabela11[[#This Row],[Força(N)]]/$I$5</f>
        <v>2938688.3417005343</v>
      </c>
      <c r="F252" s="1">
        <f>Tabela11[[#This Row],[Tensão(Pa)]]/1000000</f>
        <v>2.9386883417005345</v>
      </c>
    </row>
    <row r="253" spans="1:6" x14ac:dyDescent="0.3">
      <c r="A253" s="1">
        <v>23.9</v>
      </c>
      <c r="B253" s="1">
        <v>1.984</v>
      </c>
      <c r="C253" s="1">
        <f>Tabela11[[#This Row],[Alongamento(mm/mm)]]/$I$2</f>
        <v>3.968E-2</v>
      </c>
      <c r="D253" s="1">
        <v>92.873999999999995</v>
      </c>
      <c r="E253" s="1">
        <f>Tabela11[[#This Row],[Força(N)]]/$I$5</f>
        <v>2960363.3755677743</v>
      </c>
      <c r="F253" s="1">
        <f>Tabela11[[#This Row],[Tensão(Pa)]]/1000000</f>
        <v>2.9603633755677743</v>
      </c>
    </row>
    <row r="254" spans="1:6" x14ac:dyDescent="0.3">
      <c r="A254" s="1">
        <v>23.983000000000001</v>
      </c>
      <c r="B254" s="1">
        <v>1.9908999999999999</v>
      </c>
      <c r="C254" s="1">
        <f>Tabela11[[#This Row],[Alongamento(mm/mm)]]/$I$2</f>
        <v>3.9817999999999999E-2</v>
      </c>
      <c r="D254" s="1">
        <v>93.554000000000002</v>
      </c>
      <c r="E254" s="1">
        <f>Tabela11[[#This Row],[Força(N)]]/$I$5</f>
        <v>2982038.4094350152</v>
      </c>
      <c r="F254" s="1">
        <f>Tabela11[[#This Row],[Tensão(Pa)]]/1000000</f>
        <v>2.982038409435015</v>
      </c>
    </row>
    <row r="255" spans="1:6" x14ac:dyDescent="0.3">
      <c r="A255" s="1">
        <v>24.05</v>
      </c>
      <c r="B255" s="1">
        <v>1.9964999999999999</v>
      </c>
      <c r="C255" s="1">
        <f>Tabela11[[#This Row],[Alongamento(mm/mm)]]/$I$2</f>
        <v>3.993E-2</v>
      </c>
      <c r="D255" s="1">
        <v>94.234999999999999</v>
      </c>
      <c r="E255" s="1">
        <f>Tabela11[[#This Row],[Força(N)]]/$I$5</f>
        <v>3003745.3183520599</v>
      </c>
      <c r="F255" s="1">
        <f>Tabela11[[#This Row],[Tensão(Pa)]]/1000000</f>
        <v>3.0037453183520597</v>
      </c>
    </row>
    <row r="256" spans="1:6" x14ac:dyDescent="0.3">
      <c r="A256" s="1">
        <v>24.132999999999999</v>
      </c>
      <c r="B256" s="1">
        <v>2.0034000000000001</v>
      </c>
      <c r="C256" s="1">
        <f>Tabela11[[#This Row],[Alongamento(mm/mm)]]/$I$2</f>
        <v>4.0067999999999999E-2</v>
      </c>
      <c r="D256" s="1">
        <v>94.915000000000006</v>
      </c>
      <c r="E256" s="1">
        <f>Tabela11[[#This Row],[Força(N)]]/$I$5</f>
        <v>3025420.3522193008</v>
      </c>
      <c r="F256" s="1">
        <f>Tabela11[[#This Row],[Tensão(Pa)]]/1000000</f>
        <v>3.0254203522193008</v>
      </c>
    </row>
    <row r="257" spans="1:6" x14ac:dyDescent="0.3">
      <c r="A257" s="1">
        <v>24.2</v>
      </c>
      <c r="B257" s="1">
        <v>2.0089999999999999</v>
      </c>
      <c r="C257" s="1">
        <f>Tabela11[[#This Row],[Alongamento(mm/mm)]]/$I$2</f>
        <v>4.018E-2</v>
      </c>
      <c r="D257" s="1">
        <v>95.596000000000004</v>
      </c>
      <c r="E257" s="1">
        <f>Tabela11[[#This Row],[Força(N)]]/$I$5</f>
        <v>3047127.261136346</v>
      </c>
      <c r="F257" s="1">
        <f>Tabela11[[#This Row],[Tensão(Pa)]]/1000000</f>
        <v>3.047127261136346</v>
      </c>
    </row>
    <row r="258" spans="1:6" x14ac:dyDescent="0.3">
      <c r="A258" s="1">
        <v>24.266999999999999</v>
      </c>
      <c r="B258" s="1">
        <v>2.0146000000000002</v>
      </c>
      <c r="C258" s="1">
        <f>Tabela11[[#This Row],[Alongamento(mm/mm)]]/$I$2</f>
        <v>4.0292000000000001E-2</v>
      </c>
      <c r="D258" s="1">
        <v>96.275999999999996</v>
      </c>
      <c r="E258" s="1">
        <f>Tabela11[[#This Row],[Força(N)]]/$I$5</f>
        <v>3068802.295003586</v>
      </c>
      <c r="F258" s="1">
        <f>Tabela11[[#This Row],[Tensão(Pa)]]/1000000</f>
        <v>3.0688022950035858</v>
      </c>
    </row>
    <row r="259" spans="1:6" x14ac:dyDescent="0.3">
      <c r="A259" s="1">
        <v>24.332999999999998</v>
      </c>
      <c r="B259" s="1">
        <v>2.0200999999999998</v>
      </c>
      <c r="C259" s="1">
        <f>Tabela11[[#This Row],[Alongamento(mm/mm)]]/$I$2</f>
        <v>4.0401999999999993E-2</v>
      </c>
      <c r="D259" s="1">
        <v>96.956000000000003</v>
      </c>
      <c r="E259" s="1">
        <f>Tabela11[[#This Row],[Força(N)]]/$I$5</f>
        <v>3090477.3288708269</v>
      </c>
      <c r="F259" s="1">
        <f>Tabela11[[#This Row],[Tensão(Pa)]]/1000000</f>
        <v>3.0904773288708269</v>
      </c>
    </row>
    <row r="260" spans="1:6" x14ac:dyDescent="0.3">
      <c r="A260" s="1">
        <v>24.4</v>
      </c>
      <c r="B260" s="1">
        <v>2.0255999999999998</v>
      </c>
      <c r="C260" s="1">
        <f>Tabela11[[#This Row],[Alongamento(mm/mm)]]/$I$2</f>
        <v>4.0511999999999999E-2</v>
      </c>
      <c r="D260" s="1">
        <v>97.637</v>
      </c>
      <c r="E260" s="1">
        <f>Tabela11[[#This Row],[Força(N)]]/$I$5</f>
        <v>3112184.2377878716</v>
      </c>
      <c r="F260" s="1">
        <f>Tabela11[[#This Row],[Tensão(Pa)]]/1000000</f>
        <v>3.1121842377878717</v>
      </c>
    </row>
    <row r="261" spans="1:6" x14ac:dyDescent="0.3">
      <c r="A261" s="1">
        <v>24.466999999999999</v>
      </c>
      <c r="B261" s="1">
        <v>2.0312000000000001</v>
      </c>
      <c r="C261" s="1">
        <f>Tabela11[[#This Row],[Alongamento(mm/mm)]]/$I$2</f>
        <v>4.0624E-2</v>
      </c>
      <c r="D261" s="1">
        <v>98.316999999999993</v>
      </c>
      <c r="E261" s="1">
        <f>Tabela11[[#This Row],[Força(N)]]/$I$5</f>
        <v>3133859.271655112</v>
      </c>
      <c r="F261" s="1">
        <f>Tabela11[[#This Row],[Tensão(Pa)]]/1000000</f>
        <v>3.1338592716551119</v>
      </c>
    </row>
    <row r="262" spans="1:6" x14ac:dyDescent="0.3">
      <c r="A262" s="1">
        <v>24.516999999999999</v>
      </c>
      <c r="B262" s="1">
        <v>2.0354000000000001</v>
      </c>
      <c r="C262" s="1">
        <f>Tabela11[[#This Row],[Alongamento(mm/mm)]]/$I$2</f>
        <v>4.0708000000000001E-2</v>
      </c>
      <c r="D262" s="1">
        <v>98.998000000000005</v>
      </c>
      <c r="E262" s="1">
        <f>Tabela11[[#This Row],[Força(N)]]/$I$5</f>
        <v>3155566.1805721573</v>
      </c>
      <c r="F262" s="1">
        <f>Tabela11[[#This Row],[Tensão(Pa)]]/1000000</f>
        <v>3.1555661805721571</v>
      </c>
    </row>
    <row r="263" spans="1:6" x14ac:dyDescent="0.3">
      <c r="A263" s="1">
        <v>24.582999999999998</v>
      </c>
      <c r="B263" s="1">
        <v>2.0409000000000002</v>
      </c>
      <c r="C263" s="1">
        <f>Tabela11[[#This Row],[Alongamento(mm/mm)]]/$I$2</f>
        <v>4.0818E-2</v>
      </c>
      <c r="D263" s="1">
        <v>99.847999999999999</v>
      </c>
      <c r="E263" s="1">
        <f>Tabela11[[#This Row],[Força(N)]]/$I$5</f>
        <v>3182659.9729062077</v>
      </c>
      <c r="F263" s="1">
        <f>Tabela11[[#This Row],[Tensão(Pa)]]/1000000</f>
        <v>3.1826599729062077</v>
      </c>
    </row>
    <row r="264" spans="1:6" x14ac:dyDescent="0.3">
      <c r="A264" s="1">
        <v>24.65</v>
      </c>
      <c r="B264" s="1">
        <v>2.0465</v>
      </c>
      <c r="C264" s="1">
        <f>Tabela11[[#This Row],[Alongamento(mm/mm)]]/$I$2</f>
        <v>4.0930000000000001E-2</v>
      </c>
      <c r="D264" s="1">
        <v>100.53</v>
      </c>
      <c r="E264" s="1">
        <f>Tabela11[[#This Row],[Força(N)]]/$I$5</f>
        <v>3204398.7568730577</v>
      </c>
      <c r="F264" s="1">
        <f>Tabela11[[#This Row],[Tensão(Pa)]]/1000000</f>
        <v>3.2043987568730579</v>
      </c>
    </row>
    <row r="265" spans="1:6" x14ac:dyDescent="0.3">
      <c r="A265" s="1">
        <v>24.7</v>
      </c>
      <c r="B265" s="1">
        <v>2.0506000000000002</v>
      </c>
      <c r="C265" s="1">
        <f>Tabela11[[#This Row],[Alongamento(mm/mm)]]/$I$2</f>
        <v>4.1012000000000007E-2</v>
      </c>
      <c r="D265" s="1">
        <v>101.21</v>
      </c>
      <c r="E265" s="1">
        <f>Tabela11[[#This Row],[Força(N)]]/$I$5</f>
        <v>3226073.7907402981</v>
      </c>
      <c r="F265" s="1">
        <f>Tabela11[[#This Row],[Tensão(Pa)]]/1000000</f>
        <v>3.2260737907402981</v>
      </c>
    </row>
    <row r="266" spans="1:6" x14ac:dyDescent="0.3">
      <c r="A266" s="1">
        <v>24.75</v>
      </c>
      <c r="B266" s="1">
        <v>2.0547</v>
      </c>
      <c r="C266" s="1">
        <f>Tabela11[[#This Row],[Alongamento(mm/mm)]]/$I$2</f>
        <v>4.1093999999999999E-2</v>
      </c>
      <c r="D266" s="1">
        <v>101.89</v>
      </c>
      <c r="E266" s="1">
        <f>Tabela11[[#This Row],[Força(N)]]/$I$5</f>
        <v>3247748.8246075385</v>
      </c>
      <c r="F266" s="1">
        <f>Tabela11[[#This Row],[Tensão(Pa)]]/1000000</f>
        <v>3.2477488246075383</v>
      </c>
    </row>
    <row r="267" spans="1:6" x14ac:dyDescent="0.3">
      <c r="A267" s="1">
        <v>24.8</v>
      </c>
      <c r="B267" s="1">
        <v>2.0590000000000002</v>
      </c>
      <c r="C267" s="1">
        <f>Tabela11[[#This Row],[Alongamento(mm/mm)]]/$I$2</f>
        <v>4.1180000000000001E-2</v>
      </c>
      <c r="D267" s="1">
        <v>102.57</v>
      </c>
      <c r="E267" s="1">
        <f>Tabela11[[#This Row],[Força(N)]]/$I$5</f>
        <v>3269423.8584747789</v>
      </c>
      <c r="F267" s="1">
        <f>Tabela11[[#This Row],[Tensão(Pa)]]/1000000</f>
        <v>3.269423858474779</v>
      </c>
    </row>
    <row r="268" spans="1:6" x14ac:dyDescent="0.3">
      <c r="A268" s="1">
        <v>24.85</v>
      </c>
      <c r="B268" s="1">
        <v>2.0632000000000001</v>
      </c>
      <c r="C268" s="1">
        <f>Tabela11[[#This Row],[Alongamento(mm/mm)]]/$I$2</f>
        <v>4.1264000000000002E-2</v>
      </c>
      <c r="D268" s="1">
        <v>103.25</v>
      </c>
      <c r="E268" s="1">
        <f>Tabela11[[#This Row],[Força(N)]]/$I$5</f>
        <v>3291098.8923420194</v>
      </c>
      <c r="F268" s="1">
        <f>Tabela11[[#This Row],[Tensão(Pa)]]/1000000</f>
        <v>3.2910988923420192</v>
      </c>
    </row>
    <row r="269" spans="1:6" x14ac:dyDescent="0.3">
      <c r="A269" s="1">
        <v>24.917000000000002</v>
      </c>
      <c r="B269" s="1">
        <v>2.0687000000000002</v>
      </c>
      <c r="C269" s="1">
        <f>Tabela11[[#This Row],[Alongamento(mm/mm)]]/$I$2</f>
        <v>4.1374000000000001E-2</v>
      </c>
      <c r="D269" s="1">
        <v>104.1</v>
      </c>
      <c r="E269" s="1">
        <f>Tabela11[[#This Row],[Força(N)]]/$I$5</f>
        <v>3318192.6846760698</v>
      </c>
      <c r="F269" s="1">
        <f>Tabela11[[#This Row],[Tensão(Pa)]]/1000000</f>
        <v>3.3181926846760699</v>
      </c>
    </row>
    <row r="270" spans="1:6" x14ac:dyDescent="0.3">
      <c r="A270" s="1">
        <v>24.966999999999999</v>
      </c>
      <c r="B270" s="1">
        <v>2.0729000000000002</v>
      </c>
      <c r="C270" s="1">
        <f>Tabela11[[#This Row],[Alongamento(mm/mm)]]/$I$2</f>
        <v>4.1458000000000002E-2</v>
      </c>
      <c r="D270" s="1">
        <v>104.78</v>
      </c>
      <c r="E270" s="1">
        <f>Tabela11[[#This Row],[Força(N)]]/$I$5</f>
        <v>3339867.7185433106</v>
      </c>
      <c r="F270" s="1">
        <f>Tabela11[[#This Row],[Tensão(Pa)]]/1000000</f>
        <v>3.3398677185433105</v>
      </c>
    </row>
    <row r="271" spans="1:6" x14ac:dyDescent="0.3">
      <c r="A271" s="1">
        <v>25.016999999999999</v>
      </c>
      <c r="B271" s="1">
        <v>2.0771000000000002</v>
      </c>
      <c r="C271" s="1">
        <f>Tabela11[[#This Row],[Alongamento(mm/mm)]]/$I$2</f>
        <v>4.1542000000000003E-2</v>
      </c>
      <c r="D271" s="1">
        <v>105.46</v>
      </c>
      <c r="E271" s="1">
        <f>Tabela11[[#This Row],[Força(N)]]/$I$5</f>
        <v>3361542.7524105506</v>
      </c>
      <c r="F271" s="1">
        <f>Tabela11[[#This Row],[Tensão(Pa)]]/1000000</f>
        <v>3.3615427524105508</v>
      </c>
    </row>
    <row r="272" spans="1:6" x14ac:dyDescent="0.3">
      <c r="A272" s="1">
        <v>25.067</v>
      </c>
      <c r="B272" s="1">
        <v>2.0811000000000002</v>
      </c>
      <c r="C272" s="1">
        <f>Tabela11[[#This Row],[Alongamento(mm/mm)]]/$I$2</f>
        <v>4.1622000000000006E-2</v>
      </c>
      <c r="D272" s="1">
        <v>106.14</v>
      </c>
      <c r="E272" s="1">
        <f>Tabela11[[#This Row],[Força(N)]]/$I$5</f>
        <v>3383217.7862777915</v>
      </c>
      <c r="F272" s="1">
        <f>Tabela11[[#This Row],[Tensão(Pa)]]/1000000</f>
        <v>3.3832177862777915</v>
      </c>
    </row>
    <row r="273" spans="1:6" x14ac:dyDescent="0.3">
      <c r="A273" s="1">
        <v>25.132999999999999</v>
      </c>
      <c r="B273" s="1">
        <v>2.0867</v>
      </c>
      <c r="C273" s="1">
        <f>Tabela11[[#This Row],[Alongamento(mm/mm)]]/$I$2</f>
        <v>4.1734E-2</v>
      </c>
      <c r="D273" s="1">
        <v>106.99</v>
      </c>
      <c r="E273" s="1">
        <f>Tabela11[[#This Row],[Força(N)]]/$I$5</f>
        <v>3410311.5786118414</v>
      </c>
      <c r="F273" s="1">
        <f>Tabela11[[#This Row],[Tensão(Pa)]]/1000000</f>
        <v>3.4103115786118416</v>
      </c>
    </row>
    <row r="274" spans="1:6" x14ac:dyDescent="0.3">
      <c r="A274" s="1">
        <v>25.183</v>
      </c>
      <c r="B274" s="1">
        <v>2.0909</v>
      </c>
      <c r="C274" s="1">
        <f>Tabela11[[#This Row],[Alongamento(mm/mm)]]/$I$2</f>
        <v>4.1818000000000001E-2</v>
      </c>
      <c r="D274" s="1">
        <v>107.67</v>
      </c>
      <c r="E274" s="1">
        <f>Tabela11[[#This Row],[Força(N)]]/$I$5</f>
        <v>3431986.6124790823</v>
      </c>
      <c r="F274" s="1">
        <f>Tabela11[[#This Row],[Tensão(Pa)]]/1000000</f>
        <v>3.4319866124790823</v>
      </c>
    </row>
    <row r="275" spans="1:6" x14ac:dyDescent="0.3">
      <c r="A275" s="1">
        <v>25.233000000000001</v>
      </c>
      <c r="B275" s="1">
        <v>2.0950000000000002</v>
      </c>
      <c r="C275" s="1">
        <f>Tabela11[[#This Row],[Alongamento(mm/mm)]]/$I$2</f>
        <v>4.1900000000000007E-2</v>
      </c>
      <c r="D275" s="1">
        <v>108.35</v>
      </c>
      <c r="E275" s="1">
        <f>Tabela11[[#This Row],[Força(N)]]/$I$5</f>
        <v>3453661.6463463223</v>
      </c>
      <c r="F275" s="1">
        <f>Tabela11[[#This Row],[Tensão(Pa)]]/1000000</f>
        <v>3.4536616463463221</v>
      </c>
    </row>
    <row r="276" spans="1:6" x14ac:dyDescent="0.3">
      <c r="A276" s="1">
        <v>25.283000000000001</v>
      </c>
      <c r="B276" s="1">
        <v>2.0992999999999999</v>
      </c>
      <c r="C276" s="1">
        <f>Tabela11[[#This Row],[Alongamento(mm/mm)]]/$I$2</f>
        <v>4.1985999999999996E-2</v>
      </c>
      <c r="D276" s="1">
        <v>109.03</v>
      </c>
      <c r="E276" s="1">
        <f>Tabela11[[#This Row],[Força(N)]]/$I$5</f>
        <v>3475336.6802135631</v>
      </c>
      <c r="F276" s="1">
        <f>Tabela11[[#This Row],[Tensão(Pa)]]/1000000</f>
        <v>3.4753366802135632</v>
      </c>
    </row>
    <row r="277" spans="1:6" x14ac:dyDescent="0.3">
      <c r="A277" s="1">
        <v>25.332999999999998</v>
      </c>
      <c r="B277" s="1">
        <v>2.1034000000000002</v>
      </c>
      <c r="C277" s="1">
        <f>Tabela11[[#This Row],[Alongamento(mm/mm)]]/$I$2</f>
        <v>4.2068000000000001E-2</v>
      </c>
      <c r="D277" s="1">
        <v>109.71</v>
      </c>
      <c r="E277" s="1">
        <f>Tabela11[[#This Row],[Força(N)]]/$I$5</f>
        <v>3497011.7140808031</v>
      </c>
      <c r="F277" s="1">
        <f>Tabela11[[#This Row],[Tensão(Pa)]]/1000000</f>
        <v>3.497011714080803</v>
      </c>
    </row>
    <row r="278" spans="1:6" x14ac:dyDescent="0.3">
      <c r="A278" s="1">
        <v>25.382999999999999</v>
      </c>
      <c r="B278" s="1">
        <v>2.1076000000000001</v>
      </c>
      <c r="C278" s="1">
        <f>Tabela11[[#This Row],[Alongamento(mm/mm)]]/$I$2</f>
        <v>4.2152000000000002E-2</v>
      </c>
      <c r="D278" s="1">
        <v>110.39</v>
      </c>
      <c r="E278" s="1">
        <f>Tabela11[[#This Row],[Força(N)]]/$I$5</f>
        <v>3518686.747948044</v>
      </c>
      <c r="F278" s="1">
        <f>Tabela11[[#This Row],[Tensão(Pa)]]/1000000</f>
        <v>3.5186867479480441</v>
      </c>
    </row>
    <row r="279" spans="1:6" x14ac:dyDescent="0.3">
      <c r="A279" s="1">
        <v>25.433</v>
      </c>
      <c r="B279" s="1">
        <v>2.1116999999999999</v>
      </c>
      <c r="C279" s="1">
        <f>Tabela11[[#This Row],[Alongamento(mm/mm)]]/$I$2</f>
        <v>4.2234000000000001E-2</v>
      </c>
      <c r="D279" s="1">
        <v>111.07</v>
      </c>
      <c r="E279" s="1">
        <f>Tabela11[[#This Row],[Força(N)]]/$I$5</f>
        <v>3540361.7818152839</v>
      </c>
      <c r="F279" s="1">
        <f>Tabela11[[#This Row],[Tensão(Pa)]]/1000000</f>
        <v>3.5403617818152839</v>
      </c>
    </row>
    <row r="280" spans="1:6" x14ac:dyDescent="0.3">
      <c r="A280" s="1">
        <v>25.483000000000001</v>
      </c>
      <c r="B280" s="1">
        <v>2.1158999999999999</v>
      </c>
      <c r="C280" s="1">
        <f>Tabela11[[#This Row],[Alongamento(mm/mm)]]/$I$2</f>
        <v>4.2317999999999995E-2</v>
      </c>
      <c r="D280" s="1">
        <v>111.75</v>
      </c>
      <c r="E280" s="1">
        <f>Tabela11[[#This Row],[Força(N)]]/$I$5</f>
        <v>3562036.8156825248</v>
      </c>
      <c r="F280" s="1">
        <f>Tabela11[[#This Row],[Tensão(Pa)]]/1000000</f>
        <v>3.5620368156825246</v>
      </c>
    </row>
    <row r="281" spans="1:6" x14ac:dyDescent="0.3">
      <c r="A281" s="1">
        <v>25.55</v>
      </c>
      <c r="B281" s="1">
        <v>2.1214</v>
      </c>
      <c r="C281" s="1">
        <f>Tabela11[[#This Row],[Alongamento(mm/mm)]]/$I$2</f>
        <v>4.2428E-2</v>
      </c>
      <c r="D281" s="1">
        <v>112.61</v>
      </c>
      <c r="E281" s="1">
        <f>Tabela11[[#This Row],[Força(N)]]/$I$5</f>
        <v>3589449.3585146228</v>
      </c>
      <c r="F281" s="1">
        <f>Tabela11[[#This Row],[Tensão(Pa)]]/1000000</f>
        <v>3.589449358514623</v>
      </c>
    </row>
    <row r="282" spans="1:6" x14ac:dyDescent="0.3">
      <c r="A282" s="1">
        <v>25.6</v>
      </c>
      <c r="B282" s="1">
        <v>2.1255999999999999</v>
      </c>
      <c r="C282" s="1">
        <f>Tabela11[[#This Row],[Alongamento(mm/mm)]]/$I$2</f>
        <v>4.2512000000000001E-2</v>
      </c>
      <c r="D282" s="1">
        <v>113.29</v>
      </c>
      <c r="E282" s="1">
        <f>Tabela11[[#This Row],[Força(N)]]/$I$5</f>
        <v>3611124.3923818637</v>
      </c>
      <c r="F282" s="1">
        <f>Tabela11[[#This Row],[Tensão(Pa)]]/1000000</f>
        <v>3.6111243923818637</v>
      </c>
    </row>
    <row r="283" spans="1:6" x14ac:dyDescent="0.3">
      <c r="A283" s="1">
        <v>25.65</v>
      </c>
      <c r="B283" s="1">
        <v>2.1297999999999999</v>
      </c>
      <c r="C283" s="1">
        <f>Tabela11[[#This Row],[Alongamento(mm/mm)]]/$I$2</f>
        <v>4.2595999999999995E-2</v>
      </c>
      <c r="D283" s="1">
        <v>113.97</v>
      </c>
      <c r="E283" s="1">
        <f>Tabela11[[#This Row],[Força(N)]]/$I$5</f>
        <v>3632799.4262491036</v>
      </c>
      <c r="F283" s="1">
        <f>Tabela11[[#This Row],[Tensão(Pa)]]/1000000</f>
        <v>3.6327994262491035</v>
      </c>
    </row>
    <row r="284" spans="1:6" x14ac:dyDescent="0.3">
      <c r="A284" s="1">
        <v>25.716999999999999</v>
      </c>
      <c r="B284" s="1">
        <v>2.1354000000000002</v>
      </c>
      <c r="C284" s="1">
        <f>Tabela11[[#This Row],[Alongamento(mm/mm)]]/$I$2</f>
        <v>4.2708000000000003E-2</v>
      </c>
      <c r="D284" s="1">
        <v>114.82</v>
      </c>
      <c r="E284" s="1">
        <f>Tabela11[[#This Row],[Força(N)]]/$I$5</f>
        <v>3659893.218583154</v>
      </c>
      <c r="F284" s="1">
        <f>Tabela11[[#This Row],[Tensão(Pa)]]/1000000</f>
        <v>3.6598932185831541</v>
      </c>
    </row>
    <row r="285" spans="1:6" x14ac:dyDescent="0.3">
      <c r="A285" s="1">
        <v>25.766999999999999</v>
      </c>
      <c r="B285" s="1">
        <v>2.1395</v>
      </c>
      <c r="C285" s="1">
        <f>Tabela11[[#This Row],[Alongamento(mm/mm)]]/$I$2</f>
        <v>4.2790000000000002E-2</v>
      </c>
      <c r="D285" s="1">
        <v>115.5</v>
      </c>
      <c r="E285" s="1">
        <f>Tabela11[[#This Row],[Força(N)]]/$I$5</f>
        <v>3681568.2524503944</v>
      </c>
      <c r="F285" s="1">
        <f>Tabela11[[#This Row],[Tensão(Pa)]]/1000000</f>
        <v>3.6815682524503943</v>
      </c>
    </row>
    <row r="286" spans="1:6" x14ac:dyDescent="0.3">
      <c r="A286" s="1">
        <v>25.817</v>
      </c>
      <c r="B286" s="1">
        <v>2.1436999999999999</v>
      </c>
      <c r="C286" s="1">
        <f>Tabela11[[#This Row],[Alongamento(mm/mm)]]/$I$2</f>
        <v>4.2873999999999995E-2</v>
      </c>
      <c r="D286" s="1">
        <v>116.18</v>
      </c>
      <c r="E286" s="1">
        <f>Tabela11[[#This Row],[Força(N)]]/$I$5</f>
        <v>3703243.2863176353</v>
      </c>
      <c r="F286" s="1">
        <f>Tabela11[[#This Row],[Tensão(Pa)]]/1000000</f>
        <v>3.7032432863176354</v>
      </c>
    </row>
    <row r="287" spans="1:6" x14ac:dyDescent="0.3">
      <c r="A287" s="1">
        <v>25.882999999999999</v>
      </c>
      <c r="B287" s="1">
        <v>2.1493000000000002</v>
      </c>
      <c r="C287" s="1">
        <f>Tabela11[[#This Row],[Alongamento(mm/mm)]]/$I$2</f>
        <v>4.2986000000000003E-2</v>
      </c>
      <c r="D287" s="1">
        <v>117.03</v>
      </c>
      <c r="E287" s="1">
        <f>Tabela11[[#This Row],[Força(N)]]/$I$5</f>
        <v>3730337.0786516857</v>
      </c>
      <c r="F287" s="1">
        <f>Tabela11[[#This Row],[Tensão(Pa)]]/1000000</f>
        <v>3.7303370786516856</v>
      </c>
    </row>
    <row r="288" spans="1:6" x14ac:dyDescent="0.3">
      <c r="A288" s="1">
        <v>25.933</v>
      </c>
      <c r="B288" s="1">
        <v>2.1535000000000002</v>
      </c>
      <c r="C288" s="1">
        <f>Tabela11[[#This Row],[Alongamento(mm/mm)]]/$I$2</f>
        <v>4.3070000000000004E-2</v>
      </c>
      <c r="D288" s="1">
        <v>117.71</v>
      </c>
      <c r="E288" s="1">
        <f>Tabela11[[#This Row],[Força(N)]]/$I$5</f>
        <v>3752012.1125189257</v>
      </c>
      <c r="F288" s="1">
        <f>Tabela11[[#This Row],[Tensão(Pa)]]/1000000</f>
        <v>3.7520121125189259</v>
      </c>
    </row>
    <row r="289" spans="1:6" x14ac:dyDescent="0.3">
      <c r="A289" s="1">
        <v>26</v>
      </c>
      <c r="B289" s="1">
        <v>2.1589</v>
      </c>
      <c r="C289" s="1">
        <f>Tabela11[[#This Row],[Alongamento(mm/mm)]]/$I$2</f>
        <v>4.3178000000000001E-2</v>
      </c>
      <c r="D289" s="1">
        <v>118.56</v>
      </c>
      <c r="E289" s="1">
        <f>Tabela11[[#This Row],[Força(N)]]/$I$5</f>
        <v>3779105.9048529766</v>
      </c>
      <c r="F289" s="1">
        <f>Tabela11[[#This Row],[Tensão(Pa)]]/1000000</f>
        <v>3.7791059048529765</v>
      </c>
    </row>
    <row r="290" spans="1:6" x14ac:dyDescent="0.3">
      <c r="A290" s="1">
        <v>26.05</v>
      </c>
      <c r="B290" s="1">
        <v>2.1631</v>
      </c>
      <c r="C290" s="1">
        <f>Tabela11[[#This Row],[Alongamento(mm/mm)]]/$I$2</f>
        <v>4.3262000000000002E-2</v>
      </c>
      <c r="D290" s="1">
        <v>119.24</v>
      </c>
      <c r="E290" s="1">
        <f>Tabela11[[#This Row],[Força(N)]]/$I$5</f>
        <v>3800780.938720217</v>
      </c>
      <c r="F290" s="1">
        <f>Tabela11[[#This Row],[Tensão(Pa)]]/1000000</f>
        <v>3.8007809387202172</v>
      </c>
    </row>
    <row r="291" spans="1:6" x14ac:dyDescent="0.3">
      <c r="A291" s="1">
        <v>26.1</v>
      </c>
      <c r="B291" s="1">
        <v>2.1673</v>
      </c>
      <c r="C291" s="1">
        <f>Tabela11[[#This Row],[Alongamento(mm/mm)]]/$I$2</f>
        <v>4.3346000000000003E-2</v>
      </c>
      <c r="D291" s="1">
        <v>119.92</v>
      </c>
      <c r="E291" s="1">
        <f>Tabela11[[#This Row],[Força(N)]]/$I$5</f>
        <v>3822455.9725874574</v>
      </c>
      <c r="F291" s="1">
        <f>Tabela11[[#This Row],[Tensão(Pa)]]/1000000</f>
        <v>3.8224559725874574</v>
      </c>
    </row>
    <row r="292" spans="1:6" x14ac:dyDescent="0.3">
      <c r="A292" s="1">
        <v>26.15</v>
      </c>
      <c r="B292" s="1">
        <v>2.1715</v>
      </c>
      <c r="C292" s="1">
        <f>Tabela11[[#This Row],[Alongamento(mm/mm)]]/$I$2</f>
        <v>4.3429999999999996E-2</v>
      </c>
      <c r="D292" s="1">
        <v>120.6</v>
      </c>
      <c r="E292" s="1">
        <f>Tabela11[[#This Row],[Força(N)]]/$I$5</f>
        <v>3844131.0064546978</v>
      </c>
      <c r="F292" s="1">
        <f>Tabela11[[#This Row],[Tensão(Pa)]]/1000000</f>
        <v>3.8441310064546976</v>
      </c>
    </row>
    <row r="293" spans="1:6" x14ac:dyDescent="0.3">
      <c r="A293" s="1">
        <v>26.2</v>
      </c>
      <c r="B293" s="1">
        <v>2.1757</v>
      </c>
      <c r="C293" s="1">
        <f>Tabela11[[#This Row],[Alongamento(mm/mm)]]/$I$2</f>
        <v>4.3513999999999997E-2</v>
      </c>
      <c r="D293" s="1">
        <v>121.28</v>
      </c>
      <c r="E293" s="1">
        <f>Tabela11[[#This Row],[Força(N)]]/$I$5</f>
        <v>3865806.0403219382</v>
      </c>
      <c r="F293" s="1">
        <f>Tabela11[[#This Row],[Tensão(Pa)]]/1000000</f>
        <v>3.8658060403219383</v>
      </c>
    </row>
    <row r="294" spans="1:6" x14ac:dyDescent="0.3">
      <c r="A294" s="1">
        <v>26.25</v>
      </c>
      <c r="B294" s="1">
        <v>2.1798000000000002</v>
      </c>
      <c r="C294" s="1">
        <f>Tabela11[[#This Row],[Alongamento(mm/mm)]]/$I$2</f>
        <v>4.3596000000000003E-2</v>
      </c>
      <c r="D294" s="1">
        <v>121.96</v>
      </c>
      <c r="E294" s="1">
        <f>Tabela11[[#This Row],[Força(N)]]/$I$5</f>
        <v>3887481.0741891786</v>
      </c>
      <c r="F294" s="1">
        <f>Tabela11[[#This Row],[Tensão(Pa)]]/1000000</f>
        <v>3.8874810741891785</v>
      </c>
    </row>
    <row r="295" spans="1:6" x14ac:dyDescent="0.3">
      <c r="A295" s="1">
        <v>26.3</v>
      </c>
      <c r="B295" s="1">
        <v>2.1839</v>
      </c>
      <c r="C295" s="1">
        <f>Tabela11[[#This Row],[Alongamento(mm/mm)]]/$I$2</f>
        <v>4.3678000000000002E-2</v>
      </c>
      <c r="D295" s="1">
        <v>122.64</v>
      </c>
      <c r="E295" s="1">
        <f>Tabela11[[#This Row],[Força(N)]]/$I$5</f>
        <v>3909156.1080564191</v>
      </c>
      <c r="F295" s="1">
        <f>Tabela11[[#This Row],[Tensão(Pa)]]/1000000</f>
        <v>3.9091561080564192</v>
      </c>
    </row>
    <row r="296" spans="1:6" x14ac:dyDescent="0.3">
      <c r="A296" s="1">
        <v>26.35</v>
      </c>
      <c r="B296" s="1">
        <v>2.1880999999999999</v>
      </c>
      <c r="C296" s="1">
        <f>Tabela11[[#This Row],[Alongamento(mm/mm)]]/$I$2</f>
        <v>4.3761999999999995E-2</v>
      </c>
      <c r="D296" s="1">
        <v>123.32</v>
      </c>
      <c r="E296" s="1">
        <f>Tabela11[[#This Row],[Força(N)]]/$I$5</f>
        <v>3930831.1419236595</v>
      </c>
      <c r="F296" s="1">
        <f>Tabela11[[#This Row],[Tensão(Pa)]]/1000000</f>
        <v>3.9308311419236595</v>
      </c>
    </row>
    <row r="297" spans="1:6" x14ac:dyDescent="0.3">
      <c r="A297" s="1">
        <v>26.4</v>
      </c>
      <c r="B297" s="1">
        <v>2.1924000000000001</v>
      </c>
      <c r="C297" s="1">
        <f>Tabela11[[#This Row],[Alongamento(mm/mm)]]/$I$2</f>
        <v>4.3848000000000005E-2</v>
      </c>
      <c r="D297" s="1">
        <v>124</v>
      </c>
      <c r="E297" s="1">
        <f>Tabela11[[#This Row],[Força(N)]]/$I$5</f>
        <v>3952506.1757908999</v>
      </c>
      <c r="F297" s="1">
        <f>Tabela11[[#This Row],[Tensão(Pa)]]/1000000</f>
        <v>3.9525061757908997</v>
      </c>
    </row>
    <row r="298" spans="1:6" x14ac:dyDescent="0.3">
      <c r="A298" s="1">
        <v>26.45</v>
      </c>
      <c r="B298" s="1">
        <v>2.1964999999999999</v>
      </c>
      <c r="C298" s="1">
        <f>Tabela11[[#This Row],[Alongamento(mm/mm)]]/$I$2</f>
        <v>4.3929999999999997E-2</v>
      </c>
      <c r="D298" s="1">
        <v>124.68</v>
      </c>
      <c r="E298" s="1">
        <f>Tabela11[[#This Row],[Força(N)]]/$I$5</f>
        <v>3974181.2096581403</v>
      </c>
      <c r="F298" s="1">
        <f>Tabela11[[#This Row],[Tensão(Pa)]]/1000000</f>
        <v>3.9741812096581404</v>
      </c>
    </row>
    <row r="299" spans="1:6" x14ac:dyDescent="0.3">
      <c r="A299" s="1">
        <v>26.5</v>
      </c>
      <c r="B299" s="1">
        <v>2.2006999999999999</v>
      </c>
      <c r="C299" s="1">
        <f>Tabela11[[#This Row],[Alongamento(mm/mm)]]/$I$2</f>
        <v>4.4013999999999998E-2</v>
      </c>
      <c r="D299" s="1">
        <v>125.36</v>
      </c>
      <c r="E299" s="1">
        <f>Tabela11[[#This Row],[Força(N)]]/$I$5</f>
        <v>3995856.2435253807</v>
      </c>
      <c r="F299" s="1">
        <f>Tabela11[[#This Row],[Tensão(Pa)]]/1000000</f>
        <v>3.9958562435253806</v>
      </c>
    </row>
    <row r="300" spans="1:6" x14ac:dyDescent="0.3">
      <c r="A300" s="1">
        <v>26.55</v>
      </c>
      <c r="B300" s="1">
        <v>2.2048000000000001</v>
      </c>
      <c r="C300" s="1">
        <f>Tabela11[[#This Row],[Alongamento(mm/mm)]]/$I$2</f>
        <v>4.4096000000000003E-2</v>
      </c>
      <c r="D300" s="1">
        <v>126.04</v>
      </c>
      <c r="E300" s="1">
        <f>Tabela11[[#This Row],[Força(N)]]/$I$5</f>
        <v>4017531.2773926212</v>
      </c>
      <c r="F300" s="1">
        <f>Tabela11[[#This Row],[Tensão(Pa)]]/1000000</f>
        <v>4.0175312773926208</v>
      </c>
    </row>
    <row r="301" spans="1:6" x14ac:dyDescent="0.3">
      <c r="A301" s="1">
        <v>26.6</v>
      </c>
      <c r="B301" s="1">
        <v>2.2088999999999999</v>
      </c>
      <c r="C301" s="1">
        <f>Tabela11[[#This Row],[Alongamento(mm/mm)]]/$I$2</f>
        <v>4.4177999999999995E-2</v>
      </c>
      <c r="D301" s="1">
        <v>126.72</v>
      </c>
      <c r="E301" s="1">
        <f>Tabela11[[#This Row],[Força(N)]]/$I$5</f>
        <v>4039206.3112598616</v>
      </c>
      <c r="F301" s="1">
        <f>Tabela11[[#This Row],[Tensão(Pa)]]/1000000</f>
        <v>4.0392063112598615</v>
      </c>
    </row>
    <row r="302" spans="1:6" x14ac:dyDescent="0.3">
      <c r="A302" s="1">
        <v>26.65</v>
      </c>
      <c r="B302" s="1">
        <v>2.2130999999999998</v>
      </c>
      <c r="C302" s="1">
        <f>Tabela11[[#This Row],[Alongamento(mm/mm)]]/$I$2</f>
        <v>4.4261999999999996E-2</v>
      </c>
      <c r="D302" s="1">
        <v>127.4</v>
      </c>
      <c r="E302" s="1">
        <f>Tabela11[[#This Row],[Força(N)]]/$I$5</f>
        <v>4060881.345127102</v>
      </c>
      <c r="F302" s="1">
        <f>Tabela11[[#This Row],[Tensão(Pa)]]/1000000</f>
        <v>4.0608813451271022</v>
      </c>
    </row>
    <row r="303" spans="1:6" x14ac:dyDescent="0.3">
      <c r="A303" s="1">
        <v>26.7</v>
      </c>
      <c r="B303" s="1">
        <v>2.2172999999999998</v>
      </c>
      <c r="C303" s="1">
        <f>Tabela11[[#This Row],[Alongamento(mm/mm)]]/$I$2</f>
        <v>4.4345999999999997E-2</v>
      </c>
      <c r="D303" s="1">
        <v>128.08000000000001</v>
      </c>
      <c r="E303" s="1">
        <f>Tabela11[[#This Row],[Força(N)]]/$I$5</f>
        <v>4082556.3789943429</v>
      </c>
      <c r="F303" s="1">
        <f>Tabela11[[#This Row],[Tensão(Pa)]]/1000000</f>
        <v>4.0825563789943429</v>
      </c>
    </row>
    <row r="304" spans="1:6" x14ac:dyDescent="0.3">
      <c r="A304" s="1">
        <v>26.75</v>
      </c>
      <c r="B304" s="1">
        <v>2.2214999999999998</v>
      </c>
      <c r="C304" s="1">
        <f>Tabela11[[#This Row],[Alongamento(mm/mm)]]/$I$2</f>
        <v>4.4429999999999997E-2</v>
      </c>
      <c r="D304" s="1">
        <v>128.76</v>
      </c>
      <c r="E304" s="1">
        <f>Tabela11[[#This Row],[Força(N)]]/$I$5</f>
        <v>4104231.4128615824</v>
      </c>
      <c r="F304" s="1">
        <f>Tabela11[[#This Row],[Tensão(Pa)]]/1000000</f>
        <v>4.1042314128615827</v>
      </c>
    </row>
    <row r="305" spans="1:6" x14ac:dyDescent="0.3">
      <c r="A305" s="1">
        <v>26.8</v>
      </c>
      <c r="B305" s="1">
        <v>2.2256</v>
      </c>
      <c r="C305" s="1">
        <f>Tabela11[[#This Row],[Alongamento(mm/mm)]]/$I$2</f>
        <v>4.4512000000000003E-2</v>
      </c>
      <c r="D305" s="1">
        <v>129.44999999999999</v>
      </c>
      <c r="E305" s="1">
        <f>Tabela11[[#This Row],[Força(N)]]/$I$5</f>
        <v>4126225.1972268703</v>
      </c>
      <c r="F305" s="1">
        <f>Tabela11[[#This Row],[Tensão(Pa)]]/1000000</f>
        <v>4.1262251972268702</v>
      </c>
    </row>
    <row r="306" spans="1:6" x14ac:dyDescent="0.3">
      <c r="A306" s="1">
        <v>26.85</v>
      </c>
      <c r="B306" s="1">
        <v>2.2298</v>
      </c>
      <c r="C306" s="1">
        <f>Tabela11[[#This Row],[Alongamento(mm/mm)]]/$I$2</f>
        <v>4.4595999999999997E-2</v>
      </c>
      <c r="D306" s="1">
        <v>130.13</v>
      </c>
      <c r="E306" s="1">
        <f>Tabela11[[#This Row],[Força(N)]]/$I$5</f>
        <v>4147900.2310941112</v>
      </c>
      <c r="F306" s="1">
        <f>Tabela11[[#This Row],[Tensão(Pa)]]/1000000</f>
        <v>4.1479002310941109</v>
      </c>
    </row>
    <row r="307" spans="1:6" x14ac:dyDescent="0.3">
      <c r="A307" s="1">
        <v>26.9</v>
      </c>
      <c r="B307" s="1">
        <v>2.234</v>
      </c>
      <c r="C307" s="1">
        <f>Tabela11[[#This Row],[Alongamento(mm/mm)]]/$I$2</f>
        <v>4.4679999999999997E-2</v>
      </c>
      <c r="D307" s="1">
        <v>130.81</v>
      </c>
      <c r="E307" s="1">
        <f>Tabela11[[#This Row],[Força(N)]]/$I$5</f>
        <v>4169575.2649613516</v>
      </c>
      <c r="F307" s="1">
        <f>Tabela11[[#This Row],[Tensão(Pa)]]/1000000</f>
        <v>4.1695752649613516</v>
      </c>
    </row>
    <row r="308" spans="1:6" x14ac:dyDescent="0.3">
      <c r="A308" s="1">
        <v>26.966999999999999</v>
      </c>
      <c r="B308" s="1">
        <v>2.2395</v>
      </c>
      <c r="C308" s="1">
        <f>Tabela11[[#This Row],[Alongamento(mm/mm)]]/$I$2</f>
        <v>4.4790000000000003E-2</v>
      </c>
      <c r="D308" s="1">
        <v>131.83000000000001</v>
      </c>
      <c r="E308" s="1">
        <f>Tabela11[[#This Row],[Força(N)]]/$I$5</f>
        <v>4202087.8157622125</v>
      </c>
      <c r="F308" s="1">
        <f>Tabela11[[#This Row],[Tensão(Pa)]]/1000000</f>
        <v>4.2020878157622121</v>
      </c>
    </row>
    <row r="309" spans="1:6" x14ac:dyDescent="0.3">
      <c r="A309" s="1">
        <v>27.033000000000001</v>
      </c>
      <c r="B309" s="1">
        <v>2.2450999999999999</v>
      </c>
      <c r="C309" s="1">
        <f>Tabela11[[#This Row],[Alongamento(mm/mm)]]/$I$2</f>
        <v>4.4901999999999997E-2</v>
      </c>
      <c r="D309" s="1">
        <v>132.85</v>
      </c>
      <c r="E309" s="1">
        <f>Tabela11[[#This Row],[Força(N)]]/$I$5</f>
        <v>4234600.3665630724</v>
      </c>
      <c r="F309" s="1">
        <f>Tabela11[[#This Row],[Tensão(Pa)]]/1000000</f>
        <v>4.2346003665630727</v>
      </c>
    </row>
    <row r="310" spans="1:6" x14ac:dyDescent="0.3">
      <c r="A310" s="1">
        <v>27.1</v>
      </c>
      <c r="B310" s="1">
        <v>2.2505999999999999</v>
      </c>
      <c r="C310" s="1">
        <f>Tabela11[[#This Row],[Alongamento(mm/mm)]]/$I$2</f>
        <v>4.5011999999999996E-2</v>
      </c>
      <c r="D310" s="1">
        <v>133.87</v>
      </c>
      <c r="E310" s="1">
        <f>Tabela11[[#This Row],[Força(N)]]/$I$5</f>
        <v>4267112.9173639342</v>
      </c>
      <c r="F310" s="1">
        <f>Tabela11[[#This Row],[Tensão(Pa)]]/1000000</f>
        <v>4.2671129173639342</v>
      </c>
    </row>
    <row r="311" spans="1:6" x14ac:dyDescent="0.3">
      <c r="A311" s="1">
        <v>27.167000000000002</v>
      </c>
      <c r="B311" s="1">
        <v>2.2562000000000002</v>
      </c>
      <c r="C311" s="1">
        <f>Tabela11[[#This Row],[Alongamento(mm/mm)]]/$I$2</f>
        <v>4.5124000000000004E-2</v>
      </c>
      <c r="D311" s="1">
        <v>134.88999999999999</v>
      </c>
      <c r="E311" s="1">
        <f>Tabela11[[#This Row],[Força(N)]]/$I$5</f>
        <v>4299625.4681647941</v>
      </c>
      <c r="F311" s="1">
        <f>Tabela11[[#This Row],[Tensão(Pa)]]/1000000</f>
        <v>4.2996254681647939</v>
      </c>
    </row>
    <row r="312" spans="1:6" x14ac:dyDescent="0.3">
      <c r="A312" s="1">
        <v>27.233000000000001</v>
      </c>
      <c r="B312" s="1">
        <v>2.2616999999999998</v>
      </c>
      <c r="C312" s="1">
        <f>Tabela11[[#This Row],[Alongamento(mm/mm)]]/$I$2</f>
        <v>4.5233999999999996E-2</v>
      </c>
      <c r="D312" s="1">
        <v>135.91</v>
      </c>
      <c r="E312" s="1">
        <f>Tabela11[[#This Row],[Força(N)]]/$I$5</f>
        <v>4332138.018965655</v>
      </c>
      <c r="F312" s="1">
        <f>Tabela11[[#This Row],[Tensão(Pa)]]/1000000</f>
        <v>4.3321380189656553</v>
      </c>
    </row>
    <row r="313" spans="1:6" x14ac:dyDescent="0.3">
      <c r="A313" s="1">
        <v>27.3</v>
      </c>
      <c r="B313" s="1">
        <v>2.2673000000000001</v>
      </c>
      <c r="C313" s="1">
        <f>Tabela11[[#This Row],[Alongamento(mm/mm)]]/$I$2</f>
        <v>4.5346000000000004E-2</v>
      </c>
      <c r="D313" s="1">
        <v>137.1</v>
      </c>
      <c r="E313" s="1">
        <f>Tabela11[[#This Row],[Força(N)]]/$I$5</f>
        <v>4370069.3282333259</v>
      </c>
      <c r="F313" s="1">
        <f>Tabela11[[#This Row],[Tensão(Pa)]]/1000000</f>
        <v>4.3700693282333258</v>
      </c>
    </row>
    <row r="314" spans="1:6" x14ac:dyDescent="0.3">
      <c r="A314" s="1">
        <v>27.367000000000001</v>
      </c>
      <c r="B314" s="1">
        <v>2.2728000000000002</v>
      </c>
      <c r="C314" s="1">
        <f>Tabela11[[#This Row],[Alongamento(mm/mm)]]/$I$2</f>
        <v>4.5456000000000003E-2</v>
      </c>
      <c r="D314" s="1">
        <v>138.12</v>
      </c>
      <c r="E314" s="1">
        <f>Tabela11[[#This Row],[Força(N)]]/$I$5</f>
        <v>4402581.8790341867</v>
      </c>
      <c r="F314" s="1">
        <f>Tabela11[[#This Row],[Tensão(Pa)]]/1000000</f>
        <v>4.4025818790341864</v>
      </c>
    </row>
    <row r="315" spans="1:6" x14ac:dyDescent="0.3">
      <c r="A315" s="1">
        <v>27.433</v>
      </c>
      <c r="B315" s="1">
        <v>2.2784</v>
      </c>
      <c r="C315" s="1">
        <f>Tabela11[[#This Row],[Alongamento(mm/mm)]]/$I$2</f>
        <v>4.5567999999999997E-2</v>
      </c>
      <c r="D315" s="1">
        <v>139.13999999999999</v>
      </c>
      <c r="E315" s="1">
        <f>Tabela11[[#This Row],[Força(N)]]/$I$5</f>
        <v>4435094.4298350466</v>
      </c>
      <c r="F315" s="1">
        <f>Tabela11[[#This Row],[Tensão(Pa)]]/1000000</f>
        <v>4.435094429835047</v>
      </c>
    </row>
    <row r="316" spans="1:6" x14ac:dyDescent="0.3">
      <c r="A316" s="1">
        <v>27.5</v>
      </c>
      <c r="B316" s="1">
        <v>2.2839</v>
      </c>
      <c r="C316" s="1">
        <f>Tabela11[[#This Row],[Alongamento(mm/mm)]]/$I$2</f>
        <v>4.5678000000000003E-2</v>
      </c>
      <c r="D316" s="1">
        <v>140.33000000000001</v>
      </c>
      <c r="E316" s="1">
        <f>Tabela11[[#This Row],[Força(N)]]/$I$5</f>
        <v>4473025.7391027184</v>
      </c>
      <c r="F316" s="1">
        <f>Tabela11[[#This Row],[Tensão(Pa)]]/1000000</f>
        <v>4.4730257391027184</v>
      </c>
    </row>
    <row r="317" spans="1:6" x14ac:dyDescent="0.3">
      <c r="A317" s="1">
        <v>27.567</v>
      </c>
      <c r="B317" s="1">
        <v>2.2894999999999999</v>
      </c>
      <c r="C317" s="1">
        <f>Tabela11[[#This Row],[Alongamento(mm/mm)]]/$I$2</f>
        <v>4.5789999999999997E-2</v>
      </c>
      <c r="D317" s="1">
        <v>141.35</v>
      </c>
      <c r="E317" s="1">
        <f>Tabela11[[#This Row],[Força(N)]]/$I$5</f>
        <v>4505538.2899035783</v>
      </c>
      <c r="F317" s="1">
        <f>Tabela11[[#This Row],[Tensão(Pa)]]/1000000</f>
        <v>4.5055382899035781</v>
      </c>
    </row>
    <row r="318" spans="1:6" x14ac:dyDescent="0.3">
      <c r="A318" s="1">
        <v>27.632999999999999</v>
      </c>
      <c r="B318" s="1">
        <v>2.2951000000000001</v>
      </c>
      <c r="C318" s="1">
        <f>Tabela11[[#This Row],[Alongamento(mm/mm)]]/$I$2</f>
        <v>4.5902000000000005E-2</v>
      </c>
      <c r="D318" s="1">
        <v>142.54</v>
      </c>
      <c r="E318" s="1">
        <f>Tabela11[[#This Row],[Força(N)]]/$I$5</f>
        <v>4543469.5991712483</v>
      </c>
      <c r="F318" s="1">
        <f>Tabela11[[#This Row],[Tensão(Pa)]]/1000000</f>
        <v>4.5434695991712486</v>
      </c>
    </row>
    <row r="319" spans="1:6" x14ac:dyDescent="0.3">
      <c r="A319" s="1">
        <v>27.7</v>
      </c>
      <c r="B319" s="1">
        <v>2.3007</v>
      </c>
      <c r="C319" s="1">
        <f>Tabela11[[#This Row],[Alongamento(mm/mm)]]/$I$2</f>
        <v>4.6013999999999999E-2</v>
      </c>
      <c r="D319" s="1">
        <v>143.72999999999999</v>
      </c>
      <c r="E319" s="1">
        <f>Tabela11[[#This Row],[Força(N)]]/$I$5</f>
        <v>4581400.9084389191</v>
      </c>
      <c r="F319" s="1">
        <f>Tabela11[[#This Row],[Tensão(Pa)]]/1000000</f>
        <v>4.5814009084389191</v>
      </c>
    </row>
    <row r="320" spans="1:6" x14ac:dyDescent="0.3">
      <c r="A320" s="1">
        <v>27.766999999999999</v>
      </c>
      <c r="B320" s="1">
        <v>2.3062</v>
      </c>
      <c r="C320" s="1">
        <f>Tabela11[[#This Row],[Alongamento(mm/mm)]]/$I$2</f>
        <v>4.6123999999999998E-2</v>
      </c>
      <c r="D320" s="1">
        <v>144.75</v>
      </c>
      <c r="E320" s="1">
        <f>Tabela11[[#This Row],[Força(N)]]/$I$5</f>
        <v>4613913.45923978</v>
      </c>
      <c r="F320" s="1">
        <f>Tabela11[[#This Row],[Tensão(Pa)]]/1000000</f>
        <v>4.6139134592397797</v>
      </c>
    </row>
    <row r="321" spans="1:6" x14ac:dyDescent="0.3">
      <c r="A321" s="1">
        <v>27.817</v>
      </c>
      <c r="B321" s="1">
        <v>2.3104</v>
      </c>
      <c r="C321" s="1">
        <f>Tabela11[[#This Row],[Alongamento(mm/mm)]]/$I$2</f>
        <v>4.6207999999999999E-2</v>
      </c>
      <c r="D321" s="1">
        <v>145.77000000000001</v>
      </c>
      <c r="E321" s="1">
        <f>Tabela11[[#This Row],[Força(N)]]/$I$5</f>
        <v>4646426.0100406408</v>
      </c>
      <c r="F321" s="1">
        <f>Tabela11[[#This Row],[Tensão(Pa)]]/1000000</f>
        <v>4.6464260100406412</v>
      </c>
    </row>
    <row r="322" spans="1:6" x14ac:dyDescent="0.3">
      <c r="A322" s="1">
        <v>27.882999999999999</v>
      </c>
      <c r="B322" s="1">
        <v>2.3159000000000001</v>
      </c>
      <c r="C322" s="1">
        <f>Tabela11[[#This Row],[Alongamento(mm/mm)]]/$I$2</f>
        <v>4.6317999999999998E-2</v>
      </c>
      <c r="D322" s="1">
        <v>146.97</v>
      </c>
      <c r="E322" s="1">
        <f>Tabela11[[#This Row],[Força(N)]]/$I$5</f>
        <v>4684676.0698063597</v>
      </c>
      <c r="F322" s="1">
        <f>Tabela11[[#This Row],[Tensão(Pa)]]/1000000</f>
        <v>4.6846760698063594</v>
      </c>
    </row>
    <row r="323" spans="1:6" x14ac:dyDescent="0.3">
      <c r="A323" s="1">
        <v>27.95</v>
      </c>
      <c r="B323" s="1">
        <v>2.3214999999999999</v>
      </c>
      <c r="C323" s="1">
        <f>Tabela11[[#This Row],[Alongamento(mm/mm)]]/$I$2</f>
        <v>4.6429999999999999E-2</v>
      </c>
      <c r="D323" s="1">
        <v>148.16</v>
      </c>
      <c r="E323" s="1">
        <f>Tabela11[[#This Row],[Força(N)]]/$I$5</f>
        <v>4722607.3790740296</v>
      </c>
      <c r="F323" s="1">
        <f>Tabela11[[#This Row],[Tensão(Pa)]]/1000000</f>
        <v>4.7226073790740299</v>
      </c>
    </row>
    <row r="324" spans="1:6" x14ac:dyDescent="0.3">
      <c r="A324" s="1">
        <v>28.016999999999999</v>
      </c>
      <c r="B324" s="1">
        <v>2.327</v>
      </c>
      <c r="C324" s="1">
        <f>Tabela11[[#This Row],[Alongamento(mm/mm)]]/$I$2</f>
        <v>4.6539999999999998E-2</v>
      </c>
      <c r="D324" s="1">
        <v>149.18</v>
      </c>
      <c r="E324" s="1">
        <f>Tabela11[[#This Row],[Força(N)]]/$I$5</f>
        <v>4755119.9298748905</v>
      </c>
      <c r="F324" s="1">
        <f>Tabela11[[#This Row],[Tensão(Pa)]]/1000000</f>
        <v>4.7551199298748905</v>
      </c>
    </row>
    <row r="325" spans="1:6" x14ac:dyDescent="0.3">
      <c r="A325" s="1">
        <v>28.067</v>
      </c>
      <c r="B325" s="1">
        <v>2.3311999999999999</v>
      </c>
      <c r="C325" s="1">
        <f>Tabela11[[#This Row],[Alongamento(mm/mm)]]/$I$2</f>
        <v>4.6623999999999999E-2</v>
      </c>
      <c r="D325" s="1">
        <v>150.19999999999999</v>
      </c>
      <c r="E325" s="1">
        <f>Tabela11[[#This Row],[Força(N)]]/$I$5</f>
        <v>4787632.4806757513</v>
      </c>
      <c r="F325" s="1">
        <f>Tabela11[[#This Row],[Tensão(Pa)]]/1000000</f>
        <v>4.7876324806757511</v>
      </c>
    </row>
    <row r="326" spans="1:6" x14ac:dyDescent="0.3">
      <c r="A326" s="1">
        <v>28.132999999999999</v>
      </c>
      <c r="B326" s="1">
        <v>2.3368000000000002</v>
      </c>
      <c r="C326" s="1">
        <f>Tabela11[[#This Row],[Alongamento(mm/mm)]]/$I$2</f>
        <v>4.6736000000000007E-2</v>
      </c>
      <c r="D326" s="1">
        <v>151.38999999999999</v>
      </c>
      <c r="E326" s="1">
        <f>Tabela11[[#This Row],[Força(N)]]/$I$5</f>
        <v>4825563.7899434213</v>
      </c>
      <c r="F326" s="1">
        <f>Tabela11[[#This Row],[Tensão(Pa)]]/1000000</f>
        <v>4.8255637899434216</v>
      </c>
    </row>
    <row r="327" spans="1:6" x14ac:dyDescent="0.3">
      <c r="A327" s="1">
        <v>28.2</v>
      </c>
      <c r="B327" s="1">
        <v>2.3424</v>
      </c>
      <c r="C327" s="1">
        <f>Tabela11[[#This Row],[Alongamento(mm/mm)]]/$I$2</f>
        <v>4.6848000000000001E-2</v>
      </c>
      <c r="D327" s="1">
        <v>152.58000000000001</v>
      </c>
      <c r="E327" s="1">
        <f>Tabela11[[#This Row],[Força(N)]]/$I$5</f>
        <v>4863495.099211093</v>
      </c>
      <c r="F327" s="1">
        <f>Tabela11[[#This Row],[Tensão(Pa)]]/1000000</f>
        <v>4.863495099211093</v>
      </c>
    </row>
    <row r="328" spans="1:6" x14ac:dyDescent="0.3">
      <c r="A328" s="1">
        <v>28.266999999999999</v>
      </c>
      <c r="B328" s="1">
        <v>2.3479000000000001</v>
      </c>
      <c r="C328" s="1">
        <f>Tabela11[[#This Row],[Alongamento(mm/mm)]]/$I$2</f>
        <v>4.6958E-2</v>
      </c>
      <c r="D328" s="1">
        <v>153.77000000000001</v>
      </c>
      <c r="E328" s="1">
        <f>Tabela11[[#This Row],[Força(N)]]/$I$5</f>
        <v>4901426.4084787639</v>
      </c>
      <c r="F328" s="1">
        <f>Tabela11[[#This Row],[Tensão(Pa)]]/1000000</f>
        <v>4.9014264084787635</v>
      </c>
    </row>
    <row r="329" spans="1:6" x14ac:dyDescent="0.3">
      <c r="A329" s="1">
        <v>28.317</v>
      </c>
      <c r="B329" s="1">
        <v>2.3519999999999999</v>
      </c>
      <c r="C329" s="1">
        <f>Tabela11[[#This Row],[Alongamento(mm/mm)]]/$I$2</f>
        <v>4.7039999999999998E-2</v>
      </c>
      <c r="D329" s="1">
        <v>154.79</v>
      </c>
      <c r="E329" s="1">
        <f>Tabela11[[#This Row],[Força(N)]]/$I$5</f>
        <v>4933938.9592796238</v>
      </c>
      <c r="F329" s="1">
        <f>Tabela11[[#This Row],[Tensão(Pa)]]/1000000</f>
        <v>4.9339389592796241</v>
      </c>
    </row>
    <row r="330" spans="1:6" x14ac:dyDescent="0.3">
      <c r="A330" s="1">
        <v>28.382999999999999</v>
      </c>
      <c r="B330" s="1">
        <v>2.3576000000000001</v>
      </c>
      <c r="C330" s="1">
        <f>Tabela11[[#This Row],[Alongamento(mm/mm)]]/$I$2</f>
        <v>4.7151999999999999E-2</v>
      </c>
      <c r="D330" s="1">
        <v>155.97999999999999</v>
      </c>
      <c r="E330" s="1">
        <f>Tabela11[[#This Row],[Força(N)]]/$I$5</f>
        <v>4971870.2685472947</v>
      </c>
      <c r="F330" s="1">
        <f>Tabela11[[#This Row],[Tensão(Pa)]]/1000000</f>
        <v>4.9718702685472946</v>
      </c>
    </row>
    <row r="331" spans="1:6" x14ac:dyDescent="0.3">
      <c r="A331" s="1">
        <v>28.45</v>
      </c>
      <c r="B331" s="1">
        <v>2.3632</v>
      </c>
      <c r="C331" s="1">
        <f>Tabela11[[#This Row],[Alongamento(mm/mm)]]/$I$2</f>
        <v>4.7264E-2</v>
      </c>
      <c r="D331" s="1">
        <v>157.16999999999999</v>
      </c>
      <c r="E331" s="1">
        <f>Tabela11[[#This Row],[Força(N)]]/$I$5</f>
        <v>5009801.5778149655</v>
      </c>
      <c r="F331" s="1">
        <f>Tabela11[[#This Row],[Tensão(Pa)]]/1000000</f>
        <v>5.0098015778149652</v>
      </c>
    </row>
    <row r="332" spans="1:6" x14ac:dyDescent="0.3">
      <c r="A332" s="1">
        <v>28.516999999999999</v>
      </c>
      <c r="B332" s="1">
        <v>2.3687</v>
      </c>
      <c r="C332" s="1">
        <f>Tabela11[[#This Row],[Alongamento(mm/mm)]]/$I$2</f>
        <v>4.7373999999999999E-2</v>
      </c>
      <c r="D332" s="1">
        <v>158.36000000000001</v>
      </c>
      <c r="E332" s="1">
        <f>Tabela11[[#This Row],[Força(N)]]/$I$5</f>
        <v>5047732.8870826364</v>
      </c>
      <c r="F332" s="1">
        <f>Tabela11[[#This Row],[Tensão(Pa)]]/1000000</f>
        <v>5.0477328870826366</v>
      </c>
    </row>
    <row r="333" spans="1:6" x14ac:dyDescent="0.3">
      <c r="A333" s="1">
        <v>28.582999999999998</v>
      </c>
      <c r="B333" s="1">
        <v>2.3742000000000001</v>
      </c>
      <c r="C333" s="1">
        <f>Tabela11[[#This Row],[Alongamento(mm/mm)]]/$I$2</f>
        <v>4.7483999999999998E-2</v>
      </c>
      <c r="D333" s="1">
        <v>159.55000000000001</v>
      </c>
      <c r="E333" s="1">
        <f>Tabela11[[#This Row],[Força(N)]]/$I$5</f>
        <v>5085664.1963503072</v>
      </c>
      <c r="F333" s="1">
        <f>Tabela11[[#This Row],[Tensão(Pa)]]/1000000</f>
        <v>5.0856641963503071</v>
      </c>
    </row>
    <row r="334" spans="1:6" x14ac:dyDescent="0.3">
      <c r="A334" s="1">
        <v>28.65</v>
      </c>
      <c r="B334" s="1">
        <v>2.3797999999999999</v>
      </c>
      <c r="C334" s="1">
        <f>Tabela11[[#This Row],[Alongamento(mm/mm)]]/$I$2</f>
        <v>4.7595999999999999E-2</v>
      </c>
      <c r="D334" s="1">
        <v>160.74</v>
      </c>
      <c r="E334" s="1">
        <f>Tabela11[[#This Row],[Força(N)]]/$I$5</f>
        <v>5123595.5056179781</v>
      </c>
      <c r="F334" s="1">
        <f>Tabela11[[#This Row],[Tensão(Pa)]]/1000000</f>
        <v>5.1235955056179776</v>
      </c>
    </row>
    <row r="335" spans="1:6" x14ac:dyDescent="0.3">
      <c r="A335" s="1">
        <v>28.716999999999999</v>
      </c>
      <c r="B335" s="1">
        <v>2.3854000000000002</v>
      </c>
      <c r="C335" s="1">
        <f>Tabela11[[#This Row],[Alongamento(mm/mm)]]/$I$2</f>
        <v>4.7708E-2</v>
      </c>
      <c r="D335" s="1">
        <v>161.93</v>
      </c>
      <c r="E335" s="1">
        <f>Tabela11[[#This Row],[Força(N)]]/$I$5</f>
        <v>5161526.8148856489</v>
      </c>
      <c r="F335" s="1">
        <f>Tabela11[[#This Row],[Tensão(Pa)]]/1000000</f>
        <v>5.161526814885649</v>
      </c>
    </row>
    <row r="336" spans="1:6" x14ac:dyDescent="0.3">
      <c r="A336" s="1">
        <v>28.783000000000001</v>
      </c>
      <c r="B336" s="1">
        <v>2.3908</v>
      </c>
      <c r="C336" s="1">
        <f>Tabela11[[#This Row],[Alongamento(mm/mm)]]/$I$2</f>
        <v>4.7815999999999997E-2</v>
      </c>
      <c r="D336" s="1">
        <v>163.12</v>
      </c>
      <c r="E336" s="1">
        <f>Tabela11[[#This Row],[Força(N)]]/$I$5</f>
        <v>5199458.1241533197</v>
      </c>
      <c r="F336" s="1">
        <f>Tabela11[[#This Row],[Tensão(Pa)]]/1000000</f>
        <v>5.1994581241533195</v>
      </c>
    </row>
    <row r="337" spans="1:6" x14ac:dyDescent="0.3">
      <c r="A337" s="1">
        <v>28.85</v>
      </c>
      <c r="B337" s="1">
        <v>2.3963999999999999</v>
      </c>
      <c r="C337" s="1">
        <f>Tabela11[[#This Row],[Alongamento(mm/mm)]]/$I$2</f>
        <v>4.7927999999999998E-2</v>
      </c>
      <c r="D337" s="1">
        <v>164.32</v>
      </c>
      <c r="E337" s="1">
        <f>Tabela11[[#This Row],[Força(N)]]/$I$5</f>
        <v>5237708.1839190377</v>
      </c>
      <c r="F337" s="1">
        <f>Tabela11[[#This Row],[Tensão(Pa)]]/1000000</f>
        <v>5.2377081839190378</v>
      </c>
    </row>
    <row r="338" spans="1:6" x14ac:dyDescent="0.3">
      <c r="A338" s="1">
        <v>28.917000000000002</v>
      </c>
      <c r="B338" s="1">
        <v>2.4020000000000001</v>
      </c>
      <c r="C338" s="1">
        <f>Tabela11[[#This Row],[Alongamento(mm/mm)]]/$I$2</f>
        <v>4.8039999999999999E-2</v>
      </c>
      <c r="D338" s="1">
        <v>165.34</v>
      </c>
      <c r="E338" s="1">
        <f>Tabela11[[#This Row],[Força(N)]]/$I$5</f>
        <v>5270220.7347198986</v>
      </c>
      <c r="F338" s="1">
        <f>Tabela11[[#This Row],[Tensão(Pa)]]/1000000</f>
        <v>5.2702207347198984</v>
      </c>
    </row>
    <row r="339" spans="1:6" x14ac:dyDescent="0.3">
      <c r="A339" s="1">
        <v>28.966999999999999</v>
      </c>
      <c r="B339" s="1">
        <v>2.4060999999999999</v>
      </c>
      <c r="C339" s="1">
        <f>Tabela11[[#This Row],[Alongamento(mm/mm)]]/$I$2</f>
        <v>4.8121999999999998E-2</v>
      </c>
      <c r="D339" s="1">
        <v>166.36</v>
      </c>
      <c r="E339" s="1">
        <f>Tabela11[[#This Row],[Força(N)]]/$I$5</f>
        <v>5302733.2855207594</v>
      </c>
      <c r="F339" s="1">
        <f>Tabela11[[#This Row],[Tensão(Pa)]]/1000000</f>
        <v>5.3027332855207598</v>
      </c>
    </row>
    <row r="340" spans="1:6" x14ac:dyDescent="0.3">
      <c r="A340" s="1">
        <v>29.033000000000001</v>
      </c>
      <c r="B340" s="1">
        <v>2.4117000000000002</v>
      </c>
      <c r="C340" s="1">
        <f>Tabela11[[#This Row],[Alongamento(mm/mm)]]/$I$2</f>
        <v>4.8234000000000006E-2</v>
      </c>
      <c r="D340" s="1">
        <v>167.55</v>
      </c>
      <c r="E340" s="1">
        <f>Tabela11[[#This Row],[Força(N)]]/$I$5</f>
        <v>5340664.5947884303</v>
      </c>
      <c r="F340" s="1">
        <f>Tabela11[[#This Row],[Tensão(Pa)]]/1000000</f>
        <v>5.3406645947884304</v>
      </c>
    </row>
    <row r="341" spans="1:6" x14ac:dyDescent="0.3">
      <c r="A341" s="1">
        <v>29.1</v>
      </c>
      <c r="B341" s="1">
        <v>2.4173</v>
      </c>
      <c r="C341" s="1">
        <f>Tabela11[[#This Row],[Alongamento(mm/mm)]]/$I$2</f>
        <v>4.8346E-2</v>
      </c>
      <c r="D341" s="1">
        <v>168.74</v>
      </c>
      <c r="E341" s="1">
        <f>Tabela11[[#This Row],[Força(N)]]/$I$5</f>
        <v>5378595.9040561011</v>
      </c>
      <c r="F341" s="1">
        <f>Tabela11[[#This Row],[Tensão(Pa)]]/1000000</f>
        <v>5.3785959040561009</v>
      </c>
    </row>
    <row r="342" spans="1:6" x14ac:dyDescent="0.3">
      <c r="A342" s="1">
        <v>29.167000000000002</v>
      </c>
      <c r="B342" s="1">
        <v>2.4228999999999998</v>
      </c>
      <c r="C342" s="1">
        <f>Tabela11[[#This Row],[Alongamento(mm/mm)]]/$I$2</f>
        <v>4.8457999999999994E-2</v>
      </c>
      <c r="D342" s="1">
        <v>169.93</v>
      </c>
      <c r="E342" s="1">
        <f>Tabela11[[#This Row],[Força(N)]]/$I$5</f>
        <v>5416527.213323771</v>
      </c>
      <c r="F342" s="1">
        <f>Tabela11[[#This Row],[Tensão(Pa)]]/1000000</f>
        <v>5.4165272133237714</v>
      </c>
    </row>
    <row r="343" spans="1:6" x14ac:dyDescent="0.3">
      <c r="A343" s="1">
        <v>29.216999999999999</v>
      </c>
      <c r="B343" s="1">
        <v>2.427</v>
      </c>
      <c r="C343" s="1">
        <f>Tabela11[[#This Row],[Alongamento(mm/mm)]]/$I$2</f>
        <v>4.854E-2</v>
      </c>
      <c r="D343" s="1">
        <v>170.95</v>
      </c>
      <c r="E343" s="1">
        <f>Tabela11[[#This Row],[Força(N)]]/$I$5</f>
        <v>5449039.764124631</v>
      </c>
      <c r="F343" s="1">
        <f>Tabela11[[#This Row],[Tensão(Pa)]]/1000000</f>
        <v>5.4490397641246311</v>
      </c>
    </row>
    <row r="344" spans="1:6" x14ac:dyDescent="0.3">
      <c r="A344" s="1">
        <v>29.283000000000001</v>
      </c>
      <c r="B344" s="1">
        <v>2.4325999999999999</v>
      </c>
      <c r="C344" s="1">
        <f>Tabela11[[#This Row],[Alongamento(mm/mm)]]/$I$2</f>
        <v>4.8652000000000001E-2</v>
      </c>
      <c r="D344" s="1">
        <v>172.14</v>
      </c>
      <c r="E344" s="1">
        <f>Tabela11[[#This Row],[Força(N)]]/$I$5</f>
        <v>5486971.0733923018</v>
      </c>
      <c r="F344" s="1">
        <f>Tabela11[[#This Row],[Tensão(Pa)]]/1000000</f>
        <v>5.4869710733923016</v>
      </c>
    </row>
    <row r="345" spans="1:6" x14ac:dyDescent="0.3">
      <c r="A345" s="1">
        <v>29.332999999999998</v>
      </c>
      <c r="B345" s="1">
        <v>2.4367000000000001</v>
      </c>
      <c r="C345" s="1">
        <f>Tabela11[[#This Row],[Alongamento(mm/mm)]]/$I$2</f>
        <v>4.8734E-2</v>
      </c>
      <c r="D345" s="1">
        <v>173.16</v>
      </c>
      <c r="E345" s="1">
        <f>Tabela11[[#This Row],[Força(N)]]/$I$5</f>
        <v>5519483.6241931627</v>
      </c>
      <c r="F345" s="1">
        <f>Tabela11[[#This Row],[Tensão(Pa)]]/1000000</f>
        <v>5.5194836241931631</v>
      </c>
    </row>
    <row r="346" spans="1:6" x14ac:dyDescent="0.3">
      <c r="A346" s="1">
        <v>29.4</v>
      </c>
      <c r="B346" s="1">
        <v>2.4422000000000001</v>
      </c>
      <c r="C346" s="1">
        <f>Tabela11[[#This Row],[Alongamento(mm/mm)]]/$I$2</f>
        <v>4.8844000000000005E-2</v>
      </c>
      <c r="D346" s="1">
        <v>174.35</v>
      </c>
      <c r="E346" s="1">
        <f>Tabela11[[#This Row],[Força(N)]]/$I$5</f>
        <v>5557414.9334608335</v>
      </c>
      <c r="F346" s="1">
        <f>Tabela11[[#This Row],[Tensão(Pa)]]/1000000</f>
        <v>5.5574149334608336</v>
      </c>
    </row>
    <row r="347" spans="1:6" x14ac:dyDescent="0.3">
      <c r="A347" s="1">
        <v>29.483000000000001</v>
      </c>
      <c r="B347" s="1">
        <v>2.4493</v>
      </c>
      <c r="C347" s="1">
        <f>Tabela11[[#This Row],[Alongamento(mm/mm)]]/$I$2</f>
        <v>4.8986000000000002E-2</v>
      </c>
      <c r="D347" s="1">
        <v>175.88</v>
      </c>
      <c r="E347" s="1">
        <f>Tabela11[[#This Row],[Força(N)]]/$I$5</f>
        <v>5606183.7596621243</v>
      </c>
      <c r="F347" s="1">
        <f>Tabela11[[#This Row],[Tensão(Pa)]]/1000000</f>
        <v>5.606183759662124</v>
      </c>
    </row>
    <row r="348" spans="1:6" x14ac:dyDescent="0.3">
      <c r="A348" s="1">
        <v>29.567</v>
      </c>
      <c r="B348" s="1">
        <v>2.4561999999999999</v>
      </c>
      <c r="C348" s="1">
        <f>Tabela11[[#This Row],[Alongamento(mm/mm)]]/$I$2</f>
        <v>4.9124000000000001E-2</v>
      </c>
      <c r="D348" s="1">
        <v>177.41</v>
      </c>
      <c r="E348" s="1">
        <f>Tabela11[[#This Row],[Força(N)]]/$I$5</f>
        <v>5654952.5858634161</v>
      </c>
      <c r="F348" s="1">
        <f>Tabela11[[#This Row],[Tensão(Pa)]]/1000000</f>
        <v>5.6549525858634162</v>
      </c>
    </row>
    <row r="349" spans="1:6" x14ac:dyDescent="0.3">
      <c r="A349" s="1">
        <v>29.632999999999999</v>
      </c>
      <c r="B349" s="1">
        <v>2.4618000000000002</v>
      </c>
      <c r="C349" s="1">
        <f>Tabela11[[#This Row],[Alongamento(mm/mm)]]/$I$2</f>
        <v>4.9236000000000002E-2</v>
      </c>
      <c r="D349" s="1">
        <v>178.77</v>
      </c>
      <c r="E349" s="1">
        <f>Tabela11[[#This Row],[Força(N)]]/$I$5</f>
        <v>5698302.6535978969</v>
      </c>
      <c r="F349" s="1">
        <f>Tabela11[[#This Row],[Tensão(Pa)]]/1000000</f>
        <v>5.6983026535978967</v>
      </c>
    </row>
    <row r="350" spans="1:6" x14ac:dyDescent="0.3">
      <c r="A350" s="1">
        <v>29.716999999999999</v>
      </c>
      <c r="B350" s="1">
        <v>2.4685999999999999</v>
      </c>
      <c r="C350" s="1">
        <f>Tabela11[[#This Row],[Alongamento(mm/mm)]]/$I$2</f>
        <v>4.9371999999999999E-2</v>
      </c>
      <c r="D350" s="1">
        <v>180.3</v>
      </c>
      <c r="E350" s="1">
        <f>Tabela11[[#This Row],[Força(N)]]/$I$5</f>
        <v>5747071.4797991877</v>
      </c>
      <c r="F350" s="1">
        <f>Tabela11[[#This Row],[Tensão(Pa)]]/1000000</f>
        <v>5.747071479799188</v>
      </c>
    </row>
    <row r="351" spans="1:6" x14ac:dyDescent="0.3">
      <c r="A351" s="1">
        <v>29.8</v>
      </c>
      <c r="B351" s="1">
        <v>2.4756</v>
      </c>
      <c r="C351" s="1">
        <f>Tabela11[[#This Row],[Alongamento(mm/mm)]]/$I$2</f>
        <v>4.9512E-2</v>
      </c>
      <c r="D351" s="1">
        <v>181.84</v>
      </c>
      <c r="E351" s="1">
        <f>Tabela11[[#This Row],[Força(N)]]/$I$5</f>
        <v>5796159.0564985266</v>
      </c>
      <c r="F351" s="1">
        <f>Tabela11[[#This Row],[Tensão(Pa)]]/1000000</f>
        <v>5.796159056498527</v>
      </c>
    </row>
    <row r="352" spans="1:6" x14ac:dyDescent="0.3">
      <c r="A352" s="1">
        <v>29.867000000000001</v>
      </c>
      <c r="B352" s="1">
        <v>2.4811999999999999</v>
      </c>
      <c r="C352" s="1">
        <f>Tabela11[[#This Row],[Alongamento(mm/mm)]]/$I$2</f>
        <v>4.9623999999999995E-2</v>
      </c>
      <c r="D352" s="1">
        <v>183.2</v>
      </c>
      <c r="E352" s="1">
        <f>Tabela11[[#This Row],[Força(N)]]/$I$5</f>
        <v>5839509.1242330065</v>
      </c>
      <c r="F352" s="1">
        <f>Tabela11[[#This Row],[Tensão(Pa)]]/1000000</f>
        <v>5.8395091242330066</v>
      </c>
    </row>
    <row r="353" spans="1:6" x14ac:dyDescent="0.3">
      <c r="A353" s="1">
        <v>29.95</v>
      </c>
      <c r="B353" s="1">
        <v>2.4881000000000002</v>
      </c>
      <c r="C353" s="1">
        <f>Tabela11[[#This Row],[Alongamento(mm/mm)]]/$I$2</f>
        <v>4.9762000000000001E-2</v>
      </c>
      <c r="D353" s="1">
        <v>184.73</v>
      </c>
      <c r="E353" s="1">
        <f>Tabela11[[#This Row],[Força(N)]]/$I$5</f>
        <v>5888277.9504342973</v>
      </c>
      <c r="F353" s="1">
        <f>Tabela11[[#This Row],[Tensão(Pa)]]/1000000</f>
        <v>5.888277950434297</v>
      </c>
    </row>
    <row r="354" spans="1:6" x14ac:dyDescent="0.3">
      <c r="A354" s="1">
        <v>30.033000000000001</v>
      </c>
      <c r="B354" s="1">
        <v>2.4950999999999999</v>
      </c>
      <c r="C354" s="1">
        <f>Tabela11[[#This Row],[Alongamento(mm/mm)]]/$I$2</f>
        <v>4.9901999999999995E-2</v>
      </c>
      <c r="D354" s="1">
        <v>186.26</v>
      </c>
      <c r="E354" s="1">
        <f>Tabela11[[#This Row],[Força(N)]]/$I$5</f>
        <v>5937046.7766355881</v>
      </c>
      <c r="F354" s="1">
        <f>Tabela11[[#This Row],[Tensão(Pa)]]/1000000</f>
        <v>5.9370467766355883</v>
      </c>
    </row>
    <row r="355" spans="1:6" x14ac:dyDescent="0.3">
      <c r="A355" s="1">
        <v>30.1</v>
      </c>
      <c r="B355" s="1">
        <v>2.5007000000000001</v>
      </c>
      <c r="C355" s="1">
        <f>Tabela11[[#This Row],[Alongamento(mm/mm)]]/$I$2</f>
        <v>5.0014000000000003E-2</v>
      </c>
      <c r="D355" s="1">
        <v>187.62</v>
      </c>
      <c r="E355" s="1">
        <f>Tabela11[[#This Row],[Força(N)]]/$I$5</f>
        <v>5980396.8443700699</v>
      </c>
      <c r="F355" s="1">
        <f>Tabela11[[#This Row],[Tensão(Pa)]]/1000000</f>
        <v>5.9803968443700697</v>
      </c>
    </row>
    <row r="356" spans="1:6" x14ac:dyDescent="0.3">
      <c r="A356" s="1">
        <v>30.167000000000002</v>
      </c>
      <c r="B356" s="1">
        <v>2.5061</v>
      </c>
      <c r="C356" s="1">
        <f>Tabela11[[#This Row],[Alongamento(mm/mm)]]/$I$2</f>
        <v>5.0122E-2</v>
      </c>
      <c r="D356" s="1">
        <v>188.98</v>
      </c>
      <c r="E356" s="1">
        <f>Tabela11[[#This Row],[Força(N)]]/$I$5</f>
        <v>6023746.9121045498</v>
      </c>
      <c r="F356" s="1">
        <f>Tabela11[[#This Row],[Tensão(Pa)]]/1000000</f>
        <v>6.0237469121045502</v>
      </c>
    </row>
    <row r="357" spans="1:6" x14ac:dyDescent="0.3">
      <c r="A357" s="1">
        <v>30.25</v>
      </c>
      <c r="B357" s="1">
        <v>2.5131000000000001</v>
      </c>
      <c r="C357" s="1">
        <f>Tabela11[[#This Row],[Alongamento(mm/mm)]]/$I$2</f>
        <v>5.0262000000000001E-2</v>
      </c>
      <c r="D357" s="1">
        <v>190.51</v>
      </c>
      <c r="E357" s="1">
        <f>Tabela11[[#This Row],[Força(N)]]/$I$5</f>
        <v>6072515.7383058416</v>
      </c>
      <c r="F357" s="1">
        <f>Tabela11[[#This Row],[Tensão(Pa)]]/1000000</f>
        <v>6.0725157383058415</v>
      </c>
    </row>
    <row r="358" spans="1:6" x14ac:dyDescent="0.3">
      <c r="A358" s="1">
        <v>30.317</v>
      </c>
      <c r="B358" s="1">
        <v>2.5186999999999999</v>
      </c>
      <c r="C358" s="1">
        <f>Tabela11[[#This Row],[Alongamento(mm/mm)]]/$I$2</f>
        <v>5.0374000000000002E-2</v>
      </c>
      <c r="D358" s="1">
        <v>191.87</v>
      </c>
      <c r="E358" s="1">
        <f>Tabela11[[#This Row],[Força(N)]]/$I$5</f>
        <v>6115865.8060403224</v>
      </c>
      <c r="F358" s="1">
        <f>Tabela11[[#This Row],[Tensão(Pa)]]/1000000</f>
        <v>6.1158658060403228</v>
      </c>
    </row>
    <row r="359" spans="1:6" x14ac:dyDescent="0.3">
      <c r="A359" s="1">
        <v>30.382999999999999</v>
      </c>
      <c r="B359" s="1">
        <v>2.5242</v>
      </c>
      <c r="C359" s="1">
        <f>Tabela11[[#This Row],[Alongamento(mm/mm)]]/$I$2</f>
        <v>5.0484000000000001E-2</v>
      </c>
      <c r="D359" s="1">
        <v>193.23</v>
      </c>
      <c r="E359" s="1">
        <f>Tabela11[[#This Row],[Força(N)]]/$I$5</f>
        <v>6159215.8737748032</v>
      </c>
      <c r="F359" s="1">
        <f>Tabela11[[#This Row],[Tensão(Pa)]]/1000000</f>
        <v>6.1592158737748033</v>
      </c>
    </row>
    <row r="360" spans="1:6" x14ac:dyDescent="0.3">
      <c r="A360" s="1">
        <v>30.45</v>
      </c>
      <c r="B360" s="1">
        <v>2.5297999999999998</v>
      </c>
      <c r="C360" s="1">
        <f>Tabela11[[#This Row],[Alongamento(mm/mm)]]/$I$2</f>
        <v>5.0595999999999995E-2</v>
      </c>
      <c r="D360" s="1">
        <v>194.59</v>
      </c>
      <c r="E360" s="1">
        <f>Tabela11[[#This Row],[Força(N)]]/$I$5</f>
        <v>6202565.9415092841</v>
      </c>
      <c r="F360" s="1">
        <f>Tabela11[[#This Row],[Tensão(Pa)]]/1000000</f>
        <v>6.2025659415092838</v>
      </c>
    </row>
    <row r="361" spans="1:6" x14ac:dyDescent="0.3">
      <c r="A361" s="1">
        <v>30.516999999999999</v>
      </c>
      <c r="B361" s="1">
        <v>2.5354000000000001</v>
      </c>
      <c r="C361" s="1">
        <f>Tabela11[[#This Row],[Alongamento(mm/mm)]]/$I$2</f>
        <v>5.0708000000000003E-2</v>
      </c>
      <c r="D361" s="1">
        <v>196.12</v>
      </c>
      <c r="E361" s="1">
        <f>Tabela11[[#This Row],[Força(N)]]/$I$5</f>
        <v>6251334.7677105749</v>
      </c>
      <c r="F361" s="1">
        <f>Tabela11[[#This Row],[Tensão(Pa)]]/1000000</f>
        <v>6.2513347677105751</v>
      </c>
    </row>
    <row r="362" spans="1:6" x14ac:dyDescent="0.3">
      <c r="A362" s="1">
        <v>30.6</v>
      </c>
      <c r="B362" s="1">
        <v>2.5423</v>
      </c>
      <c r="C362" s="1">
        <f>Tabela11[[#This Row],[Alongamento(mm/mm)]]/$I$2</f>
        <v>5.0846000000000002E-2</v>
      </c>
      <c r="D362" s="1">
        <v>197.65</v>
      </c>
      <c r="E362" s="1">
        <f>Tabela11[[#This Row],[Força(N)]]/$I$5</f>
        <v>6300103.5939118657</v>
      </c>
      <c r="F362" s="1">
        <f>Tabela11[[#This Row],[Tensão(Pa)]]/1000000</f>
        <v>6.3001035939118655</v>
      </c>
    </row>
    <row r="363" spans="1:6" x14ac:dyDescent="0.3">
      <c r="A363" s="1">
        <v>30.667000000000002</v>
      </c>
      <c r="B363" s="1">
        <v>2.5478999999999998</v>
      </c>
      <c r="C363" s="1">
        <f>Tabela11[[#This Row],[Alongamento(mm/mm)]]/$I$2</f>
        <v>5.0957999999999996E-2</v>
      </c>
      <c r="D363" s="1">
        <v>199.02</v>
      </c>
      <c r="E363" s="1">
        <f>Tabela11[[#This Row],[Força(N)]]/$I$5</f>
        <v>6343772.4121443946</v>
      </c>
      <c r="F363" s="1">
        <f>Tabela11[[#This Row],[Tensão(Pa)]]/1000000</f>
        <v>6.3437724121443946</v>
      </c>
    </row>
    <row r="364" spans="1:6" x14ac:dyDescent="0.3">
      <c r="A364" s="1">
        <v>30.733000000000001</v>
      </c>
      <c r="B364" s="1">
        <v>2.5533999999999999</v>
      </c>
      <c r="C364" s="1">
        <f>Tabela11[[#This Row],[Alongamento(mm/mm)]]/$I$2</f>
        <v>5.1067999999999995E-2</v>
      </c>
      <c r="D364" s="1">
        <v>200.38</v>
      </c>
      <c r="E364" s="1">
        <f>Tabela11[[#This Row],[Força(N)]]/$I$5</f>
        <v>6387122.4798788754</v>
      </c>
      <c r="F364" s="1">
        <f>Tabela11[[#This Row],[Tensão(Pa)]]/1000000</f>
        <v>6.387122479878875</v>
      </c>
    </row>
    <row r="365" spans="1:6" x14ac:dyDescent="0.3">
      <c r="A365" s="1">
        <v>30.8</v>
      </c>
      <c r="B365" s="1">
        <v>2.5590000000000002</v>
      </c>
      <c r="C365" s="1">
        <f>Tabela11[[#This Row],[Alongamento(mm/mm)]]/$I$2</f>
        <v>5.1180000000000003E-2</v>
      </c>
      <c r="D365" s="1">
        <v>201.74</v>
      </c>
      <c r="E365" s="1">
        <f>Tabela11[[#This Row],[Força(N)]]/$I$5</f>
        <v>6430472.5476133563</v>
      </c>
      <c r="F365" s="1">
        <f>Tabela11[[#This Row],[Tensão(Pa)]]/1000000</f>
        <v>6.4304725476133564</v>
      </c>
    </row>
    <row r="366" spans="1:6" x14ac:dyDescent="0.3">
      <c r="A366" s="1">
        <v>30.867000000000001</v>
      </c>
      <c r="B366" s="1">
        <v>2.5646</v>
      </c>
      <c r="C366" s="1">
        <f>Tabela11[[#This Row],[Alongamento(mm/mm)]]/$I$2</f>
        <v>5.1291999999999997E-2</v>
      </c>
      <c r="D366" s="1">
        <v>203.1</v>
      </c>
      <c r="E366" s="1">
        <f>Tabela11[[#This Row],[Força(N)]]/$I$5</f>
        <v>6473822.6153478371</v>
      </c>
      <c r="F366" s="1">
        <f>Tabela11[[#This Row],[Tensão(Pa)]]/1000000</f>
        <v>6.4738226153478369</v>
      </c>
    </row>
    <row r="367" spans="1:6" x14ac:dyDescent="0.3">
      <c r="A367" s="1">
        <v>30.933</v>
      </c>
      <c r="B367" s="1">
        <v>2.5701999999999998</v>
      </c>
      <c r="C367" s="1">
        <f>Tabela11[[#This Row],[Alongamento(mm/mm)]]/$I$2</f>
        <v>5.1403999999999998E-2</v>
      </c>
      <c r="D367" s="1">
        <v>204.46</v>
      </c>
      <c r="E367" s="1">
        <f>Tabela11[[#This Row],[Força(N)]]/$I$5</f>
        <v>6517172.6830823179</v>
      </c>
      <c r="F367" s="1">
        <f>Tabela11[[#This Row],[Tensão(Pa)]]/1000000</f>
        <v>6.5171726830823182</v>
      </c>
    </row>
    <row r="368" spans="1:6" x14ac:dyDescent="0.3">
      <c r="A368" s="1">
        <v>31</v>
      </c>
      <c r="B368" s="1">
        <v>2.5756999999999999</v>
      </c>
      <c r="C368" s="1">
        <f>Tabela11[[#This Row],[Alongamento(mm/mm)]]/$I$2</f>
        <v>5.1513999999999997E-2</v>
      </c>
      <c r="D368" s="1">
        <v>205.82</v>
      </c>
      <c r="E368" s="1">
        <f>Tabela11[[#This Row],[Força(N)]]/$I$5</f>
        <v>6560522.7508167988</v>
      </c>
      <c r="F368" s="1">
        <f>Tabela11[[#This Row],[Tensão(Pa)]]/1000000</f>
        <v>6.5605227508167987</v>
      </c>
    </row>
    <row r="369" spans="1:6" x14ac:dyDescent="0.3">
      <c r="A369" s="1">
        <v>31.067</v>
      </c>
      <c r="B369" s="1">
        <v>2.5811000000000002</v>
      </c>
      <c r="C369" s="1">
        <f>Tabela11[[#This Row],[Alongamento(mm/mm)]]/$I$2</f>
        <v>5.1622000000000001E-2</v>
      </c>
      <c r="D369" s="1">
        <v>207.35</v>
      </c>
      <c r="E369" s="1">
        <f>Tabela11[[#This Row],[Força(N)]]/$I$5</f>
        <v>6609291.5770180896</v>
      </c>
      <c r="F369" s="1">
        <f>Tabela11[[#This Row],[Tensão(Pa)]]/1000000</f>
        <v>6.60929157701809</v>
      </c>
    </row>
    <row r="370" spans="1:6" x14ac:dyDescent="0.3">
      <c r="A370" s="1">
        <v>31.132999999999999</v>
      </c>
      <c r="B370" s="1">
        <v>2.5867</v>
      </c>
      <c r="C370" s="1">
        <f>Tabela11[[#This Row],[Alongamento(mm/mm)]]/$I$2</f>
        <v>5.1734000000000002E-2</v>
      </c>
      <c r="D370" s="1">
        <v>208.71</v>
      </c>
      <c r="E370" s="1">
        <f>Tabela11[[#This Row],[Força(N)]]/$I$5</f>
        <v>6652641.6447525704</v>
      </c>
      <c r="F370" s="1">
        <f>Tabela11[[#This Row],[Tensão(Pa)]]/1000000</f>
        <v>6.6526416447525705</v>
      </c>
    </row>
    <row r="371" spans="1:6" x14ac:dyDescent="0.3">
      <c r="A371" s="1">
        <v>31.2</v>
      </c>
      <c r="B371" s="1">
        <v>2.5922000000000001</v>
      </c>
      <c r="C371" s="1">
        <f>Tabela11[[#This Row],[Alongamento(mm/mm)]]/$I$2</f>
        <v>5.1844000000000001E-2</v>
      </c>
      <c r="D371" s="1">
        <v>210.24</v>
      </c>
      <c r="E371" s="1">
        <f>Tabela11[[#This Row],[Força(N)]]/$I$5</f>
        <v>6701410.4709538613</v>
      </c>
      <c r="F371" s="1">
        <f>Tabela11[[#This Row],[Tensão(Pa)]]/1000000</f>
        <v>6.7014104709538609</v>
      </c>
    </row>
    <row r="372" spans="1:6" x14ac:dyDescent="0.3">
      <c r="A372" s="1">
        <v>31.266999999999999</v>
      </c>
      <c r="B372" s="1">
        <v>2.5977999999999999</v>
      </c>
      <c r="C372" s="1">
        <f>Tabela11[[#This Row],[Alongamento(mm/mm)]]/$I$2</f>
        <v>5.1955999999999995E-2</v>
      </c>
      <c r="D372" s="1">
        <v>211.6</v>
      </c>
      <c r="E372" s="1">
        <f>Tabela11[[#This Row],[Força(N)]]/$I$5</f>
        <v>6744760.5386883421</v>
      </c>
      <c r="F372" s="1">
        <f>Tabela11[[#This Row],[Tensão(Pa)]]/1000000</f>
        <v>6.7447605386883422</v>
      </c>
    </row>
    <row r="373" spans="1:6" x14ac:dyDescent="0.3">
      <c r="A373" s="1">
        <v>31.332999999999998</v>
      </c>
      <c r="B373" s="1">
        <v>2.6034000000000002</v>
      </c>
      <c r="C373" s="1">
        <f>Tabela11[[#This Row],[Alongamento(mm/mm)]]/$I$2</f>
        <v>5.2068000000000003E-2</v>
      </c>
      <c r="D373" s="1">
        <v>212.96</v>
      </c>
      <c r="E373" s="1">
        <f>Tabela11[[#This Row],[Força(N)]]/$I$5</f>
        <v>6788110.6064228229</v>
      </c>
      <c r="F373" s="1">
        <f>Tabela11[[#This Row],[Tensão(Pa)]]/1000000</f>
        <v>6.7881106064228227</v>
      </c>
    </row>
    <row r="374" spans="1:6" x14ac:dyDescent="0.3">
      <c r="A374" s="1">
        <v>31.4</v>
      </c>
      <c r="B374" s="1">
        <v>2.609</v>
      </c>
      <c r="C374" s="1">
        <f>Tabela11[[#This Row],[Alongamento(mm/mm)]]/$I$2</f>
        <v>5.2179999999999997E-2</v>
      </c>
      <c r="D374" s="1">
        <v>214.49</v>
      </c>
      <c r="E374" s="1">
        <f>Tabela11[[#This Row],[Força(N)]]/$I$5</f>
        <v>6836879.4326241137</v>
      </c>
      <c r="F374" s="1">
        <f>Tabela11[[#This Row],[Tensão(Pa)]]/1000000</f>
        <v>6.836879432624114</v>
      </c>
    </row>
    <row r="375" spans="1:6" x14ac:dyDescent="0.3">
      <c r="A375" s="1">
        <v>31.466999999999999</v>
      </c>
      <c r="B375" s="1">
        <v>2.6145999999999998</v>
      </c>
      <c r="C375" s="1">
        <f>Tabela11[[#This Row],[Alongamento(mm/mm)]]/$I$2</f>
        <v>5.2291999999999998E-2</v>
      </c>
      <c r="D375" s="1">
        <v>215.86</v>
      </c>
      <c r="E375" s="1">
        <f>Tabela11[[#This Row],[Força(N)]]/$I$5</f>
        <v>6880548.2508566426</v>
      </c>
      <c r="F375" s="1">
        <f>Tabela11[[#This Row],[Tensão(Pa)]]/1000000</f>
        <v>6.8805482508566422</v>
      </c>
    </row>
    <row r="376" spans="1:6" x14ac:dyDescent="0.3">
      <c r="A376" s="1">
        <v>31.533000000000001</v>
      </c>
      <c r="B376" s="1">
        <v>2.6200999999999999</v>
      </c>
      <c r="C376" s="1">
        <f>Tabela11[[#This Row],[Alongamento(mm/mm)]]/$I$2</f>
        <v>5.2401999999999997E-2</v>
      </c>
      <c r="D376" s="1">
        <v>217.39</v>
      </c>
      <c r="E376" s="1">
        <f>Tabela11[[#This Row],[Força(N)]]/$I$5</f>
        <v>6929317.0770579325</v>
      </c>
      <c r="F376" s="1">
        <f>Tabela11[[#This Row],[Tensão(Pa)]]/1000000</f>
        <v>6.9293170770579327</v>
      </c>
    </row>
    <row r="377" spans="1:6" x14ac:dyDescent="0.3">
      <c r="A377" s="1">
        <v>31.6</v>
      </c>
      <c r="B377" s="1">
        <v>2.6255999999999999</v>
      </c>
      <c r="C377" s="1">
        <f>Tabela11[[#This Row],[Alongamento(mm/mm)]]/$I$2</f>
        <v>5.2511999999999996E-2</v>
      </c>
      <c r="D377" s="1">
        <v>218.75</v>
      </c>
      <c r="E377" s="1">
        <f>Tabela11[[#This Row],[Força(N)]]/$I$5</f>
        <v>6972667.1447924143</v>
      </c>
      <c r="F377" s="1">
        <f>Tabela11[[#This Row],[Tensão(Pa)]]/1000000</f>
        <v>6.972667144792414</v>
      </c>
    </row>
    <row r="378" spans="1:6" x14ac:dyDescent="0.3">
      <c r="A378" s="1">
        <v>31.683</v>
      </c>
      <c r="B378" s="1">
        <v>2.6324999999999998</v>
      </c>
      <c r="C378" s="1">
        <f>Tabela11[[#This Row],[Alongamento(mm/mm)]]/$I$2</f>
        <v>5.2649999999999995E-2</v>
      </c>
      <c r="D378" s="1">
        <v>220.62</v>
      </c>
      <c r="E378" s="1">
        <f>Tabela11[[#This Row],[Força(N)]]/$I$5</f>
        <v>7032273.4879273251</v>
      </c>
      <c r="F378" s="1">
        <f>Tabela11[[#This Row],[Tensão(Pa)]]/1000000</f>
        <v>7.0322734879273252</v>
      </c>
    </row>
    <row r="379" spans="1:6" x14ac:dyDescent="0.3">
      <c r="A379" s="1">
        <v>31.766999999999999</v>
      </c>
      <c r="B379" s="1">
        <v>2.6395</v>
      </c>
      <c r="C379" s="1">
        <f>Tabela11[[#This Row],[Alongamento(mm/mm)]]/$I$2</f>
        <v>5.2789999999999997E-2</v>
      </c>
      <c r="D379" s="1">
        <v>222.32</v>
      </c>
      <c r="E379" s="1">
        <f>Tabela11[[#This Row],[Força(N)]]/$I$5</f>
        <v>7086461.0725954259</v>
      </c>
      <c r="F379" s="1">
        <f>Tabela11[[#This Row],[Tensão(Pa)]]/1000000</f>
        <v>7.0864610725954256</v>
      </c>
    </row>
    <row r="380" spans="1:6" x14ac:dyDescent="0.3">
      <c r="A380" s="1">
        <v>31.85</v>
      </c>
      <c r="B380" s="1">
        <v>2.6465000000000001</v>
      </c>
      <c r="C380" s="1">
        <f>Tabela11[[#This Row],[Alongamento(mm/mm)]]/$I$2</f>
        <v>5.2930000000000005E-2</v>
      </c>
      <c r="D380" s="1">
        <v>224.19</v>
      </c>
      <c r="E380" s="1">
        <f>Tabela11[[#This Row],[Força(N)]]/$I$5</f>
        <v>7146067.4157303376</v>
      </c>
      <c r="F380" s="1">
        <f>Tabela11[[#This Row],[Tensão(Pa)]]/1000000</f>
        <v>7.1460674157303377</v>
      </c>
    </row>
    <row r="381" spans="1:6" x14ac:dyDescent="0.3">
      <c r="A381" s="1">
        <v>31.933</v>
      </c>
      <c r="B381" s="1">
        <v>2.6534</v>
      </c>
      <c r="C381" s="1">
        <f>Tabela11[[#This Row],[Alongamento(mm/mm)]]/$I$2</f>
        <v>5.3067999999999997E-2</v>
      </c>
      <c r="D381" s="1">
        <v>225.89</v>
      </c>
      <c r="E381" s="1">
        <f>Tabela11[[#This Row],[Força(N)]]/$I$5</f>
        <v>7200255.0003984384</v>
      </c>
      <c r="F381" s="1">
        <f>Tabela11[[#This Row],[Tensão(Pa)]]/1000000</f>
        <v>7.200255000398438</v>
      </c>
    </row>
    <row r="382" spans="1:6" x14ac:dyDescent="0.3">
      <c r="A382" s="1">
        <v>32.017000000000003</v>
      </c>
      <c r="B382" s="1">
        <v>2.6602999999999999</v>
      </c>
      <c r="C382" s="1">
        <f>Tabela11[[#This Row],[Alongamento(mm/mm)]]/$I$2</f>
        <v>5.3205999999999996E-2</v>
      </c>
      <c r="D382" s="1">
        <v>227.76</v>
      </c>
      <c r="E382" s="1">
        <f>Tabela11[[#This Row],[Força(N)]]/$I$5</f>
        <v>7259861.3435333492</v>
      </c>
      <c r="F382" s="1">
        <f>Tabela11[[#This Row],[Tensão(Pa)]]/1000000</f>
        <v>7.2598613435333492</v>
      </c>
    </row>
    <row r="383" spans="1:6" x14ac:dyDescent="0.3">
      <c r="A383" s="1">
        <v>32.1</v>
      </c>
      <c r="B383" s="1">
        <v>2.6673</v>
      </c>
      <c r="C383" s="1">
        <f>Tabela11[[#This Row],[Alongamento(mm/mm)]]/$I$2</f>
        <v>5.3345999999999998E-2</v>
      </c>
      <c r="D383" s="1">
        <v>229.63</v>
      </c>
      <c r="E383" s="1">
        <f>Tabela11[[#This Row],[Força(N)]]/$I$5</f>
        <v>7319467.686668261</v>
      </c>
      <c r="F383" s="1">
        <f>Tabela11[[#This Row],[Tensão(Pa)]]/1000000</f>
        <v>7.3194676866682613</v>
      </c>
    </row>
    <row r="384" spans="1:6" x14ac:dyDescent="0.3">
      <c r="A384" s="1">
        <v>32.183</v>
      </c>
      <c r="B384" s="1">
        <v>2.6741999999999999</v>
      </c>
      <c r="C384" s="1">
        <f>Tabela11[[#This Row],[Alongamento(mm/mm)]]/$I$2</f>
        <v>5.3483999999999997E-2</v>
      </c>
      <c r="D384" s="1">
        <v>231.5</v>
      </c>
      <c r="E384" s="1">
        <f>Tabela11[[#This Row],[Força(N)]]/$I$5</f>
        <v>7379074.0298031718</v>
      </c>
      <c r="F384" s="1">
        <f>Tabela11[[#This Row],[Tensão(Pa)]]/1000000</f>
        <v>7.3790740298031716</v>
      </c>
    </row>
    <row r="385" spans="1:6" x14ac:dyDescent="0.3">
      <c r="A385" s="1">
        <v>32.267000000000003</v>
      </c>
      <c r="B385" s="1">
        <v>2.6812</v>
      </c>
      <c r="C385" s="1">
        <f>Tabela11[[#This Row],[Alongamento(mm/mm)]]/$I$2</f>
        <v>5.3623999999999998E-2</v>
      </c>
      <c r="D385" s="1">
        <v>233.21</v>
      </c>
      <c r="E385" s="1">
        <f>Tabela11[[#This Row],[Força(N)]]/$I$5</f>
        <v>7433580.3649693206</v>
      </c>
      <c r="F385" s="1">
        <f>Tabela11[[#This Row],[Tensão(Pa)]]/1000000</f>
        <v>7.4335803649693206</v>
      </c>
    </row>
    <row r="386" spans="1:6" x14ac:dyDescent="0.3">
      <c r="A386" s="1">
        <v>32.35</v>
      </c>
      <c r="B386" s="1">
        <v>2.6882000000000001</v>
      </c>
      <c r="C386" s="1">
        <f>Tabela11[[#This Row],[Alongamento(mm/mm)]]/$I$2</f>
        <v>5.3764000000000006E-2</v>
      </c>
      <c r="D386" s="1">
        <v>235.08</v>
      </c>
      <c r="E386" s="1">
        <f>Tabela11[[#This Row],[Força(N)]]/$I$5</f>
        <v>7493186.7081042323</v>
      </c>
      <c r="F386" s="1">
        <f>Tabela11[[#This Row],[Tensão(Pa)]]/1000000</f>
        <v>7.4931867081042327</v>
      </c>
    </row>
    <row r="387" spans="1:6" x14ac:dyDescent="0.3">
      <c r="A387" s="1">
        <v>32.433</v>
      </c>
      <c r="B387" s="1">
        <v>2.6951000000000001</v>
      </c>
      <c r="C387" s="1">
        <f>Tabela11[[#This Row],[Alongamento(mm/mm)]]/$I$2</f>
        <v>5.3901999999999999E-2</v>
      </c>
      <c r="D387" s="1">
        <v>236.95</v>
      </c>
      <c r="E387" s="1">
        <f>Tabela11[[#This Row],[Força(N)]]/$I$5</f>
        <v>7552793.0512391422</v>
      </c>
      <c r="F387" s="1">
        <f>Tabela11[[#This Row],[Tensão(Pa)]]/1000000</f>
        <v>7.5527930512391421</v>
      </c>
    </row>
    <row r="388" spans="1:6" x14ac:dyDescent="0.3">
      <c r="A388" s="1">
        <v>32.517000000000003</v>
      </c>
      <c r="B388" s="1">
        <v>2.702</v>
      </c>
      <c r="C388" s="1">
        <f>Tabela11[[#This Row],[Alongamento(mm/mm)]]/$I$2</f>
        <v>5.4039999999999998E-2</v>
      </c>
      <c r="D388" s="1">
        <v>238.82</v>
      </c>
      <c r="E388" s="1">
        <f>Tabela11[[#This Row],[Força(N)]]/$I$5</f>
        <v>7612399.3943740539</v>
      </c>
      <c r="F388" s="1">
        <f>Tabela11[[#This Row],[Tensão(Pa)]]/1000000</f>
        <v>7.6123993943740542</v>
      </c>
    </row>
    <row r="389" spans="1:6" x14ac:dyDescent="0.3">
      <c r="A389" s="1">
        <v>32.6</v>
      </c>
      <c r="B389" s="1">
        <v>2.7090000000000001</v>
      </c>
      <c r="C389" s="1">
        <f>Tabela11[[#This Row],[Alongamento(mm/mm)]]/$I$2</f>
        <v>5.4179999999999999E-2</v>
      </c>
      <c r="D389" s="1">
        <v>240.69</v>
      </c>
      <c r="E389" s="1">
        <f>Tabela11[[#This Row],[Força(N)]]/$I$5</f>
        <v>7672005.7375089657</v>
      </c>
      <c r="F389" s="1">
        <f>Tabela11[[#This Row],[Tensão(Pa)]]/1000000</f>
        <v>7.6720057375089654</v>
      </c>
    </row>
    <row r="390" spans="1:6" x14ac:dyDescent="0.3">
      <c r="A390" s="1">
        <v>32.683</v>
      </c>
      <c r="B390" s="1">
        <v>2.7159</v>
      </c>
      <c r="C390" s="1">
        <f>Tabela11[[#This Row],[Alongamento(mm/mm)]]/$I$2</f>
        <v>5.4317999999999998E-2</v>
      </c>
      <c r="D390" s="1">
        <v>242.56</v>
      </c>
      <c r="E390" s="1">
        <f>Tabela11[[#This Row],[Força(N)]]/$I$5</f>
        <v>7731612.0806438765</v>
      </c>
      <c r="F390" s="1">
        <f>Tabela11[[#This Row],[Tensão(Pa)]]/1000000</f>
        <v>7.7316120806438766</v>
      </c>
    </row>
    <row r="391" spans="1:6" x14ac:dyDescent="0.3">
      <c r="A391" s="1">
        <v>32.767000000000003</v>
      </c>
      <c r="B391" s="1">
        <v>2.7229000000000001</v>
      </c>
      <c r="C391" s="1">
        <f>Tabela11[[#This Row],[Alongamento(mm/mm)]]/$I$2</f>
        <v>5.4457999999999999E-2</v>
      </c>
      <c r="D391" s="1">
        <v>244.43</v>
      </c>
      <c r="E391" s="1">
        <f>Tabela11[[#This Row],[Força(N)]]/$I$5</f>
        <v>7791218.4237787882</v>
      </c>
      <c r="F391" s="1">
        <f>Tabela11[[#This Row],[Tensão(Pa)]]/1000000</f>
        <v>7.7912184237787878</v>
      </c>
    </row>
    <row r="392" spans="1:6" x14ac:dyDescent="0.3">
      <c r="A392" s="1">
        <v>32.85</v>
      </c>
      <c r="B392" s="1">
        <v>2.7298</v>
      </c>
      <c r="C392" s="1">
        <f>Tabela11[[#This Row],[Alongamento(mm/mm)]]/$I$2</f>
        <v>5.4595999999999999E-2</v>
      </c>
      <c r="D392" s="1">
        <v>246.3</v>
      </c>
      <c r="E392" s="1">
        <f>Tabela11[[#This Row],[Força(N)]]/$I$5</f>
        <v>7850824.766913699</v>
      </c>
      <c r="F392" s="1">
        <f>Tabela11[[#This Row],[Tensão(Pa)]]/1000000</f>
        <v>7.850824766913699</v>
      </c>
    </row>
    <row r="393" spans="1:6" x14ac:dyDescent="0.3">
      <c r="A393" s="1">
        <v>32.933</v>
      </c>
      <c r="B393" s="1">
        <v>2.7366999999999999</v>
      </c>
      <c r="C393" s="1">
        <f>Tabela11[[#This Row],[Alongamento(mm/mm)]]/$I$2</f>
        <v>5.4733999999999998E-2</v>
      </c>
      <c r="D393" s="1">
        <v>248.17</v>
      </c>
      <c r="E393" s="1">
        <f>Tabela11[[#This Row],[Força(N)]]/$I$5</f>
        <v>7910431.1100486098</v>
      </c>
      <c r="F393" s="1">
        <f>Tabela11[[#This Row],[Tensão(Pa)]]/1000000</f>
        <v>7.9104311100486102</v>
      </c>
    </row>
    <row r="394" spans="1:6" x14ac:dyDescent="0.3">
      <c r="A394" s="1">
        <v>33.017000000000003</v>
      </c>
      <c r="B394" s="1">
        <v>2.7437</v>
      </c>
      <c r="C394" s="1">
        <f>Tabela11[[#This Row],[Alongamento(mm/mm)]]/$I$2</f>
        <v>5.4873999999999999E-2</v>
      </c>
      <c r="D394" s="1">
        <v>250.05</v>
      </c>
      <c r="E394" s="1">
        <f>Tabela11[[#This Row],[Força(N)]]/$I$5</f>
        <v>7970356.2036815686</v>
      </c>
      <c r="F394" s="1">
        <f>Tabela11[[#This Row],[Tensão(Pa)]]/1000000</f>
        <v>7.9703562036815683</v>
      </c>
    </row>
    <row r="395" spans="1:6" x14ac:dyDescent="0.3">
      <c r="A395" s="1">
        <v>33.1</v>
      </c>
      <c r="B395" s="1">
        <v>2.7507000000000001</v>
      </c>
      <c r="C395" s="1">
        <f>Tabela11[[#This Row],[Alongamento(mm/mm)]]/$I$2</f>
        <v>5.5014E-2</v>
      </c>
      <c r="D395" s="1">
        <v>251.92</v>
      </c>
      <c r="E395" s="1">
        <f>Tabela11[[#This Row],[Força(N)]]/$I$5</f>
        <v>8029962.5468164794</v>
      </c>
      <c r="F395" s="1">
        <f>Tabela11[[#This Row],[Tensão(Pa)]]/1000000</f>
        <v>8.0299625468164795</v>
      </c>
    </row>
    <row r="396" spans="1:6" x14ac:dyDescent="0.3">
      <c r="A396" s="1">
        <v>33.183</v>
      </c>
      <c r="B396" s="1">
        <v>2.7576000000000001</v>
      </c>
      <c r="C396" s="1">
        <f>Tabela11[[#This Row],[Alongamento(mm/mm)]]/$I$2</f>
        <v>5.5152E-2</v>
      </c>
      <c r="D396" s="1">
        <v>253.79</v>
      </c>
      <c r="E396" s="1">
        <f>Tabela11[[#This Row],[Força(N)]]/$I$5</f>
        <v>8089568.8899513911</v>
      </c>
      <c r="F396" s="1">
        <f>Tabela11[[#This Row],[Tensão(Pa)]]/1000000</f>
        <v>8.0895688899513907</v>
      </c>
    </row>
    <row r="397" spans="1:6" x14ac:dyDescent="0.3">
      <c r="A397" s="1">
        <v>33.267000000000003</v>
      </c>
      <c r="B397" s="1">
        <v>2.7646000000000002</v>
      </c>
      <c r="C397" s="1">
        <f>Tabela11[[#This Row],[Alongamento(mm/mm)]]/$I$2</f>
        <v>5.5292000000000001E-2</v>
      </c>
      <c r="D397" s="1">
        <v>255.49</v>
      </c>
      <c r="E397" s="1">
        <f>Tabela11[[#This Row],[Força(N)]]/$I$5</f>
        <v>8143756.474619492</v>
      </c>
      <c r="F397" s="1">
        <f>Tabela11[[#This Row],[Tensão(Pa)]]/1000000</f>
        <v>8.1437564746194919</v>
      </c>
    </row>
    <row r="398" spans="1:6" x14ac:dyDescent="0.3">
      <c r="A398" s="1">
        <v>33.35</v>
      </c>
      <c r="B398" s="1">
        <v>2.7715000000000001</v>
      </c>
      <c r="C398" s="1">
        <f>Tabela11[[#This Row],[Alongamento(mm/mm)]]/$I$2</f>
        <v>5.543E-2</v>
      </c>
      <c r="D398" s="1">
        <v>257.36</v>
      </c>
      <c r="E398" s="1">
        <f>Tabela11[[#This Row],[Força(N)]]/$I$5</f>
        <v>8203362.8177544037</v>
      </c>
      <c r="F398" s="1">
        <f>Tabela11[[#This Row],[Tensão(Pa)]]/1000000</f>
        <v>8.2033628177544031</v>
      </c>
    </row>
    <row r="399" spans="1:6" x14ac:dyDescent="0.3">
      <c r="A399" s="1">
        <v>33.433</v>
      </c>
      <c r="B399" s="1">
        <v>2.7783000000000002</v>
      </c>
      <c r="C399" s="1">
        <f>Tabela11[[#This Row],[Alongamento(mm/mm)]]/$I$2</f>
        <v>5.5566000000000004E-2</v>
      </c>
      <c r="D399" s="1">
        <v>259.23</v>
      </c>
      <c r="E399" s="1">
        <f>Tabela11[[#This Row],[Força(N)]]/$I$5</f>
        <v>8262969.1608893145</v>
      </c>
      <c r="F399" s="1">
        <f>Tabela11[[#This Row],[Tensão(Pa)]]/1000000</f>
        <v>8.2629691608893143</v>
      </c>
    </row>
    <row r="400" spans="1:6" x14ac:dyDescent="0.3">
      <c r="A400" s="1">
        <v>33.517000000000003</v>
      </c>
      <c r="B400" s="1">
        <v>2.7852999999999999</v>
      </c>
      <c r="C400" s="1">
        <f>Tabela11[[#This Row],[Alongamento(mm/mm)]]/$I$2</f>
        <v>5.5705999999999999E-2</v>
      </c>
      <c r="D400" s="1">
        <v>261.10000000000002</v>
      </c>
      <c r="E400" s="1">
        <f>Tabela11[[#This Row],[Força(N)]]/$I$5</f>
        <v>8322575.5040242262</v>
      </c>
      <c r="F400" s="1">
        <f>Tabela11[[#This Row],[Tensão(Pa)]]/1000000</f>
        <v>8.3225755040242255</v>
      </c>
    </row>
    <row r="401" spans="1:6" x14ac:dyDescent="0.3">
      <c r="A401" s="1">
        <v>33.6</v>
      </c>
      <c r="B401" s="1">
        <v>2.7923</v>
      </c>
      <c r="C401" s="1">
        <f>Tabela11[[#This Row],[Alongamento(mm/mm)]]/$I$2</f>
        <v>5.5846E-2</v>
      </c>
      <c r="D401" s="1">
        <v>262.97000000000003</v>
      </c>
      <c r="E401" s="1">
        <f>Tabela11[[#This Row],[Força(N)]]/$I$5</f>
        <v>8382181.8471591379</v>
      </c>
      <c r="F401" s="1">
        <f>Tabela11[[#This Row],[Tensão(Pa)]]/1000000</f>
        <v>8.3821818471591385</v>
      </c>
    </row>
    <row r="402" spans="1:6" x14ac:dyDescent="0.3">
      <c r="A402" s="1">
        <v>33.700000000000003</v>
      </c>
      <c r="B402" s="1">
        <v>2.8006000000000002</v>
      </c>
      <c r="C402" s="1">
        <f>Tabela11[[#This Row],[Alongamento(mm/mm)]]/$I$2</f>
        <v>5.6012000000000006E-2</v>
      </c>
      <c r="D402" s="1">
        <v>265.18</v>
      </c>
      <c r="E402" s="1">
        <f>Tabela11[[#This Row],[Força(N)]]/$I$5</f>
        <v>8452625.7072276678</v>
      </c>
      <c r="F402" s="1">
        <f>Tabela11[[#This Row],[Tensão(Pa)]]/1000000</f>
        <v>8.4526257072276678</v>
      </c>
    </row>
    <row r="403" spans="1:6" x14ac:dyDescent="0.3">
      <c r="A403" s="1">
        <v>33.783000000000001</v>
      </c>
      <c r="B403" s="1">
        <v>2.8075999999999999</v>
      </c>
      <c r="C403" s="1">
        <f>Tabela11[[#This Row],[Alongamento(mm/mm)]]/$I$2</f>
        <v>5.6152000000000001E-2</v>
      </c>
      <c r="D403" s="1">
        <v>267.23</v>
      </c>
      <c r="E403" s="1">
        <f>Tabela11[[#This Row],[Força(N)]]/$I$5</f>
        <v>8517969.5593274366</v>
      </c>
      <c r="F403" s="1">
        <f>Tabela11[[#This Row],[Tensão(Pa)]]/1000000</f>
        <v>8.5179695593274367</v>
      </c>
    </row>
    <row r="404" spans="1:6" x14ac:dyDescent="0.3">
      <c r="A404" s="1">
        <v>33.866999999999997</v>
      </c>
      <c r="B404" s="1">
        <v>2.8144</v>
      </c>
      <c r="C404" s="1">
        <f>Tabela11[[#This Row],[Alongamento(mm/mm)]]/$I$2</f>
        <v>5.6287999999999998E-2</v>
      </c>
      <c r="D404" s="1">
        <v>269.27</v>
      </c>
      <c r="E404" s="1">
        <f>Tabela11[[#This Row],[Força(N)]]/$I$5</f>
        <v>8582994.6609291583</v>
      </c>
      <c r="F404" s="1">
        <f>Tabela11[[#This Row],[Tensão(Pa)]]/1000000</f>
        <v>8.5829946609291579</v>
      </c>
    </row>
    <row r="405" spans="1:6" x14ac:dyDescent="0.3">
      <c r="A405" s="1">
        <v>33.966999999999999</v>
      </c>
      <c r="B405" s="1">
        <v>2.8229000000000002</v>
      </c>
      <c r="C405" s="1">
        <f>Tabela11[[#This Row],[Alongamento(mm/mm)]]/$I$2</f>
        <v>5.6458000000000001E-2</v>
      </c>
      <c r="D405" s="1">
        <v>271.64999999999998</v>
      </c>
      <c r="E405" s="1">
        <f>Tabela11[[#This Row],[Força(N)]]/$I$5</f>
        <v>8658857.2794644982</v>
      </c>
      <c r="F405" s="1">
        <f>Tabela11[[#This Row],[Tensão(Pa)]]/1000000</f>
        <v>8.6588572794644989</v>
      </c>
    </row>
    <row r="406" spans="1:6" x14ac:dyDescent="0.3">
      <c r="A406" s="1">
        <v>34.067</v>
      </c>
      <c r="B406" s="1">
        <v>2.8311999999999999</v>
      </c>
      <c r="C406" s="1">
        <f>Tabela11[[#This Row],[Alongamento(mm/mm)]]/$I$2</f>
        <v>5.6624000000000001E-2</v>
      </c>
      <c r="D406" s="1">
        <v>274.02999999999997</v>
      </c>
      <c r="E406" s="1">
        <f>Tabela11[[#This Row],[Força(N)]]/$I$5</f>
        <v>8734719.8979998399</v>
      </c>
      <c r="F406" s="1">
        <f>Tabela11[[#This Row],[Tensão(Pa)]]/1000000</f>
        <v>8.7347198979998399</v>
      </c>
    </row>
    <row r="407" spans="1:6" x14ac:dyDescent="0.3">
      <c r="A407" s="1">
        <v>34.15</v>
      </c>
      <c r="B407" s="1">
        <v>2.8382000000000001</v>
      </c>
      <c r="C407" s="1">
        <f>Tabela11[[#This Row],[Alongamento(mm/mm)]]/$I$2</f>
        <v>5.6764000000000002E-2</v>
      </c>
      <c r="D407" s="1">
        <v>276.07</v>
      </c>
      <c r="E407" s="1">
        <f>Tabela11[[#This Row],[Força(N)]]/$I$5</f>
        <v>8799744.9996015616</v>
      </c>
      <c r="F407" s="1">
        <f>Tabela11[[#This Row],[Tensão(Pa)]]/1000000</f>
        <v>8.7997449996015611</v>
      </c>
    </row>
    <row r="408" spans="1:6" x14ac:dyDescent="0.3">
      <c r="A408" s="1">
        <v>34.25</v>
      </c>
      <c r="B408" s="1">
        <v>2.8464999999999998</v>
      </c>
      <c r="C408" s="1">
        <f>Tabela11[[#This Row],[Alongamento(mm/mm)]]/$I$2</f>
        <v>5.6929999999999994E-2</v>
      </c>
      <c r="D408" s="1">
        <v>278.45</v>
      </c>
      <c r="E408" s="1">
        <f>Tabela11[[#This Row],[Força(N)]]/$I$5</f>
        <v>8875607.6181369033</v>
      </c>
      <c r="F408" s="1">
        <f>Tabela11[[#This Row],[Tensão(Pa)]]/1000000</f>
        <v>8.8756076181369039</v>
      </c>
    </row>
    <row r="409" spans="1:6" x14ac:dyDescent="0.3">
      <c r="A409" s="1">
        <v>34.35</v>
      </c>
      <c r="B409" s="1">
        <v>2.8546999999999998</v>
      </c>
      <c r="C409" s="1">
        <f>Tabela11[[#This Row],[Alongamento(mm/mm)]]/$I$2</f>
        <v>5.7093999999999999E-2</v>
      </c>
      <c r="D409" s="1">
        <v>280.83</v>
      </c>
      <c r="E409" s="1">
        <f>Tabela11[[#This Row],[Força(N)]]/$I$5</f>
        <v>8951470.236672245</v>
      </c>
      <c r="F409" s="1">
        <f>Tabela11[[#This Row],[Tensão(Pa)]]/1000000</f>
        <v>8.951470236672245</v>
      </c>
    </row>
    <row r="410" spans="1:6" x14ac:dyDescent="0.3">
      <c r="A410" s="1">
        <v>34.433</v>
      </c>
      <c r="B410" s="1">
        <v>2.8616999999999999</v>
      </c>
      <c r="C410" s="1">
        <f>Tabela11[[#This Row],[Alongamento(mm/mm)]]/$I$2</f>
        <v>5.7234E-2</v>
      </c>
      <c r="D410" s="1">
        <v>282.87</v>
      </c>
      <c r="E410" s="1">
        <f>Tabela11[[#This Row],[Força(N)]]/$I$5</f>
        <v>9016495.3382739667</v>
      </c>
      <c r="F410" s="1">
        <f>Tabela11[[#This Row],[Tensão(Pa)]]/1000000</f>
        <v>9.0164953382739661</v>
      </c>
    </row>
    <row r="411" spans="1:6" x14ac:dyDescent="0.3">
      <c r="A411" s="1">
        <v>34.533000000000001</v>
      </c>
      <c r="B411" s="1">
        <v>2.8700999999999999</v>
      </c>
      <c r="C411" s="1">
        <f>Tabela11[[#This Row],[Alongamento(mm/mm)]]/$I$2</f>
        <v>5.7401999999999995E-2</v>
      </c>
      <c r="D411" s="1">
        <v>285.26</v>
      </c>
      <c r="E411" s="1">
        <f>Tabela11[[#This Row],[Força(N)]]/$I$5</f>
        <v>9092676.7073073555</v>
      </c>
      <c r="F411" s="1">
        <f>Tabela11[[#This Row],[Tensão(Pa)]]/1000000</f>
        <v>9.0926767073073549</v>
      </c>
    </row>
    <row r="412" spans="1:6" x14ac:dyDescent="0.3">
      <c r="A412" s="1">
        <v>34.633000000000003</v>
      </c>
      <c r="B412" s="1">
        <v>2.8784000000000001</v>
      </c>
      <c r="C412" s="1">
        <f>Tabela11[[#This Row],[Alongamento(mm/mm)]]/$I$2</f>
        <v>5.7568000000000001E-2</v>
      </c>
      <c r="D412" s="1">
        <v>287.64</v>
      </c>
      <c r="E412" s="1">
        <f>Tabela11[[#This Row],[Força(N)]]/$I$5</f>
        <v>9168539.3258426972</v>
      </c>
      <c r="F412" s="1">
        <f>Tabela11[[#This Row],[Tensão(Pa)]]/1000000</f>
        <v>9.1685393258426977</v>
      </c>
    </row>
    <row r="413" spans="1:6" x14ac:dyDescent="0.3">
      <c r="A413" s="1">
        <v>34.732999999999997</v>
      </c>
      <c r="B413" s="1">
        <v>2.8866999999999998</v>
      </c>
      <c r="C413" s="1">
        <f>Tabela11[[#This Row],[Alongamento(mm/mm)]]/$I$2</f>
        <v>5.7733999999999994E-2</v>
      </c>
      <c r="D413" s="1">
        <v>290.02</v>
      </c>
      <c r="E413" s="1">
        <f>Tabela11[[#This Row],[Força(N)]]/$I$5</f>
        <v>9244401.9443780389</v>
      </c>
      <c r="F413" s="1">
        <f>Tabela11[[#This Row],[Tensão(Pa)]]/1000000</f>
        <v>9.2444019443780387</v>
      </c>
    </row>
    <row r="414" spans="1:6" x14ac:dyDescent="0.3">
      <c r="A414" s="1">
        <v>34.832999999999998</v>
      </c>
      <c r="B414" s="1">
        <v>2.8950999999999998</v>
      </c>
      <c r="C414" s="1">
        <f>Tabela11[[#This Row],[Alongamento(mm/mm)]]/$I$2</f>
        <v>5.7901999999999995E-2</v>
      </c>
      <c r="D414" s="1">
        <v>292.39999999999998</v>
      </c>
      <c r="E414" s="1">
        <f>Tabela11[[#This Row],[Força(N)]]/$I$5</f>
        <v>9320264.5629133787</v>
      </c>
      <c r="F414" s="1">
        <f>Tabela11[[#This Row],[Tensão(Pa)]]/1000000</f>
        <v>9.320264562913378</v>
      </c>
    </row>
    <row r="415" spans="1:6" x14ac:dyDescent="0.3">
      <c r="A415" s="1">
        <v>34.917000000000002</v>
      </c>
      <c r="B415" s="1">
        <v>2.9020000000000001</v>
      </c>
      <c r="C415" s="1">
        <f>Tabela11[[#This Row],[Alongamento(mm/mm)]]/$I$2</f>
        <v>5.8040000000000001E-2</v>
      </c>
      <c r="D415" s="1">
        <v>294.44</v>
      </c>
      <c r="E415" s="1">
        <f>Tabela11[[#This Row],[Força(N)]]/$I$5</f>
        <v>9385289.6645151004</v>
      </c>
      <c r="F415" s="1">
        <f>Tabela11[[#This Row],[Tensão(Pa)]]/1000000</f>
        <v>9.3852896645151009</v>
      </c>
    </row>
    <row r="416" spans="1:6" x14ac:dyDescent="0.3">
      <c r="A416" s="1">
        <v>35</v>
      </c>
      <c r="B416" s="1">
        <v>2.9089999999999998</v>
      </c>
      <c r="C416" s="1">
        <f>Tabela11[[#This Row],[Alongamento(mm/mm)]]/$I$2</f>
        <v>5.8179999999999996E-2</v>
      </c>
      <c r="D416" s="1">
        <v>296.48</v>
      </c>
      <c r="E416" s="1">
        <f>Tabela11[[#This Row],[Força(N)]]/$I$5</f>
        <v>9450314.766116824</v>
      </c>
      <c r="F416" s="1">
        <f>Tabela11[[#This Row],[Tensão(Pa)]]/1000000</f>
        <v>9.4503147661168239</v>
      </c>
    </row>
    <row r="417" spans="1:6" x14ac:dyDescent="0.3">
      <c r="A417" s="1">
        <v>35.082999999999998</v>
      </c>
      <c r="B417" s="1">
        <v>2.9159000000000002</v>
      </c>
      <c r="C417" s="1">
        <f>Tabela11[[#This Row],[Alongamento(mm/mm)]]/$I$2</f>
        <v>5.8318000000000002E-2</v>
      </c>
      <c r="D417" s="1">
        <v>298.52</v>
      </c>
      <c r="E417" s="1">
        <f>Tabela11[[#This Row],[Força(N)]]/$I$5</f>
        <v>9515339.8677185439</v>
      </c>
      <c r="F417" s="1">
        <f>Tabela11[[#This Row],[Tensão(Pa)]]/1000000</f>
        <v>9.5153398677185432</v>
      </c>
    </row>
    <row r="418" spans="1:6" x14ac:dyDescent="0.3">
      <c r="A418" s="1">
        <v>35.167000000000002</v>
      </c>
      <c r="B418" s="1">
        <v>2.9228999999999998</v>
      </c>
      <c r="C418" s="1">
        <f>Tabela11[[#This Row],[Alongamento(mm/mm)]]/$I$2</f>
        <v>5.8457999999999996E-2</v>
      </c>
      <c r="D418" s="1">
        <v>300.73</v>
      </c>
      <c r="E418" s="1">
        <f>Tabela11[[#This Row],[Força(N)]]/$I$5</f>
        <v>9585783.7277870756</v>
      </c>
      <c r="F418" s="1">
        <f>Tabela11[[#This Row],[Tensão(Pa)]]/1000000</f>
        <v>9.5857837277870761</v>
      </c>
    </row>
    <row r="419" spans="1:6" x14ac:dyDescent="0.3">
      <c r="A419" s="1">
        <v>35.25</v>
      </c>
      <c r="B419" s="1">
        <v>2.9298000000000002</v>
      </c>
      <c r="C419" s="1">
        <f>Tabela11[[#This Row],[Alongamento(mm/mm)]]/$I$2</f>
        <v>5.8596000000000002E-2</v>
      </c>
      <c r="D419" s="1">
        <v>302.77999999999997</v>
      </c>
      <c r="E419" s="1">
        <f>Tabela11[[#This Row],[Força(N)]]/$I$5</f>
        <v>9651127.5798868425</v>
      </c>
      <c r="F419" s="1">
        <f>Tabela11[[#This Row],[Tensão(Pa)]]/1000000</f>
        <v>9.6511275798868432</v>
      </c>
    </row>
    <row r="420" spans="1:6" x14ac:dyDescent="0.3">
      <c r="A420" s="1">
        <v>35.332999999999998</v>
      </c>
      <c r="B420" s="1">
        <v>2.9367999999999999</v>
      </c>
      <c r="C420" s="1">
        <f>Tabela11[[#This Row],[Alongamento(mm/mm)]]/$I$2</f>
        <v>5.8735999999999997E-2</v>
      </c>
      <c r="D420" s="1">
        <v>304.99</v>
      </c>
      <c r="E420" s="1">
        <f>Tabela11[[#This Row],[Força(N)]]/$I$5</f>
        <v>9721571.4399553761</v>
      </c>
      <c r="F420" s="1">
        <f>Tabela11[[#This Row],[Tensão(Pa)]]/1000000</f>
        <v>9.7215714399553761</v>
      </c>
    </row>
    <row r="421" spans="1:6" x14ac:dyDescent="0.3">
      <c r="A421" s="1">
        <v>35.433</v>
      </c>
      <c r="B421" s="1">
        <v>2.9451000000000001</v>
      </c>
      <c r="C421" s="1">
        <f>Tabela11[[#This Row],[Alongamento(mm/mm)]]/$I$2</f>
        <v>5.8902000000000003E-2</v>
      </c>
      <c r="D421" s="1">
        <v>307.37</v>
      </c>
      <c r="E421" s="1">
        <f>Tabela11[[#This Row],[Força(N)]]/$I$5</f>
        <v>9797434.0584907178</v>
      </c>
      <c r="F421" s="1">
        <f>Tabela11[[#This Row],[Tensão(Pa)]]/1000000</f>
        <v>9.7974340584907171</v>
      </c>
    </row>
    <row r="422" spans="1:6" x14ac:dyDescent="0.3">
      <c r="A422" s="1">
        <v>35.533000000000001</v>
      </c>
      <c r="B422" s="1">
        <v>2.9533999999999998</v>
      </c>
      <c r="C422" s="1">
        <f>Tabela11[[#This Row],[Alongamento(mm/mm)]]/$I$2</f>
        <v>5.9067999999999996E-2</v>
      </c>
      <c r="D422" s="1">
        <v>309.92</v>
      </c>
      <c r="E422" s="1">
        <f>Tabela11[[#This Row],[Força(N)]]/$I$5</f>
        <v>9878715.4354928695</v>
      </c>
      <c r="F422" s="1">
        <f>Tabela11[[#This Row],[Tensão(Pa)]]/1000000</f>
        <v>9.8787154354928699</v>
      </c>
    </row>
    <row r="423" spans="1:6" x14ac:dyDescent="0.3">
      <c r="A423" s="1">
        <v>35.633000000000003</v>
      </c>
      <c r="B423" s="1">
        <v>2.9618000000000002</v>
      </c>
      <c r="C423" s="1">
        <f>Tabela11[[#This Row],[Alongamento(mm/mm)]]/$I$2</f>
        <v>5.9236000000000004E-2</v>
      </c>
      <c r="D423" s="1">
        <v>312.47000000000003</v>
      </c>
      <c r="E423" s="1">
        <f>Tabela11[[#This Row],[Força(N)]]/$I$5</f>
        <v>9959996.8124950211</v>
      </c>
      <c r="F423" s="1">
        <f>Tabela11[[#This Row],[Tensão(Pa)]]/1000000</f>
        <v>9.9599968124950209</v>
      </c>
    </row>
    <row r="424" spans="1:6" x14ac:dyDescent="0.3">
      <c r="A424" s="1">
        <v>35.732999999999997</v>
      </c>
      <c r="B424" s="1">
        <v>2.97</v>
      </c>
      <c r="C424" s="1">
        <f>Tabela11[[#This Row],[Alongamento(mm/mm)]]/$I$2</f>
        <v>5.9400000000000001E-2</v>
      </c>
      <c r="D424" s="1">
        <v>315.19</v>
      </c>
      <c r="E424" s="1">
        <f>Tabela11[[#This Row],[Força(N)]]/$I$5</f>
        <v>10046696.947963981</v>
      </c>
      <c r="F424" s="1">
        <f>Tabela11[[#This Row],[Tensão(Pa)]]/1000000</f>
        <v>10.046696947963982</v>
      </c>
    </row>
    <row r="425" spans="1:6" x14ac:dyDescent="0.3">
      <c r="A425" s="1">
        <v>35.832999999999998</v>
      </c>
      <c r="B425" s="1">
        <v>2.9784000000000002</v>
      </c>
      <c r="C425" s="1">
        <f>Tabela11[[#This Row],[Alongamento(mm/mm)]]/$I$2</f>
        <v>5.9568000000000003E-2</v>
      </c>
      <c r="D425" s="1">
        <v>317.74</v>
      </c>
      <c r="E425" s="1">
        <f>Tabela11[[#This Row],[Força(N)]]/$I$5</f>
        <v>10127978.324966135</v>
      </c>
      <c r="F425" s="1">
        <f>Tabela11[[#This Row],[Tensão(Pa)]]/1000000</f>
        <v>10.127978324966135</v>
      </c>
    </row>
    <row r="426" spans="1:6" x14ac:dyDescent="0.3">
      <c r="A426" s="1">
        <v>35.933</v>
      </c>
      <c r="B426" s="1">
        <v>2.9866999999999999</v>
      </c>
      <c r="C426" s="1">
        <f>Tabela11[[#This Row],[Alongamento(mm/mm)]]/$I$2</f>
        <v>5.9733999999999995E-2</v>
      </c>
      <c r="D426" s="1">
        <v>320.3</v>
      </c>
      <c r="E426" s="1">
        <f>Tabela11[[#This Row],[Força(N)]]/$I$5</f>
        <v>10209578.452466333</v>
      </c>
      <c r="F426" s="1">
        <f>Tabela11[[#This Row],[Tensão(Pa)]]/1000000</f>
        <v>10.209578452466333</v>
      </c>
    </row>
    <row r="427" spans="1:6" x14ac:dyDescent="0.3">
      <c r="A427" s="1">
        <v>36.033000000000001</v>
      </c>
      <c r="B427" s="1">
        <v>2.9950999999999999</v>
      </c>
      <c r="C427" s="1">
        <f>Tabela11[[#This Row],[Alongamento(mm/mm)]]/$I$2</f>
        <v>5.9901999999999997E-2</v>
      </c>
      <c r="D427" s="1">
        <v>322.85000000000002</v>
      </c>
      <c r="E427" s="1">
        <f>Tabela11[[#This Row],[Força(N)]]/$I$5</f>
        <v>10290859.829468485</v>
      </c>
      <c r="F427" s="1">
        <f>Tabela11[[#This Row],[Tensão(Pa)]]/1000000</f>
        <v>10.290859829468484</v>
      </c>
    </row>
    <row r="428" spans="1:6" x14ac:dyDescent="0.3">
      <c r="A428" s="1">
        <v>36.133000000000003</v>
      </c>
      <c r="B428" s="1">
        <v>3.0034000000000001</v>
      </c>
      <c r="C428" s="1">
        <f>Tabela11[[#This Row],[Alongamento(mm/mm)]]/$I$2</f>
        <v>6.0068000000000003E-2</v>
      </c>
      <c r="D428" s="1">
        <v>325.57</v>
      </c>
      <c r="E428" s="1">
        <f>Tabela11[[#This Row],[Força(N)]]/$I$5</f>
        <v>10377559.964937445</v>
      </c>
      <c r="F428" s="1">
        <f>Tabela11[[#This Row],[Tensão(Pa)]]/1000000</f>
        <v>10.377559964937445</v>
      </c>
    </row>
    <row r="429" spans="1:6" x14ac:dyDescent="0.3">
      <c r="A429" s="1">
        <v>36.232999999999997</v>
      </c>
      <c r="B429" s="1">
        <v>3.0116999999999998</v>
      </c>
      <c r="C429" s="1">
        <f>Tabela11[[#This Row],[Alongamento(mm/mm)]]/$I$2</f>
        <v>6.0233999999999996E-2</v>
      </c>
      <c r="D429" s="1">
        <v>328.12</v>
      </c>
      <c r="E429" s="1">
        <f>Tabela11[[#This Row],[Força(N)]]/$I$5</f>
        <v>10458841.341939598</v>
      </c>
      <c r="F429" s="1">
        <f>Tabela11[[#This Row],[Tensão(Pa)]]/1000000</f>
        <v>10.458841341939598</v>
      </c>
    </row>
    <row r="430" spans="1:6" x14ac:dyDescent="0.3">
      <c r="A430" s="1">
        <v>36.317</v>
      </c>
      <c r="B430" s="1">
        <v>3.0186999999999999</v>
      </c>
      <c r="C430" s="1">
        <f>Tabela11[[#This Row],[Alongamento(mm/mm)]]/$I$2</f>
        <v>6.0373999999999997E-2</v>
      </c>
      <c r="D430" s="1">
        <v>330.5</v>
      </c>
      <c r="E430" s="1">
        <f>Tabela11[[#This Row],[Força(N)]]/$I$5</f>
        <v>10534703.960474938</v>
      </c>
      <c r="F430" s="1">
        <f>Tabela11[[#This Row],[Tensão(Pa)]]/1000000</f>
        <v>10.534703960474937</v>
      </c>
    </row>
    <row r="431" spans="1:6" x14ac:dyDescent="0.3">
      <c r="A431" s="1">
        <v>36.417000000000002</v>
      </c>
      <c r="B431" s="1">
        <v>3.0270000000000001</v>
      </c>
      <c r="C431" s="1">
        <f>Tabela11[[#This Row],[Alongamento(mm/mm)]]/$I$2</f>
        <v>6.0540000000000004E-2</v>
      </c>
      <c r="D431" s="1">
        <v>333.22</v>
      </c>
      <c r="E431" s="1">
        <f>Tabela11[[#This Row],[Força(N)]]/$I$5</f>
        <v>10621404.095943902</v>
      </c>
      <c r="F431" s="1">
        <f>Tabela11[[#This Row],[Tensão(Pa)]]/1000000</f>
        <v>10.621404095943902</v>
      </c>
    </row>
    <row r="432" spans="1:6" x14ac:dyDescent="0.3">
      <c r="A432" s="1">
        <v>36.517000000000003</v>
      </c>
      <c r="B432" s="1">
        <v>3.0354000000000001</v>
      </c>
      <c r="C432" s="1">
        <f>Tabela11[[#This Row],[Alongamento(mm/mm)]]/$I$2</f>
        <v>6.0708000000000005E-2</v>
      </c>
      <c r="D432" s="1">
        <v>335.95</v>
      </c>
      <c r="E432" s="1">
        <f>Tabela11[[#This Row],[Força(N)]]/$I$5</f>
        <v>10708422.981910909</v>
      </c>
      <c r="F432" s="1">
        <f>Tabela11[[#This Row],[Tensão(Pa)]]/1000000</f>
        <v>10.708422981910909</v>
      </c>
    </row>
    <row r="433" spans="1:6" x14ac:dyDescent="0.3">
      <c r="A433" s="1">
        <v>36.616999999999997</v>
      </c>
      <c r="B433" s="1">
        <v>3.0436999999999999</v>
      </c>
      <c r="C433" s="1">
        <f>Tabela11[[#This Row],[Alongamento(mm/mm)]]/$I$2</f>
        <v>6.0873999999999998E-2</v>
      </c>
      <c r="D433" s="1">
        <v>338.67</v>
      </c>
      <c r="E433" s="1">
        <f>Tabela11[[#This Row],[Força(N)]]/$I$5</f>
        <v>10795123.117379872</v>
      </c>
      <c r="F433" s="1">
        <f>Tabela11[[#This Row],[Tensão(Pa)]]/1000000</f>
        <v>10.795123117379871</v>
      </c>
    </row>
    <row r="434" spans="1:6" x14ac:dyDescent="0.3">
      <c r="A434" s="1">
        <v>36.716999999999999</v>
      </c>
      <c r="B434" s="1">
        <v>3.052</v>
      </c>
      <c r="C434" s="1">
        <f>Tabela11[[#This Row],[Alongamento(mm/mm)]]/$I$2</f>
        <v>6.1040000000000004E-2</v>
      </c>
      <c r="D434" s="1">
        <v>341.39</v>
      </c>
      <c r="E434" s="1">
        <f>Tabela11[[#This Row],[Força(N)]]/$I$5</f>
        <v>10881823.252848832</v>
      </c>
      <c r="F434" s="1">
        <f>Tabela11[[#This Row],[Tensão(Pa)]]/1000000</f>
        <v>10.881823252848832</v>
      </c>
    </row>
    <row r="435" spans="1:6" x14ac:dyDescent="0.3">
      <c r="A435" s="1">
        <v>36.817</v>
      </c>
      <c r="B435" s="1">
        <v>3.0604</v>
      </c>
      <c r="C435" s="1">
        <f>Tabela11[[#This Row],[Alongamento(mm/mm)]]/$I$2</f>
        <v>6.1207999999999999E-2</v>
      </c>
      <c r="D435" s="1">
        <v>344.11</v>
      </c>
      <c r="E435" s="1">
        <f>Tabela11[[#This Row],[Força(N)]]/$I$5</f>
        <v>10968523.388317795</v>
      </c>
      <c r="F435" s="1">
        <f>Tabela11[[#This Row],[Tensão(Pa)]]/1000000</f>
        <v>10.968523388317795</v>
      </c>
    </row>
    <row r="436" spans="1:6" x14ac:dyDescent="0.3">
      <c r="A436" s="1">
        <v>36.917000000000002</v>
      </c>
      <c r="B436" s="1">
        <v>3.0687000000000002</v>
      </c>
      <c r="C436" s="1">
        <f>Tabela11[[#This Row],[Alongamento(mm/mm)]]/$I$2</f>
        <v>6.1374000000000005E-2</v>
      </c>
      <c r="D436" s="1">
        <v>346.83</v>
      </c>
      <c r="E436" s="1">
        <f>Tabela11[[#This Row],[Força(N)]]/$I$5</f>
        <v>11055223.523786755</v>
      </c>
      <c r="F436" s="1">
        <f>Tabela11[[#This Row],[Tensão(Pa)]]/1000000</f>
        <v>11.055223523786756</v>
      </c>
    </row>
    <row r="437" spans="1:6" x14ac:dyDescent="0.3">
      <c r="A437" s="1">
        <v>37</v>
      </c>
      <c r="B437" s="1">
        <v>3.0756999999999999</v>
      </c>
      <c r="C437" s="1">
        <f>Tabela11[[#This Row],[Alongamento(mm/mm)]]/$I$2</f>
        <v>6.1513999999999999E-2</v>
      </c>
      <c r="D437" s="1">
        <v>349.21</v>
      </c>
      <c r="E437" s="1">
        <f>Tabela11[[#This Row],[Força(N)]]/$I$5</f>
        <v>11131086.142322097</v>
      </c>
      <c r="F437" s="1">
        <f>Tabela11[[#This Row],[Tensão(Pa)]]/1000000</f>
        <v>11.131086142322097</v>
      </c>
    </row>
    <row r="438" spans="1:6" x14ac:dyDescent="0.3">
      <c r="A438" s="1">
        <v>37.1</v>
      </c>
      <c r="B438" s="1">
        <v>3.0838999999999999</v>
      </c>
      <c r="C438" s="1">
        <f>Tabela11[[#This Row],[Alongamento(mm/mm)]]/$I$2</f>
        <v>6.1677999999999997E-2</v>
      </c>
      <c r="D438" s="1">
        <v>352.1</v>
      </c>
      <c r="E438" s="1">
        <f>Tabela11[[#This Row],[Força(N)]]/$I$5</f>
        <v>11223205.03625787</v>
      </c>
      <c r="F438" s="1">
        <f>Tabela11[[#This Row],[Tensão(Pa)]]/1000000</f>
        <v>11.22320503625787</v>
      </c>
    </row>
    <row r="439" spans="1:6" x14ac:dyDescent="0.3">
      <c r="A439" s="1">
        <v>37.200000000000003</v>
      </c>
      <c r="B439" s="1">
        <v>3.0922999999999998</v>
      </c>
      <c r="C439" s="1">
        <f>Tabela11[[#This Row],[Alongamento(mm/mm)]]/$I$2</f>
        <v>6.1845999999999998E-2</v>
      </c>
      <c r="D439" s="1">
        <v>355</v>
      </c>
      <c r="E439" s="1">
        <f>Tabela11[[#This Row],[Força(N)]]/$I$5</f>
        <v>11315642.680691689</v>
      </c>
      <c r="F439" s="1">
        <f>Tabela11[[#This Row],[Tensão(Pa)]]/1000000</f>
        <v>11.31564268069169</v>
      </c>
    </row>
    <row r="440" spans="1:6" x14ac:dyDescent="0.3">
      <c r="A440" s="1">
        <v>37.299999999999997</v>
      </c>
      <c r="B440" s="1">
        <v>3.1006</v>
      </c>
      <c r="C440" s="1">
        <f>Tabela11[[#This Row],[Alongamento(mm/mm)]]/$I$2</f>
        <v>6.2011999999999998E-2</v>
      </c>
      <c r="D440" s="1">
        <v>357.89</v>
      </c>
      <c r="E440" s="1">
        <f>Tabela11[[#This Row],[Força(N)]]/$I$5</f>
        <v>11407761.574627461</v>
      </c>
      <c r="F440" s="1">
        <f>Tabela11[[#This Row],[Tensão(Pa)]]/1000000</f>
        <v>11.407761574627461</v>
      </c>
    </row>
    <row r="441" spans="1:6" x14ac:dyDescent="0.3">
      <c r="A441" s="1">
        <v>37.4</v>
      </c>
      <c r="B441" s="1">
        <v>3.109</v>
      </c>
      <c r="C441" s="1">
        <f>Tabela11[[#This Row],[Alongamento(mm/mm)]]/$I$2</f>
        <v>6.2179999999999999E-2</v>
      </c>
      <c r="D441" s="1">
        <v>360.78</v>
      </c>
      <c r="E441" s="1">
        <f>Tabela11[[#This Row],[Força(N)]]/$I$5</f>
        <v>11499880.468563233</v>
      </c>
      <c r="F441" s="1">
        <f>Tabela11[[#This Row],[Tensão(Pa)]]/1000000</f>
        <v>11.499880468563232</v>
      </c>
    </row>
    <row r="442" spans="1:6" x14ac:dyDescent="0.3">
      <c r="A442" s="1">
        <v>37.5</v>
      </c>
      <c r="B442" s="1">
        <v>3.1173000000000002</v>
      </c>
      <c r="C442" s="1">
        <f>Tabela11[[#This Row],[Alongamento(mm/mm)]]/$I$2</f>
        <v>6.2346000000000006E-2</v>
      </c>
      <c r="D442" s="1">
        <v>363.67</v>
      </c>
      <c r="E442" s="1">
        <f>Tabela11[[#This Row],[Força(N)]]/$I$5</f>
        <v>11591999.362499004</v>
      </c>
      <c r="F442" s="1">
        <f>Tabela11[[#This Row],[Tensão(Pa)]]/1000000</f>
        <v>11.591999362499005</v>
      </c>
    </row>
    <row r="443" spans="1:6" x14ac:dyDescent="0.3">
      <c r="A443" s="1">
        <v>37.6</v>
      </c>
      <c r="B443" s="1">
        <v>3.1255999999999999</v>
      </c>
      <c r="C443" s="1">
        <f>Tabela11[[#This Row],[Alongamento(mm/mm)]]/$I$2</f>
        <v>6.2511999999999998E-2</v>
      </c>
      <c r="D443" s="1">
        <v>366.73</v>
      </c>
      <c r="E443" s="1">
        <f>Tabela11[[#This Row],[Força(N)]]/$I$5</f>
        <v>11689537.014901588</v>
      </c>
      <c r="F443" s="1">
        <f>Tabela11[[#This Row],[Tensão(Pa)]]/1000000</f>
        <v>11.689537014901587</v>
      </c>
    </row>
    <row r="444" spans="1:6" x14ac:dyDescent="0.3">
      <c r="A444" s="1">
        <v>37.700000000000003</v>
      </c>
      <c r="B444" s="1">
        <v>3.1339000000000001</v>
      </c>
      <c r="C444" s="1">
        <f>Tabela11[[#This Row],[Alongamento(mm/mm)]]/$I$2</f>
        <v>6.2677999999999998E-2</v>
      </c>
      <c r="D444" s="1">
        <v>369.62</v>
      </c>
      <c r="E444" s="1">
        <f>Tabela11[[#This Row],[Força(N)]]/$I$5</f>
        <v>11781655.908837358</v>
      </c>
      <c r="F444" s="1">
        <f>Tabela11[[#This Row],[Tensão(Pa)]]/1000000</f>
        <v>11.781655908837358</v>
      </c>
    </row>
    <row r="445" spans="1:6" x14ac:dyDescent="0.3">
      <c r="A445" s="1">
        <v>37.799999999999997</v>
      </c>
      <c r="B445" s="1">
        <v>3.1423000000000001</v>
      </c>
      <c r="C445" s="1">
        <f>Tabela11[[#This Row],[Alongamento(mm/mm)]]/$I$2</f>
        <v>6.2845999999999999E-2</v>
      </c>
      <c r="D445" s="1">
        <v>372.69</v>
      </c>
      <c r="E445" s="1">
        <f>Tabela11[[#This Row],[Força(N)]]/$I$5</f>
        <v>11879512.311737988</v>
      </c>
      <c r="F445" s="1">
        <f>Tabela11[[#This Row],[Tensão(Pa)]]/1000000</f>
        <v>11.879512311737988</v>
      </c>
    </row>
    <row r="446" spans="1:6" x14ac:dyDescent="0.3">
      <c r="A446" s="1">
        <v>37.9</v>
      </c>
      <c r="B446" s="1">
        <v>3.1505999999999998</v>
      </c>
      <c r="C446" s="1">
        <f>Tabela11[[#This Row],[Alongamento(mm/mm)]]/$I$2</f>
        <v>6.3011999999999999E-2</v>
      </c>
      <c r="D446" s="1">
        <v>375.58</v>
      </c>
      <c r="E446" s="1">
        <f>Tabela11[[#This Row],[Força(N)]]/$I$5</f>
        <v>11971631.20567376</v>
      </c>
      <c r="F446" s="1">
        <f>Tabela11[[#This Row],[Tensão(Pa)]]/1000000</f>
        <v>11.971631205673759</v>
      </c>
    </row>
    <row r="447" spans="1:6" x14ac:dyDescent="0.3">
      <c r="A447" s="1">
        <v>38</v>
      </c>
      <c r="B447" s="1">
        <v>3.1589</v>
      </c>
      <c r="C447" s="1">
        <f>Tabela11[[#This Row],[Alongamento(mm/mm)]]/$I$2</f>
        <v>6.3177999999999998E-2</v>
      </c>
      <c r="D447" s="1">
        <v>378.64</v>
      </c>
      <c r="E447" s="1">
        <f>Tabela11[[#This Row],[Força(N)]]/$I$5</f>
        <v>12069168.858076341</v>
      </c>
      <c r="F447" s="1">
        <f>Tabela11[[#This Row],[Tensão(Pa)]]/1000000</f>
        <v>12.069168858076342</v>
      </c>
    </row>
    <row r="448" spans="1:6" x14ac:dyDescent="0.3">
      <c r="A448" s="1">
        <v>38.1</v>
      </c>
      <c r="B448" s="1">
        <v>3.1673</v>
      </c>
      <c r="C448" s="1">
        <f>Tabela11[[#This Row],[Alongamento(mm/mm)]]/$I$2</f>
        <v>6.3346E-2</v>
      </c>
      <c r="D448" s="1">
        <v>381.7</v>
      </c>
      <c r="E448" s="1">
        <f>Tabela11[[#This Row],[Força(N)]]/$I$5</f>
        <v>12166706.510478923</v>
      </c>
      <c r="F448" s="1">
        <f>Tabela11[[#This Row],[Tensão(Pa)]]/1000000</f>
        <v>12.166706510478923</v>
      </c>
    </row>
    <row r="449" spans="1:6" x14ac:dyDescent="0.3">
      <c r="A449" s="1">
        <v>38.200000000000003</v>
      </c>
      <c r="B449" s="1">
        <v>3.1756000000000002</v>
      </c>
      <c r="C449" s="1">
        <f>Tabela11[[#This Row],[Alongamento(mm/mm)]]/$I$2</f>
        <v>6.3511999999999999E-2</v>
      </c>
      <c r="D449" s="1">
        <v>384.76</v>
      </c>
      <c r="E449" s="1">
        <f>Tabela11[[#This Row],[Força(N)]]/$I$5</f>
        <v>12264244.162881505</v>
      </c>
      <c r="F449" s="1">
        <f>Tabela11[[#This Row],[Tensão(Pa)]]/1000000</f>
        <v>12.264244162881505</v>
      </c>
    </row>
    <row r="450" spans="1:6" x14ac:dyDescent="0.3">
      <c r="A450" s="1">
        <v>38.299999999999997</v>
      </c>
      <c r="B450" s="1">
        <v>3.1840000000000002</v>
      </c>
      <c r="C450" s="1">
        <f>Tabela11[[#This Row],[Alongamento(mm/mm)]]/$I$2</f>
        <v>6.368E-2</v>
      </c>
      <c r="D450" s="1">
        <v>387.66</v>
      </c>
      <c r="E450" s="1">
        <f>Tabela11[[#This Row],[Força(N)]]/$I$5</f>
        <v>12356681.807315325</v>
      </c>
      <c r="F450" s="1">
        <f>Tabela11[[#This Row],[Tensão(Pa)]]/1000000</f>
        <v>12.356681807315326</v>
      </c>
    </row>
    <row r="451" spans="1:6" x14ac:dyDescent="0.3">
      <c r="A451" s="1">
        <v>38.4</v>
      </c>
      <c r="B451" s="1">
        <v>3.1922999999999999</v>
      </c>
      <c r="C451" s="1">
        <f>Tabela11[[#This Row],[Alongamento(mm/mm)]]/$I$2</f>
        <v>6.3846E-2</v>
      </c>
      <c r="D451" s="1">
        <v>390.72</v>
      </c>
      <c r="E451" s="1">
        <f>Tabela11[[#This Row],[Força(N)]]/$I$5</f>
        <v>12454219.459717907</v>
      </c>
      <c r="F451" s="1">
        <f>Tabela11[[#This Row],[Tensão(Pa)]]/1000000</f>
        <v>12.454219459717907</v>
      </c>
    </row>
    <row r="452" spans="1:6" x14ac:dyDescent="0.3">
      <c r="A452" s="1">
        <v>38.5</v>
      </c>
      <c r="B452" s="1">
        <v>3.2006000000000001</v>
      </c>
      <c r="C452" s="1">
        <f>Tabela11[[#This Row],[Alongamento(mm/mm)]]/$I$2</f>
        <v>6.4011999999999999E-2</v>
      </c>
      <c r="D452" s="1">
        <v>393.78</v>
      </c>
      <c r="E452" s="1">
        <f>Tabela11[[#This Row],[Força(N)]]/$I$5</f>
        <v>12551757.112120487</v>
      </c>
      <c r="F452" s="1">
        <f>Tabela11[[#This Row],[Tensão(Pa)]]/1000000</f>
        <v>12.551757112120487</v>
      </c>
    </row>
    <row r="453" spans="1:6" x14ac:dyDescent="0.3">
      <c r="A453" s="1">
        <v>38.616999999999997</v>
      </c>
      <c r="B453" s="1">
        <v>3.2103999999999999</v>
      </c>
      <c r="C453" s="1">
        <f>Tabela11[[#This Row],[Alongamento(mm/mm)]]/$I$2</f>
        <v>6.4208000000000001E-2</v>
      </c>
      <c r="D453" s="1">
        <v>397.18</v>
      </c>
      <c r="E453" s="1">
        <f>Tabela11[[#This Row],[Força(N)]]/$I$5</f>
        <v>12660132.28145669</v>
      </c>
      <c r="F453" s="1">
        <f>Tabela11[[#This Row],[Tensão(Pa)]]/1000000</f>
        <v>12.66013228145669</v>
      </c>
    </row>
    <row r="454" spans="1:6" x14ac:dyDescent="0.3">
      <c r="A454" s="1">
        <v>38.716999999999999</v>
      </c>
      <c r="B454" s="1">
        <v>3.2187000000000001</v>
      </c>
      <c r="C454" s="1">
        <f>Tabela11[[#This Row],[Alongamento(mm/mm)]]/$I$2</f>
        <v>6.4374000000000001E-2</v>
      </c>
      <c r="D454" s="1">
        <v>400.24</v>
      </c>
      <c r="E454" s="1">
        <f>Tabela11[[#This Row],[Força(N)]]/$I$5</f>
        <v>12757669.933859272</v>
      </c>
      <c r="F454" s="1">
        <f>Tabela11[[#This Row],[Tensão(Pa)]]/1000000</f>
        <v>12.757669933859273</v>
      </c>
    </row>
    <row r="455" spans="1:6" x14ac:dyDescent="0.3">
      <c r="A455" s="1">
        <v>38.817</v>
      </c>
      <c r="B455" s="1">
        <v>3.2269999999999999</v>
      </c>
      <c r="C455" s="1">
        <f>Tabela11[[#This Row],[Alongamento(mm/mm)]]/$I$2</f>
        <v>6.454E-2</v>
      </c>
      <c r="D455" s="1">
        <v>403.3</v>
      </c>
      <c r="E455" s="1">
        <f>Tabela11[[#This Row],[Força(N)]]/$I$5</f>
        <v>12855207.586261855</v>
      </c>
      <c r="F455" s="1">
        <f>Tabela11[[#This Row],[Tensão(Pa)]]/1000000</f>
        <v>12.855207586261855</v>
      </c>
    </row>
    <row r="456" spans="1:6" x14ac:dyDescent="0.3">
      <c r="A456" s="1">
        <v>38.917000000000002</v>
      </c>
      <c r="B456" s="1">
        <v>3.2353000000000001</v>
      </c>
      <c r="C456" s="1">
        <f>Tabela11[[#This Row],[Alongamento(mm/mm)]]/$I$2</f>
        <v>6.4706E-2</v>
      </c>
      <c r="D456" s="1">
        <v>406.37</v>
      </c>
      <c r="E456" s="1">
        <f>Tabela11[[#This Row],[Força(N)]]/$I$5</f>
        <v>12953063.989162484</v>
      </c>
      <c r="F456" s="1">
        <f>Tabela11[[#This Row],[Tensão(Pa)]]/1000000</f>
        <v>12.953063989162484</v>
      </c>
    </row>
    <row r="457" spans="1:6" x14ac:dyDescent="0.3">
      <c r="A457" s="1">
        <v>39.033000000000001</v>
      </c>
      <c r="B457" s="1">
        <v>3.2450999999999999</v>
      </c>
      <c r="C457" s="1">
        <f>Tabela11[[#This Row],[Alongamento(mm/mm)]]/$I$2</f>
        <v>6.4902000000000001E-2</v>
      </c>
      <c r="D457" s="1">
        <v>409.77</v>
      </c>
      <c r="E457" s="1">
        <f>Tabela11[[#This Row],[Força(N)]]/$I$5</f>
        <v>13061439.158498686</v>
      </c>
      <c r="F457" s="1">
        <f>Tabela11[[#This Row],[Tensão(Pa)]]/1000000</f>
        <v>13.061439158498686</v>
      </c>
    </row>
    <row r="458" spans="1:6" x14ac:dyDescent="0.3">
      <c r="A458" s="1">
        <v>39.133000000000003</v>
      </c>
      <c r="B458" s="1">
        <v>3.2534000000000001</v>
      </c>
      <c r="C458" s="1">
        <f>Tabela11[[#This Row],[Alongamento(mm/mm)]]/$I$2</f>
        <v>6.5068000000000001E-2</v>
      </c>
      <c r="D458" s="1">
        <v>412.83</v>
      </c>
      <c r="E458" s="1">
        <f>Tabela11[[#This Row],[Força(N)]]/$I$5</f>
        <v>13158976.810901267</v>
      </c>
      <c r="F458" s="1">
        <f>Tabela11[[#This Row],[Tensão(Pa)]]/1000000</f>
        <v>13.158976810901267</v>
      </c>
    </row>
    <row r="459" spans="1:6" x14ac:dyDescent="0.3">
      <c r="A459" s="1">
        <v>39.232999999999997</v>
      </c>
      <c r="B459" s="1">
        <v>3.2618</v>
      </c>
      <c r="C459" s="1">
        <f>Tabela11[[#This Row],[Alongamento(mm/mm)]]/$I$2</f>
        <v>6.5236000000000002E-2</v>
      </c>
      <c r="D459" s="1">
        <v>415.89</v>
      </c>
      <c r="E459" s="1">
        <f>Tabela11[[#This Row],[Força(N)]]/$I$5</f>
        <v>13256514.463303849</v>
      </c>
      <c r="F459" s="1">
        <f>Tabela11[[#This Row],[Tensão(Pa)]]/1000000</f>
        <v>13.25651446330385</v>
      </c>
    </row>
    <row r="460" spans="1:6" x14ac:dyDescent="0.3">
      <c r="A460" s="1">
        <v>39.332999999999998</v>
      </c>
      <c r="B460" s="1">
        <v>3.2700999999999998</v>
      </c>
      <c r="C460" s="1">
        <f>Tabela11[[#This Row],[Alongamento(mm/mm)]]/$I$2</f>
        <v>6.5402000000000002E-2</v>
      </c>
      <c r="D460" s="1">
        <v>418.95</v>
      </c>
      <c r="E460" s="1">
        <f>Tabela11[[#This Row],[Força(N)]]/$I$5</f>
        <v>13354052.115706431</v>
      </c>
      <c r="F460" s="1">
        <f>Tabela11[[#This Row],[Tensão(Pa)]]/1000000</f>
        <v>13.35405211570643</v>
      </c>
    </row>
    <row r="461" spans="1:6" x14ac:dyDescent="0.3">
      <c r="A461" s="1">
        <v>39.433</v>
      </c>
      <c r="B461" s="1">
        <v>3.2784</v>
      </c>
      <c r="C461" s="1">
        <f>Tabela11[[#This Row],[Alongamento(mm/mm)]]/$I$2</f>
        <v>6.5568000000000001E-2</v>
      </c>
      <c r="D461" s="1">
        <v>422.02</v>
      </c>
      <c r="E461" s="1">
        <f>Tabela11[[#This Row],[Força(N)]]/$I$5</f>
        <v>13451908.518607061</v>
      </c>
      <c r="F461" s="1">
        <f>Tabela11[[#This Row],[Tensão(Pa)]]/1000000</f>
        <v>13.451908518607061</v>
      </c>
    </row>
    <row r="462" spans="1:6" x14ac:dyDescent="0.3">
      <c r="A462" s="1">
        <v>39.533000000000001</v>
      </c>
      <c r="B462" s="1">
        <v>3.2867000000000002</v>
      </c>
      <c r="C462" s="1">
        <f>Tabela11[[#This Row],[Alongamento(mm/mm)]]/$I$2</f>
        <v>6.5734000000000001E-2</v>
      </c>
      <c r="D462" s="1">
        <v>425.08</v>
      </c>
      <c r="E462" s="1">
        <f>Tabela11[[#This Row],[Força(N)]]/$I$5</f>
        <v>13549446.171009643</v>
      </c>
      <c r="F462" s="1">
        <f>Tabela11[[#This Row],[Tensão(Pa)]]/1000000</f>
        <v>13.549446171009643</v>
      </c>
    </row>
    <row r="463" spans="1:6" x14ac:dyDescent="0.3">
      <c r="A463" s="1">
        <v>39.633000000000003</v>
      </c>
      <c r="B463" s="1">
        <v>3.2951000000000001</v>
      </c>
      <c r="C463" s="1">
        <f>Tabela11[[#This Row],[Alongamento(mm/mm)]]/$I$2</f>
        <v>6.5902000000000002E-2</v>
      </c>
      <c r="D463" s="1">
        <v>428.14</v>
      </c>
      <c r="E463" s="1">
        <f>Tabela11[[#This Row],[Força(N)]]/$I$5</f>
        <v>13646983.823412225</v>
      </c>
      <c r="F463" s="1">
        <f>Tabela11[[#This Row],[Tensão(Pa)]]/1000000</f>
        <v>13.646983823412224</v>
      </c>
    </row>
    <row r="464" spans="1:6" x14ac:dyDescent="0.3">
      <c r="A464" s="1">
        <v>39.732999999999997</v>
      </c>
      <c r="B464" s="1">
        <v>3.3035000000000001</v>
      </c>
      <c r="C464" s="1">
        <f>Tabela11[[#This Row],[Alongamento(mm/mm)]]/$I$2</f>
        <v>6.6070000000000004E-2</v>
      </c>
      <c r="D464" s="1">
        <v>431.2</v>
      </c>
      <c r="E464" s="1">
        <f>Tabela11[[#This Row],[Força(N)]]/$I$5</f>
        <v>13744521.475814806</v>
      </c>
      <c r="F464" s="1">
        <f>Tabela11[[#This Row],[Tensão(Pa)]]/1000000</f>
        <v>13.744521475814807</v>
      </c>
    </row>
    <row r="465" spans="1:6" x14ac:dyDescent="0.3">
      <c r="A465" s="1">
        <v>39.85</v>
      </c>
      <c r="B465" s="1">
        <v>3.3130999999999999</v>
      </c>
      <c r="C465" s="1">
        <f>Tabela11[[#This Row],[Alongamento(mm/mm)]]/$I$2</f>
        <v>6.6262000000000001E-2</v>
      </c>
      <c r="D465" s="1">
        <v>434.6</v>
      </c>
      <c r="E465" s="1">
        <f>Tabela11[[#This Row],[Força(N)]]/$I$5</f>
        <v>13852896.64515101</v>
      </c>
      <c r="F465" s="1">
        <f>Tabela11[[#This Row],[Tensão(Pa)]]/1000000</f>
        <v>13.852896645151009</v>
      </c>
    </row>
    <row r="466" spans="1:6" x14ac:dyDescent="0.3">
      <c r="A466" s="1">
        <v>39.950000000000003</v>
      </c>
      <c r="B466" s="1">
        <v>3.3214000000000001</v>
      </c>
      <c r="C466" s="1">
        <f>Tabela11[[#This Row],[Alongamento(mm/mm)]]/$I$2</f>
        <v>6.6428000000000001E-2</v>
      </c>
      <c r="D466" s="1">
        <v>437.66</v>
      </c>
      <c r="E466" s="1">
        <f>Tabela11[[#This Row],[Força(N)]]/$I$5</f>
        <v>13950434.297553591</v>
      </c>
      <c r="F466" s="1">
        <f>Tabela11[[#This Row],[Tensão(Pa)]]/1000000</f>
        <v>13.950434297553592</v>
      </c>
    </row>
    <row r="467" spans="1:6" x14ac:dyDescent="0.3">
      <c r="A467" s="1">
        <v>40.067</v>
      </c>
      <c r="B467" s="1">
        <v>3.3311000000000002</v>
      </c>
      <c r="C467" s="1">
        <f>Tabela11[[#This Row],[Alongamento(mm/mm)]]/$I$2</f>
        <v>6.6622000000000001E-2</v>
      </c>
      <c r="D467" s="1">
        <v>441.24</v>
      </c>
      <c r="E467" s="1">
        <f>Tabela11[[#This Row],[Força(N)]]/$I$5</f>
        <v>14064546.97585465</v>
      </c>
      <c r="F467" s="1">
        <f>Tabela11[[#This Row],[Tensão(Pa)]]/1000000</f>
        <v>14.06454697585465</v>
      </c>
    </row>
    <row r="468" spans="1:6" x14ac:dyDescent="0.3">
      <c r="A468" s="1">
        <v>40.183</v>
      </c>
      <c r="B468" s="1">
        <v>3.3409</v>
      </c>
      <c r="C468" s="1">
        <f>Tabela11[[#This Row],[Alongamento(mm/mm)]]/$I$2</f>
        <v>6.6818000000000002E-2</v>
      </c>
      <c r="D468" s="1">
        <v>444.81</v>
      </c>
      <c r="E468" s="1">
        <f>Tabela11[[#This Row],[Força(N)]]/$I$5</f>
        <v>14178340.903657664</v>
      </c>
      <c r="F468" s="1">
        <f>Tabela11[[#This Row],[Tensão(Pa)]]/1000000</f>
        <v>14.178340903657663</v>
      </c>
    </row>
    <row r="469" spans="1:6" x14ac:dyDescent="0.3">
      <c r="A469" s="1">
        <v>40.299999999999997</v>
      </c>
      <c r="B469" s="1">
        <v>3.3506</v>
      </c>
      <c r="C469" s="1">
        <f>Tabela11[[#This Row],[Alongamento(mm/mm)]]/$I$2</f>
        <v>6.7012000000000002E-2</v>
      </c>
      <c r="D469" s="1">
        <v>448.55</v>
      </c>
      <c r="E469" s="1">
        <f>Tabela11[[#This Row],[Força(N)]]/$I$5</f>
        <v>14297553.589927485</v>
      </c>
      <c r="F469" s="1">
        <f>Tabela11[[#This Row],[Tensão(Pa)]]/1000000</f>
        <v>14.297553589927485</v>
      </c>
    </row>
    <row r="470" spans="1:6" x14ac:dyDescent="0.3">
      <c r="A470" s="1">
        <v>40.417000000000002</v>
      </c>
      <c r="B470" s="1">
        <v>3.3603000000000001</v>
      </c>
      <c r="C470" s="1">
        <f>Tabela11[[#This Row],[Alongamento(mm/mm)]]/$I$2</f>
        <v>6.7206000000000002E-2</v>
      </c>
      <c r="D470" s="1">
        <v>452.29</v>
      </c>
      <c r="E470" s="1">
        <f>Tabela11[[#This Row],[Força(N)]]/$I$5</f>
        <v>14416766.276197309</v>
      </c>
      <c r="F470" s="1">
        <f>Tabela11[[#This Row],[Tensão(Pa)]]/1000000</f>
        <v>14.416766276197309</v>
      </c>
    </row>
    <row r="471" spans="1:6" x14ac:dyDescent="0.3">
      <c r="A471" s="1">
        <v>40.533000000000001</v>
      </c>
      <c r="B471" s="1">
        <v>3.3700999999999999</v>
      </c>
      <c r="C471" s="1">
        <f>Tabela11[[#This Row],[Alongamento(mm/mm)]]/$I$2</f>
        <v>6.7402000000000004E-2</v>
      </c>
      <c r="D471" s="1">
        <v>456.03</v>
      </c>
      <c r="E471" s="1">
        <f>Tabela11[[#This Row],[Força(N)]]/$I$5</f>
        <v>14535978.962467128</v>
      </c>
      <c r="F471" s="1">
        <f>Tabela11[[#This Row],[Tensão(Pa)]]/1000000</f>
        <v>14.535978962467128</v>
      </c>
    </row>
    <row r="472" spans="1:6" x14ac:dyDescent="0.3">
      <c r="A472" s="1">
        <v>40.65</v>
      </c>
      <c r="B472" s="1">
        <v>3.3797999999999999</v>
      </c>
      <c r="C472" s="1">
        <f>Tabela11[[#This Row],[Alongamento(mm/mm)]]/$I$2</f>
        <v>6.7596000000000003E-2</v>
      </c>
      <c r="D472" s="1">
        <v>459.78</v>
      </c>
      <c r="E472" s="1">
        <f>Tabela11[[#This Row],[Força(N)]]/$I$5</f>
        <v>14655510.399234999</v>
      </c>
      <c r="F472" s="1">
        <f>Tabela11[[#This Row],[Tensão(Pa)]]/1000000</f>
        <v>14.655510399234998</v>
      </c>
    </row>
    <row r="473" spans="1:6" x14ac:dyDescent="0.3">
      <c r="A473" s="1">
        <v>40.767000000000003</v>
      </c>
      <c r="B473" s="1">
        <v>3.3895</v>
      </c>
      <c r="C473" s="1">
        <f>Tabela11[[#This Row],[Alongamento(mm/mm)]]/$I$2</f>
        <v>6.7790000000000003E-2</v>
      </c>
      <c r="D473" s="1">
        <v>463.52</v>
      </c>
      <c r="E473" s="1">
        <f>Tabela11[[#This Row],[Força(N)]]/$I$5</f>
        <v>14774723.085504821</v>
      </c>
      <c r="F473" s="1">
        <f>Tabela11[[#This Row],[Tensão(Pa)]]/1000000</f>
        <v>14.774723085504821</v>
      </c>
    </row>
    <row r="474" spans="1:6" x14ac:dyDescent="0.3">
      <c r="A474" s="1">
        <v>40.866999999999997</v>
      </c>
      <c r="B474" s="1">
        <v>3.3978000000000002</v>
      </c>
      <c r="C474" s="1">
        <f>Tabela11[[#This Row],[Alongamento(mm/mm)]]/$I$2</f>
        <v>6.7956000000000003E-2</v>
      </c>
      <c r="D474" s="1">
        <v>466.92</v>
      </c>
      <c r="E474" s="1">
        <f>Tabela11[[#This Row],[Força(N)]]/$I$5</f>
        <v>14883098.254841024</v>
      </c>
      <c r="F474" s="1">
        <f>Tabela11[[#This Row],[Tensão(Pa)]]/1000000</f>
        <v>14.883098254841023</v>
      </c>
    </row>
    <row r="475" spans="1:6" x14ac:dyDescent="0.3">
      <c r="A475" s="1">
        <v>40.982999999999997</v>
      </c>
      <c r="B475" s="1">
        <v>3.4076</v>
      </c>
      <c r="C475" s="1">
        <f>Tabela11[[#This Row],[Alongamento(mm/mm)]]/$I$2</f>
        <v>6.8152000000000004E-2</v>
      </c>
      <c r="D475" s="1">
        <v>470.66</v>
      </c>
      <c r="E475" s="1">
        <f>Tabela11[[#This Row],[Força(N)]]/$I$5</f>
        <v>15002310.941110848</v>
      </c>
      <c r="F475" s="1">
        <f>Tabela11[[#This Row],[Tensão(Pa)]]/1000000</f>
        <v>15.002310941110848</v>
      </c>
    </row>
    <row r="476" spans="1:6" x14ac:dyDescent="0.3">
      <c r="A476" s="1">
        <v>41.082999999999998</v>
      </c>
      <c r="B476" s="1">
        <v>3.4159999999999999</v>
      </c>
      <c r="C476" s="1">
        <f>Tabela11[[#This Row],[Alongamento(mm/mm)]]/$I$2</f>
        <v>6.8319999999999992E-2</v>
      </c>
      <c r="D476" s="1">
        <v>474.07</v>
      </c>
      <c r="E476" s="1">
        <f>Tabela11[[#This Row],[Força(N)]]/$I$5</f>
        <v>15111004.860945096</v>
      </c>
      <c r="F476" s="1">
        <f>Tabela11[[#This Row],[Tensão(Pa)]]/1000000</f>
        <v>15.111004860945096</v>
      </c>
    </row>
    <row r="477" spans="1:6" x14ac:dyDescent="0.3">
      <c r="A477" s="1">
        <v>41.2</v>
      </c>
      <c r="B477" s="1">
        <v>3.4257</v>
      </c>
      <c r="C477" s="1">
        <f>Tabela11[[#This Row],[Alongamento(mm/mm)]]/$I$2</f>
        <v>6.8514000000000005E-2</v>
      </c>
      <c r="D477" s="1">
        <v>477.98</v>
      </c>
      <c r="E477" s="1">
        <f>Tabela11[[#This Row],[Força(N)]]/$I$5</f>
        <v>15235636.30568173</v>
      </c>
      <c r="F477" s="1">
        <f>Tabela11[[#This Row],[Tensão(Pa)]]/1000000</f>
        <v>15.23563630568173</v>
      </c>
    </row>
    <row r="478" spans="1:6" x14ac:dyDescent="0.3">
      <c r="A478" s="1">
        <v>41.317</v>
      </c>
      <c r="B478" s="1">
        <v>3.4352999999999998</v>
      </c>
      <c r="C478" s="1">
        <f>Tabela11[[#This Row],[Alongamento(mm/mm)]]/$I$2</f>
        <v>6.8705999999999989E-2</v>
      </c>
      <c r="D478" s="1">
        <v>481.72</v>
      </c>
      <c r="E478" s="1">
        <f>Tabela11[[#This Row],[Força(N)]]/$I$5</f>
        <v>15354848.991951551</v>
      </c>
      <c r="F478" s="1">
        <f>Tabela11[[#This Row],[Tensão(Pa)]]/1000000</f>
        <v>15.354848991951551</v>
      </c>
    </row>
    <row r="479" spans="1:6" x14ac:dyDescent="0.3">
      <c r="A479" s="1">
        <v>41.433</v>
      </c>
      <c r="B479" s="1">
        <v>3.4449999999999998</v>
      </c>
      <c r="C479" s="1">
        <f>Tabela11[[#This Row],[Alongamento(mm/mm)]]/$I$2</f>
        <v>6.8900000000000003E-2</v>
      </c>
      <c r="D479" s="1">
        <v>485.63</v>
      </c>
      <c r="E479" s="1">
        <f>Tabela11[[#This Row],[Força(N)]]/$I$5</f>
        <v>15479480.436688183</v>
      </c>
      <c r="F479" s="1">
        <f>Tabela11[[#This Row],[Tensão(Pa)]]/1000000</f>
        <v>15.479480436688183</v>
      </c>
    </row>
    <row r="480" spans="1:6" x14ac:dyDescent="0.3">
      <c r="A480" s="1">
        <v>41.55</v>
      </c>
      <c r="B480" s="1">
        <v>3.4548000000000001</v>
      </c>
      <c r="C480" s="1">
        <f>Tabela11[[#This Row],[Alongamento(mm/mm)]]/$I$2</f>
        <v>6.9096000000000005E-2</v>
      </c>
      <c r="D480" s="1">
        <v>489.54</v>
      </c>
      <c r="E480" s="1">
        <f>Tabela11[[#This Row],[Força(N)]]/$I$5</f>
        <v>15604111.881424816</v>
      </c>
      <c r="F480" s="1">
        <f>Tabela11[[#This Row],[Tensão(Pa)]]/1000000</f>
        <v>15.604111881424817</v>
      </c>
    </row>
    <row r="481" spans="1:6" x14ac:dyDescent="0.3">
      <c r="A481" s="1">
        <v>41.667000000000002</v>
      </c>
      <c r="B481" s="1">
        <v>3.4645000000000001</v>
      </c>
      <c r="C481" s="1">
        <f>Tabela11[[#This Row],[Alongamento(mm/mm)]]/$I$2</f>
        <v>6.9290000000000004E-2</v>
      </c>
      <c r="D481" s="1">
        <v>493.46</v>
      </c>
      <c r="E481" s="1">
        <f>Tabela11[[#This Row],[Força(N)]]/$I$5</f>
        <v>15729062.076659495</v>
      </c>
      <c r="F481" s="1">
        <f>Tabela11[[#This Row],[Tensão(Pa)]]/1000000</f>
        <v>15.729062076659496</v>
      </c>
    </row>
    <row r="482" spans="1:6" x14ac:dyDescent="0.3">
      <c r="A482" s="1">
        <v>41.783000000000001</v>
      </c>
      <c r="B482" s="1">
        <v>3.4742000000000002</v>
      </c>
      <c r="C482" s="1">
        <f>Tabela11[[#This Row],[Alongamento(mm/mm)]]/$I$2</f>
        <v>6.9484000000000004E-2</v>
      </c>
      <c r="D482" s="1">
        <v>497.54</v>
      </c>
      <c r="E482" s="1">
        <f>Tabela11[[#This Row],[Força(N)]]/$I$5</f>
        <v>15859112.279862938</v>
      </c>
      <c r="F482" s="1">
        <f>Tabela11[[#This Row],[Tensão(Pa)]]/1000000</f>
        <v>15.859112279862938</v>
      </c>
    </row>
    <row r="483" spans="1:6" x14ac:dyDescent="0.3">
      <c r="A483" s="1">
        <v>41.9</v>
      </c>
      <c r="B483" s="1">
        <v>3.484</v>
      </c>
      <c r="C483" s="1">
        <f>Tabela11[[#This Row],[Alongamento(mm/mm)]]/$I$2</f>
        <v>6.9680000000000006E-2</v>
      </c>
      <c r="D483" s="1">
        <v>501.45</v>
      </c>
      <c r="E483" s="1">
        <f>Tabela11[[#This Row],[Força(N)]]/$I$5</f>
        <v>15983743.72459957</v>
      </c>
      <c r="F483" s="1">
        <f>Tabela11[[#This Row],[Tensão(Pa)]]/1000000</f>
        <v>15.98374372459957</v>
      </c>
    </row>
    <row r="484" spans="1:6" x14ac:dyDescent="0.3">
      <c r="A484" s="1">
        <v>42.017000000000003</v>
      </c>
      <c r="B484" s="1">
        <v>3.4937</v>
      </c>
      <c r="C484" s="1">
        <f>Tabela11[[#This Row],[Alongamento(mm/mm)]]/$I$2</f>
        <v>6.9874000000000006E-2</v>
      </c>
      <c r="D484" s="1">
        <v>505.36</v>
      </c>
      <c r="E484" s="1">
        <f>Tabela11[[#This Row],[Força(N)]]/$I$5</f>
        <v>16108375.169336203</v>
      </c>
      <c r="F484" s="1">
        <f>Tabela11[[#This Row],[Tensão(Pa)]]/1000000</f>
        <v>16.108375169336203</v>
      </c>
    </row>
    <row r="485" spans="1:6" x14ac:dyDescent="0.3">
      <c r="A485" s="1">
        <v>42.133000000000003</v>
      </c>
      <c r="B485" s="1">
        <v>3.5034000000000001</v>
      </c>
      <c r="C485" s="1">
        <f>Tabela11[[#This Row],[Alongamento(mm/mm)]]/$I$2</f>
        <v>7.0068000000000005E-2</v>
      </c>
      <c r="D485" s="1">
        <v>509.28</v>
      </c>
      <c r="E485" s="1">
        <f>Tabela11[[#This Row],[Força(N)]]/$I$5</f>
        <v>16233325.364570882</v>
      </c>
      <c r="F485" s="1">
        <f>Tabela11[[#This Row],[Tensão(Pa)]]/1000000</f>
        <v>16.233325364570881</v>
      </c>
    </row>
    <row r="486" spans="1:6" x14ac:dyDescent="0.3">
      <c r="A486" s="1">
        <v>42.25</v>
      </c>
      <c r="B486" s="1">
        <v>3.5131000000000001</v>
      </c>
      <c r="C486" s="1">
        <f>Tabela11[[#This Row],[Alongamento(mm/mm)]]/$I$2</f>
        <v>7.0262000000000005E-2</v>
      </c>
      <c r="D486" s="1">
        <v>513.36</v>
      </c>
      <c r="E486" s="1">
        <f>Tabela11[[#This Row],[Força(N)]]/$I$5</f>
        <v>16363375.567774326</v>
      </c>
      <c r="F486" s="1">
        <f>Tabela11[[#This Row],[Tensão(Pa)]]/1000000</f>
        <v>16.363375567774327</v>
      </c>
    </row>
    <row r="487" spans="1:6" x14ac:dyDescent="0.3">
      <c r="A487" s="1">
        <v>42.366999999999997</v>
      </c>
      <c r="B487" s="1">
        <v>3.5228000000000002</v>
      </c>
      <c r="C487" s="1">
        <f>Tabela11[[#This Row],[Alongamento(mm/mm)]]/$I$2</f>
        <v>7.0456000000000005E-2</v>
      </c>
      <c r="D487" s="1">
        <v>517.27</v>
      </c>
      <c r="E487" s="1">
        <f>Tabela11[[#This Row],[Força(N)]]/$I$5</f>
        <v>16488007.012510957</v>
      </c>
      <c r="F487" s="1">
        <f>Tabela11[[#This Row],[Tensão(Pa)]]/1000000</f>
        <v>16.488007012510955</v>
      </c>
    </row>
    <row r="488" spans="1:6" x14ac:dyDescent="0.3">
      <c r="A488" s="1">
        <v>42.482999999999997</v>
      </c>
      <c r="B488" s="1">
        <v>3.5326</v>
      </c>
      <c r="C488" s="1">
        <f>Tabela11[[#This Row],[Alongamento(mm/mm)]]/$I$2</f>
        <v>7.0651999999999993E-2</v>
      </c>
      <c r="D488" s="1">
        <v>521.17999999999995</v>
      </c>
      <c r="E488" s="1">
        <f>Tabela11[[#This Row],[Força(N)]]/$I$5</f>
        <v>16612638.457247589</v>
      </c>
      <c r="F488" s="1">
        <f>Tabela11[[#This Row],[Tensão(Pa)]]/1000000</f>
        <v>16.612638457247588</v>
      </c>
    </row>
    <row r="489" spans="1:6" x14ac:dyDescent="0.3">
      <c r="A489" s="1">
        <v>42.6</v>
      </c>
      <c r="B489" s="1">
        <v>3.5423</v>
      </c>
      <c r="C489" s="1">
        <f>Tabela11[[#This Row],[Alongamento(mm/mm)]]/$I$2</f>
        <v>7.0846000000000006E-2</v>
      </c>
      <c r="D489" s="1">
        <v>525.27</v>
      </c>
      <c r="E489" s="1">
        <f>Tabela11[[#This Row],[Força(N)]]/$I$5</f>
        <v>16743007.410949079</v>
      </c>
      <c r="F489" s="1">
        <f>Tabela11[[#This Row],[Tensão(Pa)]]/1000000</f>
        <v>16.74300741094908</v>
      </c>
    </row>
    <row r="490" spans="1:6" x14ac:dyDescent="0.3">
      <c r="A490" s="1">
        <v>42.716999999999999</v>
      </c>
      <c r="B490" s="1">
        <v>3.552</v>
      </c>
      <c r="C490" s="1">
        <f>Tabela11[[#This Row],[Alongamento(mm/mm)]]/$I$2</f>
        <v>7.1040000000000006E-2</v>
      </c>
      <c r="D490" s="1">
        <v>529.35</v>
      </c>
      <c r="E490" s="1">
        <f>Tabela11[[#This Row],[Força(N)]]/$I$5</f>
        <v>16873057.614152525</v>
      </c>
      <c r="F490" s="1">
        <f>Tabela11[[#This Row],[Tensão(Pa)]]/1000000</f>
        <v>16.873057614152525</v>
      </c>
    </row>
    <row r="491" spans="1:6" x14ac:dyDescent="0.3">
      <c r="A491" s="1">
        <v>42.85</v>
      </c>
      <c r="B491" s="1">
        <v>3.5630999999999999</v>
      </c>
      <c r="C491" s="1">
        <f>Tabela11[[#This Row],[Alongamento(mm/mm)]]/$I$2</f>
        <v>7.1261999999999992E-2</v>
      </c>
      <c r="D491" s="1">
        <v>533.94000000000005</v>
      </c>
      <c r="E491" s="1">
        <f>Tabela11[[#This Row],[Força(N)]]/$I$5</f>
        <v>17019364.092756398</v>
      </c>
      <c r="F491" s="1">
        <f>Tabela11[[#This Row],[Tensão(Pa)]]/1000000</f>
        <v>17.019364092756398</v>
      </c>
    </row>
    <row r="492" spans="1:6" x14ac:dyDescent="0.3">
      <c r="A492" s="1">
        <v>42.966999999999999</v>
      </c>
      <c r="B492" s="1">
        <v>3.5729000000000002</v>
      </c>
      <c r="C492" s="1">
        <f>Tabela11[[#This Row],[Alongamento(mm/mm)]]/$I$2</f>
        <v>7.1458000000000008E-2</v>
      </c>
      <c r="D492" s="1">
        <v>538.02</v>
      </c>
      <c r="E492" s="1">
        <f>Tabela11[[#This Row],[Força(N)]]/$I$5</f>
        <v>17149414.295959838</v>
      </c>
      <c r="F492" s="1">
        <f>Tabela11[[#This Row],[Tensão(Pa)]]/1000000</f>
        <v>17.149414295959836</v>
      </c>
    </row>
    <row r="493" spans="1:6" x14ac:dyDescent="0.3">
      <c r="A493" s="1">
        <v>43.082999999999998</v>
      </c>
      <c r="B493" s="1">
        <v>3.5825999999999998</v>
      </c>
      <c r="C493" s="1">
        <f>Tabela11[[#This Row],[Alongamento(mm/mm)]]/$I$2</f>
        <v>7.1651999999999993E-2</v>
      </c>
      <c r="D493" s="1">
        <v>542.45000000000005</v>
      </c>
      <c r="E493" s="1">
        <f>Tabela11[[#This Row],[Força(N)]]/$I$5</f>
        <v>17290620.76659495</v>
      </c>
      <c r="F493" s="1">
        <f>Tabela11[[#This Row],[Tensão(Pa)]]/1000000</f>
        <v>17.290620766594952</v>
      </c>
    </row>
    <row r="494" spans="1:6" x14ac:dyDescent="0.3">
      <c r="A494" s="1">
        <v>43.2</v>
      </c>
      <c r="B494" s="1">
        <v>3.5922999999999998</v>
      </c>
      <c r="C494" s="1">
        <f>Tabela11[[#This Row],[Alongamento(mm/mm)]]/$I$2</f>
        <v>7.1845999999999993E-2</v>
      </c>
      <c r="D494" s="1">
        <v>546.70000000000005</v>
      </c>
      <c r="E494" s="1">
        <f>Tabela11[[#This Row],[Força(N)]]/$I$5</f>
        <v>17426089.728265204</v>
      </c>
      <c r="F494" s="1">
        <f>Tabela11[[#This Row],[Tensão(Pa)]]/1000000</f>
        <v>17.426089728265204</v>
      </c>
    </row>
    <row r="495" spans="1:6" x14ac:dyDescent="0.3">
      <c r="A495" s="1">
        <v>43.317</v>
      </c>
      <c r="B495" s="1">
        <v>3.6021000000000001</v>
      </c>
      <c r="C495" s="1">
        <f>Tabela11[[#This Row],[Alongamento(mm/mm)]]/$I$2</f>
        <v>7.2041999999999995E-2</v>
      </c>
      <c r="D495" s="1">
        <v>550.95000000000005</v>
      </c>
      <c r="E495" s="1">
        <f>Tabela11[[#This Row],[Força(N)]]/$I$5</f>
        <v>17561558.689935457</v>
      </c>
      <c r="F495" s="1">
        <f>Tabela11[[#This Row],[Tensão(Pa)]]/1000000</f>
        <v>17.561558689935456</v>
      </c>
    </row>
    <row r="496" spans="1:6" x14ac:dyDescent="0.3">
      <c r="A496" s="1">
        <v>43.433</v>
      </c>
      <c r="B496" s="1">
        <v>3.6118000000000001</v>
      </c>
      <c r="C496" s="1">
        <f>Tabela11[[#This Row],[Alongamento(mm/mm)]]/$I$2</f>
        <v>7.2236000000000009E-2</v>
      </c>
      <c r="D496" s="1">
        <v>555.20000000000005</v>
      </c>
      <c r="E496" s="1">
        <f>Tabela11[[#This Row],[Força(N)]]/$I$5</f>
        <v>17697027.651605707</v>
      </c>
      <c r="F496" s="1">
        <f>Tabela11[[#This Row],[Tensão(Pa)]]/1000000</f>
        <v>17.697027651605708</v>
      </c>
    </row>
    <row r="497" spans="1:6" x14ac:dyDescent="0.3">
      <c r="A497" s="1">
        <v>43.55</v>
      </c>
      <c r="B497" s="1">
        <v>3.6214</v>
      </c>
      <c r="C497" s="1">
        <f>Tabela11[[#This Row],[Alongamento(mm/mm)]]/$I$2</f>
        <v>7.2427999999999992E-2</v>
      </c>
      <c r="D497" s="1">
        <v>559.46</v>
      </c>
      <c r="E497" s="1">
        <f>Tabela11[[#This Row],[Força(N)]]/$I$5</f>
        <v>17832815.363774009</v>
      </c>
      <c r="F497" s="1">
        <f>Tabela11[[#This Row],[Tensão(Pa)]]/1000000</f>
        <v>17.83281536377401</v>
      </c>
    </row>
    <row r="498" spans="1:6" x14ac:dyDescent="0.3">
      <c r="A498" s="1">
        <v>43.667000000000002</v>
      </c>
      <c r="B498" s="1">
        <v>3.6311</v>
      </c>
      <c r="C498" s="1">
        <f>Tabela11[[#This Row],[Alongamento(mm/mm)]]/$I$2</f>
        <v>7.2622000000000006E-2</v>
      </c>
      <c r="D498" s="1">
        <v>563.71</v>
      </c>
      <c r="E498" s="1">
        <f>Tabela11[[#This Row],[Força(N)]]/$I$5</f>
        <v>17968284.325444262</v>
      </c>
      <c r="F498" s="1">
        <f>Tabela11[[#This Row],[Tensão(Pa)]]/1000000</f>
        <v>17.968284325444262</v>
      </c>
    </row>
    <row r="499" spans="1:6" x14ac:dyDescent="0.3">
      <c r="A499" s="1">
        <v>43.783000000000001</v>
      </c>
      <c r="B499" s="1">
        <v>3.6408999999999998</v>
      </c>
      <c r="C499" s="1">
        <f>Tabela11[[#This Row],[Alongamento(mm/mm)]]/$I$2</f>
        <v>7.2817999999999994E-2</v>
      </c>
      <c r="D499" s="1">
        <v>567.96</v>
      </c>
      <c r="E499" s="1">
        <f>Tabela11[[#This Row],[Força(N)]]/$I$5</f>
        <v>18103753.287114512</v>
      </c>
      <c r="F499" s="1">
        <f>Tabela11[[#This Row],[Tensão(Pa)]]/1000000</f>
        <v>18.103753287114511</v>
      </c>
    </row>
    <row r="500" spans="1:6" x14ac:dyDescent="0.3">
      <c r="A500" s="1">
        <v>43.917000000000002</v>
      </c>
      <c r="B500" s="1">
        <v>3.6520000000000001</v>
      </c>
      <c r="C500" s="1">
        <f>Tabela11[[#This Row],[Alongamento(mm/mm)]]/$I$2</f>
        <v>7.3040000000000008E-2</v>
      </c>
      <c r="D500" s="1">
        <v>572.89</v>
      </c>
      <c r="E500" s="1">
        <f>Tabela11[[#This Row],[Força(N)]]/$I$5</f>
        <v>18260897.282652006</v>
      </c>
      <c r="F500" s="1">
        <f>Tabela11[[#This Row],[Tensão(Pa)]]/1000000</f>
        <v>18.260897282652007</v>
      </c>
    </row>
    <row r="501" spans="1:6" x14ac:dyDescent="0.3">
      <c r="A501" s="1">
        <v>44.05</v>
      </c>
      <c r="B501" s="1">
        <v>3.6631</v>
      </c>
      <c r="C501" s="1">
        <f>Tabela11[[#This Row],[Alongamento(mm/mm)]]/$I$2</f>
        <v>7.3261999999999994E-2</v>
      </c>
      <c r="D501" s="1">
        <v>577.66</v>
      </c>
      <c r="E501" s="1">
        <f>Tabela11[[#This Row],[Força(N)]]/$I$5</f>
        <v>18412941.270220734</v>
      </c>
      <c r="F501" s="1">
        <f>Tabela11[[#This Row],[Tensão(Pa)]]/1000000</f>
        <v>18.412941270220735</v>
      </c>
    </row>
    <row r="502" spans="1:6" x14ac:dyDescent="0.3">
      <c r="A502" s="1">
        <v>44.183</v>
      </c>
      <c r="B502" s="1">
        <v>3.6743000000000001</v>
      </c>
      <c r="C502" s="1">
        <f>Tabela11[[#This Row],[Alongamento(mm/mm)]]/$I$2</f>
        <v>7.3485999999999996E-2</v>
      </c>
      <c r="D502" s="1">
        <v>582.59</v>
      </c>
      <c r="E502" s="1">
        <f>Tabela11[[#This Row],[Força(N)]]/$I$5</f>
        <v>18570085.265758231</v>
      </c>
      <c r="F502" s="1">
        <f>Tabela11[[#This Row],[Tensão(Pa)]]/1000000</f>
        <v>18.57008526575823</v>
      </c>
    </row>
    <row r="503" spans="1:6" x14ac:dyDescent="0.3">
      <c r="A503" s="1">
        <v>44.317</v>
      </c>
      <c r="B503" s="1">
        <v>3.6854</v>
      </c>
      <c r="C503" s="1">
        <f>Tabela11[[#This Row],[Alongamento(mm/mm)]]/$I$2</f>
        <v>7.3707999999999996E-2</v>
      </c>
      <c r="D503" s="1">
        <v>587.35</v>
      </c>
      <c r="E503" s="1">
        <f>Tabela11[[#This Row],[Força(N)]]/$I$5</f>
        <v>18721810.502828911</v>
      </c>
      <c r="F503" s="1">
        <f>Tabela11[[#This Row],[Tensão(Pa)]]/1000000</f>
        <v>18.721810502828912</v>
      </c>
    </row>
    <row r="504" spans="1:6" x14ac:dyDescent="0.3">
      <c r="A504" s="1">
        <v>44.45</v>
      </c>
      <c r="B504" s="1">
        <v>3.6964999999999999</v>
      </c>
      <c r="C504" s="1">
        <f>Tabela11[[#This Row],[Alongamento(mm/mm)]]/$I$2</f>
        <v>7.3929999999999996E-2</v>
      </c>
      <c r="D504" s="1">
        <v>592.11</v>
      </c>
      <c r="E504" s="1">
        <f>Tabela11[[#This Row],[Força(N)]]/$I$5</f>
        <v>18873535.739899594</v>
      </c>
      <c r="F504" s="1">
        <f>Tabela11[[#This Row],[Tensão(Pa)]]/1000000</f>
        <v>18.873535739899594</v>
      </c>
    </row>
    <row r="505" spans="1:6" x14ac:dyDescent="0.3">
      <c r="A505" s="1">
        <v>44.582999999999998</v>
      </c>
      <c r="B505" s="1">
        <v>3.7075</v>
      </c>
      <c r="C505" s="1">
        <f>Tabela11[[#This Row],[Alongamento(mm/mm)]]/$I$2</f>
        <v>7.4149999999999994E-2</v>
      </c>
      <c r="D505" s="1">
        <v>596.88</v>
      </c>
      <c r="E505" s="1">
        <f>Tabela11[[#This Row],[Força(N)]]/$I$5</f>
        <v>19025579.727468327</v>
      </c>
      <c r="F505" s="1">
        <f>Tabela11[[#This Row],[Tensão(Pa)]]/1000000</f>
        <v>19.025579727468326</v>
      </c>
    </row>
    <row r="506" spans="1:6" x14ac:dyDescent="0.3">
      <c r="A506" s="1">
        <v>44.716999999999999</v>
      </c>
      <c r="B506" s="1">
        <v>3.7187000000000001</v>
      </c>
      <c r="C506" s="1">
        <f>Tabela11[[#This Row],[Alongamento(mm/mm)]]/$I$2</f>
        <v>7.4373999999999996E-2</v>
      </c>
      <c r="D506" s="1">
        <v>601.80999999999995</v>
      </c>
      <c r="E506" s="1">
        <f>Tabela11[[#This Row],[Força(N)]]/$I$5</f>
        <v>19182723.723005816</v>
      </c>
      <c r="F506" s="1">
        <f>Tabela11[[#This Row],[Tensão(Pa)]]/1000000</f>
        <v>19.182723723005818</v>
      </c>
    </row>
    <row r="507" spans="1:6" x14ac:dyDescent="0.3">
      <c r="A507" s="1">
        <v>44.85</v>
      </c>
      <c r="B507" s="1">
        <v>3.7298</v>
      </c>
      <c r="C507" s="1">
        <f>Tabela11[[#This Row],[Alongamento(mm/mm)]]/$I$2</f>
        <v>7.4595999999999996E-2</v>
      </c>
      <c r="D507" s="1">
        <v>606.57000000000005</v>
      </c>
      <c r="E507" s="1">
        <f>Tabela11[[#This Row],[Força(N)]]/$I$5</f>
        <v>19334448.960076503</v>
      </c>
      <c r="F507" s="1">
        <f>Tabela11[[#This Row],[Tensão(Pa)]]/1000000</f>
        <v>19.334448960076504</v>
      </c>
    </row>
    <row r="508" spans="1:6" x14ac:dyDescent="0.3">
      <c r="A508" s="1">
        <v>44.966999999999999</v>
      </c>
      <c r="B508" s="1">
        <v>3.7393999999999998</v>
      </c>
      <c r="C508" s="1">
        <f>Tabela11[[#This Row],[Alongamento(mm/mm)]]/$I$2</f>
        <v>7.4787999999999993E-2</v>
      </c>
      <c r="D508" s="1">
        <v>610.99</v>
      </c>
      <c r="E508" s="1">
        <f>Tabela11[[#This Row],[Força(N)]]/$I$5</f>
        <v>19475336.680213563</v>
      </c>
      <c r="F508" s="1">
        <f>Tabela11[[#This Row],[Tensão(Pa)]]/1000000</f>
        <v>19.475336680213562</v>
      </c>
    </row>
    <row r="509" spans="1:6" x14ac:dyDescent="0.3">
      <c r="A509" s="1">
        <v>45.1</v>
      </c>
      <c r="B509" s="1">
        <v>3.7505999999999999</v>
      </c>
      <c r="C509" s="1">
        <f>Tabela11[[#This Row],[Alongamento(mm/mm)]]/$I$2</f>
        <v>7.5011999999999995E-2</v>
      </c>
      <c r="D509" s="1">
        <v>615.92999999999995</v>
      </c>
      <c r="E509" s="1">
        <f>Tabela11[[#This Row],[Força(N)]]/$I$5</f>
        <v>19632799.426249102</v>
      </c>
      <c r="F509" s="1">
        <f>Tabela11[[#This Row],[Tensão(Pa)]]/1000000</f>
        <v>19.6327994262491</v>
      </c>
    </row>
    <row r="510" spans="1:6" x14ac:dyDescent="0.3">
      <c r="A510" s="1">
        <v>45.232999999999997</v>
      </c>
      <c r="B510" s="1">
        <v>3.7618</v>
      </c>
      <c r="C510" s="1">
        <f>Tabela11[[#This Row],[Alongamento(mm/mm)]]/$I$2</f>
        <v>7.5235999999999997E-2</v>
      </c>
      <c r="D510" s="1">
        <v>620.69000000000005</v>
      </c>
      <c r="E510" s="1">
        <f>Tabela11[[#This Row],[Força(N)]]/$I$5</f>
        <v>19784524.663319789</v>
      </c>
      <c r="F510" s="1">
        <f>Tabela11[[#This Row],[Tensão(Pa)]]/1000000</f>
        <v>19.78452466331979</v>
      </c>
    </row>
    <row r="511" spans="1:6" x14ac:dyDescent="0.3">
      <c r="A511" s="1">
        <v>45.366999999999997</v>
      </c>
      <c r="B511" s="1">
        <v>3.7728999999999999</v>
      </c>
      <c r="C511" s="1">
        <f>Tabela11[[#This Row],[Alongamento(mm/mm)]]/$I$2</f>
        <v>7.5457999999999997E-2</v>
      </c>
      <c r="D511" s="1">
        <v>625.45000000000005</v>
      </c>
      <c r="E511" s="1">
        <f>Tabela11[[#This Row],[Força(N)]]/$I$5</f>
        <v>19936249.900390472</v>
      </c>
      <c r="F511" s="1">
        <f>Tabela11[[#This Row],[Tensão(Pa)]]/1000000</f>
        <v>19.936249900390472</v>
      </c>
    </row>
    <row r="512" spans="1:6" x14ac:dyDescent="0.3">
      <c r="A512" s="1">
        <v>45.5</v>
      </c>
      <c r="B512" s="1">
        <v>3.7839999999999998</v>
      </c>
      <c r="C512" s="1">
        <f>Tabela11[[#This Row],[Alongamento(mm/mm)]]/$I$2</f>
        <v>7.5679999999999997E-2</v>
      </c>
      <c r="D512" s="1">
        <v>630.55999999999995</v>
      </c>
      <c r="E512" s="1">
        <f>Tabela11[[#This Row],[Força(N)]]/$I$5</f>
        <v>20099131.404892821</v>
      </c>
      <c r="F512" s="1">
        <f>Tabela11[[#This Row],[Tensão(Pa)]]/1000000</f>
        <v>20.09913140489282</v>
      </c>
    </row>
    <row r="513" spans="1:6" x14ac:dyDescent="0.3">
      <c r="A513" s="1">
        <v>45.633000000000003</v>
      </c>
      <c r="B513" s="1">
        <v>3.7951000000000001</v>
      </c>
      <c r="C513" s="1">
        <f>Tabela11[[#This Row],[Alongamento(mm/mm)]]/$I$2</f>
        <v>7.5901999999999997E-2</v>
      </c>
      <c r="D513" s="1">
        <v>635.49</v>
      </c>
      <c r="E513" s="1">
        <f>Tabela11[[#This Row],[Força(N)]]/$I$5</f>
        <v>20256275.400430314</v>
      </c>
      <c r="F513" s="1">
        <f>Tabela11[[#This Row],[Tensão(Pa)]]/1000000</f>
        <v>20.256275400430315</v>
      </c>
    </row>
    <row r="514" spans="1:6" x14ac:dyDescent="0.3">
      <c r="A514" s="1">
        <v>45.767000000000003</v>
      </c>
      <c r="B514" s="1">
        <v>3.8062</v>
      </c>
      <c r="C514" s="1">
        <f>Tabela11[[#This Row],[Alongamento(mm/mm)]]/$I$2</f>
        <v>7.6123999999999997E-2</v>
      </c>
      <c r="D514" s="1">
        <v>640.25</v>
      </c>
      <c r="E514" s="1">
        <f>Tabela11[[#This Row],[Força(N)]]/$I$5</f>
        <v>20408000.637500998</v>
      </c>
      <c r="F514" s="1">
        <f>Tabela11[[#This Row],[Tensão(Pa)]]/1000000</f>
        <v>20.408000637500997</v>
      </c>
    </row>
    <row r="515" spans="1:6" x14ac:dyDescent="0.3">
      <c r="A515" s="1">
        <v>45.9</v>
      </c>
      <c r="B515" s="1">
        <v>3.8172000000000001</v>
      </c>
      <c r="C515" s="1">
        <f>Tabela11[[#This Row],[Alongamento(mm/mm)]]/$I$2</f>
        <v>7.6344000000000009E-2</v>
      </c>
      <c r="D515" s="1">
        <v>645.17999999999995</v>
      </c>
      <c r="E515" s="1">
        <f>Tabela11[[#This Row],[Força(N)]]/$I$5</f>
        <v>20565144.633038487</v>
      </c>
      <c r="F515" s="1">
        <f>Tabela11[[#This Row],[Tensão(Pa)]]/1000000</f>
        <v>20.565144633038486</v>
      </c>
    </row>
    <row r="516" spans="1:6" x14ac:dyDescent="0.3">
      <c r="A516" s="1">
        <v>46.033000000000001</v>
      </c>
      <c r="B516" s="1">
        <v>3.8283999999999998</v>
      </c>
      <c r="C516" s="1">
        <f>Tabela11[[#This Row],[Alongamento(mm/mm)]]/$I$2</f>
        <v>7.6567999999999997E-2</v>
      </c>
      <c r="D516" s="1">
        <v>649.95000000000005</v>
      </c>
      <c r="E516" s="1">
        <f>Tabela11[[#This Row],[Força(N)]]/$I$5</f>
        <v>20717188.620607223</v>
      </c>
      <c r="F516" s="1">
        <f>Tabela11[[#This Row],[Tensão(Pa)]]/1000000</f>
        <v>20.717188620607224</v>
      </c>
    </row>
    <row r="517" spans="1:6" x14ac:dyDescent="0.3">
      <c r="A517" s="1">
        <v>46.167000000000002</v>
      </c>
      <c r="B517" s="1">
        <v>3.8395000000000001</v>
      </c>
      <c r="C517" s="1">
        <f>Tabela11[[#This Row],[Alongamento(mm/mm)]]/$I$2</f>
        <v>7.6789999999999997E-2</v>
      </c>
      <c r="D517" s="1">
        <v>654.88</v>
      </c>
      <c r="E517" s="1">
        <f>Tabela11[[#This Row],[Força(N)]]/$I$5</f>
        <v>20874332.616144713</v>
      </c>
      <c r="F517" s="1">
        <f>Tabela11[[#This Row],[Tensão(Pa)]]/1000000</f>
        <v>20.874332616144713</v>
      </c>
    </row>
    <row r="518" spans="1:6" x14ac:dyDescent="0.3">
      <c r="A518" s="1">
        <v>46.317</v>
      </c>
      <c r="B518" s="1">
        <v>3.8519999999999999</v>
      </c>
      <c r="C518" s="1">
        <f>Tabela11[[#This Row],[Alongamento(mm/mm)]]/$I$2</f>
        <v>7.7039999999999997E-2</v>
      </c>
      <c r="D518" s="1">
        <v>660.49</v>
      </c>
      <c r="E518" s="1">
        <f>Tabela11[[#This Row],[Força(N)]]/$I$5</f>
        <v>21053151.645549446</v>
      </c>
      <c r="F518" s="1">
        <f>Tabela11[[#This Row],[Tensão(Pa)]]/1000000</f>
        <v>21.053151645549445</v>
      </c>
    </row>
    <row r="519" spans="1:6" x14ac:dyDescent="0.3">
      <c r="A519" s="1">
        <v>46.466999999999999</v>
      </c>
      <c r="B519" s="1">
        <v>3.8645</v>
      </c>
      <c r="C519" s="1">
        <f>Tabela11[[#This Row],[Alongamento(mm/mm)]]/$I$2</f>
        <v>7.7289999999999998E-2</v>
      </c>
      <c r="D519" s="1">
        <v>666.11</v>
      </c>
      <c r="E519" s="1">
        <f>Tabela11[[#This Row],[Força(N)]]/$I$5</f>
        <v>21232289.425452229</v>
      </c>
      <c r="F519" s="1">
        <f>Tabela11[[#This Row],[Tensão(Pa)]]/1000000</f>
        <v>21.23228942545223</v>
      </c>
    </row>
    <row r="520" spans="1:6" x14ac:dyDescent="0.3">
      <c r="A520" s="1">
        <v>46.616999999999997</v>
      </c>
      <c r="B520" s="1">
        <v>3.8771</v>
      </c>
      <c r="C520" s="1">
        <f>Tabela11[[#This Row],[Alongamento(mm/mm)]]/$I$2</f>
        <v>7.7542E-2</v>
      </c>
      <c r="D520" s="1">
        <v>671.55</v>
      </c>
      <c r="E520" s="1">
        <f>Tabela11[[#This Row],[Força(N)]]/$I$5</f>
        <v>21405689.696390152</v>
      </c>
      <c r="F520" s="1">
        <f>Tabela11[[#This Row],[Tensão(Pa)]]/1000000</f>
        <v>21.405689696390152</v>
      </c>
    </row>
    <row r="521" spans="1:6" x14ac:dyDescent="0.3">
      <c r="A521" s="1">
        <v>46.767000000000003</v>
      </c>
      <c r="B521" s="1">
        <v>3.8895</v>
      </c>
      <c r="C521" s="1">
        <f>Tabela11[[#This Row],[Alongamento(mm/mm)]]/$I$2</f>
        <v>7.7789999999999998E-2</v>
      </c>
      <c r="D521" s="1">
        <v>677.16</v>
      </c>
      <c r="E521" s="1">
        <f>Tabela11[[#This Row],[Força(N)]]/$I$5</f>
        <v>21584508.725794885</v>
      </c>
      <c r="F521" s="1">
        <f>Tabela11[[#This Row],[Tensão(Pa)]]/1000000</f>
        <v>21.584508725794887</v>
      </c>
    </row>
    <row r="522" spans="1:6" x14ac:dyDescent="0.3">
      <c r="A522" s="1">
        <v>46.917000000000002</v>
      </c>
      <c r="B522" s="1">
        <v>3.9020000000000001</v>
      </c>
      <c r="C522" s="1">
        <f>Tabela11[[#This Row],[Alongamento(mm/mm)]]/$I$2</f>
        <v>7.8039999999999998E-2</v>
      </c>
      <c r="D522" s="1">
        <v>682.78</v>
      </c>
      <c r="E522" s="1">
        <f>Tabela11[[#This Row],[Força(N)]]/$I$5</f>
        <v>21763646.505697664</v>
      </c>
      <c r="F522" s="1">
        <f>Tabela11[[#This Row],[Tensão(Pa)]]/1000000</f>
        <v>21.763646505697665</v>
      </c>
    </row>
    <row r="523" spans="1:6" x14ac:dyDescent="0.3">
      <c r="A523" s="1">
        <v>47.067</v>
      </c>
      <c r="B523" s="1">
        <v>3.9144999999999999</v>
      </c>
      <c r="C523" s="1">
        <f>Tabela11[[#This Row],[Alongamento(mm/mm)]]/$I$2</f>
        <v>7.8289999999999998E-2</v>
      </c>
      <c r="D523" s="1">
        <v>688.39</v>
      </c>
      <c r="E523" s="1">
        <f>Tabela11[[#This Row],[Força(N)]]/$I$5</f>
        <v>21942465.535102401</v>
      </c>
      <c r="F523" s="1">
        <f>Tabela11[[#This Row],[Tensão(Pa)]]/1000000</f>
        <v>21.9424655351024</v>
      </c>
    </row>
    <row r="524" spans="1:6" x14ac:dyDescent="0.3">
      <c r="A524" s="1">
        <v>47.2</v>
      </c>
      <c r="B524" s="1">
        <v>3.9256000000000002</v>
      </c>
      <c r="C524" s="1">
        <f>Tabela11[[#This Row],[Alongamento(mm/mm)]]/$I$2</f>
        <v>7.8511999999999998E-2</v>
      </c>
      <c r="D524" s="1">
        <v>693.49</v>
      </c>
      <c r="E524" s="1">
        <f>Tabela11[[#This Row],[Força(N)]]/$I$5</f>
        <v>22105028.289106704</v>
      </c>
      <c r="F524" s="1">
        <f>Tabela11[[#This Row],[Tensão(Pa)]]/1000000</f>
        <v>22.105028289106706</v>
      </c>
    </row>
    <row r="525" spans="1:6" x14ac:dyDescent="0.3">
      <c r="A525" s="1">
        <v>47.35</v>
      </c>
      <c r="B525" s="1">
        <v>3.9380999999999999</v>
      </c>
      <c r="C525" s="1">
        <f>Tabela11[[#This Row],[Alongamento(mm/mm)]]/$I$2</f>
        <v>7.8761999999999999E-2</v>
      </c>
      <c r="D525" s="1">
        <v>699.11</v>
      </c>
      <c r="E525" s="1">
        <f>Tabela11[[#This Row],[Força(N)]]/$I$5</f>
        <v>22284166.069009483</v>
      </c>
      <c r="F525" s="1">
        <f>Tabela11[[#This Row],[Tensão(Pa)]]/1000000</f>
        <v>22.284166069009483</v>
      </c>
    </row>
    <row r="526" spans="1:6" x14ac:dyDescent="0.3">
      <c r="A526" s="1">
        <v>47.5</v>
      </c>
      <c r="B526" s="1">
        <v>3.9506000000000001</v>
      </c>
      <c r="C526" s="1">
        <f>Tabela11[[#This Row],[Alongamento(mm/mm)]]/$I$2</f>
        <v>7.9011999999999999E-2</v>
      </c>
      <c r="D526" s="1">
        <v>704.72</v>
      </c>
      <c r="E526" s="1">
        <f>Tabela11[[#This Row],[Força(N)]]/$I$5</f>
        <v>22462985.09841422</v>
      </c>
      <c r="F526" s="1">
        <f>Tabela11[[#This Row],[Tensão(Pa)]]/1000000</f>
        <v>22.462985098414219</v>
      </c>
    </row>
    <row r="527" spans="1:6" x14ac:dyDescent="0.3">
      <c r="A527" s="1">
        <v>47.65</v>
      </c>
      <c r="B527" s="1">
        <v>3.9630999999999998</v>
      </c>
      <c r="C527" s="1">
        <f>Tabela11[[#This Row],[Alongamento(mm/mm)]]/$I$2</f>
        <v>7.9261999999999999E-2</v>
      </c>
      <c r="D527" s="1">
        <v>710.33</v>
      </c>
      <c r="E527" s="1">
        <f>Tabela11[[#This Row],[Força(N)]]/$I$5</f>
        <v>22641804.127818953</v>
      </c>
      <c r="F527" s="1">
        <f>Tabela11[[#This Row],[Tensão(Pa)]]/1000000</f>
        <v>22.641804127818954</v>
      </c>
    </row>
    <row r="528" spans="1:6" x14ac:dyDescent="0.3">
      <c r="A528" s="1">
        <v>47.8</v>
      </c>
      <c r="B528" s="1">
        <v>3.9756</v>
      </c>
      <c r="C528" s="1">
        <f>Tabela11[[#This Row],[Alongamento(mm/mm)]]/$I$2</f>
        <v>7.9511999999999999E-2</v>
      </c>
      <c r="D528" s="1">
        <v>716.12</v>
      </c>
      <c r="E528" s="1">
        <f>Tabela11[[#This Row],[Força(N)]]/$I$5</f>
        <v>22826360.666188542</v>
      </c>
      <c r="F528" s="1">
        <f>Tabela11[[#This Row],[Tensão(Pa)]]/1000000</f>
        <v>22.826360666188542</v>
      </c>
    </row>
    <row r="529" spans="1:6" x14ac:dyDescent="0.3">
      <c r="A529" s="1">
        <v>47.95</v>
      </c>
      <c r="B529" s="1">
        <v>3.9881000000000002</v>
      </c>
      <c r="C529" s="1">
        <f>Tabela11[[#This Row],[Alongamento(mm/mm)]]/$I$2</f>
        <v>7.9762E-2</v>
      </c>
      <c r="D529" s="1">
        <v>722.07</v>
      </c>
      <c r="E529" s="1">
        <f>Tabela11[[#This Row],[Força(N)]]/$I$5</f>
        <v>23016017.212526899</v>
      </c>
      <c r="F529" s="1">
        <f>Tabela11[[#This Row],[Tensão(Pa)]]/1000000</f>
        <v>23.016017212526897</v>
      </c>
    </row>
    <row r="530" spans="1:6" x14ac:dyDescent="0.3">
      <c r="A530" s="1">
        <v>48.1</v>
      </c>
      <c r="B530" s="1">
        <v>4.0007000000000001</v>
      </c>
      <c r="C530" s="1">
        <f>Tabela11[[#This Row],[Alongamento(mm/mm)]]/$I$2</f>
        <v>8.0014000000000002E-2</v>
      </c>
      <c r="D530" s="1">
        <v>727.85</v>
      </c>
      <c r="E530" s="1">
        <f>Tabela11[[#This Row],[Força(N)]]/$I$5</f>
        <v>23200255.000398438</v>
      </c>
      <c r="F530" s="1">
        <f>Tabela11[[#This Row],[Tensão(Pa)]]/1000000</f>
        <v>23.200255000398439</v>
      </c>
    </row>
    <row r="531" spans="1:6" x14ac:dyDescent="0.3">
      <c r="A531" s="1">
        <v>48.25</v>
      </c>
      <c r="B531" s="1">
        <v>4.0130999999999997</v>
      </c>
      <c r="C531" s="1">
        <f>Tabela11[[#This Row],[Alongamento(mm/mm)]]/$I$2</f>
        <v>8.0262E-2</v>
      </c>
      <c r="D531" s="1">
        <v>733.81</v>
      </c>
      <c r="E531" s="1">
        <f>Tabela11[[#This Row],[Força(N)]]/$I$5</f>
        <v>23390230.297234841</v>
      </c>
      <c r="F531" s="1">
        <f>Tabela11[[#This Row],[Tensão(Pa)]]/1000000</f>
        <v>23.39023029723484</v>
      </c>
    </row>
    <row r="532" spans="1:6" x14ac:dyDescent="0.3">
      <c r="A532" s="1">
        <v>48.4</v>
      </c>
      <c r="B532" s="1">
        <v>4.0255999999999998</v>
      </c>
      <c r="C532" s="1">
        <f>Tabela11[[#This Row],[Alongamento(mm/mm)]]/$I$2</f>
        <v>8.0512E-2</v>
      </c>
      <c r="D532" s="1">
        <v>739.76</v>
      </c>
      <c r="E532" s="1">
        <f>Tabela11[[#This Row],[Força(N)]]/$I$5</f>
        <v>23579886.843573194</v>
      </c>
      <c r="F532" s="1">
        <f>Tabela11[[#This Row],[Tensão(Pa)]]/1000000</f>
        <v>23.579886843573195</v>
      </c>
    </row>
    <row r="533" spans="1:6" x14ac:dyDescent="0.3">
      <c r="A533" s="1">
        <v>48.55</v>
      </c>
      <c r="B533" s="1">
        <v>4.0381999999999998</v>
      </c>
      <c r="C533" s="1">
        <f>Tabela11[[#This Row],[Alongamento(mm/mm)]]/$I$2</f>
        <v>8.0764000000000002E-2</v>
      </c>
      <c r="D533" s="1">
        <v>745.54</v>
      </c>
      <c r="E533" s="1">
        <f>Tabela11[[#This Row],[Força(N)]]/$I$5</f>
        <v>23764124.631444737</v>
      </c>
      <c r="F533" s="1">
        <f>Tabela11[[#This Row],[Tensão(Pa)]]/1000000</f>
        <v>23.764124631444737</v>
      </c>
    </row>
    <row r="534" spans="1:6" x14ac:dyDescent="0.3">
      <c r="A534" s="1">
        <v>48.7</v>
      </c>
      <c r="B534" s="1">
        <v>4.0506000000000002</v>
      </c>
      <c r="C534" s="1">
        <f>Tabela11[[#This Row],[Alongamento(mm/mm)]]/$I$2</f>
        <v>8.1012000000000001E-2</v>
      </c>
      <c r="D534" s="1">
        <v>751.5</v>
      </c>
      <c r="E534" s="1">
        <f>Tabela11[[#This Row],[Força(N)]]/$I$5</f>
        <v>23954099.92828114</v>
      </c>
      <c r="F534" s="1">
        <f>Tabela11[[#This Row],[Tensão(Pa)]]/1000000</f>
        <v>23.954099928281138</v>
      </c>
    </row>
    <row r="535" spans="1:6" x14ac:dyDescent="0.3">
      <c r="A535" s="1">
        <v>48.85</v>
      </c>
      <c r="B535" s="1">
        <v>4.0632000000000001</v>
      </c>
      <c r="C535" s="1">
        <f>Tabela11[[#This Row],[Alongamento(mm/mm)]]/$I$2</f>
        <v>8.1264000000000003E-2</v>
      </c>
      <c r="D535" s="1">
        <v>757.62</v>
      </c>
      <c r="E535" s="1">
        <f>Tabela11[[#This Row],[Força(N)]]/$I$5</f>
        <v>24149175.233086303</v>
      </c>
      <c r="F535" s="1">
        <f>Tabela11[[#This Row],[Tensão(Pa)]]/1000000</f>
        <v>24.149175233086304</v>
      </c>
    </row>
    <row r="536" spans="1:6" x14ac:dyDescent="0.3">
      <c r="A536" s="1">
        <v>49</v>
      </c>
      <c r="B536" s="1">
        <v>4.0755999999999997</v>
      </c>
      <c r="C536" s="1">
        <f>Tabela11[[#This Row],[Alongamento(mm/mm)]]/$I$2</f>
        <v>8.1511999999999987E-2</v>
      </c>
      <c r="D536" s="1">
        <v>763.57</v>
      </c>
      <c r="E536" s="1">
        <f>Tabela11[[#This Row],[Força(N)]]/$I$5</f>
        <v>24338831.77942466</v>
      </c>
      <c r="F536" s="1">
        <f>Tabela11[[#This Row],[Tensão(Pa)]]/1000000</f>
        <v>24.338831779424659</v>
      </c>
    </row>
    <row r="537" spans="1:6" x14ac:dyDescent="0.3">
      <c r="A537" s="1">
        <v>49.15</v>
      </c>
      <c r="B537" s="1">
        <v>4.0880999999999998</v>
      </c>
      <c r="C537" s="1">
        <f>Tabela11[[#This Row],[Alongamento(mm/mm)]]/$I$2</f>
        <v>8.1762000000000001E-2</v>
      </c>
      <c r="D537" s="1">
        <v>769.7</v>
      </c>
      <c r="E537" s="1">
        <f>Tabela11[[#This Row],[Força(N)]]/$I$5</f>
        <v>24534225.834727868</v>
      </c>
      <c r="F537" s="1">
        <f>Tabela11[[#This Row],[Tensão(Pa)]]/1000000</f>
        <v>24.53422583472787</v>
      </c>
    </row>
    <row r="538" spans="1:6" x14ac:dyDescent="0.3">
      <c r="A538" s="1">
        <v>49.3</v>
      </c>
      <c r="B538" s="1">
        <v>4.1006</v>
      </c>
      <c r="C538" s="1">
        <f>Tabela11[[#This Row],[Alongamento(mm/mm)]]/$I$2</f>
        <v>8.2012000000000002E-2</v>
      </c>
      <c r="D538" s="1">
        <v>775.99</v>
      </c>
      <c r="E538" s="1">
        <f>Tabela11[[#This Row],[Força(N)]]/$I$5</f>
        <v>24734719.897999842</v>
      </c>
      <c r="F538" s="1">
        <f>Tabela11[[#This Row],[Tensão(Pa)]]/1000000</f>
        <v>24.734719897999842</v>
      </c>
    </row>
    <row r="539" spans="1:6" x14ac:dyDescent="0.3">
      <c r="A539" s="1">
        <v>49.45</v>
      </c>
      <c r="B539" s="1">
        <v>4.1132</v>
      </c>
      <c r="C539" s="1">
        <f>Tabela11[[#This Row],[Alongamento(mm/mm)]]/$I$2</f>
        <v>8.2264000000000004E-2</v>
      </c>
      <c r="D539" s="1">
        <v>782.28</v>
      </c>
      <c r="E539" s="1">
        <f>Tabela11[[#This Row],[Força(N)]]/$I$5</f>
        <v>24935213.961271815</v>
      </c>
      <c r="F539" s="1">
        <f>Tabela11[[#This Row],[Tensão(Pa)]]/1000000</f>
        <v>24.935213961271813</v>
      </c>
    </row>
    <row r="540" spans="1:6" x14ac:dyDescent="0.3">
      <c r="A540" s="1">
        <v>49.6</v>
      </c>
      <c r="B540" s="1">
        <v>4.1256000000000004</v>
      </c>
      <c r="C540" s="1">
        <f>Tabela11[[#This Row],[Alongamento(mm/mm)]]/$I$2</f>
        <v>8.2512000000000002E-2</v>
      </c>
      <c r="D540" s="1">
        <v>788.58</v>
      </c>
      <c r="E540" s="1">
        <f>Tabela11[[#This Row],[Força(N)]]/$I$5</f>
        <v>25136026.775041837</v>
      </c>
      <c r="F540" s="1">
        <f>Tabela11[[#This Row],[Tensão(Pa)]]/1000000</f>
        <v>25.136026775041838</v>
      </c>
    </row>
    <row r="541" spans="1:6" x14ac:dyDescent="0.3">
      <c r="A541" s="1">
        <v>49.75</v>
      </c>
      <c r="B541" s="1">
        <v>4.1380999999999997</v>
      </c>
      <c r="C541" s="1">
        <f>Tabela11[[#This Row],[Alongamento(mm/mm)]]/$I$2</f>
        <v>8.2761999999999988E-2</v>
      </c>
      <c r="D541" s="1">
        <v>794.7</v>
      </c>
      <c r="E541" s="1">
        <f>Tabela11[[#This Row],[Força(N)]]/$I$5</f>
        <v>25331102.079847004</v>
      </c>
      <c r="F541" s="1">
        <f>Tabela11[[#This Row],[Tensão(Pa)]]/1000000</f>
        <v>25.331102079847003</v>
      </c>
    </row>
    <row r="542" spans="1:6" x14ac:dyDescent="0.3">
      <c r="A542" s="1">
        <v>49.9</v>
      </c>
      <c r="B542" s="1">
        <v>4.1506999999999996</v>
      </c>
      <c r="C542" s="1">
        <f>Tabela11[[#This Row],[Alongamento(mm/mm)]]/$I$2</f>
        <v>8.3013999999999991E-2</v>
      </c>
      <c r="D542" s="1">
        <v>801</v>
      </c>
      <c r="E542" s="1">
        <f>Tabela11[[#This Row],[Força(N)]]/$I$5</f>
        <v>25531914.893617023</v>
      </c>
      <c r="F542" s="1">
        <f>Tabela11[[#This Row],[Tensão(Pa)]]/1000000</f>
        <v>25.531914893617024</v>
      </c>
    </row>
    <row r="543" spans="1:6" x14ac:dyDescent="0.3">
      <c r="A543" s="1">
        <v>50.05</v>
      </c>
      <c r="B543" s="1">
        <v>4.1631</v>
      </c>
      <c r="C543" s="1">
        <f>Tabela11[[#This Row],[Alongamento(mm/mm)]]/$I$2</f>
        <v>8.3262000000000003E-2</v>
      </c>
      <c r="D543" s="1">
        <v>807.12</v>
      </c>
      <c r="E543" s="1">
        <f>Tabela11[[#This Row],[Força(N)]]/$I$5</f>
        <v>25726990.198422186</v>
      </c>
      <c r="F543" s="1">
        <f>Tabela11[[#This Row],[Tensão(Pa)]]/1000000</f>
        <v>25.726990198422186</v>
      </c>
    </row>
    <row r="544" spans="1:6" x14ac:dyDescent="0.3">
      <c r="A544" s="1">
        <v>50.2</v>
      </c>
      <c r="B544" s="1">
        <v>4.1756000000000002</v>
      </c>
      <c r="C544" s="1">
        <f>Tabela11[[#This Row],[Alongamento(mm/mm)]]/$I$2</f>
        <v>8.3512000000000003E-2</v>
      </c>
      <c r="D544" s="1">
        <v>813.41</v>
      </c>
      <c r="E544" s="1">
        <f>Tabela11[[#This Row],[Força(N)]]/$I$5</f>
        <v>25927484.261694159</v>
      </c>
      <c r="F544" s="1">
        <f>Tabela11[[#This Row],[Tensão(Pa)]]/1000000</f>
        <v>25.927484261694158</v>
      </c>
    </row>
    <row r="545" spans="1:6" x14ac:dyDescent="0.3">
      <c r="A545" s="1">
        <v>50.35</v>
      </c>
      <c r="B545" s="1">
        <v>4.1881000000000004</v>
      </c>
      <c r="C545" s="1">
        <f>Tabela11[[#This Row],[Alongamento(mm/mm)]]/$I$2</f>
        <v>8.3762000000000003E-2</v>
      </c>
      <c r="D545" s="1">
        <v>819.88</v>
      </c>
      <c r="E545" s="1">
        <f>Tabela11[[#This Row],[Força(N)]]/$I$5</f>
        <v>26133715.833930992</v>
      </c>
      <c r="F545" s="1">
        <f>Tabela11[[#This Row],[Tensão(Pa)]]/1000000</f>
        <v>26.133715833930992</v>
      </c>
    </row>
    <row r="546" spans="1:6" x14ac:dyDescent="0.3">
      <c r="A546" s="1">
        <v>50.5</v>
      </c>
      <c r="B546" s="1">
        <v>4.2005999999999997</v>
      </c>
      <c r="C546" s="1">
        <f>Tabela11[[#This Row],[Alongamento(mm/mm)]]/$I$2</f>
        <v>8.4011999999999989E-2</v>
      </c>
      <c r="D546" s="1">
        <v>826</v>
      </c>
      <c r="E546" s="1">
        <f>Tabela11[[#This Row],[Força(N)]]/$I$5</f>
        <v>26328791.138736155</v>
      </c>
      <c r="F546" s="1">
        <f>Tabela11[[#This Row],[Tensão(Pa)]]/1000000</f>
        <v>26.328791138736154</v>
      </c>
    </row>
    <row r="547" spans="1:6" x14ac:dyDescent="0.3">
      <c r="A547" s="1">
        <v>50.65</v>
      </c>
      <c r="B547" s="1">
        <v>4.2130999999999998</v>
      </c>
      <c r="C547" s="1">
        <f>Tabela11[[#This Row],[Alongamento(mm/mm)]]/$I$2</f>
        <v>8.4262000000000004E-2</v>
      </c>
      <c r="D547" s="1">
        <v>832.29</v>
      </c>
      <c r="E547" s="1">
        <f>Tabela11[[#This Row],[Força(N)]]/$I$5</f>
        <v>26529285.202008128</v>
      </c>
      <c r="F547" s="1">
        <f>Tabela11[[#This Row],[Tensão(Pa)]]/1000000</f>
        <v>26.529285202008129</v>
      </c>
    </row>
    <row r="548" spans="1:6" x14ac:dyDescent="0.3">
      <c r="A548" s="1">
        <v>50.817</v>
      </c>
      <c r="B548" s="1">
        <v>4.2270000000000003</v>
      </c>
      <c r="C548" s="1">
        <f>Tabela11[[#This Row],[Alongamento(mm/mm)]]/$I$2</f>
        <v>8.4540000000000004E-2</v>
      </c>
      <c r="D548" s="1">
        <v>839.27</v>
      </c>
      <c r="E548" s="1">
        <f>Tabela11[[#This Row],[Força(N)]]/$I$5</f>
        <v>26751773.04964539</v>
      </c>
      <c r="F548" s="1">
        <f>Tabela11[[#This Row],[Tensão(Pa)]]/1000000</f>
        <v>26.75177304964539</v>
      </c>
    </row>
    <row r="549" spans="1:6" x14ac:dyDescent="0.3">
      <c r="A549" s="1">
        <v>50.982999999999997</v>
      </c>
      <c r="B549" s="1">
        <v>4.2408999999999999</v>
      </c>
      <c r="C549" s="1">
        <f>Tabela11[[#This Row],[Alongamento(mm/mm)]]/$I$2</f>
        <v>8.4818000000000005E-2</v>
      </c>
      <c r="D549" s="1">
        <v>846.24</v>
      </c>
      <c r="E549" s="1">
        <f>Tabela11[[#This Row],[Força(N)]]/$I$5</f>
        <v>26973942.146784607</v>
      </c>
      <c r="F549" s="1">
        <f>Tabela11[[#This Row],[Tensão(Pa)]]/1000000</f>
        <v>26.973942146784609</v>
      </c>
    </row>
    <row r="550" spans="1:6" x14ac:dyDescent="0.3">
      <c r="A550" s="1">
        <v>51.15</v>
      </c>
      <c r="B550" s="1">
        <v>4.2548000000000004</v>
      </c>
      <c r="C550" s="1">
        <f>Tabela11[[#This Row],[Alongamento(mm/mm)]]/$I$2</f>
        <v>8.5096000000000005E-2</v>
      </c>
      <c r="D550" s="1">
        <v>853.05</v>
      </c>
      <c r="E550" s="1">
        <f>Tabela11[[#This Row],[Força(N)]]/$I$5</f>
        <v>27191011.235955056</v>
      </c>
      <c r="F550" s="1">
        <f>Tabela11[[#This Row],[Tensão(Pa)]]/1000000</f>
        <v>27.191011235955056</v>
      </c>
    </row>
    <row r="551" spans="1:6" x14ac:dyDescent="0.3">
      <c r="A551" s="1">
        <v>51.317</v>
      </c>
      <c r="B551" s="1">
        <v>4.2686999999999999</v>
      </c>
      <c r="C551" s="1">
        <f>Tabela11[[#This Row],[Alongamento(mm/mm)]]/$I$2</f>
        <v>8.5374000000000005E-2</v>
      </c>
      <c r="D551" s="1">
        <v>860.02</v>
      </c>
      <c r="E551" s="1">
        <f>Tabela11[[#This Row],[Força(N)]]/$I$5</f>
        <v>27413180.333094273</v>
      </c>
      <c r="F551" s="1">
        <f>Tabela11[[#This Row],[Tensão(Pa)]]/1000000</f>
        <v>27.413180333094274</v>
      </c>
    </row>
    <row r="552" spans="1:6" x14ac:dyDescent="0.3">
      <c r="A552" s="1">
        <v>51.482999999999997</v>
      </c>
      <c r="B552" s="1">
        <v>4.2824</v>
      </c>
      <c r="C552" s="1">
        <f>Tabela11[[#This Row],[Alongamento(mm/mm)]]/$I$2</f>
        <v>8.5648000000000002E-2</v>
      </c>
      <c r="D552" s="1">
        <v>866.82</v>
      </c>
      <c r="E552" s="1">
        <f>Tabela11[[#This Row],[Força(N)]]/$I$5</f>
        <v>27629930.671766676</v>
      </c>
      <c r="F552" s="1">
        <f>Tabela11[[#This Row],[Tensão(Pa)]]/1000000</f>
        <v>27.629930671766676</v>
      </c>
    </row>
    <row r="553" spans="1:6" x14ac:dyDescent="0.3">
      <c r="A553" s="1">
        <v>51.65</v>
      </c>
      <c r="B553" s="1">
        <v>4.2965</v>
      </c>
      <c r="C553" s="1">
        <f>Tabela11[[#This Row],[Alongamento(mm/mm)]]/$I$2</f>
        <v>8.5930000000000006E-2</v>
      </c>
      <c r="D553" s="1">
        <v>873.8</v>
      </c>
      <c r="E553" s="1">
        <f>Tabela11[[#This Row],[Força(N)]]/$I$5</f>
        <v>27852418.519403938</v>
      </c>
      <c r="F553" s="1">
        <f>Tabela11[[#This Row],[Tensão(Pa)]]/1000000</f>
        <v>27.852418519403937</v>
      </c>
    </row>
    <row r="554" spans="1:6" x14ac:dyDescent="0.3">
      <c r="A554" s="1">
        <v>51.817</v>
      </c>
      <c r="B554" s="1">
        <v>4.3103999999999996</v>
      </c>
      <c r="C554" s="1">
        <f>Tabela11[[#This Row],[Alongamento(mm/mm)]]/$I$2</f>
        <v>8.6207999999999993E-2</v>
      </c>
      <c r="D554" s="1">
        <v>880.6</v>
      </c>
      <c r="E554" s="1">
        <f>Tabela11[[#This Row],[Força(N)]]/$I$5</f>
        <v>28069168.858076341</v>
      </c>
      <c r="F554" s="1">
        <f>Tabela11[[#This Row],[Tensão(Pa)]]/1000000</f>
        <v>28.069168858076342</v>
      </c>
    </row>
    <row r="555" spans="1:6" x14ac:dyDescent="0.3">
      <c r="A555" s="1">
        <v>51.982999999999997</v>
      </c>
      <c r="B555" s="1">
        <v>4.3242000000000003</v>
      </c>
      <c r="C555" s="1">
        <f>Tabela11[[#This Row],[Alongamento(mm/mm)]]/$I$2</f>
        <v>8.6484000000000005E-2</v>
      </c>
      <c r="D555" s="1">
        <v>887.58</v>
      </c>
      <c r="E555" s="1">
        <f>Tabela11[[#This Row],[Força(N)]]/$I$5</f>
        <v>28291656.705713607</v>
      </c>
      <c r="F555" s="1">
        <f>Tabela11[[#This Row],[Tensão(Pa)]]/1000000</f>
        <v>28.291656705713606</v>
      </c>
    </row>
    <row r="556" spans="1:6" x14ac:dyDescent="0.3">
      <c r="A556" s="1">
        <v>52.15</v>
      </c>
      <c r="B556" s="1">
        <v>4.3381999999999996</v>
      </c>
      <c r="C556" s="1">
        <f>Tabela11[[#This Row],[Alongamento(mm/mm)]]/$I$2</f>
        <v>8.6763999999999994E-2</v>
      </c>
      <c r="D556" s="1">
        <v>894.55</v>
      </c>
      <c r="E556" s="1">
        <f>Tabela11[[#This Row],[Força(N)]]/$I$5</f>
        <v>28513825.802852817</v>
      </c>
      <c r="F556" s="1">
        <f>Tabela11[[#This Row],[Tensão(Pa)]]/1000000</f>
        <v>28.513825802852818</v>
      </c>
    </row>
    <row r="557" spans="1:6" x14ac:dyDescent="0.3">
      <c r="A557" s="1">
        <v>52.317</v>
      </c>
      <c r="B557" s="1">
        <v>4.3520000000000003</v>
      </c>
      <c r="C557" s="1">
        <f>Tabela11[[#This Row],[Alongamento(mm/mm)]]/$I$2</f>
        <v>8.7040000000000006E-2</v>
      </c>
      <c r="D557" s="1">
        <v>901.52</v>
      </c>
      <c r="E557" s="1">
        <f>Tabela11[[#This Row],[Força(N)]]/$I$5</f>
        <v>28735994.899992034</v>
      </c>
      <c r="F557" s="1">
        <f>Tabela11[[#This Row],[Tensão(Pa)]]/1000000</f>
        <v>28.735994899992033</v>
      </c>
    </row>
    <row r="558" spans="1:6" x14ac:dyDescent="0.3">
      <c r="A558" s="1">
        <v>52.482999999999997</v>
      </c>
      <c r="B558" s="1">
        <v>4.3658999999999999</v>
      </c>
      <c r="C558" s="1">
        <f>Tabela11[[#This Row],[Alongamento(mm/mm)]]/$I$2</f>
        <v>8.7317999999999993E-2</v>
      </c>
      <c r="D558" s="1">
        <v>908.67</v>
      </c>
      <c r="E558" s="1">
        <f>Tabela11[[#This Row],[Força(N)]]/$I$5</f>
        <v>28963901.506096102</v>
      </c>
      <c r="F558" s="1">
        <f>Tabela11[[#This Row],[Tensão(Pa)]]/1000000</f>
        <v>28.963901506096104</v>
      </c>
    </row>
    <row r="559" spans="1:6" x14ac:dyDescent="0.3">
      <c r="A559" s="1">
        <v>52.65</v>
      </c>
      <c r="B559" s="1">
        <v>4.3798000000000004</v>
      </c>
      <c r="C559" s="1">
        <f>Tabela11[[#This Row],[Alongamento(mm/mm)]]/$I$2</f>
        <v>8.7596000000000007E-2</v>
      </c>
      <c r="D559" s="1">
        <v>915.64</v>
      </c>
      <c r="E559" s="1">
        <f>Tabela11[[#This Row],[Força(N)]]/$I$5</f>
        <v>29186070.603235319</v>
      </c>
      <c r="F559" s="1">
        <f>Tabela11[[#This Row],[Tensão(Pa)]]/1000000</f>
        <v>29.186070603235319</v>
      </c>
    </row>
    <row r="560" spans="1:6" x14ac:dyDescent="0.3">
      <c r="A560" s="1">
        <v>52.832999999999998</v>
      </c>
      <c r="B560" s="1">
        <v>4.3951000000000002</v>
      </c>
      <c r="C560" s="1">
        <f>Tabela11[[#This Row],[Alongamento(mm/mm)]]/$I$2</f>
        <v>8.7902000000000008E-2</v>
      </c>
      <c r="D560" s="1">
        <v>923.3</v>
      </c>
      <c r="E560" s="1">
        <f>Tabela11[[#This Row],[Força(N)]]/$I$5</f>
        <v>29430233.484739821</v>
      </c>
      <c r="F560" s="1">
        <f>Tabela11[[#This Row],[Tensão(Pa)]]/1000000</f>
        <v>29.430233484739823</v>
      </c>
    </row>
    <row r="561" spans="1:6" x14ac:dyDescent="0.3">
      <c r="A561" s="1">
        <v>53</v>
      </c>
      <c r="B561" s="1">
        <v>4.4089999999999998</v>
      </c>
      <c r="C561" s="1">
        <f>Tabela11[[#This Row],[Alongamento(mm/mm)]]/$I$2</f>
        <v>8.8179999999999994E-2</v>
      </c>
      <c r="D561" s="1">
        <v>930.44</v>
      </c>
      <c r="E561" s="1">
        <f>Tabela11[[#This Row],[Força(N)]]/$I$5</f>
        <v>29657821.340345848</v>
      </c>
      <c r="F561" s="1">
        <f>Tabela11[[#This Row],[Tensão(Pa)]]/1000000</f>
        <v>29.657821340345848</v>
      </c>
    </row>
    <row r="562" spans="1:6" x14ac:dyDescent="0.3">
      <c r="A562" s="1">
        <v>53.183</v>
      </c>
      <c r="B562" s="1">
        <v>4.4242999999999997</v>
      </c>
      <c r="C562" s="1">
        <f>Tabela11[[#This Row],[Alongamento(mm/mm)]]/$I$2</f>
        <v>8.8485999999999995E-2</v>
      </c>
      <c r="D562" s="1">
        <v>938.09</v>
      </c>
      <c r="E562" s="1">
        <f>Tabela11[[#This Row],[Força(N)]]/$I$5</f>
        <v>29901665.471352302</v>
      </c>
      <c r="F562" s="1">
        <f>Tabela11[[#This Row],[Tensão(Pa)]]/1000000</f>
        <v>29.901665471352302</v>
      </c>
    </row>
    <row r="563" spans="1:6" x14ac:dyDescent="0.3">
      <c r="A563" s="1">
        <v>53.366999999999997</v>
      </c>
      <c r="B563" s="1">
        <v>4.4394999999999998</v>
      </c>
      <c r="C563" s="1">
        <f>Tabela11[[#This Row],[Alongamento(mm/mm)]]/$I$2</f>
        <v>8.8789999999999994E-2</v>
      </c>
      <c r="D563" s="1">
        <v>945.58</v>
      </c>
      <c r="E563" s="1">
        <f>Tabela11[[#This Row],[Força(N)]]/$I$5</f>
        <v>30140409.594389994</v>
      </c>
      <c r="F563" s="1">
        <f>Tabela11[[#This Row],[Tensão(Pa)]]/1000000</f>
        <v>30.140409594389993</v>
      </c>
    </row>
    <row r="564" spans="1:6" x14ac:dyDescent="0.3">
      <c r="A564" s="1">
        <v>53.55</v>
      </c>
      <c r="B564" s="1">
        <v>4.4547999999999996</v>
      </c>
      <c r="C564" s="1">
        <f>Tabela11[[#This Row],[Alongamento(mm/mm)]]/$I$2</f>
        <v>8.9095999999999995E-2</v>
      </c>
      <c r="D564" s="1">
        <v>953.4</v>
      </c>
      <c r="E564" s="1">
        <f>Tabela11[[#This Row],[Força(N)]]/$I$5</f>
        <v>30389672.483863257</v>
      </c>
      <c r="F564" s="1">
        <f>Tabela11[[#This Row],[Tensão(Pa)]]/1000000</f>
        <v>30.389672483863258</v>
      </c>
    </row>
    <row r="565" spans="1:6" x14ac:dyDescent="0.3">
      <c r="A565" s="1">
        <v>53.732999999999997</v>
      </c>
      <c r="B565" s="1">
        <v>4.47</v>
      </c>
      <c r="C565" s="1">
        <f>Tabela11[[#This Row],[Alongamento(mm/mm)]]/$I$2</f>
        <v>8.9399999999999993E-2</v>
      </c>
      <c r="D565" s="1">
        <v>960.89</v>
      </c>
      <c r="E565" s="1">
        <f>Tabela11[[#This Row],[Força(N)]]/$I$5</f>
        <v>30628416.606900949</v>
      </c>
      <c r="F565" s="1">
        <f>Tabela11[[#This Row],[Tensão(Pa)]]/1000000</f>
        <v>30.628416606900949</v>
      </c>
    </row>
    <row r="566" spans="1:6" x14ac:dyDescent="0.3">
      <c r="A566" s="1">
        <v>53.917000000000002</v>
      </c>
      <c r="B566" s="1">
        <v>4.4854000000000003</v>
      </c>
      <c r="C566" s="1">
        <f>Tabela11[[#This Row],[Alongamento(mm/mm)]]/$I$2</f>
        <v>8.970800000000001E-2</v>
      </c>
      <c r="D566" s="1">
        <v>968.88</v>
      </c>
      <c r="E566" s="1">
        <f>Tabela11[[#This Row],[Força(N)]]/$I$5</f>
        <v>30883098.254841026</v>
      </c>
      <c r="F566" s="1">
        <f>Tabela11[[#This Row],[Tensão(Pa)]]/1000000</f>
        <v>30.883098254841027</v>
      </c>
    </row>
    <row r="567" spans="1:6" x14ac:dyDescent="0.3">
      <c r="A567" s="1">
        <v>54.1</v>
      </c>
      <c r="B567" s="1">
        <v>4.5006000000000004</v>
      </c>
      <c r="C567" s="1">
        <f>Tabela11[[#This Row],[Alongamento(mm/mm)]]/$I$2</f>
        <v>9.0012000000000009E-2</v>
      </c>
      <c r="D567" s="1">
        <v>976.71</v>
      </c>
      <c r="E567" s="1">
        <f>Tabela11[[#This Row],[Força(N)]]/$I$5</f>
        <v>31132679.894812338</v>
      </c>
      <c r="F567" s="1">
        <f>Tabela11[[#This Row],[Tensão(Pa)]]/1000000</f>
        <v>31.132679894812338</v>
      </c>
    </row>
    <row r="568" spans="1:6" x14ac:dyDescent="0.3">
      <c r="A568" s="1">
        <v>54.283000000000001</v>
      </c>
      <c r="B568" s="1">
        <v>4.5157999999999996</v>
      </c>
      <c r="C568" s="1">
        <f>Tabela11[[#This Row],[Alongamento(mm/mm)]]/$I$2</f>
        <v>9.0315999999999994E-2</v>
      </c>
      <c r="D568" s="1">
        <v>984.7</v>
      </c>
      <c r="E568" s="1">
        <f>Tabela11[[#This Row],[Força(N)]]/$I$5</f>
        <v>31387361.542752415</v>
      </c>
      <c r="F568" s="1">
        <f>Tabela11[[#This Row],[Tensão(Pa)]]/1000000</f>
        <v>31.387361542752416</v>
      </c>
    </row>
    <row r="569" spans="1:6" x14ac:dyDescent="0.3">
      <c r="A569" s="1">
        <v>54.466999999999999</v>
      </c>
      <c r="B569" s="1">
        <v>4.5312000000000001</v>
      </c>
      <c r="C569" s="1">
        <f>Tabela11[[#This Row],[Alongamento(mm/mm)]]/$I$2</f>
        <v>9.0623999999999996E-2</v>
      </c>
      <c r="D569" s="1">
        <v>992.53</v>
      </c>
      <c r="E569" s="1">
        <f>Tabela11[[#This Row],[Força(N)]]/$I$5</f>
        <v>31636943.182723723</v>
      </c>
      <c r="F569" s="1">
        <f>Tabela11[[#This Row],[Tensão(Pa)]]/1000000</f>
        <v>31.636943182723723</v>
      </c>
    </row>
    <row r="570" spans="1:6" x14ac:dyDescent="0.3">
      <c r="A570" s="1">
        <v>54.65</v>
      </c>
      <c r="B570" s="1">
        <v>4.5464000000000002</v>
      </c>
      <c r="C570" s="1">
        <f>Tabela11[[#This Row],[Alongamento(mm/mm)]]/$I$2</f>
        <v>9.0928000000000009E-2</v>
      </c>
      <c r="D570" s="1">
        <v>1000.4</v>
      </c>
      <c r="E570" s="1">
        <f>Tabela11[[#This Row],[Força(N)]]/$I$5</f>
        <v>31887799.824687228</v>
      </c>
      <c r="F570" s="1">
        <f>Tabela11[[#This Row],[Tensão(Pa)]]/1000000</f>
        <v>31.887799824687228</v>
      </c>
    </row>
    <row r="571" spans="1:6" x14ac:dyDescent="0.3">
      <c r="A571" s="1">
        <v>54.832999999999998</v>
      </c>
      <c r="B571" s="1">
        <v>4.5617000000000001</v>
      </c>
      <c r="C571" s="1">
        <f>Tabela11[[#This Row],[Alongamento(mm/mm)]]/$I$2</f>
        <v>9.1233999999999996E-2</v>
      </c>
      <c r="D571" s="1">
        <v>1008.3</v>
      </c>
      <c r="E571" s="1">
        <f>Tabela11[[#This Row],[Força(N)]]/$I$5</f>
        <v>32139612.718144871</v>
      </c>
      <c r="F571" s="1">
        <f>Tabela11[[#This Row],[Tensão(Pa)]]/1000000</f>
        <v>32.139612718144875</v>
      </c>
    </row>
    <row r="572" spans="1:6" x14ac:dyDescent="0.3">
      <c r="A572" s="1">
        <v>55.017000000000003</v>
      </c>
      <c r="B572" s="1">
        <v>4.577</v>
      </c>
      <c r="C572" s="1">
        <f>Tabela11[[#This Row],[Alongamento(mm/mm)]]/$I$2</f>
        <v>9.1539999999999996E-2</v>
      </c>
      <c r="D572" s="1">
        <v>1016.5</v>
      </c>
      <c r="E572" s="1">
        <f>Tabela11[[#This Row],[Força(N)]]/$I$5</f>
        <v>32400988.12654395</v>
      </c>
      <c r="F572" s="1">
        <f>Tabela11[[#This Row],[Tensão(Pa)]]/1000000</f>
        <v>32.40098812654395</v>
      </c>
    </row>
    <row r="573" spans="1:6" x14ac:dyDescent="0.3">
      <c r="A573" s="1">
        <v>55.2</v>
      </c>
      <c r="B573" s="1">
        <v>4.5922000000000001</v>
      </c>
      <c r="C573" s="1">
        <f>Tabela11[[#This Row],[Alongamento(mm/mm)]]/$I$2</f>
        <v>9.1843999999999995E-2</v>
      </c>
      <c r="D573" s="1">
        <v>1024.5</v>
      </c>
      <c r="E573" s="1">
        <f>Tabela11[[#This Row],[Força(N)]]/$I$5</f>
        <v>32655988.524982072</v>
      </c>
      <c r="F573" s="1">
        <f>Tabela11[[#This Row],[Tensão(Pa)]]/1000000</f>
        <v>32.655988524982071</v>
      </c>
    </row>
    <row r="574" spans="1:6" x14ac:dyDescent="0.3">
      <c r="A574" s="1">
        <v>55.383000000000003</v>
      </c>
      <c r="B574" s="1">
        <v>4.6074999999999999</v>
      </c>
      <c r="C574" s="1">
        <f>Tabela11[[#This Row],[Alongamento(mm/mm)]]/$I$2</f>
        <v>9.2149999999999996E-2</v>
      </c>
      <c r="D574" s="1">
        <v>1032.5</v>
      </c>
      <c r="E574" s="1">
        <f>Tabela11[[#This Row],[Força(N)]]/$I$5</f>
        <v>32910988.923420195</v>
      </c>
      <c r="F574" s="1">
        <f>Tabela11[[#This Row],[Tensão(Pa)]]/1000000</f>
        <v>32.910988923420192</v>
      </c>
    </row>
    <row r="575" spans="1:6" x14ac:dyDescent="0.3">
      <c r="A575" s="1">
        <v>55.567</v>
      </c>
      <c r="B575" s="1">
        <v>4.6227999999999998</v>
      </c>
      <c r="C575" s="1">
        <f>Tabela11[[#This Row],[Alongamento(mm/mm)]]/$I$2</f>
        <v>9.2455999999999997E-2</v>
      </c>
      <c r="D575" s="1">
        <v>1040.3</v>
      </c>
      <c r="E575" s="1">
        <f>Tabela11[[#This Row],[Força(N)]]/$I$5</f>
        <v>33159614.311897364</v>
      </c>
      <c r="F575" s="1">
        <f>Tabela11[[#This Row],[Tensão(Pa)]]/1000000</f>
        <v>33.159614311897364</v>
      </c>
    </row>
    <row r="576" spans="1:6" x14ac:dyDescent="0.3">
      <c r="A576" s="1">
        <v>55.75</v>
      </c>
      <c r="B576" s="1">
        <v>4.6380999999999997</v>
      </c>
      <c r="C576" s="1">
        <f>Tabela11[[#This Row],[Alongamento(mm/mm)]]/$I$2</f>
        <v>9.2761999999999997E-2</v>
      </c>
      <c r="D576" s="1">
        <v>1048.3</v>
      </c>
      <c r="E576" s="1">
        <f>Tabela11[[#This Row],[Força(N)]]/$I$5</f>
        <v>33414614.710335486</v>
      </c>
      <c r="F576" s="1">
        <f>Tabela11[[#This Row],[Tensão(Pa)]]/1000000</f>
        <v>33.414614710335485</v>
      </c>
    </row>
    <row r="577" spans="1:6" x14ac:dyDescent="0.3">
      <c r="A577" s="1">
        <v>55.95</v>
      </c>
      <c r="B577" s="1">
        <v>4.6547999999999998</v>
      </c>
      <c r="C577" s="1">
        <f>Tabela11[[#This Row],[Alongamento(mm/mm)]]/$I$2</f>
        <v>9.3095999999999998E-2</v>
      </c>
      <c r="D577" s="1">
        <v>1057</v>
      </c>
      <c r="E577" s="1">
        <f>Tabela11[[#This Row],[Força(N)]]/$I$5</f>
        <v>33691927.643636942</v>
      </c>
      <c r="F577" s="1">
        <f>Tabela11[[#This Row],[Tensão(Pa)]]/1000000</f>
        <v>33.691927643636944</v>
      </c>
    </row>
    <row r="578" spans="1:6" x14ac:dyDescent="0.3">
      <c r="A578" s="1">
        <v>56.15</v>
      </c>
      <c r="B578" s="1">
        <v>4.6715</v>
      </c>
      <c r="C578" s="1">
        <f>Tabela11[[#This Row],[Alongamento(mm/mm)]]/$I$2</f>
        <v>9.3429999999999999E-2</v>
      </c>
      <c r="D578" s="1">
        <v>1065.7</v>
      </c>
      <c r="E578" s="1">
        <f>Tabela11[[#This Row],[Força(N)]]/$I$5</f>
        <v>33969240.576938406</v>
      </c>
      <c r="F578" s="1">
        <f>Tabela11[[#This Row],[Tensão(Pa)]]/1000000</f>
        <v>33.969240576938404</v>
      </c>
    </row>
    <row r="579" spans="1:6" x14ac:dyDescent="0.3">
      <c r="A579" s="1">
        <v>56.35</v>
      </c>
      <c r="B579" s="1">
        <v>4.6882000000000001</v>
      </c>
      <c r="C579" s="1">
        <f>Tabela11[[#This Row],[Alongamento(mm/mm)]]/$I$2</f>
        <v>9.3764E-2</v>
      </c>
      <c r="D579" s="1">
        <v>1074.3</v>
      </c>
      <c r="E579" s="1">
        <f>Tabela11[[#This Row],[Força(N)]]/$I$5</f>
        <v>34243366.005259387</v>
      </c>
      <c r="F579" s="1">
        <f>Tabela11[[#This Row],[Tensão(Pa)]]/1000000</f>
        <v>34.243366005259389</v>
      </c>
    </row>
    <row r="580" spans="1:6" x14ac:dyDescent="0.3">
      <c r="A580" s="1">
        <v>56.55</v>
      </c>
      <c r="B580" s="1">
        <v>4.7047999999999996</v>
      </c>
      <c r="C580" s="1">
        <f>Tabela11[[#This Row],[Alongamento(mm/mm)]]/$I$2</f>
        <v>9.4095999999999999E-2</v>
      </c>
      <c r="D580" s="1">
        <v>1083</v>
      </c>
      <c r="E580" s="1">
        <f>Tabela11[[#This Row],[Força(N)]]/$I$5</f>
        <v>34520678.938560843</v>
      </c>
      <c r="F580" s="1">
        <f>Tabela11[[#This Row],[Tensão(Pa)]]/1000000</f>
        <v>34.520678938560842</v>
      </c>
    </row>
    <row r="581" spans="1:6" x14ac:dyDescent="0.3">
      <c r="A581" s="1">
        <v>56.75</v>
      </c>
      <c r="B581" s="1">
        <v>4.7214999999999998</v>
      </c>
      <c r="C581" s="1">
        <f>Tabela11[[#This Row],[Alongamento(mm/mm)]]/$I$2</f>
        <v>9.443E-2</v>
      </c>
      <c r="D581" s="1">
        <v>1091.7</v>
      </c>
      <c r="E581" s="1">
        <f>Tabela11[[#This Row],[Força(N)]]/$I$5</f>
        <v>34797991.8718623</v>
      </c>
      <c r="F581" s="1">
        <f>Tabela11[[#This Row],[Tensão(Pa)]]/1000000</f>
        <v>34.797991871862301</v>
      </c>
    </row>
    <row r="582" spans="1:6" x14ac:dyDescent="0.3">
      <c r="A582" s="1">
        <v>56.95</v>
      </c>
      <c r="B582" s="1">
        <v>4.7381000000000002</v>
      </c>
      <c r="C582" s="1">
        <f>Tabela11[[#This Row],[Alongamento(mm/mm)]]/$I$2</f>
        <v>9.4761999999999999E-2</v>
      </c>
      <c r="D582" s="1">
        <v>1100.4000000000001</v>
      </c>
      <c r="E582" s="1">
        <f>Tabela11[[#This Row],[Força(N)]]/$I$5</f>
        <v>35075304.805163763</v>
      </c>
      <c r="F582" s="1">
        <f>Tabela11[[#This Row],[Tensão(Pa)]]/1000000</f>
        <v>35.075304805163761</v>
      </c>
    </row>
    <row r="583" spans="1:6" x14ac:dyDescent="0.3">
      <c r="A583" s="1">
        <v>57.15</v>
      </c>
      <c r="B583" s="1">
        <v>4.7548000000000004</v>
      </c>
      <c r="C583" s="1">
        <f>Tabela11[[#This Row],[Alongamento(mm/mm)]]/$I$2</f>
        <v>9.5096000000000014E-2</v>
      </c>
      <c r="D583" s="1">
        <v>1109</v>
      </c>
      <c r="E583" s="1">
        <f>Tabela11[[#This Row],[Força(N)]]/$I$5</f>
        <v>35349430.233484745</v>
      </c>
      <c r="F583" s="1">
        <f>Tabela11[[#This Row],[Tensão(Pa)]]/1000000</f>
        <v>35.349430233484746</v>
      </c>
    </row>
    <row r="584" spans="1:6" x14ac:dyDescent="0.3">
      <c r="A584" s="1">
        <v>57.35</v>
      </c>
      <c r="B584" s="1">
        <v>4.7714999999999996</v>
      </c>
      <c r="C584" s="1">
        <f>Tabela11[[#This Row],[Alongamento(mm/mm)]]/$I$2</f>
        <v>9.5429999999999987E-2</v>
      </c>
      <c r="D584" s="1">
        <v>1117.5</v>
      </c>
      <c r="E584" s="1">
        <f>Tabela11[[#This Row],[Força(N)]]/$I$5</f>
        <v>35620368.156825244</v>
      </c>
      <c r="F584" s="1">
        <f>Tabela11[[#This Row],[Tensão(Pa)]]/1000000</f>
        <v>35.620368156825243</v>
      </c>
    </row>
    <row r="585" spans="1:6" x14ac:dyDescent="0.3">
      <c r="A585" s="1">
        <v>57.55</v>
      </c>
      <c r="B585" s="1">
        <v>4.7881</v>
      </c>
      <c r="C585" s="1">
        <f>Tabela11[[#This Row],[Alongamento(mm/mm)]]/$I$2</f>
        <v>9.5762E-2</v>
      </c>
      <c r="D585" s="1">
        <v>1126.2</v>
      </c>
      <c r="E585" s="1">
        <f>Tabela11[[#This Row],[Força(N)]]/$I$5</f>
        <v>35897681.090126708</v>
      </c>
      <c r="F585" s="1">
        <f>Tabela11[[#This Row],[Tensão(Pa)]]/1000000</f>
        <v>35.89768109012671</v>
      </c>
    </row>
    <row r="586" spans="1:6" x14ac:dyDescent="0.3">
      <c r="A586" s="1">
        <v>57.75</v>
      </c>
      <c r="B586" s="1">
        <v>4.8048000000000002</v>
      </c>
      <c r="C586" s="1">
        <f>Tabela11[[#This Row],[Alongamento(mm/mm)]]/$I$2</f>
        <v>9.6096000000000001E-2</v>
      </c>
      <c r="D586" s="1">
        <v>1135.0999999999999</v>
      </c>
      <c r="E586" s="1">
        <f>Tabela11[[#This Row],[Força(N)]]/$I$5</f>
        <v>36181369.033389114</v>
      </c>
      <c r="F586" s="1">
        <f>Tabela11[[#This Row],[Tensão(Pa)]]/1000000</f>
        <v>36.181369033389117</v>
      </c>
    </row>
    <row r="587" spans="1:6" x14ac:dyDescent="0.3">
      <c r="A587" s="1">
        <v>57.966999999999999</v>
      </c>
      <c r="B587" s="1">
        <v>4.8228999999999997</v>
      </c>
      <c r="C587" s="1">
        <f>Tabela11[[#This Row],[Alongamento(mm/mm)]]/$I$2</f>
        <v>9.6457999999999988E-2</v>
      </c>
      <c r="D587" s="1">
        <v>1144.4000000000001</v>
      </c>
      <c r="E587" s="1">
        <f>Tabela11[[#This Row],[Força(N)]]/$I$5</f>
        <v>36477806.996573441</v>
      </c>
      <c r="F587" s="1">
        <f>Tabela11[[#This Row],[Tensão(Pa)]]/1000000</f>
        <v>36.477806996573442</v>
      </c>
    </row>
    <row r="588" spans="1:6" x14ac:dyDescent="0.3">
      <c r="A588" s="1">
        <v>58.183</v>
      </c>
      <c r="B588" s="1">
        <v>4.8407999999999998</v>
      </c>
      <c r="C588" s="1">
        <f>Tabela11[[#This Row],[Alongamento(mm/mm)]]/$I$2</f>
        <v>9.6815999999999999E-2</v>
      </c>
      <c r="D588" s="1">
        <v>1154</v>
      </c>
      <c r="E588" s="1">
        <f>Tabela11[[#This Row],[Força(N)]]/$I$5</f>
        <v>36783807.474699184</v>
      </c>
      <c r="F588" s="1">
        <f>Tabela11[[#This Row],[Tensão(Pa)]]/1000000</f>
        <v>36.783807474699181</v>
      </c>
    </row>
    <row r="589" spans="1:6" x14ac:dyDescent="0.3">
      <c r="A589" s="1">
        <v>58.4</v>
      </c>
      <c r="B589" s="1">
        <v>4.859</v>
      </c>
      <c r="C589" s="1">
        <f>Tabela11[[#This Row],[Alongamento(mm/mm)]]/$I$2</f>
        <v>9.7180000000000002E-2</v>
      </c>
      <c r="D589" s="1">
        <v>1163.5</v>
      </c>
      <c r="E589" s="1">
        <f>Tabela11[[#This Row],[Força(N)]]/$I$5</f>
        <v>37086620.447844453</v>
      </c>
      <c r="F589" s="1">
        <f>Tabela11[[#This Row],[Tensão(Pa)]]/1000000</f>
        <v>37.086620447844453</v>
      </c>
    </row>
    <row r="590" spans="1:6" x14ac:dyDescent="0.3">
      <c r="A590" s="1">
        <v>58.616999999999997</v>
      </c>
      <c r="B590" s="1">
        <v>4.8769999999999998</v>
      </c>
      <c r="C590" s="1">
        <f>Tabela11[[#This Row],[Alongamento(mm/mm)]]/$I$2</f>
        <v>9.7540000000000002E-2</v>
      </c>
      <c r="D590" s="1">
        <v>1172.8</v>
      </c>
      <c r="E590" s="1">
        <f>Tabela11[[#This Row],[Força(N)]]/$I$5</f>
        <v>37383058.411028765</v>
      </c>
      <c r="F590" s="1">
        <f>Tabela11[[#This Row],[Tensão(Pa)]]/1000000</f>
        <v>37.383058411028763</v>
      </c>
    </row>
    <row r="591" spans="1:6" x14ac:dyDescent="0.3">
      <c r="A591" s="1">
        <v>58.832999999999998</v>
      </c>
      <c r="B591" s="1">
        <v>4.8951000000000002</v>
      </c>
      <c r="C591" s="1">
        <f>Tabela11[[#This Row],[Alongamento(mm/mm)]]/$I$2</f>
        <v>9.7902000000000003E-2</v>
      </c>
      <c r="D591" s="1">
        <v>1182.2</v>
      </c>
      <c r="E591" s="1">
        <f>Tabela11[[#This Row],[Força(N)]]/$I$5</f>
        <v>37682683.879193567</v>
      </c>
      <c r="F591" s="1">
        <f>Tabela11[[#This Row],[Tensão(Pa)]]/1000000</f>
        <v>37.682683879193569</v>
      </c>
    </row>
    <row r="592" spans="1:6" x14ac:dyDescent="0.3">
      <c r="A592" s="1">
        <v>59.05</v>
      </c>
      <c r="B592" s="1">
        <v>4.9131</v>
      </c>
      <c r="C592" s="1">
        <f>Tabela11[[#This Row],[Alongamento(mm/mm)]]/$I$2</f>
        <v>9.8262000000000002E-2</v>
      </c>
      <c r="D592" s="1">
        <v>1191.5</v>
      </c>
      <c r="E592" s="1">
        <f>Tabela11[[#This Row],[Força(N)]]/$I$5</f>
        <v>37979121.842377879</v>
      </c>
      <c r="F592" s="1">
        <f>Tabela11[[#This Row],[Tensão(Pa)]]/1000000</f>
        <v>37.979121842377879</v>
      </c>
    </row>
    <row r="593" spans="1:6" x14ac:dyDescent="0.3">
      <c r="A593" s="1">
        <v>59.267000000000003</v>
      </c>
      <c r="B593" s="1">
        <v>4.9311999999999996</v>
      </c>
      <c r="C593" s="1">
        <f>Tabela11[[#This Row],[Alongamento(mm/mm)]]/$I$2</f>
        <v>9.8623999999999989E-2</v>
      </c>
      <c r="D593" s="1">
        <v>1201.0999999999999</v>
      </c>
      <c r="E593" s="1">
        <f>Tabela11[[#This Row],[Força(N)]]/$I$5</f>
        <v>38285122.320503622</v>
      </c>
      <c r="F593" s="1">
        <f>Tabela11[[#This Row],[Tensão(Pa)]]/1000000</f>
        <v>38.285122320503625</v>
      </c>
    </row>
    <row r="594" spans="1:6" x14ac:dyDescent="0.3">
      <c r="A594" s="1">
        <v>59.482999999999997</v>
      </c>
      <c r="B594" s="1">
        <v>4.9492000000000003</v>
      </c>
      <c r="C594" s="1">
        <f>Tabela11[[#This Row],[Alongamento(mm/mm)]]/$I$2</f>
        <v>9.8984000000000003E-2</v>
      </c>
      <c r="D594" s="1">
        <v>1210.5999999999999</v>
      </c>
      <c r="E594" s="1">
        <f>Tabela11[[#This Row],[Força(N)]]/$I$5</f>
        <v>38587935.293648899</v>
      </c>
      <c r="F594" s="1">
        <f>Tabela11[[#This Row],[Tensão(Pa)]]/1000000</f>
        <v>38.587935293648897</v>
      </c>
    </row>
    <row r="595" spans="1:6" x14ac:dyDescent="0.3">
      <c r="A595" s="1">
        <v>59.7</v>
      </c>
      <c r="B595" s="1">
        <v>4.9672999999999998</v>
      </c>
      <c r="C595" s="1">
        <f>Tabela11[[#This Row],[Alongamento(mm/mm)]]/$I$2</f>
        <v>9.934599999999999E-2</v>
      </c>
      <c r="D595" s="1">
        <v>1219.9000000000001</v>
      </c>
      <c r="E595" s="1">
        <f>Tabela11[[#This Row],[Força(N)]]/$I$5</f>
        <v>38884373.256833218</v>
      </c>
      <c r="F595" s="1">
        <f>Tabela11[[#This Row],[Tensão(Pa)]]/1000000</f>
        <v>38.884373256833221</v>
      </c>
    </row>
    <row r="596" spans="1:6" x14ac:dyDescent="0.3">
      <c r="A596" s="1">
        <v>59.917000000000002</v>
      </c>
      <c r="B596" s="1">
        <v>4.9854000000000003</v>
      </c>
      <c r="C596" s="1">
        <f>Tabela11[[#This Row],[Alongamento(mm/mm)]]/$I$2</f>
        <v>9.9708000000000005E-2</v>
      </c>
      <c r="D596" s="1">
        <v>1229.5</v>
      </c>
      <c r="E596" s="1">
        <f>Tabela11[[#This Row],[Força(N)]]/$I$5</f>
        <v>39190373.734958962</v>
      </c>
      <c r="F596" s="1">
        <f>Tabela11[[#This Row],[Tensão(Pa)]]/1000000</f>
        <v>39.19037373495896</v>
      </c>
    </row>
    <row r="597" spans="1:6" x14ac:dyDescent="0.3">
      <c r="A597" s="1">
        <v>60.133000000000003</v>
      </c>
      <c r="B597" s="1">
        <v>5.0034000000000001</v>
      </c>
      <c r="C597" s="1">
        <f>Tabela11[[#This Row],[Alongamento(mm/mm)]]/$I$2</f>
        <v>0.100068</v>
      </c>
      <c r="D597" s="1">
        <v>1239</v>
      </c>
      <c r="E597" s="1">
        <f>Tabela11[[#This Row],[Força(N)]]/$I$5</f>
        <v>39493186.70810423</v>
      </c>
      <c r="F597" s="1">
        <f>Tabela11[[#This Row],[Tensão(Pa)]]/1000000</f>
        <v>39.493186708104233</v>
      </c>
    </row>
    <row r="598" spans="1:6" x14ac:dyDescent="0.3">
      <c r="A598" s="1">
        <v>60.35</v>
      </c>
      <c r="B598" s="1">
        <v>5.0213999999999999</v>
      </c>
      <c r="C598" s="1">
        <f>Tabela11[[#This Row],[Alongamento(mm/mm)]]/$I$2</f>
        <v>0.100428</v>
      </c>
      <c r="D598" s="1">
        <v>1248.5</v>
      </c>
      <c r="E598" s="1">
        <f>Tabela11[[#This Row],[Força(N)]]/$I$5</f>
        <v>39795999.681249507</v>
      </c>
      <c r="F598" s="1">
        <f>Tabela11[[#This Row],[Tensão(Pa)]]/1000000</f>
        <v>39.795999681249505</v>
      </c>
    </row>
    <row r="599" spans="1:6" x14ac:dyDescent="0.3">
      <c r="A599" s="1">
        <v>60.567</v>
      </c>
      <c r="B599" s="1">
        <v>5.0396000000000001</v>
      </c>
      <c r="C599" s="1">
        <f>Tabela11[[#This Row],[Alongamento(mm/mm)]]/$I$2</f>
        <v>0.10079200000000001</v>
      </c>
      <c r="D599" s="1">
        <v>1258.2</v>
      </c>
      <c r="E599" s="1">
        <f>Tabela11[[#This Row],[Força(N)]]/$I$5</f>
        <v>40105187.664355733</v>
      </c>
      <c r="F599" s="1">
        <f>Tabela11[[#This Row],[Tensão(Pa)]]/1000000</f>
        <v>40.105187664355732</v>
      </c>
    </row>
    <row r="600" spans="1:6" x14ac:dyDescent="0.3">
      <c r="A600" s="1">
        <v>60.783000000000001</v>
      </c>
      <c r="B600" s="1">
        <v>5.0575000000000001</v>
      </c>
      <c r="C600" s="1">
        <f>Tabela11[[#This Row],[Alongamento(mm/mm)]]/$I$2</f>
        <v>0.10115</v>
      </c>
      <c r="D600" s="1">
        <v>1267.9000000000001</v>
      </c>
      <c r="E600" s="1">
        <f>Tabela11[[#This Row],[Força(N)]]/$I$5</f>
        <v>40414375.647461951</v>
      </c>
      <c r="F600" s="1">
        <f>Tabela11[[#This Row],[Tensão(Pa)]]/1000000</f>
        <v>40.414375647461952</v>
      </c>
    </row>
    <row r="601" spans="1:6" x14ac:dyDescent="0.3">
      <c r="A601" s="1">
        <v>61.017000000000003</v>
      </c>
      <c r="B601" s="1">
        <v>5.0770999999999997</v>
      </c>
      <c r="C601" s="1">
        <f>Tabela11[[#This Row],[Alongamento(mm/mm)]]/$I$2</f>
        <v>0.10154199999999999</v>
      </c>
      <c r="D601" s="1">
        <v>1278.5</v>
      </c>
      <c r="E601" s="1">
        <f>Tabela11[[#This Row],[Força(N)]]/$I$5</f>
        <v>40752251.175392464</v>
      </c>
      <c r="F601" s="1">
        <f>Tabela11[[#This Row],[Tensão(Pa)]]/1000000</f>
        <v>40.752251175392466</v>
      </c>
    </row>
    <row r="602" spans="1:6" x14ac:dyDescent="0.3">
      <c r="A602" s="1">
        <v>61.25</v>
      </c>
      <c r="B602" s="1">
        <v>5.0964</v>
      </c>
      <c r="C602" s="1">
        <f>Tabela11[[#This Row],[Alongamento(mm/mm)]]/$I$2</f>
        <v>0.101928</v>
      </c>
      <c r="D602" s="1">
        <v>1289</v>
      </c>
      <c r="E602" s="1">
        <f>Tabela11[[#This Row],[Força(N)]]/$I$5</f>
        <v>41086939.198342502</v>
      </c>
      <c r="F602" s="1">
        <f>Tabela11[[#This Row],[Tensão(Pa)]]/1000000</f>
        <v>41.086939198342499</v>
      </c>
    </row>
    <row r="603" spans="1:6" x14ac:dyDescent="0.3">
      <c r="A603" s="1">
        <v>61.482999999999997</v>
      </c>
      <c r="B603" s="1">
        <v>5.1158999999999999</v>
      </c>
      <c r="C603" s="1">
        <f>Tabela11[[#This Row],[Alongamento(mm/mm)]]/$I$2</f>
        <v>0.10231799999999999</v>
      </c>
      <c r="D603" s="1">
        <v>1299.5999999999999</v>
      </c>
      <c r="E603" s="1">
        <f>Tabela11[[#This Row],[Força(N)]]/$I$5</f>
        <v>41424814.726273008</v>
      </c>
      <c r="F603" s="1">
        <f>Tabela11[[#This Row],[Tensão(Pa)]]/1000000</f>
        <v>41.424814726273006</v>
      </c>
    </row>
    <row r="604" spans="1:6" x14ac:dyDescent="0.3">
      <c r="A604" s="1">
        <v>61.7</v>
      </c>
      <c r="B604" s="1">
        <v>5.1340000000000003</v>
      </c>
      <c r="C604" s="1">
        <f>Tabela11[[#This Row],[Alongamento(mm/mm)]]/$I$2</f>
        <v>0.10268000000000001</v>
      </c>
      <c r="D604" s="1">
        <v>1309.4000000000001</v>
      </c>
      <c r="E604" s="1">
        <f>Tabela11[[#This Row],[Força(N)]]/$I$5</f>
        <v>41737190.214359716</v>
      </c>
      <c r="F604" s="1">
        <f>Tabela11[[#This Row],[Tensão(Pa)]]/1000000</f>
        <v>41.737190214359714</v>
      </c>
    </row>
    <row r="605" spans="1:6" x14ac:dyDescent="0.3">
      <c r="A605" s="1">
        <v>61.933</v>
      </c>
      <c r="B605" s="1">
        <v>5.1535000000000002</v>
      </c>
      <c r="C605" s="1">
        <f>Tabela11[[#This Row],[Alongamento(mm/mm)]]/$I$2</f>
        <v>0.10307000000000001</v>
      </c>
      <c r="D605" s="1">
        <v>1320</v>
      </c>
      <c r="E605" s="1">
        <f>Tabela11[[#This Row],[Força(N)]]/$I$5</f>
        <v>42075065.742290221</v>
      </c>
      <c r="F605" s="1">
        <f>Tabela11[[#This Row],[Tensão(Pa)]]/1000000</f>
        <v>42.075065742290221</v>
      </c>
    </row>
    <row r="606" spans="1:6" x14ac:dyDescent="0.3">
      <c r="A606" s="1">
        <v>62.167000000000002</v>
      </c>
      <c r="B606" s="1">
        <v>5.1729000000000003</v>
      </c>
      <c r="C606" s="1">
        <f>Tabela11[[#This Row],[Alongamento(mm/mm)]]/$I$2</f>
        <v>0.10345800000000001</v>
      </c>
      <c r="D606" s="1">
        <v>1330.5</v>
      </c>
      <c r="E606" s="1">
        <f>Tabela11[[#This Row],[Força(N)]]/$I$5</f>
        <v>42409753.765240259</v>
      </c>
      <c r="F606" s="1">
        <f>Tabela11[[#This Row],[Tensão(Pa)]]/1000000</f>
        <v>42.409753765240261</v>
      </c>
    </row>
    <row r="607" spans="1:6" x14ac:dyDescent="0.3">
      <c r="A607" s="1">
        <v>62.4</v>
      </c>
      <c r="B607" s="1">
        <v>5.1923000000000004</v>
      </c>
      <c r="C607" s="1">
        <f>Tabela11[[#This Row],[Alongamento(mm/mm)]]/$I$2</f>
        <v>0.10384600000000001</v>
      </c>
      <c r="D607" s="1">
        <v>1340.9</v>
      </c>
      <c r="E607" s="1">
        <f>Tabela11[[#This Row],[Força(N)]]/$I$5</f>
        <v>42741254.283209823</v>
      </c>
      <c r="F607" s="1">
        <f>Tabela11[[#This Row],[Tensão(Pa)]]/1000000</f>
        <v>42.74125428320982</v>
      </c>
    </row>
    <row r="608" spans="1:6" x14ac:dyDescent="0.3">
      <c r="A608" s="1">
        <v>62.633000000000003</v>
      </c>
      <c r="B608" s="1">
        <v>5.2117000000000004</v>
      </c>
      <c r="C608" s="1">
        <f>Tabela11[[#This Row],[Alongamento(mm/mm)]]/$I$2</f>
        <v>0.10423400000000001</v>
      </c>
      <c r="D608" s="1">
        <v>1351.4</v>
      </c>
      <c r="E608" s="1">
        <f>Tabela11[[#This Row],[Força(N)]]/$I$5</f>
        <v>43075942.306159861</v>
      </c>
      <c r="F608" s="1">
        <f>Tabela11[[#This Row],[Tensão(Pa)]]/1000000</f>
        <v>43.07594230615986</v>
      </c>
    </row>
    <row r="609" spans="1:6" x14ac:dyDescent="0.3">
      <c r="A609" s="1">
        <v>62.866999999999997</v>
      </c>
      <c r="B609" s="1">
        <v>5.2313000000000001</v>
      </c>
      <c r="C609" s="1">
        <f>Tabela11[[#This Row],[Alongamento(mm/mm)]]/$I$2</f>
        <v>0.104626</v>
      </c>
      <c r="D609" s="1">
        <v>1362.2</v>
      </c>
      <c r="E609" s="1">
        <f>Tabela11[[#This Row],[Força(N)]]/$I$5</f>
        <v>43420192.844051324</v>
      </c>
      <c r="F609" s="1">
        <f>Tabela11[[#This Row],[Tensão(Pa)]]/1000000</f>
        <v>43.420192844051321</v>
      </c>
    </row>
    <row r="610" spans="1:6" x14ac:dyDescent="0.3">
      <c r="A610" s="1">
        <v>63.116999999999997</v>
      </c>
      <c r="B610" s="1">
        <v>5.2519999999999998</v>
      </c>
      <c r="C610" s="1">
        <f>Tabela11[[#This Row],[Alongamento(mm/mm)]]/$I$2</f>
        <v>0.10503999999999999</v>
      </c>
      <c r="D610" s="1">
        <v>1373.4</v>
      </c>
      <c r="E610" s="1">
        <f>Tabela11[[#This Row],[Força(N)]]/$I$5</f>
        <v>43777193.401864693</v>
      </c>
      <c r="F610" s="1">
        <f>Tabela11[[#This Row],[Tensão(Pa)]]/1000000</f>
        <v>43.777193401864693</v>
      </c>
    </row>
    <row r="611" spans="1:6" x14ac:dyDescent="0.3">
      <c r="A611" s="1">
        <v>63.366999999999997</v>
      </c>
      <c r="B611" s="1">
        <v>5.2728999999999999</v>
      </c>
      <c r="C611" s="1">
        <f>Tabela11[[#This Row],[Alongamento(mm/mm)]]/$I$2</f>
        <v>0.105458</v>
      </c>
      <c r="D611" s="1">
        <v>1384.4</v>
      </c>
      <c r="E611" s="1">
        <f>Tabela11[[#This Row],[Força(N)]]/$I$5</f>
        <v>44127818.949717112</v>
      </c>
      <c r="F611" s="1">
        <f>Tabela11[[#This Row],[Tensão(Pa)]]/1000000</f>
        <v>44.12781894971711</v>
      </c>
    </row>
    <row r="612" spans="1:6" x14ac:dyDescent="0.3">
      <c r="A612" s="1">
        <v>63.616999999999997</v>
      </c>
      <c r="B612" s="1">
        <v>5.2937000000000003</v>
      </c>
      <c r="C612" s="1">
        <f>Tabela11[[#This Row],[Alongamento(mm/mm)]]/$I$2</f>
        <v>0.10587400000000001</v>
      </c>
      <c r="D612" s="1">
        <v>1395.5</v>
      </c>
      <c r="E612" s="1">
        <f>Tabela11[[#This Row],[Força(N)]]/$I$5</f>
        <v>44481632.002550006</v>
      </c>
      <c r="F612" s="1">
        <f>Tabela11[[#This Row],[Tensão(Pa)]]/1000000</f>
        <v>44.481632002550008</v>
      </c>
    </row>
    <row r="613" spans="1:6" x14ac:dyDescent="0.3">
      <c r="A613" s="1">
        <v>63.883000000000003</v>
      </c>
      <c r="B613" s="1">
        <v>5.3159000000000001</v>
      </c>
      <c r="C613" s="1">
        <f>Tabela11[[#This Row],[Alongamento(mm/mm)]]/$I$2</f>
        <v>0.106318</v>
      </c>
      <c r="D613" s="1">
        <v>1406.9</v>
      </c>
      <c r="E613" s="1">
        <f>Tabela11[[#This Row],[Força(N)]]/$I$5</f>
        <v>44845007.570324332</v>
      </c>
      <c r="F613" s="1">
        <f>Tabela11[[#This Row],[Tensão(Pa)]]/1000000</f>
        <v>44.845007570324334</v>
      </c>
    </row>
    <row r="614" spans="1:6" x14ac:dyDescent="0.3">
      <c r="A614" s="1">
        <v>64.150000000000006</v>
      </c>
      <c r="B614" s="1">
        <v>5.3380999999999998</v>
      </c>
      <c r="C614" s="1">
        <f>Tabela11[[#This Row],[Alongamento(mm/mm)]]/$I$2</f>
        <v>0.106762</v>
      </c>
      <c r="D614" s="1">
        <v>1418.3</v>
      </c>
      <c r="E614" s="1">
        <f>Tabela11[[#This Row],[Força(N)]]/$I$5</f>
        <v>45208383.138098657</v>
      </c>
      <c r="F614" s="1">
        <f>Tabela11[[#This Row],[Tensão(Pa)]]/1000000</f>
        <v>45.208383138098654</v>
      </c>
    </row>
    <row r="615" spans="1:6" x14ac:dyDescent="0.3">
      <c r="A615" s="1">
        <v>64.400000000000006</v>
      </c>
      <c r="B615" s="1">
        <v>5.359</v>
      </c>
      <c r="C615" s="1">
        <f>Tabela11[[#This Row],[Alongamento(mm/mm)]]/$I$2</f>
        <v>0.10718</v>
      </c>
      <c r="D615" s="1">
        <v>1429.2</v>
      </c>
      <c r="E615" s="1">
        <f>Tabela11[[#This Row],[Força(N)]]/$I$5</f>
        <v>45555821.180970602</v>
      </c>
      <c r="F615" s="1">
        <f>Tabela11[[#This Row],[Tensão(Pa)]]/1000000</f>
        <v>45.555821180970604</v>
      </c>
    </row>
    <row r="616" spans="1:6" x14ac:dyDescent="0.3">
      <c r="A616" s="1">
        <v>64.667000000000002</v>
      </c>
      <c r="B616" s="1">
        <v>5.3811999999999998</v>
      </c>
      <c r="C616" s="1">
        <f>Tabela11[[#This Row],[Alongamento(mm/mm)]]/$I$2</f>
        <v>0.107624</v>
      </c>
      <c r="D616" s="1">
        <v>1440.7</v>
      </c>
      <c r="E616" s="1">
        <f>Tabela11[[#This Row],[Força(N)]]/$I$5</f>
        <v>45922384.253725402</v>
      </c>
      <c r="F616" s="1">
        <f>Tabela11[[#This Row],[Tensão(Pa)]]/1000000</f>
        <v>45.922384253725404</v>
      </c>
    </row>
    <row r="617" spans="1:6" x14ac:dyDescent="0.3">
      <c r="A617" s="1">
        <v>64.933000000000007</v>
      </c>
      <c r="B617" s="1">
        <v>5.4034000000000004</v>
      </c>
      <c r="C617" s="1">
        <f>Tabela11[[#This Row],[Alongamento(mm/mm)]]/$I$2</f>
        <v>0.10806800000000001</v>
      </c>
      <c r="D617" s="1">
        <v>1452.1</v>
      </c>
      <c r="E617" s="1">
        <f>Tabela11[[#This Row],[Força(N)]]/$I$5</f>
        <v>46285759.82149972</v>
      </c>
      <c r="F617" s="1">
        <f>Tabela11[[#This Row],[Tensão(Pa)]]/1000000</f>
        <v>46.285759821499717</v>
      </c>
    </row>
    <row r="618" spans="1:6" x14ac:dyDescent="0.3">
      <c r="A618" s="1">
        <v>65.2</v>
      </c>
      <c r="B618" s="1">
        <v>5.4256000000000002</v>
      </c>
      <c r="C618" s="1">
        <f>Tabela11[[#This Row],[Alongamento(mm/mm)]]/$I$2</f>
        <v>0.108512</v>
      </c>
      <c r="D618" s="1">
        <v>1463.9</v>
      </c>
      <c r="E618" s="1">
        <f>Tabela11[[#This Row],[Força(N)]]/$I$5</f>
        <v>46661885.40919596</v>
      </c>
      <c r="F618" s="1">
        <f>Tabela11[[#This Row],[Tensão(Pa)]]/1000000</f>
        <v>46.661885409195961</v>
      </c>
    </row>
    <row r="619" spans="1:6" x14ac:dyDescent="0.3">
      <c r="A619" s="1">
        <v>65.466999999999999</v>
      </c>
      <c r="B619" s="1">
        <v>5.4478999999999997</v>
      </c>
      <c r="C619" s="1">
        <f>Tabela11[[#This Row],[Alongamento(mm/mm)]]/$I$2</f>
        <v>0.108958</v>
      </c>
      <c r="D619" s="1">
        <v>1475.4</v>
      </c>
      <c r="E619" s="1">
        <f>Tabela11[[#This Row],[Força(N)]]/$I$5</f>
        <v>47028448.48195076</v>
      </c>
      <c r="F619" s="1">
        <f>Tabela11[[#This Row],[Tensão(Pa)]]/1000000</f>
        <v>47.028448481950761</v>
      </c>
    </row>
    <row r="620" spans="1:6" x14ac:dyDescent="0.3">
      <c r="A620" s="1">
        <v>65.733000000000004</v>
      </c>
      <c r="B620" s="1">
        <v>5.47</v>
      </c>
      <c r="C620" s="1">
        <f>Tabela11[[#This Row],[Alongamento(mm/mm)]]/$I$2</f>
        <v>0.1094</v>
      </c>
      <c r="D620" s="1">
        <v>1487</v>
      </c>
      <c r="E620" s="1">
        <f>Tabela11[[#This Row],[Força(N)]]/$I$5</f>
        <v>47398199.059686035</v>
      </c>
      <c r="F620" s="1">
        <f>Tabela11[[#This Row],[Tensão(Pa)]]/1000000</f>
        <v>47.398199059686036</v>
      </c>
    </row>
    <row r="621" spans="1:6" x14ac:dyDescent="0.3">
      <c r="A621" s="1">
        <v>66</v>
      </c>
      <c r="B621" s="1">
        <v>5.4922000000000004</v>
      </c>
      <c r="C621" s="1">
        <f>Tabela11[[#This Row],[Alongamento(mm/mm)]]/$I$2</f>
        <v>0.10984400000000001</v>
      </c>
      <c r="D621" s="1">
        <v>1498.6</v>
      </c>
      <c r="E621" s="1">
        <f>Tabela11[[#This Row],[Força(N)]]/$I$5</f>
        <v>47767949.63742131</v>
      </c>
      <c r="F621" s="1">
        <f>Tabela11[[#This Row],[Tensão(Pa)]]/1000000</f>
        <v>47.76794963742131</v>
      </c>
    </row>
    <row r="622" spans="1:6" x14ac:dyDescent="0.3">
      <c r="A622" s="1">
        <v>66.266999999999996</v>
      </c>
      <c r="B622" s="1">
        <v>5.5145</v>
      </c>
      <c r="C622" s="1">
        <f>Tabela11[[#This Row],[Alongamento(mm/mm)]]/$I$2</f>
        <v>0.11029</v>
      </c>
      <c r="D622" s="1">
        <v>1510.5</v>
      </c>
      <c r="E622" s="1">
        <f>Tabela11[[#This Row],[Força(N)]]/$I$5</f>
        <v>48147262.730098017</v>
      </c>
      <c r="F622" s="1">
        <f>Tabela11[[#This Row],[Tensão(Pa)]]/1000000</f>
        <v>48.147262730098014</v>
      </c>
    </row>
    <row r="623" spans="1:6" x14ac:dyDescent="0.3">
      <c r="A623" s="1">
        <v>66.533000000000001</v>
      </c>
      <c r="B623" s="1">
        <v>5.5368000000000004</v>
      </c>
      <c r="C623" s="1">
        <f>Tabela11[[#This Row],[Alongamento(mm/mm)]]/$I$2</f>
        <v>0.110736</v>
      </c>
      <c r="D623" s="1">
        <v>1522.2</v>
      </c>
      <c r="E623" s="1">
        <f>Tabela11[[#This Row],[Força(N)]]/$I$5</f>
        <v>48520200.812813774</v>
      </c>
      <c r="F623" s="1">
        <f>Tabela11[[#This Row],[Tensão(Pa)]]/1000000</f>
        <v>48.520200812813776</v>
      </c>
    </row>
    <row r="624" spans="1:6" x14ac:dyDescent="0.3">
      <c r="A624" s="1">
        <v>66.8</v>
      </c>
      <c r="B624" s="1">
        <v>5.5589000000000004</v>
      </c>
      <c r="C624" s="1">
        <f>Tabela11[[#This Row],[Alongamento(mm/mm)]]/$I$2</f>
        <v>0.11117800000000001</v>
      </c>
      <c r="D624" s="1">
        <v>1534</v>
      </c>
      <c r="E624" s="1">
        <f>Tabela11[[#This Row],[Força(N)]]/$I$5</f>
        <v>48896326.400510006</v>
      </c>
      <c r="F624" s="1">
        <f>Tabela11[[#This Row],[Tensão(Pa)]]/1000000</f>
        <v>48.896326400510006</v>
      </c>
    </row>
    <row r="625" spans="1:6" x14ac:dyDescent="0.3">
      <c r="A625" s="1">
        <v>67.066999999999993</v>
      </c>
      <c r="B625" s="1">
        <v>5.5811999999999999</v>
      </c>
      <c r="C625" s="1">
        <f>Tabela11[[#This Row],[Alongamento(mm/mm)]]/$I$2</f>
        <v>0.111624</v>
      </c>
      <c r="D625" s="1">
        <v>1546.4</v>
      </c>
      <c r="E625" s="1">
        <f>Tabela11[[#This Row],[Força(N)]]/$I$5</f>
        <v>49291577.018089093</v>
      </c>
      <c r="F625" s="1">
        <f>Tabela11[[#This Row],[Tensão(Pa)]]/1000000</f>
        <v>49.291577018089093</v>
      </c>
    </row>
    <row r="626" spans="1:6" x14ac:dyDescent="0.3">
      <c r="A626" s="1">
        <v>67.332999999999998</v>
      </c>
      <c r="B626" s="1">
        <v>5.6035000000000004</v>
      </c>
      <c r="C626" s="1">
        <f>Tabela11[[#This Row],[Alongamento(mm/mm)]]/$I$2</f>
        <v>0.11207</v>
      </c>
      <c r="D626" s="1">
        <v>1558.4</v>
      </c>
      <c r="E626" s="1">
        <f>Tabela11[[#This Row],[Força(N)]]/$I$5</f>
        <v>49674077.615746282</v>
      </c>
      <c r="F626" s="1">
        <f>Tabela11[[#This Row],[Tensão(Pa)]]/1000000</f>
        <v>49.674077615746285</v>
      </c>
    </row>
    <row r="627" spans="1:6" x14ac:dyDescent="0.3">
      <c r="A627" s="1">
        <v>67.599999999999994</v>
      </c>
      <c r="B627" s="1">
        <v>5.6256000000000004</v>
      </c>
      <c r="C627" s="1">
        <f>Tabela11[[#This Row],[Alongamento(mm/mm)]]/$I$2</f>
        <v>0.112512</v>
      </c>
      <c r="D627" s="1">
        <v>1570.5</v>
      </c>
      <c r="E627" s="1">
        <f>Tabela11[[#This Row],[Força(N)]]/$I$5</f>
        <v>50059765.718383938</v>
      </c>
      <c r="F627" s="1">
        <f>Tabela11[[#This Row],[Tensão(Pa)]]/1000000</f>
        <v>50.059765718383936</v>
      </c>
    </row>
    <row r="628" spans="1:6" x14ac:dyDescent="0.3">
      <c r="A628" s="1">
        <v>67.882999999999996</v>
      </c>
      <c r="B628" s="1">
        <v>5.6493000000000002</v>
      </c>
      <c r="C628" s="1">
        <f>Tabela11[[#This Row],[Alongamento(mm/mm)]]/$I$2</f>
        <v>0.112986</v>
      </c>
      <c r="D628" s="1">
        <v>1583.1</v>
      </c>
      <c r="E628" s="1">
        <f>Tabela11[[#This Row],[Força(N)]]/$I$5</f>
        <v>50461391.345923975</v>
      </c>
      <c r="F628" s="1">
        <f>Tabela11[[#This Row],[Tensão(Pa)]]/1000000</f>
        <v>50.461391345923978</v>
      </c>
    </row>
    <row r="629" spans="1:6" x14ac:dyDescent="0.3">
      <c r="A629" s="1">
        <v>68.167000000000002</v>
      </c>
      <c r="B629" s="1">
        <v>5.6727999999999996</v>
      </c>
      <c r="C629" s="1">
        <f>Tabela11[[#This Row],[Alongamento(mm/mm)]]/$I$2</f>
        <v>0.11345599999999999</v>
      </c>
      <c r="D629" s="1">
        <v>1595.7</v>
      </c>
      <c r="E629" s="1">
        <f>Tabela11[[#This Row],[Força(N)]]/$I$5</f>
        <v>50863016.973464027</v>
      </c>
      <c r="F629" s="1">
        <f>Tabela11[[#This Row],[Tensão(Pa)]]/1000000</f>
        <v>50.863016973464028</v>
      </c>
    </row>
    <row r="630" spans="1:6" x14ac:dyDescent="0.3">
      <c r="A630" s="1">
        <v>68.45</v>
      </c>
      <c r="B630" s="1">
        <v>5.6965000000000003</v>
      </c>
      <c r="C630" s="1">
        <f>Tabela11[[#This Row],[Alongamento(mm/mm)]]/$I$2</f>
        <v>0.11393</v>
      </c>
      <c r="D630" s="1">
        <v>1608.3</v>
      </c>
      <c r="E630" s="1">
        <f>Tabela11[[#This Row],[Força(N)]]/$I$5</f>
        <v>51264642.601004064</v>
      </c>
      <c r="F630" s="1">
        <f>Tabela11[[#This Row],[Tensão(Pa)]]/1000000</f>
        <v>51.264642601004063</v>
      </c>
    </row>
    <row r="631" spans="1:6" x14ac:dyDescent="0.3">
      <c r="A631" s="1">
        <v>68.733000000000004</v>
      </c>
      <c r="B631" s="1">
        <v>5.7201000000000004</v>
      </c>
      <c r="C631" s="1">
        <f>Tabela11[[#This Row],[Alongamento(mm/mm)]]/$I$2</f>
        <v>0.114402</v>
      </c>
      <c r="D631" s="1">
        <v>1620.9</v>
      </c>
      <c r="E631" s="1">
        <f>Tabela11[[#This Row],[Força(N)]]/$I$5</f>
        <v>51666268.228544116</v>
      </c>
      <c r="F631" s="1">
        <f>Tabela11[[#This Row],[Tensão(Pa)]]/1000000</f>
        <v>51.666268228544119</v>
      </c>
    </row>
    <row r="632" spans="1:6" x14ac:dyDescent="0.3">
      <c r="A632" s="1">
        <v>69.033000000000001</v>
      </c>
      <c r="B632" s="1">
        <v>5.7450999999999999</v>
      </c>
      <c r="C632" s="1">
        <f>Tabela11[[#This Row],[Alongamento(mm/mm)]]/$I$2</f>
        <v>0.114902</v>
      </c>
      <c r="D632" s="1">
        <v>1634</v>
      </c>
      <c r="E632" s="1">
        <f>Tabela11[[#This Row],[Força(N)]]/$I$5</f>
        <v>52083831.380986534</v>
      </c>
      <c r="F632" s="1">
        <f>Tabela11[[#This Row],[Tensão(Pa)]]/1000000</f>
        <v>52.083831380986531</v>
      </c>
    </row>
    <row r="633" spans="1:6" x14ac:dyDescent="0.3">
      <c r="A633" s="1">
        <v>69.332999999999998</v>
      </c>
      <c r="B633" s="1">
        <v>5.7701000000000002</v>
      </c>
      <c r="C633" s="1">
        <f>Tabela11[[#This Row],[Alongamento(mm/mm)]]/$I$2</f>
        <v>0.115402</v>
      </c>
      <c r="D633" s="1">
        <v>1646.9</v>
      </c>
      <c r="E633" s="1">
        <f>Tabela11[[#This Row],[Força(N)]]/$I$5</f>
        <v>52495019.52346801</v>
      </c>
      <c r="F633" s="1">
        <f>Tabela11[[#This Row],[Tensão(Pa)]]/1000000</f>
        <v>52.495019523468009</v>
      </c>
    </row>
    <row r="634" spans="1:6" x14ac:dyDescent="0.3">
      <c r="A634" s="1">
        <v>69.632999999999996</v>
      </c>
      <c r="B634" s="1">
        <v>5.7950999999999997</v>
      </c>
      <c r="C634" s="1">
        <f>Tabela11[[#This Row],[Alongamento(mm/mm)]]/$I$2</f>
        <v>0.11590199999999999</v>
      </c>
      <c r="D634" s="1">
        <v>1660</v>
      </c>
      <c r="E634" s="1">
        <f>Tabela11[[#This Row],[Força(N)]]/$I$5</f>
        <v>52912582.675910436</v>
      </c>
      <c r="F634" s="1">
        <f>Tabela11[[#This Row],[Tensão(Pa)]]/1000000</f>
        <v>52.912582675910436</v>
      </c>
    </row>
    <row r="635" spans="1:6" x14ac:dyDescent="0.3">
      <c r="A635" s="1">
        <v>69.933000000000007</v>
      </c>
      <c r="B635" s="1">
        <v>5.82</v>
      </c>
      <c r="C635" s="1">
        <f>Tabela11[[#This Row],[Alongamento(mm/mm)]]/$I$2</f>
        <v>0.1164</v>
      </c>
      <c r="D635" s="1">
        <v>1672.9</v>
      </c>
      <c r="E635" s="1">
        <f>Tabela11[[#This Row],[Força(N)]]/$I$5</f>
        <v>53323770.818391912</v>
      </c>
      <c r="F635" s="1">
        <f>Tabela11[[#This Row],[Tensão(Pa)]]/1000000</f>
        <v>53.323770818391914</v>
      </c>
    </row>
    <row r="636" spans="1:6" x14ac:dyDescent="0.3">
      <c r="A636" s="1">
        <v>70.25</v>
      </c>
      <c r="B636" s="1">
        <v>5.8464999999999998</v>
      </c>
      <c r="C636" s="1">
        <f>Tabela11[[#This Row],[Alongamento(mm/mm)]]/$I$2</f>
        <v>0.11692999999999999</v>
      </c>
      <c r="D636" s="1">
        <v>1686.5</v>
      </c>
      <c r="E636" s="1">
        <f>Tabela11[[#This Row],[Força(N)]]/$I$5</f>
        <v>53757271.495736718</v>
      </c>
      <c r="F636" s="1">
        <f>Tabela11[[#This Row],[Tensão(Pa)]]/1000000</f>
        <v>53.757271495736717</v>
      </c>
    </row>
    <row r="637" spans="1:6" x14ac:dyDescent="0.3">
      <c r="A637" s="1">
        <v>70.566999999999993</v>
      </c>
      <c r="B637" s="1">
        <v>5.8728999999999996</v>
      </c>
      <c r="C637" s="1">
        <f>Tabela11[[#This Row],[Alongamento(mm/mm)]]/$I$2</f>
        <v>0.11745799999999999</v>
      </c>
      <c r="D637" s="1">
        <v>1700</v>
      </c>
      <c r="E637" s="1">
        <f>Tabela11[[#This Row],[Força(N)]]/$I$5</f>
        <v>54187584.66810105</v>
      </c>
      <c r="F637" s="1">
        <f>Tabela11[[#This Row],[Tensão(Pa)]]/1000000</f>
        <v>54.187584668101053</v>
      </c>
    </row>
    <row r="638" spans="1:6" x14ac:dyDescent="0.3">
      <c r="A638" s="1">
        <v>70.882999999999996</v>
      </c>
      <c r="B638" s="1">
        <v>5.8993000000000002</v>
      </c>
      <c r="C638" s="1">
        <f>Tabela11[[#This Row],[Alongamento(mm/mm)]]/$I$2</f>
        <v>0.11798600000000001</v>
      </c>
      <c r="D638" s="1">
        <v>1713.4</v>
      </c>
      <c r="E638" s="1">
        <f>Tabela11[[#This Row],[Força(N)]]/$I$5</f>
        <v>54614710.335484907</v>
      </c>
      <c r="F638" s="1">
        <f>Tabela11[[#This Row],[Tensão(Pa)]]/1000000</f>
        <v>54.614710335484908</v>
      </c>
    </row>
    <row r="639" spans="1:6" x14ac:dyDescent="0.3">
      <c r="A639" s="1">
        <v>71.2</v>
      </c>
      <c r="B639" s="1">
        <v>5.9257</v>
      </c>
      <c r="C639" s="1">
        <f>Tabela11[[#This Row],[Alongamento(mm/mm)]]/$I$2</f>
        <v>0.11851399999999999</v>
      </c>
      <c r="D639" s="1">
        <v>1726.7</v>
      </c>
      <c r="E639" s="1">
        <f>Tabela11[[#This Row],[Força(N)]]/$I$5</f>
        <v>55038648.497888282</v>
      </c>
      <c r="F639" s="1">
        <f>Tabela11[[#This Row],[Tensão(Pa)]]/1000000</f>
        <v>55.038648497888282</v>
      </c>
    </row>
    <row r="640" spans="1:6" x14ac:dyDescent="0.3">
      <c r="A640" s="1">
        <v>71.533000000000001</v>
      </c>
      <c r="B640" s="1">
        <v>5.9534000000000002</v>
      </c>
      <c r="C640" s="1">
        <f>Tabela11[[#This Row],[Alongamento(mm/mm)]]/$I$2</f>
        <v>0.11906800000000001</v>
      </c>
      <c r="D640" s="1">
        <v>1740.3</v>
      </c>
      <c r="E640" s="1">
        <f>Tabela11[[#This Row],[Força(N)]]/$I$5</f>
        <v>55472149.175233088</v>
      </c>
      <c r="F640" s="1">
        <f>Tabela11[[#This Row],[Tensão(Pa)]]/1000000</f>
        <v>55.472149175233092</v>
      </c>
    </row>
    <row r="641" spans="1:6" x14ac:dyDescent="0.3">
      <c r="A641" s="1">
        <v>71.867000000000004</v>
      </c>
      <c r="B641" s="1">
        <v>5.9812000000000003</v>
      </c>
      <c r="C641" s="1">
        <f>Tabela11[[#This Row],[Alongamento(mm/mm)]]/$I$2</f>
        <v>0.11962400000000001</v>
      </c>
      <c r="D641" s="1">
        <v>1753.9</v>
      </c>
      <c r="E641" s="1">
        <f>Tabela11[[#This Row],[Força(N)]]/$I$5</f>
        <v>55905649.852577902</v>
      </c>
      <c r="F641" s="1">
        <f>Tabela11[[#This Row],[Tensão(Pa)]]/1000000</f>
        <v>55.905649852577902</v>
      </c>
    </row>
    <row r="642" spans="1:6" x14ac:dyDescent="0.3">
      <c r="A642" s="1">
        <v>72.2</v>
      </c>
      <c r="B642" s="1">
        <v>6.0088999999999997</v>
      </c>
      <c r="C642" s="1">
        <f>Tabela11[[#This Row],[Alongamento(mm/mm)]]/$I$2</f>
        <v>0.12017799999999999</v>
      </c>
      <c r="D642" s="1">
        <v>1767.7</v>
      </c>
      <c r="E642" s="1">
        <f>Tabela11[[#This Row],[Força(N)]]/$I$5</f>
        <v>56345525.539883658</v>
      </c>
      <c r="F642" s="1">
        <f>Tabela11[[#This Row],[Tensão(Pa)]]/1000000</f>
        <v>56.34552553988366</v>
      </c>
    </row>
    <row r="643" spans="1:6" x14ac:dyDescent="0.3">
      <c r="A643" s="1">
        <v>72.55</v>
      </c>
      <c r="B643" s="1">
        <v>6.0381999999999998</v>
      </c>
      <c r="C643" s="1">
        <f>Tabela11[[#This Row],[Alongamento(mm/mm)]]/$I$2</f>
        <v>0.120764</v>
      </c>
      <c r="D643" s="1">
        <v>1781.8</v>
      </c>
      <c r="E643" s="1">
        <f>Tabela11[[#This Row],[Força(N)]]/$I$5</f>
        <v>56794963.742130846</v>
      </c>
      <c r="F643" s="1">
        <f>Tabela11[[#This Row],[Tensão(Pa)]]/1000000</f>
        <v>56.794963742130847</v>
      </c>
    </row>
    <row r="644" spans="1:6" x14ac:dyDescent="0.3">
      <c r="A644" s="1">
        <v>72.882999999999996</v>
      </c>
      <c r="B644" s="1">
        <v>6.0659000000000001</v>
      </c>
      <c r="C644" s="1">
        <f>Tabela11[[#This Row],[Alongamento(mm/mm)]]/$I$2</f>
        <v>0.121318</v>
      </c>
      <c r="D644" s="1">
        <v>1795.4</v>
      </c>
      <c r="E644" s="1">
        <f>Tabela11[[#This Row],[Força(N)]]/$I$5</f>
        <v>57228464.41947566</v>
      </c>
      <c r="F644" s="1">
        <f>Tabela11[[#This Row],[Tensão(Pa)]]/1000000</f>
        <v>57.228464419475657</v>
      </c>
    </row>
    <row r="645" spans="1:6" x14ac:dyDescent="0.3">
      <c r="A645" s="1">
        <v>73.233000000000004</v>
      </c>
      <c r="B645" s="1">
        <v>6.0951000000000004</v>
      </c>
      <c r="C645" s="1">
        <f>Tabela11[[#This Row],[Alongamento(mm/mm)]]/$I$2</f>
        <v>0.12190200000000001</v>
      </c>
      <c r="D645" s="1">
        <v>1809.5</v>
      </c>
      <c r="E645" s="1">
        <f>Tabela11[[#This Row],[Força(N)]]/$I$5</f>
        <v>57677902.621722847</v>
      </c>
      <c r="F645" s="1">
        <f>Tabela11[[#This Row],[Tensão(Pa)]]/1000000</f>
        <v>57.677902621722851</v>
      </c>
    </row>
    <row r="646" spans="1:6" x14ac:dyDescent="0.3">
      <c r="A646" s="1">
        <v>73.582999999999998</v>
      </c>
      <c r="B646" s="1">
        <v>6.1242000000000001</v>
      </c>
      <c r="C646" s="1">
        <f>Tabela11[[#This Row],[Alongamento(mm/mm)]]/$I$2</f>
        <v>0.122484</v>
      </c>
      <c r="D646" s="1">
        <v>1823.6</v>
      </c>
      <c r="E646" s="1">
        <f>Tabela11[[#This Row],[Força(N)]]/$I$5</f>
        <v>58127340.823970035</v>
      </c>
      <c r="F646" s="1">
        <f>Tabela11[[#This Row],[Tensão(Pa)]]/1000000</f>
        <v>58.127340823970037</v>
      </c>
    </row>
    <row r="647" spans="1:6" x14ac:dyDescent="0.3">
      <c r="A647" s="1">
        <v>73.95</v>
      </c>
      <c r="B647" s="1">
        <v>6.1547999999999998</v>
      </c>
      <c r="C647" s="1">
        <f>Tabela11[[#This Row],[Alongamento(mm/mm)]]/$I$2</f>
        <v>0.123096</v>
      </c>
      <c r="D647" s="1">
        <v>1837.9</v>
      </c>
      <c r="E647" s="1">
        <f>Tabela11[[#This Row],[Força(N)]]/$I$5</f>
        <v>58583154.036178187</v>
      </c>
      <c r="F647" s="1">
        <f>Tabela11[[#This Row],[Tensão(Pa)]]/1000000</f>
        <v>58.583154036178186</v>
      </c>
    </row>
    <row r="648" spans="1:6" x14ac:dyDescent="0.3">
      <c r="A648" s="1">
        <v>74.332999999999998</v>
      </c>
      <c r="B648" s="1">
        <v>6.1867999999999999</v>
      </c>
      <c r="C648" s="1">
        <f>Tabela11[[#This Row],[Alongamento(mm/mm)]]/$I$2</f>
        <v>0.123736</v>
      </c>
      <c r="D648" s="1">
        <v>1852.2</v>
      </c>
      <c r="E648" s="1">
        <f>Tabela11[[#This Row],[Força(N)]]/$I$5</f>
        <v>59038967.248386331</v>
      </c>
      <c r="F648" s="1">
        <f>Tabela11[[#This Row],[Tensão(Pa)]]/1000000</f>
        <v>59.038967248386328</v>
      </c>
    </row>
    <row r="649" spans="1:6" x14ac:dyDescent="0.3">
      <c r="A649" s="1">
        <v>74.816999999999993</v>
      </c>
      <c r="B649" s="1">
        <v>6.2270000000000003</v>
      </c>
      <c r="C649" s="1">
        <f>Tabela11[[#This Row],[Alongamento(mm/mm)]]/$I$2</f>
        <v>0.12454000000000001</v>
      </c>
      <c r="D649" s="1">
        <v>1866.8</v>
      </c>
      <c r="E649" s="1">
        <f>Tabela11[[#This Row],[Força(N)]]/$I$5</f>
        <v>59504342.975535899</v>
      </c>
      <c r="F649" s="1">
        <f>Tabela11[[#This Row],[Tensão(Pa)]]/1000000</f>
        <v>59.504342975535899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C4DD-5492-4D3C-853D-4AA5C86859F0}">
  <dimension ref="A1:K596"/>
  <sheetViews>
    <sheetView workbookViewId="0">
      <selection sqref="A1:K1048576"/>
    </sheetView>
  </sheetViews>
  <sheetFormatPr defaultRowHeight="14.4" x14ac:dyDescent="0.3"/>
  <cols>
    <col min="1" max="1" width="11.33203125" style="1" bestFit="1" customWidth="1"/>
    <col min="2" max="2" width="23.88671875" style="1" bestFit="1" customWidth="1"/>
    <col min="3" max="3" width="22.6640625" bestFit="1" customWidth="1"/>
    <col min="4" max="4" width="10.33203125" style="1" bestFit="1" customWidth="1"/>
    <col min="5" max="5" width="13.5546875" bestFit="1" customWidth="1"/>
    <col min="6" max="6" width="14.44140625" bestFit="1" customWidth="1"/>
    <col min="8" max="8" width="10.33203125" bestFit="1" customWidth="1"/>
    <col min="9" max="9" width="14.88671875" bestFit="1" customWidth="1"/>
    <col min="10" max="10" width="9.5546875" bestFit="1" customWidth="1"/>
    <col min="11" max="11" width="11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0.15</v>
      </c>
      <c r="B2" s="1">
        <v>5.9557000000000004E-3</v>
      </c>
      <c r="C2" s="1">
        <f>Tabela9[[#This Row],[Alongamento(mm/mm)]]/$I$2</f>
        <v>1.1911400000000001E-4</v>
      </c>
      <c r="D2" s="1">
        <v>0</v>
      </c>
      <c r="E2" s="1">
        <f>Tabela9[[#This Row],[Forτa(N)]]/$I$5</f>
        <v>0</v>
      </c>
      <c r="F2" s="1">
        <f>Tabela9[[#This Row],[Tensão(Pa)]]/1000000</f>
        <v>0</v>
      </c>
      <c r="H2" t="s">
        <v>10</v>
      </c>
      <c r="I2">
        <v>50</v>
      </c>
      <c r="J2">
        <v>13.07</v>
      </c>
      <c r="K2">
        <v>3.29</v>
      </c>
    </row>
    <row r="3" spans="1:11" x14ac:dyDescent="0.3">
      <c r="A3" s="1">
        <v>0.16667000000000001</v>
      </c>
      <c r="B3" s="1">
        <v>7.1655E-3</v>
      </c>
      <c r="C3" s="1">
        <f>Tabela9[[#This Row],[Alongamento(mm/mm)]]/$I$2</f>
        <v>1.4331000000000001E-4</v>
      </c>
      <c r="D3" s="1">
        <v>0.1701</v>
      </c>
      <c r="E3" s="1">
        <f>Tabela9[[#This Row],[Forτa(N)]]/$I$5</f>
        <v>5421.9459717905811</v>
      </c>
      <c r="F3" s="1">
        <f>Tabela9[[#This Row],[Tensão(Pa)]]/1000000</f>
        <v>5.4219459717905812E-3</v>
      </c>
      <c r="H3" t="s">
        <v>11</v>
      </c>
      <c r="I3">
        <v>0.05</v>
      </c>
      <c r="J3">
        <v>1.3349999999999999E-2</v>
      </c>
      <c r="K3">
        <v>2.3500000000000001E-3</v>
      </c>
    </row>
    <row r="4" spans="1:11" x14ac:dyDescent="0.3">
      <c r="A4" s="1">
        <v>3.55</v>
      </c>
      <c r="B4" s="1">
        <v>0.28820000000000001</v>
      </c>
      <c r="C4" s="1">
        <f>Tabela9[[#This Row],[Alongamento(mm/mm)]]/$I$2</f>
        <v>5.764E-3</v>
      </c>
      <c r="D4" s="1">
        <v>4.0823999999999998</v>
      </c>
      <c r="E4" s="1">
        <f>Tabela9[[#This Row],[Forτa(N)]]/$I$5</f>
        <v>130126.70332297395</v>
      </c>
      <c r="F4" s="1">
        <f>Tabela9[[#This Row],[Tensão(Pa)]]/1000000</f>
        <v>0.13012670332297394</v>
      </c>
    </row>
    <row r="5" spans="1:11" x14ac:dyDescent="0.3">
      <c r="A5" s="1">
        <v>3.5832999999999999</v>
      </c>
      <c r="B5" s="1">
        <v>0.29099000000000003</v>
      </c>
      <c r="C5" s="1">
        <f>Tabela9[[#This Row],[Alongamento(mm/mm)]]/$I$2</f>
        <v>5.8198000000000008E-3</v>
      </c>
      <c r="D5" s="1">
        <v>4.2525000000000004</v>
      </c>
      <c r="E5" s="1">
        <f>Tabela9[[#This Row],[Forτa(N)]]/$I$5</f>
        <v>135548.64929476453</v>
      </c>
      <c r="F5" s="1">
        <f>Tabela9[[#This Row],[Tensão(Pa)]]/1000000</f>
        <v>0.13554864929476454</v>
      </c>
      <c r="H5" t="s">
        <v>12</v>
      </c>
      <c r="I5">
        <v>3.1372499999999998E-5</v>
      </c>
    </row>
    <row r="6" spans="1:11" x14ac:dyDescent="0.3">
      <c r="A6" s="1">
        <v>3.6166999999999998</v>
      </c>
      <c r="B6" s="1">
        <v>0.29369000000000001</v>
      </c>
      <c r="C6" s="1">
        <f>Tabela9[[#This Row],[Alongamento(mm/mm)]]/$I$2</f>
        <v>5.8738000000000002E-3</v>
      </c>
      <c r="D6" s="1">
        <v>4.4226000000000001</v>
      </c>
      <c r="E6" s="1">
        <f>Tabela9[[#This Row],[Forτa(N)]]/$I$5</f>
        <v>140970.59526655512</v>
      </c>
      <c r="F6" s="1">
        <f>Tabela9[[#This Row],[Tensão(Pa)]]/1000000</f>
        <v>0.14097059526655512</v>
      </c>
    </row>
    <row r="7" spans="1:11" x14ac:dyDescent="0.3">
      <c r="A7" s="1">
        <v>3.65</v>
      </c>
      <c r="B7" s="1">
        <v>0.29658000000000001</v>
      </c>
      <c r="C7" s="1">
        <f>Tabela9[[#This Row],[Alongamento(mm/mm)]]/$I$2</f>
        <v>5.9316000000000004E-3</v>
      </c>
      <c r="D7" s="1">
        <v>4.4226000000000001</v>
      </c>
      <c r="E7" s="1">
        <f>Tabela9[[#This Row],[Forτa(N)]]/$I$5</f>
        <v>140970.59526655512</v>
      </c>
      <c r="F7" s="1">
        <f>Tabela9[[#This Row],[Tensão(Pa)]]/1000000</f>
        <v>0.14097059526655512</v>
      </c>
    </row>
    <row r="8" spans="1:11" x14ac:dyDescent="0.3">
      <c r="A8" s="1">
        <v>3.6833</v>
      </c>
      <c r="B8" s="1">
        <v>0.29926999999999998</v>
      </c>
      <c r="C8" s="1">
        <f>Tabela9[[#This Row],[Alongamento(mm/mm)]]/$I$2</f>
        <v>5.9853999999999992E-3</v>
      </c>
      <c r="D8" s="1">
        <v>4.5926999999999998</v>
      </c>
      <c r="E8" s="1">
        <f>Tabela9[[#This Row],[Forτa(N)]]/$I$5</f>
        <v>146392.5412383457</v>
      </c>
      <c r="F8" s="1">
        <f>Tabela9[[#This Row],[Tensão(Pa)]]/1000000</f>
        <v>0.14639254123834569</v>
      </c>
    </row>
    <row r="9" spans="1:11" x14ac:dyDescent="0.3">
      <c r="A9" s="1">
        <v>3.7166999999999999</v>
      </c>
      <c r="B9" s="1">
        <v>0.30215999999999998</v>
      </c>
      <c r="C9" s="1">
        <f>Tabela9[[#This Row],[Alongamento(mm/mm)]]/$I$2</f>
        <v>6.0431999999999994E-3</v>
      </c>
      <c r="D9" s="1">
        <v>4.7628000000000004</v>
      </c>
      <c r="E9" s="1">
        <f>Tabela9[[#This Row],[Forτa(N)]]/$I$5</f>
        <v>151814.48721013629</v>
      </c>
      <c r="F9" s="1">
        <f>Tabela9[[#This Row],[Tensão(Pa)]]/1000000</f>
        <v>0.1518144872101363</v>
      </c>
    </row>
    <row r="10" spans="1:11" x14ac:dyDescent="0.3">
      <c r="A10" s="1">
        <v>3.75</v>
      </c>
      <c r="B10" s="1">
        <v>0.30495</v>
      </c>
      <c r="C10" s="1">
        <f>Tabela9[[#This Row],[Alongamento(mm/mm)]]/$I$2</f>
        <v>6.0990000000000003E-3</v>
      </c>
      <c r="D10" s="1">
        <v>4.7628000000000004</v>
      </c>
      <c r="E10" s="1">
        <f>Tabela9[[#This Row],[Forτa(N)]]/$I$5</f>
        <v>151814.48721013629</v>
      </c>
      <c r="F10" s="1">
        <f>Tabela9[[#This Row],[Tensão(Pa)]]/1000000</f>
        <v>0.1518144872101363</v>
      </c>
    </row>
    <row r="11" spans="1:11" x14ac:dyDescent="0.3">
      <c r="A11" s="1">
        <v>3.7833000000000001</v>
      </c>
      <c r="B11" s="1">
        <v>0.30764999999999998</v>
      </c>
      <c r="C11" s="1">
        <f>Tabela9[[#This Row],[Alongamento(mm/mm)]]/$I$2</f>
        <v>6.1529999999999996E-3</v>
      </c>
      <c r="D11" s="1">
        <v>4.9329000000000001</v>
      </c>
      <c r="E11" s="1">
        <f>Tabela9[[#This Row],[Forτa(N)]]/$I$5</f>
        <v>157236.43318192687</v>
      </c>
      <c r="F11" s="1">
        <f>Tabela9[[#This Row],[Tensão(Pa)]]/1000000</f>
        <v>0.15723643318192687</v>
      </c>
    </row>
    <row r="12" spans="1:11" x14ac:dyDescent="0.3">
      <c r="A12" s="1">
        <v>3.8167</v>
      </c>
      <c r="B12" s="1">
        <v>0.31043999999999999</v>
      </c>
      <c r="C12" s="1">
        <f>Tabela9[[#This Row],[Alongamento(mm/mm)]]/$I$2</f>
        <v>6.2087999999999996E-3</v>
      </c>
      <c r="D12" s="1">
        <v>5.1029999999999998</v>
      </c>
      <c r="E12" s="1">
        <f>Tabela9[[#This Row],[Forτa(N)]]/$I$5</f>
        <v>162658.37915371743</v>
      </c>
      <c r="F12" s="1">
        <f>Tabela9[[#This Row],[Tensão(Pa)]]/1000000</f>
        <v>0.16265837915371742</v>
      </c>
    </row>
    <row r="13" spans="1:11" x14ac:dyDescent="0.3">
      <c r="A13" s="1">
        <v>3.85</v>
      </c>
      <c r="B13" s="1">
        <v>0.31323000000000001</v>
      </c>
      <c r="C13" s="1">
        <f>Tabela9[[#This Row],[Alongamento(mm/mm)]]/$I$2</f>
        <v>6.2646000000000004E-3</v>
      </c>
      <c r="D13" s="1">
        <v>5.1029999999999998</v>
      </c>
      <c r="E13" s="1">
        <f>Tabela9[[#This Row],[Forτa(N)]]/$I$5</f>
        <v>162658.37915371743</v>
      </c>
      <c r="F13" s="1">
        <f>Tabela9[[#This Row],[Tensão(Pa)]]/1000000</f>
        <v>0.16265837915371742</v>
      </c>
    </row>
    <row r="14" spans="1:11" x14ac:dyDescent="0.3">
      <c r="A14" s="1">
        <v>3.8833000000000002</v>
      </c>
      <c r="B14" s="1">
        <v>0.31602000000000002</v>
      </c>
      <c r="C14" s="1">
        <f>Tabela9[[#This Row],[Alongamento(mm/mm)]]/$I$2</f>
        <v>6.3204000000000003E-3</v>
      </c>
      <c r="D14" s="1">
        <v>5.2731000000000003</v>
      </c>
      <c r="E14" s="1">
        <f>Tabela9[[#This Row],[Forτa(N)]]/$I$5</f>
        <v>168080.32512550804</v>
      </c>
      <c r="F14" s="1">
        <f>Tabela9[[#This Row],[Tensão(Pa)]]/1000000</f>
        <v>0.16808032512550805</v>
      </c>
    </row>
    <row r="15" spans="1:11" x14ac:dyDescent="0.3">
      <c r="A15" s="1">
        <v>3.9167000000000001</v>
      </c>
      <c r="B15" s="1">
        <v>0.31872</v>
      </c>
      <c r="C15" s="1">
        <f>Tabela9[[#This Row],[Alongamento(mm/mm)]]/$I$2</f>
        <v>6.3743999999999997E-3</v>
      </c>
      <c r="D15" s="1">
        <v>5.2731000000000003</v>
      </c>
      <c r="E15" s="1">
        <f>Tabela9[[#This Row],[Forτa(N)]]/$I$5</f>
        <v>168080.32512550804</v>
      </c>
      <c r="F15" s="1">
        <f>Tabela9[[#This Row],[Tensão(Pa)]]/1000000</f>
        <v>0.16808032512550805</v>
      </c>
    </row>
    <row r="16" spans="1:11" x14ac:dyDescent="0.3">
      <c r="A16" s="1">
        <v>3.95</v>
      </c>
      <c r="B16" s="1">
        <v>0.32161000000000001</v>
      </c>
      <c r="C16" s="1">
        <f>Tabela9[[#This Row],[Alongamento(mm/mm)]]/$I$2</f>
        <v>6.4321999999999999E-3</v>
      </c>
      <c r="D16" s="1">
        <v>5.4432</v>
      </c>
      <c r="E16" s="1">
        <f>Tabela9[[#This Row],[Forτa(N)]]/$I$5</f>
        <v>173502.2710972986</v>
      </c>
      <c r="F16" s="1">
        <f>Tabela9[[#This Row],[Tensão(Pa)]]/1000000</f>
        <v>0.1735022710972986</v>
      </c>
    </row>
    <row r="17" spans="1:6" x14ac:dyDescent="0.3">
      <c r="A17" s="1">
        <v>3.9832999999999998</v>
      </c>
      <c r="B17" s="1">
        <v>0.32421</v>
      </c>
      <c r="C17" s="1">
        <f>Tabela9[[#This Row],[Alongamento(mm/mm)]]/$I$2</f>
        <v>6.4841999999999999E-3</v>
      </c>
      <c r="D17" s="1">
        <v>5.4432</v>
      </c>
      <c r="E17" s="1">
        <f>Tabela9[[#This Row],[Forτa(N)]]/$I$5</f>
        <v>173502.2710972986</v>
      </c>
      <c r="F17" s="1">
        <f>Tabela9[[#This Row],[Tensão(Pa)]]/1000000</f>
        <v>0.1735022710972986</v>
      </c>
    </row>
    <row r="18" spans="1:6" x14ac:dyDescent="0.3">
      <c r="A18" s="1">
        <v>4.0167000000000002</v>
      </c>
      <c r="B18" s="1">
        <v>0.32718999999999998</v>
      </c>
      <c r="C18" s="1">
        <f>Tabela9[[#This Row],[Alongamento(mm/mm)]]/$I$2</f>
        <v>6.5437999999999998E-3</v>
      </c>
      <c r="D18" s="1">
        <v>5.6132999999999997</v>
      </c>
      <c r="E18" s="1">
        <f>Tabela9[[#This Row],[Forτa(N)]]/$I$5</f>
        <v>178924.21706908918</v>
      </c>
      <c r="F18" s="1">
        <f>Tabela9[[#This Row],[Tensão(Pa)]]/1000000</f>
        <v>0.17892421706908918</v>
      </c>
    </row>
    <row r="19" spans="1:6" x14ac:dyDescent="0.3">
      <c r="A19" s="1">
        <v>4.05</v>
      </c>
      <c r="B19" s="1">
        <v>0.32979999999999998</v>
      </c>
      <c r="C19" s="1">
        <f>Tabela9[[#This Row],[Alongamento(mm/mm)]]/$I$2</f>
        <v>6.5959999999999994E-3</v>
      </c>
      <c r="D19" s="1">
        <v>5.7834000000000003</v>
      </c>
      <c r="E19" s="1">
        <f>Tabela9[[#This Row],[Forτa(N)]]/$I$5</f>
        <v>184346.16304087976</v>
      </c>
      <c r="F19" s="1">
        <f>Tabela9[[#This Row],[Tensão(Pa)]]/1000000</f>
        <v>0.18434616304087975</v>
      </c>
    </row>
    <row r="20" spans="1:6" x14ac:dyDescent="0.3">
      <c r="A20" s="1">
        <v>4.0833000000000004</v>
      </c>
      <c r="B20" s="1">
        <v>0.33267999999999998</v>
      </c>
      <c r="C20" s="1">
        <f>Tabela9[[#This Row],[Alongamento(mm/mm)]]/$I$2</f>
        <v>6.6535999999999991E-3</v>
      </c>
      <c r="D20" s="1">
        <v>5.7834000000000003</v>
      </c>
      <c r="E20" s="1">
        <f>Tabela9[[#This Row],[Forτa(N)]]/$I$5</f>
        <v>184346.16304087976</v>
      </c>
      <c r="F20" s="1">
        <f>Tabela9[[#This Row],[Tensão(Pa)]]/1000000</f>
        <v>0.18434616304087975</v>
      </c>
    </row>
    <row r="21" spans="1:6" x14ac:dyDescent="0.3">
      <c r="A21" s="1">
        <v>4.1166999999999998</v>
      </c>
      <c r="B21" s="1">
        <v>0.33546999999999999</v>
      </c>
      <c r="C21" s="1">
        <f>Tabela9[[#This Row],[Alongamento(mm/mm)]]/$I$2</f>
        <v>6.7093999999999999E-3</v>
      </c>
      <c r="D21" s="1">
        <v>5.9535</v>
      </c>
      <c r="E21" s="1">
        <f>Tabela9[[#This Row],[Forτa(N)]]/$I$5</f>
        <v>189768.10901267035</v>
      </c>
      <c r="F21" s="1">
        <f>Tabela9[[#This Row],[Tensão(Pa)]]/1000000</f>
        <v>0.18976810901267036</v>
      </c>
    </row>
    <row r="22" spans="1:6" x14ac:dyDescent="0.3">
      <c r="A22" s="1">
        <v>4.1500000000000004</v>
      </c>
      <c r="B22" s="1">
        <v>0.33827000000000002</v>
      </c>
      <c r="C22" s="1">
        <f>Tabela9[[#This Row],[Alongamento(mm/mm)]]/$I$2</f>
        <v>6.7654000000000004E-3</v>
      </c>
      <c r="D22" s="1">
        <v>6.1235999999999997</v>
      </c>
      <c r="E22" s="1">
        <f>Tabela9[[#This Row],[Forτa(N)]]/$I$5</f>
        <v>195190.0549844609</v>
      </c>
      <c r="F22" s="1">
        <f>Tabela9[[#This Row],[Tensão(Pa)]]/1000000</f>
        <v>0.1951900549844609</v>
      </c>
    </row>
    <row r="23" spans="1:6" x14ac:dyDescent="0.3">
      <c r="A23" s="1">
        <v>4.1833</v>
      </c>
      <c r="B23" s="1">
        <v>0.34095999999999999</v>
      </c>
      <c r="C23" s="1">
        <f>Tabela9[[#This Row],[Alongamento(mm/mm)]]/$I$2</f>
        <v>6.8192000000000001E-3</v>
      </c>
      <c r="D23" s="1">
        <v>6.2937000000000003</v>
      </c>
      <c r="E23" s="1">
        <f>Tabela9[[#This Row],[Forτa(N)]]/$I$5</f>
        <v>200612.00095625152</v>
      </c>
      <c r="F23" s="1">
        <f>Tabela9[[#This Row],[Tensão(Pa)]]/1000000</f>
        <v>0.20061200095625151</v>
      </c>
    </row>
    <row r="24" spans="1:6" x14ac:dyDescent="0.3">
      <c r="A24" s="1">
        <v>4.2167000000000003</v>
      </c>
      <c r="B24" s="1">
        <v>0.34376000000000001</v>
      </c>
      <c r="C24" s="1">
        <f>Tabela9[[#This Row],[Alongamento(mm/mm)]]/$I$2</f>
        <v>6.8752000000000006E-3</v>
      </c>
      <c r="D24" s="1">
        <v>6.2937000000000003</v>
      </c>
      <c r="E24" s="1">
        <f>Tabela9[[#This Row],[Forτa(N)]]/$I$5</f>
        <v>200612.00095625152</v>
      </c>
      <c r="F24" s="1">
        <f>Tabela9[[#This Row],[Tensão(Pa)]]/1000000</f>
        <v>0.20061200095625151</v>
      </c>
    </row>
    <row r="25" spans="1:6" x14ac:dyDescent="0.3">
      <c r="A25" s="1">
        <v>4.25</v>
      </c>
      <c r="B25" s="1">
        <v>0.34655000000000002</v>
      </c>
      <c r="C25" s="1">
        <f>Tabela9[[#This Row],[Alongamento(mm/mm)]]/$I$2</f>
        <v>6.9310000000000005E-3</v>
      </c>
      <c r="D25" s="1">
        <v>6.2937000000000003</v>
      </c>
      <c r="E25" s="1">
        <f>Tabela9[[#This Row],[Forτa(N)]]/$I$5</f>
        <v>200612.00095625152</v>
      </c>
      <c r="F25" s="1">
        <f>Tabela9[[#This Row],[Tensão(Pa)]]/1000000</f>
        <v>0.20061200095625151</v>
      </c>
    </row>
    <row r="26" spans="1:6" x14ac:dyDescent="0.3">
      <c r="A26" s="1">
        <v>4.2832999999999997</v>
      </c>
      <c r="B26" s="1">
        <v>0.34933999999999998</v>
      </c>
      <c r="C26" s="1">
        <f>Tabela9[[#This Row],[Alongamento(mm/mm)]]/$I$2</f>
        <v>6.9867999999999996E-3</v>
      </c>
      <c r="D26" s="1">
        <v>6.4638</v>
      </c>
      <c r="E26" s="1">
        <f>Tabela9[[#This Row],[Forτa(N)]]/$I$5</f>
        <v>206033.94692804207</v>
      </c>
      <c r="F26" s="1">
        <f>Tabela9[[#This Row],[Tensão(Pa)]]/1000000</f>
        <v>0.20603394692804208</v>
      </c>
    </row>
    <row r="27" spans="1:6" x14ac:dyDescent="0.3">
      <c r="A27" s="1">
        <v>4.3167</v>
      </c>
      <c r="B27" s="1">
        <v>0.35213</v>
      </c>
      <c r="C27" s="1">
        <f>Tabela9[[#This Row],[Alongamento(mm/mm)]]/$I$2</f>
        <v>7.0425999999999996E-3</v>
      </c>
      <c r="D27" s="1">
        <v>6.6338999999999997</v>
      </c>
      <c r="E27" s="1">
        <f>Tabela9[[#This Row],[Forτa(N)]]/$I$5</f>
        <v>211455.89289983266</v>
      </c>
      <c r="F27" s="1">
        <f>Tabela9[[#This Row],[Tensão(Pa)]]/1000000</f>
        <v>0.21145589289983266</v>
      </c>
    </row>
    <row r="28" spans="1:6" x14ac:dyDescent="0.3">
      <c r="A28" s="1">
        <v>4.3499999999999996</v>
      </c>
      <c r="B28" s="1">
        <v>0.35482999999999998</v>
      </c>
      <c r="C28" s="1">
        <f>Tabela9[[#This Row],[Alongamento(mm/mm)]]/$I$2</f>
        <v>7.0965999999999998E-3</v>
      </c>
      <c r="D28" s="1">
        <v>6.8040000000000003</v>
      </c>
      <c r="E28" s="1">
        <f>Tabela9[[#This Row],[Forτa(N)]]/$I$5</f>
        <v>216877.83887162324</v>
      </c>
      <c r="F28" s="1">
        <f>Tabela9[[#This Row],[Tensão(Pa)]]/1000000</f>
        <v>0.21687783887162324</v>
      </c>
    </row>
    <row r="29" spans="1:6" x14ac:dyDescent="0.3">
      <c r="A29" s="1">
        <v>4.3833000000000002</v>
      </c>
      <c r="B29" s="1">
        <v>0.35770999999999997</v>
      </c>
      <c r="C29" s="1">
        <f>Tabela9[[#This Row],[Alongamento(mm/mm)]]/$I$2</f>
        <v>7.1541999999999994E-3</v>
      </c>
      <c r="D29" s="1">
        <v>6.9741</v>
      </c>
      <c r="E29" s="1">
        <f>Tabela9[[#This Row],[Forτa(N)]]/$I$5</f>
        <v>222299.78484341383</v>
      </c>
      <c r="F29" s="1">
        <f>Tabela9[[#This Row],[Tensão(Pa)]]/1000000</f>
        <v>0.22229978484341384</v>
      </c>
    </row>
    <row r="30" spans="1:6" x14ac:dyDescent="0.3">
      <c r="A30" s="1">
        <v>4.4333</v>
      </c>
      <c r="B30" s="1">
        <v>0.36181000000000002</v>
      </c>
      <c r="C30" s="1">
        <f>Tabela9[[#This Row],[Alongamento(mm/mm)]]/$I$2</f>
        <v>7.2362000000000008E-3</v>
      </c>
      <c r="D30" s="1">
        <v>7.1441999999999997</v>
      </c>
      <c r="E30" s="1">
        <f>Tabela9[[#This Row],[Forτa(N)]]/$I$5</f>
        <v>227721.73081520441</v>
      </c>
      <c r="F30" s="1">
        <f>Tabela9[[#This Row],[Tensão(Pa)]]/1000000</f>
        <v>0.22772173081520442</v>
      </c>
    </row>
    <row r="31" spans="1:6" x14ac:dyDescent="0.3">
      <c r="A31" s="1">
        <v>4.4667000000000003</v>
      </c>
      <c r="B31" s="1">
        <v>0.36459999999999998</v>
      </c>
      <c r="C31" s="1">
        <f>Tabela9[[#This Row],[Alongamento(mm/mm)]]/$I$2</f>
        <v>7.2919999999999999E-3</v>
      </c>
      <c r="D31" s="1">
        <v>7.1441999999999997</v>
      </c>
      <c r="E31" s="1">
        <f>Tabela9[[#This Row],[Forτa(N)]]/$I$5</f>
        <v>227721.73081520441</v>
      </c>
      <c r="F31" s="1">
        <f>Tabela9[[#This Row],[Tensão(Pa)]]/1000000</f>
        <v>0.22772173081520442</v>
      </c>
    </row>
    <row r="32" spans="1:6" x14ac:dyDescent="0.3">
      <c r="A32" s="1">
        <v>4.5</v>
      </c>
      <c r="B32" s="1">
        <v>0.36738999999999999</v>
      </c>
      <c r="C32" s="1">
        <f>Tabela9[[#This Row],[Alongamento(mm/mm)]]/$I$2</f>
        <v>7.3477999999999998E-3</v>
      </c>
      <c r="D32" s="1">
        <v>7.4843000000000002</v>
      </c>
      <c r="E32" s="1">
        <f>Tabela9[[#This Row],[Forτa(N)]]/$I$5</f>
        <v>238562.4352538051</v>
      </c>
      <c r="F32" s="1">
        <f>Tabela9[[#This Row],[Tensão(Pa)]]/1000000</f>
        <v>0.23856243525380511</v>
      </c>
    </row>
    <row r="33" spans="1:6" x14ac:dyDescent="0.3">
      <c r="A33" s="1">
        <v>4.55</v>
      </c>
      <c r="B33" s="1">
        <v>0.37148999999999999</v>
      </c>
      <c r="C33" s="1">
        <f>Tabela9[[#This Row],[Alongamento(mm/mm)]]/$I$2</f>
        <v>7.4297999999999994E-3</v>
      </c>
      <c r="D33" s="1">
        <v>7.6543999999999999</v>
      </c>
      <c r="E33" s="1">
        <f>Tabela9[[#This Row],[Forτa(N)]]/$I$5</f>
        <v>243984.38122559569</v>
      </c>
      <c r="F33" s="1">
        <f>Tabela9[[#This Row],[Tensão(Pa)]]/1000000</f>
        <v>0.24398438122559568</v>
      </c>
    </row>
    <row r="34" spans="1:6" x14ac:dyDescent="0.3">
      <c r="A34" s="1">
        <v>4.5833000000000004</v>
      </c>
      <c r="B34" s="1">
        <v>0.37436999999999998</v>
      </c>
      <c r="C34" s="1">
        <f>Tabela9[[#This Row],[Alongamento(mm/mm)]]/$I$2</f>
        <v>7.4874E-3</v>
      </c>
      <c r="D34" s="1">
        <v>7.6543999999999999</v>
      </c>
      <c r="E34" s="1">
        <f>Tabela9[[#This Row],[Forτa(N)]]/$I$5</f>
        <v>243984.38122559569</v>
      </c>
      <c r="F34" s="1">
        <f>Tabela9[[#This Row],[Tensão(Pa)]]/1000000</f>
        <v>0.24398438122559568</v>
      </c>
    </row>
    <row r="35" spans="1:6" x14ac:dyDescent="0.3">
      <c r="A35" s="1">
        <v>4.6333000000000002</v>
      </c>
      <c r="B35" s="1">
        <v>0.37846999999999997</v>
      </c>
      <c r="C35" s="1">
        <f>Tabela9[[#This Row],[Alongamento(mm/mm)]]/$I$2</f>
        <v>7.5693999999999996E-3</v>
      </c>
      <c r="D35" s="1">
        <v>7.9946000000000002</v>
      </c>
      <c r="E35" s="1">
        <f>Tabela9[[#This Row],[Forτa(N)]]/$I$5</f>
        <v>254828.27316917686</v>
      </c>
      <c r="F35" s="1">
        <f>Tabela9[[#This Row],[Tensão(Pa)]]/1000000</f>
        <v>0.25482827316917683</v>
      </c>
    </row>
    <row r="36" spans="1:6" x14ac:dyDescent="0.3">
      <c r="A36" s="1">
        <v>4.6833</v>
      </c>
      <c r="B36" s="1">
        <v>0.38264999999999999</v>
      </c>
      <c r="C36" s="1">
        <f>Tabela9[[#This Row],[Alongamento(mm/mm)]]/$I$2</f>
        <v>7.6530000000000001E-3</v>
      </c>
      <c r="D36" s="1">
        <v>7.9946000000000002</v>
      </c>
      <c r="E36" s="1">
        <f>Tabela9[[#This Row],[Forτa(N)]]/$I$5</f>
        <v>254828.27316917686</v>
      </c>
      <c r="F36" s="1">
        <f>Tabela9[[#This Row],[Tensão(Pa)]]/1000000</f>
        <v>0.25482827316917683</v>
      </c>
    </row>
    <row r="37" spans="1:6" x14ac:dyDescent="0.3">
      <c r="A37" s="1">
        <v>4.7332999999999998</v>
      </c>
      <c r="B37" s="1">
        <v>0.38674999999999998</v>
      </c>
      <c r="C37" s="1">
        <f>Tabela9[[#This Row],[Alongamento(mm/mm)]]/$I$2</f>
        <v>7.7349999999999997E-3</v>
      </c>
      <c r="D37" s="1">
        <v>8.3347999999999995</v>
      </c>
      <c r="E37" s="1">
        <f>Tabela9[[#This Row],[Forτa(N)]]/$I$5</f>
        <v>265672.165112758</v>
      </c>
      <c r="F37" s="1">
        <f>Tabela9[[#This Row],[Tensão(Pa)]]/1000000</f>
        <v>0.26567216511275799</v>
      </c>
    </row>
    <row r="38" spans="1:6" x14ac:dyDescent="0.3">
      <c r="A38" s="1">
        <v>4.7832999999999997</v>
      </c>
      <c r="B38" s="1">
        <v>0.39102999999999999</v>
      </c>
      <c r="C38" s="1">
        <f>Tabela9[[#This Row],[Alongamento(mm/mm)]]/$I$2</f>
        <v>7.8206000000000005E-3</v>
      </c>
      <c r="D38" s="1">
        <v>8.3347999999999995</v>
      </c>
      <c r="E38" s="1">
        <f>Tabela9[[#This Row],[Forτa(N)]]/$I$5</f>
        <v>265672.165112758</v>
      </c>
      <c r="F38" s="1">
        <f>Tabela9[[#This Row],[Tensão(Pa)]]/1000000</f>
        <v>0.26567216511275799</v>
      </c>
    </row>
    <row r="39" spans="1:6" x14ac:dyDescent="0.3">
      <c r="A39" s="1">
        <v>4.8333000000000004</v>
      </c>
      <c r="B39" s="1">
        <v>0.39522000000000002</v>
      </c>
      <c r="C39" s="1">
        <f>Tabela9[[#This Row],[Alongamento(mm/mm)]]/$I$2</f>
        <v>7.9044000000000007E-3</v>
      </c>
      <c r="D39" s="1">
        <v>8.6750000000000007</v>
      </c>
      <c r="E39" s="1">
        <f>Tabela9[[#This Row],[Forτa(N)]]/$I$5</f>
        <v>276516.05705633917</v>
      </c>
      <c r="F39" s="1">
        <f>Tabela9[[#This Row],[Tensão(Pa)]]/1000000</f>
        <v>0.27651605705633919</v>
      </c>
    </row>
    <row r="40" spans="1:6" x14ac:dyDescent="0.3">
      <c r="A40" s="1">
        <v>4.8833000000000002</v>
      </c>
      <c r="B40" s="1">
        <v>0.39939999999999998</v>
      </c>
      <c r="C40" s="1">
        <f>Tabela9[[#This Row],[Alongamento(mm/mm)]]/$I$2</f>
        <v>7.9880000000000003E-3</v>
      </c>
      <c r="D40" s="1">
        <v>8.8451000000000004</v>
      </c>
      <c r="E40" s="1">
        <f>Tabela9[[#This Row],[Forτa(N)]]/$I$5</f>
        <v>281938.00302812975</v>
      </c>
      <c r="F40" s="1">
        <f>Tabela9[[#This Row],[Tensão(Pa)]]/1000000</f>
        <v>0.28193800302812977</v>
      </c>
    </row>
    <row r="41" spans="1:6" x14ac:dyDescent="0.3">
      <c r="A41" s="1">
        <v>4.9333</v>
      </c>
      <c r="B41" s="1">
        <v>0.40350000000000003</v>
      </c>
      <c r="C41" s="1">
        <f>Tabela9[[#This Row],[Alongamento(mm/mm)]]/$I$2</f>
        <v>8.0700000000000008E-3</v>
      </c>
      <c r="D41" s="1">
        <v>8.8451000000000004</v>
      </c>
      <c r="E41" s="1">
        <f>Tabela9[[#This Row],[Forτa(N)]]/$I$5</f>
        <v>281938.00302812975</v>
      </c>
      <c r="F41" s="1">
        <f>Tabela9[[#This Row],[Tensão(Pa)]]/1000000</f>
        <v>0.28193800302812977</v>
      </c>
    </row>
    <row r="42" spans="1:6" x14ac:dyDescent="0.3">
      <c r="A42" s="1">
        <v>4.9832999999999998</v>
      </c>
      <c r="B42" s="1">
        <v>0.40769</v>
      </c>
      <c r="C42" s="1">
        <f>Tabela9[[#This Row],[Alongamento(mm/mm)]]/$I$2</f>
        <v>8.1537999999999992E-3</v>
      </c>
      <c r="D42" s="1">
        <v>9.0152000000000001</v>
      </c>
      <c r="E42" s="1">
        <f>Tabela9[[#This Row],[Forτa(N)]]/$I$5</f>
        <v>287359.94899992034</v>
      </c>
      <c r="F42" s="1">
        <f>Tabela9[[#This Row],[Tensão(Pa)]]/1000000</f>
        <v>0.28735994899992034</v>
      </c>
    </row>
    <row r="43" spans="1:6" x14ac:dyDescent="0.3">
      <c r="A43" s="1">
        <v>5.0332999999999997</v>
      </c>
      <c r="B43" s="1">
        <v>0.41177999999999998</v>
      </c>
      <c r="C43" s="1">
        <f>Tabela9[[#This Row],[Alongamento(mm/mm)]]/$I$2</f>
        <v>8.2355999999999992E-3</v>
      </c>
      <c r="D43" s="1">
        <v>9.3553999999999995</v>
      </c>
      <c r="E43" s="1">
        <f>Tabela9[[#This Row],[Forτa(N)]]/$I$5</f>
        <v>298203.84094350145</v>
      </c>
      <c r="F43" s="1">
        <f>Tabela9[[#This Row],[Tensão(Pa)]]/1000000</f>
        <v>0.29820384094350144</v>
      </c>
    </row>
    <row r="44" spans="1:6" x14ac:dyDescent="0.3">
      <c r="A44" s="1">
        <v>5.0833000000000004</v>
      </c>
      <c r="B44" s="1">
        <v>0.41597000000000001</v>
      </c>
      <c r="C44" s="1">
        <f>Tabela9[[#This Row],[Alongamento(mm/mm)]]/$I$2</f>
        <v>8.3193999999999994E-3</v>
      </c>
      <c r="D44" s="1">
        <v>9.5254999999999992</v>
      </c>
      <c r="E44" s="1">
        <f>Tabela9[[#This Row],[Forτa(N)]]/$I$5</f>
        <v>303625.78691529203</v>
      </c>
      <c r="F44" s="1">
        <f>Tabela9[[#This Row],[Tensão(Pa)]]/1000000</f>
        <v>0.30362578691529202</v>
      </c>
    </row>
    <row r="45" spans="1:6" x14ac:dyDescent="0.3">
      <c r="A45" s="1">
        <v>5.1333000000000002</v>
      </c>
      <c r="B45" s="1">
        <v>0.42015999999999998</v>
      </c>
      <c r="C45" s="1">
        <f>Tabela9[[#This Row],[Alongamento(mm/mm)]]/$I$2</f>
        <v>8.4031999999999996E-3</v>
      </c>
      <c r="D45" s="1">
        <v>9.8657000000000004</v>
      </c>
      <c r="E45" s="1">
        <f>Tabela9[[#This Row],[Forτa(N)]]/$I$5</f>
        <v>314469.67885887326</v>
      </c>
      <c r="F45" s="1">
        <f>Tabela9[[#This Row],[Tensão(Pa)]]/1000000</f>
        <v>0.31446967885887328</v>
      </c>
    </row>
    <row r="46" spans="1:6" x14ac:dyDescent="0.3">
      <c r="A46" s="1">
        <v>5.1833</v>
      </c>
      <c r="B46" s="1">
        <v>0.42433999999999999</v>
      </c>
      <c r="C46" s="1">
        <f>Tabela9[[#This Row],[Alongamento(mm/mm)]]/$I$2</f>
        <v>8.4867999999999992E-3</v>
      </c>
      <c r="D46" s="1">
        <v>10.206</v>
      </c>
      <c r="E46" s="1">
        <f>Tabela9[[#This Row],[Forτa(N)]]/$I$5</f>
        <v>325316.75830743485</v>
      </c>
      <c r="F46" s="1">
        <f>Tabela9[[#This Row],[Tensão(Pa)]]/1000000</f>
        <v>0.32531675830743484</v>
      </c>
    </row>
    <row r="47" spans="1:6" x14ac:dyDescent="0.3">
      <c r="A47" s="1">
        <v>5.2332999999999998</v>
      </c>
      <c r="B47" s="1">
        <v>0.42853000000000002</v>
      </c>
      <c r="C47" s="1">
        <f>Tabela9[[#This Row],[Alongamento(mm/mm)]]/$I$2</f>
        <v>8.5706000000000011E-3</v>
      </c>
      <c r="D47" s="1">
        <v>10.545999999999999</v>
      </c>
      <c r="E47" s="1">
        <f>Tabela9[[#This Row],[Forτa(N)]]/$I$5</f>
        <v>336154.27524105506</v>
      </c>
      <c r="F47" s="1">
        <f>Tabela9[[#This Row],[Tensão(Pa)]]/1000000</f>
        <v>0.33615427524105507</v>
      </c>
    </row>
    <row r="48" spans="1:6" x14ac:dyDescent="0.3">
      <c r="A48" s="1">
        <v>5.2832999999999997</v>
      </c>
      <c r="B48" s="1">
        <v>0.43253000000000003</v>
      </c>
      <c r="C48" s="1">
        <f>Tabela9[[#This Row],[Alongamento(mm/mm)]]/$I$2</f>
        <v>8.6506000000000013E-3</v>
      </c>
      <c r="D48" s="1">
        <v>10.715999999999999</v>
      </c>
      <c r="E48" s="1">
        <f>Tabela9[[#This Row],[Forτa(N)]]/$I$5</f>
        <v>341573.03370786516</v>
      </c>
      <c r="F48" s="1">
        <f>Tabela9[[#This Row],[Tensão(Pa)]]/1000000</f>
        <v>0.34157303370786518</v>
      </c>
    </row>
    <row r="49" spans="1:6" x14ac:dyDescent="0.3">
      <c r="A49" s="1">
        <v>5.3333000000000004</v>
      </c>
      <c r="B49" s="1">
        <v>0.43680999999999998</v>
      </c>
      <c r="C49" s="1">
        <f>Tabela9[[#This Row],[Alongamento(mm/mm)]]/$I$2</f>
        <v>8.7361999999999995E-3</v>
      </c>
      <c r="D49" s="1">
        <v>10.885999999999999</v>
      </c>
      <c r="E49" s="1">
        <f>Tabela9[[#This Row],[Forτa(N)]]/$I$5</f>
        <v>346991.79217467527</v>
      </c>
      <c r="F49" s="1">
        <f>Tabela9[[#This Row],[Tensão(Pa)]]/1000000</f>
        <v>0.3469917921746753</v>
      </c>
    </row>
    <row r="50" spans="1:6" x14ac:dyDescent="0.3">
      <c r="A50" s="1">
        <v>5.3833000000000002</v>
      </c>
      <c r="B50" s="1">
        <v>0.441</v>
      </c>
      <c r="C50" s="1">
        <f>Tabela9[[#This Row],[Alongamento(mm/mm)]]/$I$2</f>
        <v>8.8199999999999997E-3</v>
      </c>
      <c r="D50" s="1">
        <v>11.397</v>
      </c>
      <c r="E50" s="1">
        <f>Tabela9[[#This Row],[Forτa(N)]]/$I$5</f>
        <v>363279.94262491039</v>
      </c>
      <c r="F50" s="1">
        <f>Tabela9[[#This Row],[Tensão(Pa)]]/1000000</f>
        <v>0.36327994262491037</v>
      </c>
    </row>
    <row r="51" spans="1:6" x14ac:dyDescent="0.3">
      <c r="A51" s="1">
        <v>5.4333</v>
      </c>
      <c r="B51" s="1">
        <v>0.44518999999999997</v>
      </c>
      <c r="C51" s="1">
        <f>Tabela9[[#This Row],[Alongamento(mm/mm)]]/$I$2</f>
        <v>8.9037999999999999E-3</v>
      </c>
      <c r="D51" s="1">
        <v>11.567</v>
      </c>
      <c r="E51" s="1">
        <f>Tabela9[[#This Row],[Forτa(N)]]/$I$5</f>
        <v>368698.70109172049</v>
      </c>
      <c r="F51" s="1">
        <f>Tabela9[[#This Row],[Tensão(Pa)]]/1000000</f>
        <v>0.36869870109172048</v>
      </c>
    </row>
    <row r="52" spans="1:6" x14ac:dyDescent="0.3">
      <c r="A52" s="1">
        <v>5.4832999999999998</v>
      </c>
      <c r="B52" s="1">
        <v>0.44928000000000001</v>
      </c>
      <c r="C52" s="1">
        <f>Tabela9[[#This Row],[Alongamento(mm/mm)]]/$I$2</f>
        <v>8.9855999999999998E-3</v>
      </c>
      <c r="D52" s="1">
        <v>11.907</v>
      </c>
      <c r="E52" s="1">
        <f>Tabela9[[#This Row],[Forτa(N)]]/$I$5</f>
        <v>379536.2180253407</v>
      </c>
      <c r="F52" s="1">
        <f>Tabela9[[#This Row],[Tensão(Pa)]]/1000000</f>
        <v>0.37953621802534071</v>
      </c>
    </row>
    <row r="53" spans="1:6" x14ac:dyDescent="0.3">
      <c r="A53" s="1">
        <v>5.5332999999999997</v>
      </c>
      <c r="B53" s="1">
        <v>0.45346999999999998</v>
      </c>
      <c r="C53" s="1">
        <f>Tabela9[[#This Row],[Alongamento(mm/mm)]]/$I$2</f>
        <v>9.0694E-3</v>
      </c>
      <c r="D53" s="1">
        <v>12.077</v>
      </c>
      <c r="E53" s="1">
        <f>Tabela9[[#This Row],[Forτa(N)]]/$I$5</f>
        <v>384954.9764921508</v>
      </c>
      <c r="F53" s="1">
        <f>Tabela9[[#This Row],[Tensão(Pa)]]/1000000</f>
        <v>0.38495497649215082</v>
      </c>
    </row>
    <row r="54" spans="1:6" x14ac:dyDescent="0.3">
      <c r="A54" s="1">
        <v>5.5833000000000004</v>
      </c>
      <c r="B54" s="1">
        <v>0.45766000000000001</v>
      </c>
      <c r="C54" s="1">
        <f>Tabela9[[#This Row],[Alongamento(mm/mm)]]/$I$2</f>
        <v>9.1532000000000002E-3</v>
      </c>
      <c r="D54" s="1">
        <v>12.247</v>
      </c>
      <c r="E54" s="1">
        <f>Tabela9[[#This Row],[Forτa(N)]]/$I$5</f>
        <v>390373.73495896091</v>
      </c>
      <c r="F54" s="1">
        <f>Tabela9[[#This Row],[Tensão(Pa)]]/1000000</f>
        <v>0.39037373495896088</v>
      </c>
    </row>
    <row r="55" spans="1:6" x14ac:dyDescent="0.3">
      <c r="A55" s="1">
        <v>5.6333000000000002</v>
      </c>
      <c r="B55" s="1">
        <v>0.46184999999999998</v>
      </c>
      <c r="C55" s="1">
        <f>Tabela9[[#This Row],[Alongamento(mm/mm)]]/$I$2</f>
        <v>9.2370000000000004E-3</v>
      </c>
      <c r="D55" s="1">
        <v>12.417</v>
      </c>
      <c r="E55" s="1">
        <f>Tabela9[[#This Row],[Forτa(N)]]/$I$5</f>
        <v>395792.49342577101</v>
      </c>
      <c r="F55" s="1">
        <f>Tabela9[[#This Row],[Tensão(Pa)]]/1000000</f>
        <v>0.395792493425771</v>
      </c>
    </row>
    <row r="56" spans="1:6" x14ac:dyDescent="0.3">
      <c r="A56" s="1">
        <v>5.6833</v>
      </c>
      <c r="B56" s="1">
        <v>0.46603</v>
      </c>
      <c r="C56" s="1">
        <f>Tabela9[[#This Row],[Alongamento(mm/mm)]]/$I$2</f>
        <v>9.3206000000000001E-3</v>
      </c>
      <c r="D56" s="1">
        <v>12.928000000000001</v>
      </c>
      <c r="E56" s="1">
        <f>Tabela9[[#This Row],[Forτa(N)]]/$I$5</f>
        <v>412080.64387600613</v>
      </c>
      <c r="F56" s="1">
        <f>Tabela9[[#This Row],[Tensão(Pa)]]/1000000</f>
        <v>0.41208064387600613</v>
      </c>
    </row>
    <row r="57" spans="1:6" x14ac:dyDescent="0.3">
      <c r="A57" s="1">
        <v>5.7332999999999998</v>
      </c>
      <c r="B57" s="1">
        <v>0.47012999999999999</v>
      </c>
      <c r="C57" s="1">
        <f>Tabela9[[#This Row],[Alongamento(mm/mm)]]/$I$2</f>
        <v>9.4026000000000005E-3</v>
      </c>
      <c r="D57" s="1">
        <v>13.098000000000001</v>
      </c>
      <c r="E57" s="1">
        <f>Tabela9[[#This Row],[Forτa(N)]]/$I$5</f>
        <v>417499.40234281623</v>
      </c>
      <c r="F57" s="1">
        <f>Tabela9[[#This Row],[Tensão(Pa)]]/1000000</f>
        <v>0.41749940234281624</v>
      </c>
    </row>
    <row r="58" spans="1:6" x14ac:dyDescent="0.3">
      <c r="A58" s="1">
        <v>5.7832999999999997</v>
      </c>
      <c r="B58" s="1">
        <v>0.47432000000000002</v>
      </c>
      <c r="C58" s="1">
        <f>Tabela9[[#This Row],[Alongamento(mm/mm)]]/$I$2</f>
        <v>9.4864000000000007E-3</v>
      </c>
      <c r="D58" s="1">
        <v>13.438000000000001</v>
      </c>
      <c r="E58" s="1">
        <f>Tabela9[[#This Row],[Forτa(N)]]/$I$5</f>
        <v>428336.91927643644</v>
      </c>
      <c r="F58" s="1">
        <f>Tabela9[[#This Row],[Tensão(Pa)]]/1000000</f>
        <v>0.42833691927643647</v>
      </c>
    </row>
    <row r="59" spans="1:6" x14ac:dyDescent="0.3">
      <c r="A59" s="1">
        <v>5.8333000000000004</v>
      </c>
      <c r="B59" s="1">
        <v>0.47841</v>
      </c>
      <c r="C59" s="1">
        <f>Tabela9[[#This Row],[Alongamento(mm/mm)]]/$I$2</f>
        <v>9.5682000000000007E-3</v>
      </c>
      <c r="D59" s="1">
        <v>13.778</v>
      </c>
      <c r="E59" s="1">
        <f>Tabela9[[#This Row],[Forτa(N)]]/$I$5</f>
        <v>439174.43621005659</v>
      </c>
      <c r="F59" s="1">
        <f>Tabela9[[#This Row],[Tensão(Pa)]]/1000000</f>
        <v>0.43917443621005658</v>
      </c>
    </row>
    <row r="60" spans="1:6" x14ac:dyDescent="0.3">
      <c r="A60" s="1">
        <v>5.8833000000000002</v>
      </c>
      <c r="B60" s="1">
        <v>0.48269000000000001</v>
      </c>
      <c r="C60" s="1">
        <f>Tabela9[[#This Row],[Alongamento(mm/mm)]]/$I$2</f>
        <v>9.6538000000000006E-3</v>
      </c>
      <c r="D60" s="1">
        <v>14.118</v>
      </c>
      <c r="E60" s="1">
        <f>Tabela9[[#This Row],[Forτa(N)]]/$I$5</f>
        <v>450011.9531436768</v>
      </c>
      <c r="F60" s="1">
        <f>Tabela9[[#This Row],[Tensão(Pa)]]/1000000</f>
        <v>0.45001195314367681</v>
      </c>
    </row>
    <row r="61" spans="1:6" x14ac:dyDescent="0.3">
      <c r="A61" s="1">
        <v>5.9333</v>
      </c>
      <c r="B61" s="1">
        <v>0.48687999999999998</v>
      </c>
      <c r="C61" s="1">
        <f>Tabela9[[#This Row],[Alongamento(mm/mm)]]/$I$2</f>
        <v>9.737599999999999E-3</v>
      </c>
      <c r="D61" s="1">
        <v>14.458</v>
      </c>
      <c r="E61" s="1">
        <f>Tabela9[[#This Row],[Forτa(N)]]/$I$5</f>
        <v>460849.47007729701</v>
      </c>
      <c r="F61" s="1">
        <f>Tabela9[[#This Row],[Tensão(Pa)]]/1000000</f>
        <v>0.46084947007729699</v>
      </c>
    </row>
    <row r="62" spans="1:6" x14ac:dyDescent="0.3">
      <c r="A62" s="1">
        <v>5.9832999999999998</v>
      </c>
      <c r="B62" s="1">
        <v>0.49097000000000002</v>
      </c>
      <c r="C62" s="1">
        <f>Tabela9[[#This Row],[Alongamento(mm/mm)]]/$I$2</f>
        <v>9.8194000000000007E-3</v>
      </c>
      <c r="D62" s="1">
        <v>14.628</v>
      </c>
      <c r="E62" s="1">
        <f>Tabela9[[#This Row],[Forτa(N)]]/$I$5</f>
        <v>466268.22854410711</v>
      </c>
      <c r="F62" s="1">
        <f>Tabela9[[#This Row],[Tensão(Pa)]]/1000000</f>
        <v>0.4662682285441071</v>
      </c>
    </row>
    <row r="63" spans="1:6" x14ac:dyDescent="0.3">
      <c r="A63" s="1">
        <v>6.0332999999999997</v>
      </c>
      <c r="B63" s="1">
        <v>0.49507000000000001</v>
      </c>
      <c r="C63" s="1">
        <f>Tabela9[[#This Row],[Alongamento(mm/mm)]]/$I$2</f>
        <v>9.9013999999999994E-3</v>
      </c>
      <c r="D63" s="1">
        <v>14.968999999999999</v>
      </c>
      <c r="E63" s="1">
        <f>Tabela9[[#This Row],[Forτa(N)]]/$I$5</f>
        <v>477137.62052753207</v>
      </c>
      <c r="F63" s="1">
        <f>Tabela9[[#This Row],[Tensão(Pa)]]/1000000</f>
        <v>0.47713762052753206</v>
      </c>
    </row>
    <row r="64" spans="1:6" x14ac:dyDescent="0.3">
      <c r="A64" s="1">
        <v>6.0833000000000004</v>
      </c>
      <c r="B64" s="1">
        <v>0.49935000000000002</v>
      </c>
      <c r="C64" s="1">
        <f>Tabela9[[#This Row],[Alongamento(mm/mm)]]/$I$2</f>
        <v>9.9870000000000011E-3</v>
      </c>
      <c r="D64" s="1">
        <v>15.138999999999999</v>
      </c>
      <c r="E64" s="1">
        <f>Tabela9[[#This Row],[Forτa(N)]]/$I$5</f>
        <v>482556.37899434217</v>
      </c>
      <c r="F64" s="1">
        <f>Tabela9[[#This Row],[Tensão(Pa)]]/1000000</f>
        <v>0.48255637899434217</v>
      </c>
    </row>
    <row r="65" spans="1:6" x14ac:dyDescent="0.3">
      <c r="A65" s="1">
        <v>6.1333000000000002</v>
      </c>
      <c r="B65" s="1">
        <v>0.50353999999999999</v>
      </c>
      <c r="C65" s="1">
        <f>Tabela9[[#This Row],[Alongamento(mm/mm)]]/$I$2</f>
        <v>1.00708E-2</v>
      </c>
      <c r="D65" s="1">
        <v>15.478999999999999</v>
      </c>
      <c r="E65" s="1">
        <f>Tabela9[[#This Row],[Forτa(N)]]/$I$5</f>
        <v>493393.89592796238</v>
      </c>
      <c r="F65" s="1">
        <f>Tabela9[[#This Row],[Tensão(Pa)]]/1000000</f>
        <v>0.4933938959279624</v>
      </c>
    </row>
    <row r="66" spans="1:6" x14ac:dyDescent="0.3">
      <c r="A66" s="1">
        <v>6.1833</v>
      </c>
      <c r="B66" s="1">
        <v>0.50763000000000003</v>
      </c>
      <c r="C66" s="1">
        <f>Tabela9[[#This Row],[Alongamento(mm/mm)]]/$I$2</f>
        <v>1.0152600000000001E-2</v>
      </c>
      <c r="D66" s="1">
        <v>15.819000000000001</v>
      </c>
      <c r="E66" s="1">
        <f>Tabela9[[#This Row],[Forτa(N)]]/$I$5</f>
        <v>504231.41286158265</v>
      </c>
      <c r="F66" s="1">
        <f>Tabela9[[#This Row],[Tensão(Pa)]]/1000000</f>
        <v>0.50423141286158268</v>
      </c>
    </row>
    <row r="67" spans="1:6" x14ac:dyDescent="0.3">
      <c r="A67" s="1">
        <v>6.2332999999999998</v>
      </c>
      <c r="B67" s="1">
        <v>0.51182000000000005</v>
      </c>
      <c r="C67" s="1">
        <f>Tabela9[[#This Row],[Alongamento(mm/mm)]]/$I$2</f>
        <v>1.0236400000000001E-2</v>
      </c>
      <c r="D67" s="1">
        <v>15.989000000000001</v>
      </c>
      <c r="E67" s="1">
        <f>Tabela9[[#This Row],[Forτa(N)]]/$I$5</f>
        <v>509650.17132839275</v>
      </c>
      <c r="F67" s="1">
        <f>Tabela9[[#This Row],[Tensão(Pa)]]/1000000</f>
        <v>0.50965017132839274</v>
      </c>
    </row>
    <row r="68" spans="1:6" x14ac:dyDescent="0.3">
      <c r="A68" s="1">
        <v>6.2832999999999997</v>
      </c>
      <c r="B68" s="1">
        <v>0.51590999999999998</v>
      </c>
      <c r="C68" s="1">
        <f>Tabela9[[#This Row],[Alongamento(mm/mm)]]/$I$2</f>
        <v>1.03182E-2</v>
      </c>
      <c r="D68" s="1">
        <v>16.329000000000001</v>
      </c>
      <c r="E68" s="1">
        <f>Tabela9[[#This Row],[Forτa(N)]]/$I$5</f>
        <v>520487.68826201296</v>
      </c>
      <c r="F68" s="1">
        <f>Tabela9[[#This Row],[Tensão(Pa)]]/1000000</f>
        <v>0.52048768826201297</v>
      </c>
    </row>
    <row r="69" spans="1:6" x14ac:dyDescent="0.3">
      <c r="A69" s="1">
        <v>6.3333000000000004</v>
      </c>
      <c r="B69" s="1">
        <v>0.52010000000000001</v>
      </c>
      <c r="C69" s="1">
        <f>Tabela9[[#This Row],[Alongamento(mm/mm)]]/$I$2</f>
        <v>1.0402E-2</v>
      </c>
      <c r="D69" s="1">
        <v>16.670000000000002</v>
      </c>
      <c r="E69" s="1">
        <f>Tabela9[[#This Row],[Forτa(N)]]/$I$5</f>
        <v>531357.08024543792</v>
      </c>
      <c r="F69" s="1">
        <f>Tabela9[[#This Row],[Tensão(Pa)]]/1000000</f>
        <v>0.53135708024543793</v>
      </c>
    </row>
    <row r="70" spans="1:6" x14ac:dyDescent="0.3">
      <c r="A70" s="1">
        <v>6.3833000000000002</v>
      </c>
      <c r="B70" s="1">
        <v>0.52429000000000003</v>
      </c>
      <c r="C70" s="1">
        <f>Tabela9[[#This Row],[Alongamento(mm/mm)]]/$I$2</f>
        <v>1.04858E-2</v>
      </c>
      <c r="D70" s="1">
        <v>17.010000000000002</v>
      </c>
      <c r="E70" s="1">
        <f>Tabela9[[#This Row],[Forτa(N)]]/$I$5</f>
        <v>542194.59717905812</v>
      </c>
      <c r="F70" s="1">
        <f>Tabela9[[#This Row],[Tensão(Pa)]]/1000000</f>
        <v>0.54219459717905816</v>
      </c>
    </row>
    <row r="71" spans="1:6" x14ac:dyDescent="0.3">
      <c r="A71" s="1">
        <v>6.4333</v>
      </c>
      <c r="B71" s="1">
        <v>0.52847999999999995</v>
      </c>
      <c r="C71" s="1">
        <f>Tabela9[[#This Row],[Alongamento(mm/mm)]]/$I$2</f>
        <v>1.0569599999999998E-2</v>
      </c>
      <c r="D71" s="1">
        <v>17.350000000000001</v>
      </c>
      <c r="E71" s="1">
        <f>Tabela9[[#This Row],[Forτa(N)]]/$I$5</f>
        <v>553032.11411267833</v>
      </c>
      <c r="F71" s="1">
        <f>Tabela9[[#This Row],[Tensão(Pa)]]/1000000</f>
        <v>0.55303211411267839</v>
      </c>
    </row>
    <row r="72" spans="1:6" x14ac:dyDescent="0.3">
      <c r="A72" s="1">
        <v>6.4832999999999998</v>
      </c>
      <c r="B72" s="1">
        <v>0.53266000000000002</v>
      </c>
      <c r="C72" s="1">
        <f>Tabela9[[#This Row],[Alongamento(mm/mm)]]/$I$2</f>
        <v>1.06532E-2</v>
      </c>
      <c r="D72" s="1">
        <v>17.690000000000001</v>
      </c>
      <c r="E72" s="1">
        <f>Tabela9[[#This Row],[Forτa(N)]]/$I$5</f>
        <v>563869.63104629854</v>
      </c>
      <c r="F72" s="1">
        <f>Tabela9[[#This Row],[Tensão(Pa)]]/1000000</f>
        <v>0.5638696310462985</v>
      </c>
    </row>
    <row r="73" spans="1:6" x14ac:dyDescent="0.3">
      <c r="A73" s="1">
        <v>6.5332999999999997</v>
      </c>
      <c r="B73" s="1">
        <v>0.53685000000000005</v>
      </c>
      <c r="C73" s="1">
        <f>Tabela9[[#This Row],[Alongamento(mm/mm)]]/$I$2</f>
        <v>1.0737000000000002E-2</v>
      </c>
      <c r="D73" s="1">
        <v>17.86</v>
      </c>
      <c r="E73" s="1">
        <f>Tabela9[[#This Row],[Forτa(N)]]/$I$5</f>
        <v>569288.38951310865</v>
      </c>
      <c r="F73" s="1">
        <f>Tabela9[[#This Row],[Tensão(Pa)]]/1000000</f>
        <v>0.56928838951310867</v>
      </c>
    </row>
    <row r="74" spans="1:6" x14ac:dyDescent="0.3">
      <c r="A74" s="1">
        <v>6.6</v>
      </c>
      <c r="B74" s="1">
        <v>0.54234000000000004</v>
      </c>
      <c r="C74" s="1">
        <f>Tabela9[[#This Row],[Alongamento(mm/mm)]]/$I$2</f>
        <v>1.08468E-2</v>
      </c>
      <c r="D74" s="1">
        <v>18.370999999999999</v>
      </c>
      <c r="E74" s="1">
        <f>Tabela9[[#This Row],[Forτa(N)]]/$I$5</f>
        <v>585576.53996334365</v>
      </c>
      <c r="F74" s="1">
        <f>Tabela9[[#This Row],[Tensão(Pa)]]/1000000</f>
        <v>0.58557653996334369</v>
      </c>
    </row>
    <row r="75" spans="1:6" x14ac:dyDescent="0.3">
      <c r="A75" s="1">
        <v>6.65</v>
      </c>
      <c r="B75" s="1">
        <v>0.54652999999999996</v>
      </c>
      <c r="C75" s="1">
        <f>Tabela9[[#This Row],[Alongamento(mm/mm)]]/$I$2</f>
        <v>1.0930599999999999E-2</v>
      </c>
      <c r="D75" s="1">
        <v>18.710999999999999</v>
      </c>
      <c r="E75" s="1">
        <f>Tabela9[[#This Row],[Forτa(N)]]/$I$5</f>
        <v>596414.05689696386</v>
      </c>
      <c r="F75" s="1">
        <f>Tabela9[[#This Row],[Tensão(Pa)]]/1000000</f>
        <v>0.59641405689696381</v>
      </c>
    </row>
    <row r="76" spans="1:6" x14ac:dyDescent="0.3">
      <c r="A76" s="1">
        <v>6.7</v>
      </c>
      <c r="B76" s="1">
        <v>0.55071999999999999</v>
      </c>
      <c r="C76" s="1">
        <f>Tabela9[[#This Row],[Alongamento(mm/mm)]]/$I$2</f>
        <v>1.1014400000000001E-2</v>
      </c>
      <c r="D76" s="1">
        <v>19.050999999999998</v>
      </c>
      <c r="E76" s="1">
        <f>Tabela9[[#This Row],[Forτa(N)]]/$I$5</f>
        <v>607251.57383058406</v>
      </c>
      <c r="F76" s="1">
        <f>Tabela9[[#This Row],[Tensão(Pa)]]/1000000</f>
        <v>0.60725157383058403</v>
      </c>
    </row>
    <row r="77" spans="1:6" x14ac:dyDescent="0.3">
      <c r="A77" s="1">
        <v>6.7667000000000002</v>
      </c>
      <c r="B77" s="1">
        <v>0.55620999999999998</v>
      </c>
      <c r="C77" s="1">
        <f>Tabela9[[#This Row],[Alongamento(mm/mm)]]/$I$2</f>
        <v>1.1124199999999999E-2</v>
      </c>
      <c r="D77" s="1">
        <v>19.390999999999998</v>
      </c>
      <c r="E77" s="1">
        <f>Tabela9[[#This Row],[Forτa(N)]]/$I$5</f>
        <v>618089.09076420427</v>
      </c>
      <c r="F77" s="1">
        <f>Tabela9[[#This Row],[Tensão(Pa)]]/1000000</f>
        <v>0.61808909076420426</v>
      </c>
    </row>
    <row r="78" spans="1:6" x14ac:dyDescent="0.3">
      <c r="A78" s="1">
        <v>6.8167</v>
      </c>
      <c r="B78" s="1">
        <v>0.56049000000000004</v>
      </c>
      <c r="C78" s="1">
        <f>Tabela9[[#This Row],[Alongamento(mm/mm)]]/$I$2</f>
        <v>1.1209800000000001E-2</v>
      </c>
      <c r="D78" s="1">
        <v>19.731000000000002</v>
      </c>
      <c r="E78" s="1">
        <f>Tabela9[[#This Row],[Forτa(N)]]/$I$5</f>
        <v>628926.6076978246</v>
      </c>
      <c r="F78" s="1">
        <f>Tabela9[[#This Row],[Tensão(Pa)]]/1000000</f>
        <v>0.6289266076978246</v>
      </c>
    </row>
    <row r="79" spans="1:6" x14ac:dyDescent="0.3">
      <c r="A79" s="1">
        <v>6.8833000000000002</v>
      </c>
      <c r="B79" s="1">
        <v>0.56598000000000004</v>
      </c>
      <c r="C79" s="1">
        <f>Tabela9[[#This Row],[Alongamento(mm/mm)]]/$I$2</f>
        <v>1.1319600000000001E-2</v>
      </c>
      <c r="D79" s="1">
        <v>20.242000000000001</v>
      </c>
      <c r="E79" s="1">
        <f>Tabela9[[#This Row],[Forτa(N)]]/$I$5</f>
        <v>645214.75814805971</v>
      </c>
      <c r="F79" s="1">
        <f>Tabela9[[#This Row],[Tensão(Pa)]]/1000000</f>
        <v>0.64521475814805973</v>
      </c>
    </row>
    <row r="80" spans="1:6" x14ac:dyDescent="0.3">
      <c r="A80" s="1">
        <v>6.95</v>
      </c>
      <c r="B80" s="1">
        <v>0.57147000000000003</v>
      </c>
      <c r="C80" s="1">
        <f>Tabela9[[#This Row],[Alongamento(mm/mm)]]/$I$2</f>
        <v>1.1429400000000001E-2</v>
      </c>
      <c r="D80" s="1">
        <v>20.582000000000001</v>
      </c>
      <c r="E80" s="1">
        <f>Tabela9[[#This Row],[Forτa(N)]]/$I$5</f>
        <v>656052.27508167992</v>
      </c>
      <c r="F80" s="1">
        <f>Tabela9[[#This Row],[Tensão(Pa)]]/1000000</f>
        <v>0.65605227508167996</v>
      </c>
    </row>
    <row r="81" spans="1:6" x14ac:dyDescent="0.3">
      <c r="A81" s="1">
        <v>7.0167000000000002</v>
      </c>
      <c r="B81" s="1">
        <v>0.57715000000000005</v>
      </c>
      <c r="C81" s="1">
        <f>Tabela9[[#This Row],[Alongamento(mm/mm)]]/$I$2</f>
        <v>1.1543000000000001E-2</v>
      </c>
      <c r="D81" s="1">
        <v>21.091999999999999</v>
      </c>
      <c r="E81" s="1">
        <f>Tabela9[[#This Row],[Forτa(N)]]/$I$5</f>
        <v>672308.55048211012</v>
      </c>
      <c r="F81" s="1">
        <f>Tabela9[[#This Row],[Tensão(Pa)]]/1000000</f>
        <v>0.67230855048211013</v>
      </c>
    </row>
    <row r="82" spans="1:6" x14ac:dyDescent="0.3">
      <c r="A82" s="1">
        <v>7.0833000000000004</v>
      </c>
      <c r="B82" s="1">
        <v>0.58264000000000005</v>
      </c>
      <c r="C82" s="1">
        <f>Tabela9[[#This Row],[Alongamento(mm/mm)]]/$I$2</f>
        <v>1.1652800000000001E-2</v>
      </c>
      <c r="D82" s="1">
        <v>21.431999999999999</v>
      </c>
      <c r="E82" s="1">
        <f>Tabela9[[#This Row],[Forτa(N)]]/$I$5</f>
        <v>683146.06741573033</v>
      </c>
      <c r="F82" s="1">
        <f>Tabela9[[#This Row],[Tensão(Pa)]]/1000000</f>
        <v>0.68314606741573036</v>
      </c>
    </row>
    <row r="83" spans="1:6" x14ac:dyDescent="0.3">
      <c r="A83" s="1">
        <v>7.15</v>
      </c>
      <c r="B83" s="1">
        <v>0.58821999999999997</v>
      </c>
      <c r="C83" s="1">
        <f>Tabela9[[#This Row],[Alongamento(mm/mm)]]/$I$2</f>
        <v>1.17644E-2</v>
      </c>
      <c r="D83" s="1">
        <v>21.943000000000001</v>
      </c>
      <c r="E83" s="1">
        <f>Tabela9[[#This Row],[Forτa(N)]]/$I$5</f>
        <v>699434.21786596545</v>
      </c>
      <c r="F83" s="1">
        <f>Tabela9[[#This Row],[Tensão(Pa)]]/1000000</f>
        <v>0.69943421786596549</v>
      </c>
    </row>
    <row r="84" spans="1:6" x14ac:dyDescent="0.3">
      <c r="A84" s="1">
        <v>7.2167000000000003</v>
      </c>
      <c r="B84" s="1">
        <v>0.59370999999999996</v>
      </c>
      <c r="C84" s="1">
        <f>Tabela9[[#This Row],[Alongamento(mm/mm)]]/$I$2</f>
        <v>1.18742E-2</v>
      </c>
      <c r="D84" s="1">
        <v>22.452999999999999</v>
      </c>
      <c r="E84" s="1">
        <f>Tabela9[[#This Row],[Forτa(N)]]/$I$5</f>
        <v>715690.49326639576</v>
      </c>
      <c r="F84" s="1">
        <f>Tabela9[[#This Row],[Tensão(Pa)]]/1000000</f>
        <v>0.71569049326639578</v>
      </c>
    </row>
    <row r="85" spans="1:6" x14ac:dyDescent="0.3">
      <c r="A85" s="1">
        <v>7.2832999999999997</v>
      </c>
      <c r="B85" s="1">
        <v>0.59928999999999999</v>
      </c>
      <c r="C85" s="1">
        <f>Tabela9[[#This Row],[Alongamento(mm/mm)]]/$I$2</f>
        <v>1.19858E-2</v>
      </c>
      <c r="D85" s="1">
        <v>22.963000000000001</v>
      </c>
      <c r="E85" s="1">
        <f>Tabela9[[#This Row],[Forτa(N)]]/$I$5</f>
        <v>731946.76866682607</v>
      </c>
      <c r="F85" s="1">
        <f>Tabela9[[#This Row],[Tensão(Pa)]]/1000000</f>
        <v>0.73194676866682606</v>
      </c>
    </row>
    <row r="86" spans="1:6" x14ac:dyDescent="0.3">
      <c r="A86" s="1">
        <v>7.35</v>
      </c>
      <c r="B86" s="1">
        <v>0.60487999999999997</v>
      </c>
      <c r="C86" s="1">
        <f>Tabela9[[#This Row],[Alongamento(mm/mm)]]/$I$2</f>
        <v>1.20976E-2</v>
      </c>
      <c r="D86" s="1">
        <v>23.474</v>
      </c>
      <c r="E86" s="1">
        <f>Tabela9[[#This Row],[Forτa(N)]]/$I$5</f>
        <v>748234.91911706119</v>
      </c>
      <c r="F86" s="1">
        <f>Tabela9[[#This Row],[Tensão(Pa)]]/1000000</f>
        <v>0.74823491911706119</v>
      </c>
    </row>
    <row r="87" spans="1:6" x14ac:dyDescent="0.3">
      <c r="A87" s="1">
        <v>7.4166999999999996</v>
      </c>
      <c r="B87" s="1">
        <v>0.61046</v>
      </c>
      <c r="C87" s="1">
        <f>Tabela9[[#This Row],[Alongamento(mm/mm)]]/$I$2</f>
        <v>1.22092E-2</v>
      </c>
      <c r="D87" s="1">
        <v>23.984000000000002</v>
      </c>
      <c r="E87" s="1">
        <f>Tabela9[[#This Row],[Forτa(N)]]/$I$5</f>
        <v>764491.1945174915</v>
      </c>
      <c r="F87" s="1">
        <f>Tabela9[[#This Row],[Tensão(Pa)]]/1000000</f>
        <v>0.76449119451749148</v>
      </c>
    </row>
    <row r="88" spans="1:6" x14ac:dyDescent="0.3">
      <c r="A88" s="1">
        <v>7.4832999999999998</v>
      </c>
      <c r="B88" s="1">
        <v>0.61604000000000003</v>
      </c>
      <c r="C88" s="1">
        <f>Tabela9[[#This Row],[Alongamento(mm/mm)]]/$I$2</f>
        <v>1.23208E-2</v>
      </c>
      <c r="D88" s="1">
        <v>24.494</v>
      </c>
      <c r="E88" s="1">
        <f>Tabela9[[#This Row],[Forτa(N)]]/$I$5</f>
        <v>780747.46991792182</v>
      </c>
      <c r="F88" s="1">
        <f>Tabela9[[#This Row],[Tensão(Pa)]]/1000000</f>
        <v>0.78074746991792177</v>
      </c>
    </row>
    <row r="89" spans="1:6" x14ac:dyDescent="0.3">
      <c r="A89" s="1">
        <v>7.55</v>
      </c>
      <c r="B89" s="1">
        <v>0.62153000000000003</v>
      </c>
      <c r="C89" s="1">
        <f>Tabela9[[#This Row],[Alongamento(mm/mm)]]/$I$2</f>
        <v>1.24306E-2</v>
      </c>
      <c r="D89" s="1">
        <v>25.004999999999999</v>
      </c>
      <c r="E89" s="1">
        <f>Tabela9[[#This Row],[Forτa(N)]]/$I$5</f>
        <v>797035.62036815681</v>
      </c>
      <c r="F89" s="1">
        <f>Tabela9[[#This Row],[Tensão(Pa)]]/1000000</f>
        <v>0.79703562036815678</v>
      </c>
    </row>
    <row r="90" spans="1:6" x14ac:dyDescent="0.3">
      <c r="A90" s="1">
        <v>7.6166999999999998</v>
      </c>
      <c r="B90" s="1">
        <v>0.62712000000000001</v>
      </c>
      <c r="C90" s="1">
        <f>Tabela9[[#This Row],[Alongamento(mm/mm)]]/$I$2</f>
        <v>1.25424E-2</v>
      </c>
      <c r="D90" s="1">
        <v>25.515000000000001</v>
      </c>
      <c r="E90" s="1">
        <f>Tabela9[[#This Row],[Forτa(N)]]/$I$5</f>
        <v>813291.89576858724</v>
      </c>
      <c r="F90" s="1">
        <f>Tabela9[[#This Row],[Tensão(Pa)]]/1000000</f>
        <v>0.81329189576858729</v>
      </c>
    </row>
    <row r="91" spans="1:6" x14ac:dyDescent="0.3">
      <c r="A91" s="1">
        <v>7.6833</v>
      </c>
      <c r="B91" s="1">
        <v>0.63270000000000004</v>
      </c>
      <c r="C91" s="1">
        <f>Tabela9[[#This Row],[Alongamento(mm/mm)]]/$I$2</f>
        <v>1.2654E-2</v>
      </c>
      <c r="D91" s="1">
        <v>26.195</v>
      </c>
      <c r="E91" s="1">
        <f>Tabela9[[#This Row],[Forτa(N)]]/$I$5</f>
        <v>834966.92963582766</v>
      </c>
      <c r="F91" s="1">
        <f>Tabela9[[#This Row],[Tensão(Pa)]]/1000000</f>
        <v>0.83496692963582764</v>
      </c>
    </row>
    <row r="92" spans="1:6" x14ac:dyDescent="0.3">
      <c r="A92" s="1">
        <v>7.75</v>
      </c>
      <c r="B92" s="1">
        <v>0.63827999999999996</v>
      </c>
      <c r="C92" s="1">
        <f>Tabela9[[#This Row],[Alongamento(mm/mm)]]/$I$2</f>
        <v>1.2765599999999998E-2</v>
      </c>
      <c r="D92" s="1">
        <v>26.706</v>
      </c>
      <c r="E92" s="1">
        <f>Tabela9[[#This Row],[Forτa(N)]]/$I$5</f>
        <v>851255.08008606266</v>
      </c>
      <c r="F92" s="1">
        <f>Tabela9[[#This Row],[Tensão(Pa)]]/1000000</f>
        <v>0.85125508008606265</v>
      </c>
    </row>
    <row r="93" spans="1:6" x14ac:dyDescent="0.3">
      <c r="A93" s="1">
        <v>7.8167</v>
      </c>
      <c r="B93" s="1">
        <v>0.64378000000000002</v>
      </c>
      <c r="C93" s="1">
        <f>Tabela9[[#This Row],[Alongamento(mm/mm)]]/$I$2</f>
        <v>1.2875600000000001E-2</v>
      </c>
      <c r="D93" s="1">
        <v>27.045999999999999</v>
      </c>
      <c r="E93" s="1">
        <f>Tabela9[[#This Row],[Forτa(N)]]/$I$5</f>
        <v>862092.59701968287</v>
      </c>
      <c r="F93" s="1">
        <f>Tabela9[[#This Row],[Tensão(Pa)]]/1000000</f>
        <v>0.86209259701968288</v>
      </c>
    </row>
    <row r="94" spans="1:6" x14ac:dyDescent="0.3">
      <c r="A94" s="1">
        <v>7.8833000000000002</v>
      </c>
      <c r="B94" s="1">
        <v>0.64927000000000001</v>
      </c>
      <c r="C94" s="1">
        <f>Tabela9[[#This Row],[Alongamento(mm/mm)]]/$I$2</f>
        <v>1.2985400000000001E-2</v>
      </c>
      <c r="D94" s="1">
        <v>27.556000000000001</v>
      </c>
      <c r="E94" s="1">
        <f>Tabela9[[#This Row],[Forτa(N)]]/$I$5</f>
        <v>878348.87242011318</v>
      </c>
      <c r="F94" s="1">
        <f>Tabela9[[#This Row],[Tensão(Pa)]]/1000000</f>
        <v>0.87834887242011317</v>
      </c>
    </row>
    <row r="95" spans="1:6" x14ac:dyDescent="0.3">
      <c r="A95" s="1">
        <v>7.95</v>
      </c>
      <c r="B95" s="1">
        <v>0.65485000000000004</v>
      </c>
      <c r="C95" s="1">
        <f>Tabela9[[#This Row],[Alongamento(mm/mm)]]/$I$2</f>
        <v>1.3097000000000001E-2</v>
      </c>
      <c r="D95" s="1">
        <v>28.065999999999999</v>
      </c>
      <c r="E95" s="1">
        <f>Tabela9[[#This Row],[Forτa(N)]]/$I$5</f>
        <v>894605.1478205435</v>
      </c>
      <c r="F95" s="1">
        <f>Tabela9[[#This Row],[Tensão(Pa)]]/1000000</f>
        <v>0.89460514782054346</v>
      </c>
    </row>
    <row r="96" spans="1:6" x14ac:dyDescent="0.3">
      <c r="A96" s="1">
        <v>8.0167000000000002</v>
      </c>
      <c r="B96" s="1">
        <v>0.66042999999999996</v>
      </c>
      <c r="C96" s="1">
        <f>Tabela9[[#This Row],[Alongamento(mm/mm)]]/$I$2</f>
        <v>1.3208599999999999E-2</v>
      </c>
      <c r="D96" s="1">
        <v>28.577000000000002</v>
      </c>
      <c r="E96" s="1">
        <f>Tabela9[[#This Row],[Forτa(N)]]/$I$5</f>
        <v>910893.29827077861</v>
      </c>
      <c r="F96" s="1">
        <f>Tabela9[[#This Row],[Tensão(Pa)]]/1000000</f>
        <v>0.91089329827077858</v>
      </c>
    </row>
    <row r="97" spans="1:6" x14ac:dyDescent="0.3">
      <c r="A97" s="1">
        <v>8.0832999999999995</v>
      </c>
      <c r="B97" s="1">
        <v>0.66591999999999996</v>
      </c>
      <c r="C97" s="1">
        <f>Tabela9[[#This Row],[Alongamento(mm/mm)]]/$I$2</f>
        <v>1.3318399999999999E-2</v>
      </c>
      <c r="D97" s="1">
        <v>29.087</v>
      </c>
      <c r="E97" s="1">
        <f>Tabela9[[#This Row],[Forτa(N)]]/$I$5</f>
        <v>927149.57367120893</v>
      </c>
      <c r="F97" s="1">
        <f>Tabela9[[#This Row],[Tensão(Pa)]]/1000000</f>
        <v>0.92714957367120898</v>
      </c>
    </row>
    <row r="98" spans="1:6" x14ac:dyDescent="0.3">
      <c r="A98" s="1">
        <v>8.15</v>
      </c>
      <c r="B98" s="1">
        <v>0.67151000000000005</v>
      </c>
      <c r="C98" s="1">
        <f>Tabela9[[#This Row],[Alongamento(mm/mm)]]/$I$2</f>
        <v>1.3430200000000002E-2</v>
      </c>
      <c r="D98" s="1">
        <v>29.597000000000001</v>
      </c>
      <c r="E98" s="1">
        <f>Tabela9[[#This Row],[Forτa(N)]]/$I$5</f>
        <v>943405.84907163924</v>
      </c>
      <c r="F98" s="1">
        <f>Tabela9[[#This Row],[Tensão(Pa)]]/1000000</f>
        <v>0.94340584907163927</v>
      </c>
    </row>
    <row r="99" spans="1:6" x14ac:dyDescent="0.3">
      <c r="A99" s="1">
        <v>8.2166999999999994</v>
      </c>
      <c r="B99" s="1">
        <v>0.67708999999999997</v>
      </c>
      <c r="C99" s="1">
        <f>Tabela9[[#This Row],[Alongamento(mm/mm)]]/$I$2</f>
        <v>1.35418E-2</v>
      </c>
      <c r="D99" s="1">
        <v>29.937000000000001</v>
      </c>
      <c r="E99" s="1">
        <f>Tabela9[[#This Row],[Forτa(N)]]/$I$5</f>
        <v>954243.36600525945</v>
      </c>
      <c r="F99" s="1">
        <f>Tabela9[[#This Row],[Tensão(Pa)]]/1000000</f>
        <v>0.9542433660052595</v>
      </c>
    </row>
    <row r="100" spans="1:6" x14ac:dyDescent="0.3">
      <c r="A100" s="1">
        <v>8.2833000000000006</v>
      </c>
      <c r="B100" s="1">
        <v>0.68267</v>
      </c>
      <c r="C100" s="1">
        <f>Tabela9[[#This Row],[Alongamento(mm/mm)]]/$I$2</f>
        <v>1.36534E-2</v>
      </c>
      <c r="D100" s="1">
        <v>30.448</v>
      </c>
      <c r="E100" s="1">
        <f>Tabela9[[#This Row],[Forτa(N)]]/$I$5</f>
        <v>970531.51645549457</v>
      </c>
      <c r="F100" s="1">
        <f>Tabela9[[#This Row],[Tensão(Pa)]]/1000000</f>
        <v>0.97053151645549451</v>
      </c>
    </row>
    <row r="101" spans="1:6" x14ac:dyDescent="0.3">
      <c r="A101" s="1">
        <v>8.35</v>
      </c>
      <c r="B101" s="1">
        <v>0.68825999999999998</v>
      </c>
      <c r="C101" s="1">
        <f>Tabela9[[#This Row],[Alongamento(mm/mm)]]/$I$2</f>
        <v>1.37652E-2</v>
      </c>
      <c r="D101" s="1">
        <v>30.957999999999998</v>
      </c>
      <c r="E101" s="1">
        <f>Tabela9[[#This Row],[Forτa(N)]]/$I$5</f>
        <v>986787.79185592476</v>
      </c>
      <c r="F101" s="1">
        <f>Tabela9[[#This Row],[Tensão(Pa)]]/1000000</f>
        <v>0.9867877918559248</v>
      </c>
    </row>
    <row r="102" spans="1:6" x14ac:dyDescent="0.3">
      <c r="A102" s="1">
        <v>8.4167000000000005</v>
      </c>
      <c r="B102" s="1">
        <v>0.69384000000000001</v>
      </c>
      <c r="C102" s="1">
        <f>Tabela9[[#This Row],[Alongamento(mm/mm)]]/$I$2</f>
        <v>1.38768E-2</v>
      </c>
      <c r="D102" s="1">
        <v>31.638000000000002</v>
      </c>
      <c r="E102" s="1">
        <f>Tabela9[[#This Row],[Forτa(N)]]/$I$5</f>
        <v>1008462.8257231653</v>
      </c>
      <c r="F102" s="1">
        <f>Tabela9[[#This Row],[Tensão(Pa)]]/1000000</f>
        <v>1.0084628257231654</v>
      </c>
    </row>
    <row r="103" spans="1:6" x14ac:dyDescent="0.3">
      <c r="A103" s="1">
        <v>8.4832999999999998</v>
      </c>
      <c r="B103" s="1">
        <v>0.69933000000000001</v>
      </c>
      <c r="C103" s="1">
        <f>Tabela9[[#This Row],[Alongamento(mm/mm)]]/$I$2</f>
        <v>1.39866E-2</v>
      </c>
      <c r="D103" s="1">
        <v>32.149000000000001</v>
      </c>
      <c r="E103" s="1">
        <f>Tabela9[[#This Row],[Forτa(N)]]/$I$5</f>
        <v>1024750.9761734004</v>
      </c>
      <c r="F103" s="1">
        <f>Tabela9[[#This Row],[Tensão(Pa)]]/1000000</f>
        <v>1.0247509761734004</v>
      </c>
    </row>
    <row r="104" spans="1:6" x14ac:dyDescent="0.3">
      <c r="A104" s="1">
        <v>8.5500000000000007</v>
      </c>
      <c r="B104" s="1">
        <v>0.70491000000000004</v>
      </c>
      <c r="C104" s="1">
        <f>Tabela9[[#This Row],[Alongamento(mm/mm)]]/$I$2</f>
        <v>1.40982E-2</v>
      </c>
      <c r="D104" s="1">
        <v>32.658999999999999</v>
      </c>
      <c r="E104" s="1">
        <f>Tabela9[[#This Row],[Forτa(N)]]/$I$5</f>
        <v>1041007.2515738306</v>
      </c>
      <c r="F104" s="1">
        <f>Tabela9[[#This Row],[Tensão(Pa)]]/1000000</f>
        <v>1.0410072515738307</v>
      </c>
    </row>
    <row r="105" spans="1:6" x14ac:dyDescent="0.3">
      <c r="A105" s="1">
        <v>8.6166999999999998</v>
      </c>
      <c r="B105" s="1">
        <v>0.71040000000000003</v>
      </c>
      <c r="C105" s="1">
        <f>Tabela9[[#This Row],[Alongamento(mm/mm)]]/$I$2</f>
        <v>1.4208E-2</v>
      </c>
      <c r="D105" s="1">
        <v>33.168999999999997</v>
      </c>
      <c r="E105" s="1">
        <f>Tabela9[[#This Row],[Forτa(N)]]/$I$5</f>
        <v>1057263.5269742608</v>
      </c>
      <c r="F105" s="1">
        <f>Tabela9[[#This Row],[Tensão(Pa)]]/1000000</f>
        <v>1.0572635269742607</v>
      </c>
    </row>
    <row r="106" spans="1:6" x14ac:dyDescent="0.3">
      <c r="A106" s="1">
        <v>8.6832999999999991</v>
      </c>
      <c r="B106" s="1">
        <v>0.71599000000000002</v>
      </c>
      <c r="C106" s="1">
        <f>Tabela9[[#This Row],[Alongamento(mm/mm)]]/$I$2</f>
        <v>1.4319800000000001E-2</v>
      </c>
      <c r="D106" s="1">
        <v>33.85</v>
      </c>
      <c r="E106" s="1">
        <f>Tabela9[[#This Row],[Forτa(N)]]/$I$5</f>
        <v>1078970.4358913063</v>
      </c>
      <c r="F106" s="1">
        <f>Tabela9[[#This Row],[Tensão(Pa)]]/1000000</f>
        <v>1.0789704358913064</v>
      </c>
    </row>
    <row r="107" spans="1:6" x14ac:dyDescent="0.3">
      <c r="A107" s="1">
        <v>8.75</v>
      </c>
      <c r="B107" s="1">
        <v>0.72157000000000004</v>
      </c>
      <c r="C107" s="1">
        <f>Tabela9[[#This Row],[Alongamento(mm/mm)]]/$I$2</f>
        <v>1.44314E-2</v>
      </c>
      <c r="D107" s="1">
        <v>34.36</v>
      </c>
      <c r="E107" s="1">
        <f>Tabela9[[#This Row],[Forτa(N)]]/$I$5</f>
        <v>1095226.7112917365</v>
      </c>
      <c r="F107" s="1">
        <f>Tabela9[[#This Row],[Tensão(Pa)]]/1000000</f>
        <v>1.0952267112917364</v>
      </c>
    </row>
    <row r="108" spans="1:6" x14ac:dyDescent="0.3">
      <c r="A108" s="1">
        <v>8.8332999999999995</v>
      </c>
      <c r="B108" s="1">
        <v>0.72846</v>
      </c>
      <c r="C108" s="1">
        <f>Tabela9[[#This Row],[Alongamento(mm/mm)]]/$I$2</f>
        <v>1.4569199999999999E-2</v>
      </c>
      <c r="D108" s="1">
        <v>35.04</v>
      </c>
      <c r="E108" s="1">
        <f>Tabela9[[#This Row],[Forτa(N)]]/$I$5</f>
        <v>1116901.7451589769</v>
      </c>
      <c r="F108" s="1">
        <f>Tabela9[[#This Row],[Tensão(Pa)]]/1000000</f>
        <v>1.1169017451589769</v>
      </c>
    </row>
    <row r="109" spans="1:6" x14ac:dyDescent="0.3">
      <c r="A109" s="1">
        <v>8.9</v>
      </c>
      <c r="B109" s="1">
        <v>0.73404000000000003</v>
      </c>
      <c r="C109" s="1">
        <f>Tabela9[[#This Row],[Alongamento(mm/mm)]]/$I$2</f>
        <v>1.4680800000000001E-2</v>
      </c>
      <c r="D109" s="1">
        <v>35.720999999999997</v>
      </c>
      <c r="E109" s="1">
        <f>Tabela9[[#This Row],[Forτa(N)]]/$I$5</f>
        <v>1138608.6540760219</v>
      </c>
      <c r="F109" s="1">
        <f>Tabela9[[#This Row],[Tensão(Pa)]]/1000000</f>
        <v>1.1386086540760219</v>
      </c>
    </row>
    <row r="110" spans="1:6" x14ac:dyDescent="0.3">
      <c r="A110" s="1">
        <v>8.9832999999999998</v>
      </c>
      <c r="B110" s="1">
        <v>0.74102000000000001</v>
      </c>
      <c r="C110" s="1">
        <f>Tabela9[[#This Row],[Alongamento(mm/mm)]]/$I$2</f>
        <v>1.4820400000000001E-2</v>
      </c>
      <c r="D110" s="1">
        <v>36.401000000000003</v>
      </c>
      <c r="E110" s="1">
        <f>Tabela9[[#This Row],[Forτa(N)]]/$I$5</f>
        <v>1160283.6879432625</v>
      </c>
      <c r="F110" s="1">
        <f>Tabela9[[#This Row],[Tensão(Pa)]]/1000000</f>
        <v>1.1602836879432625</v>
      </c>
    </row>
    <row r="111" spans="1:6" x14ac:dyDescent="0.3">
      <c r="A111" s="1">
        <v>9.0667000000000009</v>
      </c>
      <c r="B111" s="1">
        <v>0.74790999999999996</v>
      </c>
      <c r="C111" s="1">
        <f>Tabela9[[#This Row],[Alongamento(mm/mm)]]/$I$2</f>
        <v>1.49582E-2</v>
      </c>
      <c r="D111" s="1">
        <v>37.082000000000001</v>
      </c>
      <c r="E111" s="1">
        <f>Tabela9[[#This Row],[Forτa(N)]]/$I$5</f>
        <v>1181990.5968603077</v>
      </c>
      <c r="F111" s="1">
        <f>Tabela9[[#This Row],[Tensão(Pa)]]/1000000</f>
        <v>1.1819905968603077</v>
      </c>
    </row>
    <row r="112" spans="1:6" x14ac:dyDescent="0.3">
      <c r="A112" s="1">
        <v>9.15</v>
      </c>
      <c r="B112" s="1">
        <v>0.75488999999999995</v>
      </c>
      <c r="C112" s="1">
        <f>Tabela9[[#This Row],[Alongamento(mm/mm)]]/$I$2</f>
        <v>1.50978E-2</v>
      </c>
      <c r="D112" s="1">
        <v>37.762</v>
      </c>
      <c r="E112" s="1">
        <f>Tabela9[[#This Row],[Forτa(N)]]/$I$5</f>
        <v>1203665.6307275482</v>
      </c>
      <c r="F112" s="1">
        <f>Tabela9[[#This Row],[Tensão(Pa)]]/1000000</f>
        <v>1.2036656307275482</v>
      </c>
    </row>
    <row r="113" spans="1:6" x14ac:dyDescent="0.3">
      <c r="A113" s="1">
        <v>9.2166999999999994</v>
      </c>
      <c r="B113" s="1">
        <v>0.76046999999999998</v>
      </c>
      <c r="C113" s="1">
        <f>Tabela9[[#This Row],[Alongamento(mm/mm)]]/$I$2</f>
        <v>1.52094E-2</v>
      </c>
      <c r="D113" s="1">
        <v>38.442</v>
      </c>
      <c r="E113" s="1">
        <f>Tabela9[[#This Row],[Forτa(N)]]/$I$5</f>
        <v>1225340.6645947886</v>
      </c>
      <c r="F113" s="1">
        <f>Tabela9[[#This Row],[Tensão(Pa)]]/1000000</f>
        <v>1.2253406645947886</v>
      </c>
    </row>
    <row r="114" spans="1:6" x14ac:dyDescent="0.3">
      <c r="A114" s="1">
        <v>9.3000000000000007</v>
      </c>
      <c r="B114" s="1">
        <v>0.76744999999999997</v>
      </c>
      <c r="C114" s="1">
        <f>Tabela9[[#This Row],[Alongamento(mm/mm)]]/$I$2</f>
        <v>1.5349E-2</v>
      </c>
      <c r="D114" s="1">
        <v>39.122999999999998</v>
      </c>
      <c r="E114" s="1">
        <f>Tabela9[[#This Row],[Forτa(N)]]/$I$5</f>
        <v>1247047.5735118336</v>
      </c>
      <c r="F114" s="1">
        <f>Tabela9[[#This Row],[Tensão(Pa)]]/1000000</f>
        <v>1.2470475735118336</v>
      </c>
    </row>
    <row r="115" spans="1:6" x14ac:dyDescent="0.3">
      <c r="A115" s="1">
        <v>9.3833000000000002</v>
      </c>
      <c r="B115" s="1">
        <v>0.77424000000000004</v>
      </c>
      <c r="C115" s="1">
        <f>Tabela9[[#This Row],[Alongamento(mm/mm)]]/$I$2</f>
        <v>1.54848E-2</v>
      </c>
      <c r="D115" s="1">
        <v>39.802999999999997</v>
      </c>
      <c r="E115" s="1">
        <f>Tabela9[[#This Row],[Forτa(N)]]/$I$5</f>
        <v>1268722.607379074</v>
      </c>
      <c r="F115" s="1">
        <f>Tabela9[[#This Row],[Tensão(Pa)]]/1000000</f>
        <v>1.2687226073790741</v>
      </c>
    </row>
    <row r="116" spans="1:6" x14ac:dyDescent="0.3">
      <c r="A116" s="1">
        <v>9.4666999999999994</v>
      </c>
      <c r="B116" s="1">
        <v>0.78122000000000003</v>
      </c>
      <c r="C116" s="1">
        <f>Tabela9[[#This Row],[Alongamento(mm/mm)]]/$I$2</f>
        <v>1.56244E-2</v>
      </c>
      <c r="D116" s="1">
        <v>40.484000000000002</v>
      </c>
      <c r="E116" s="1">
        <f>Tabela9[[#This Row],[Forτa(N)]]/$I$5</f>
        <v>1290429.5162961194</v>
      </c>
      <c r="F116" s="1">
        <f>Tabela9[[#This Row],[Tensão(Pa)]]/1000000</f>
        <v>1.2904295162961195</v>
      </c>
    </row>
    <row r="117" spans="1:6" x14ac:dyDescent="0.3">
      <c r="A117" s="1">
        <v>9.5500000000000007</v>
      </c>
      <c r="B117" s="1">
        <v>0.78820000000000001</v>
      </c>
      <c r="C117" s="1">
        <f>Tabela9[[#This Row],[Alongamento(mm/mm)]]/$I$2</f>
        <v>1.5764E-2</v>
      </c>
      <c r="D117" s="1">
        <v>40.994</v>
      </c>
      <c r="E117" s="1">
        <f>Tabela9[[#This Row],[Forτa(N)]]/$I$5</f>
        <v>1306685.7916965496</v>
      </c>
      <c r="F117" s="1">
        <f>Tabela9[[#This Row],[Tensão(Pa)]]/1000000</f>
        <v>1.3066857916965495</v>
      </c>
    </row>
    <row r="118" spans="1:6" x14ac:dyDescent="0.3">
      <c r="A118" s="1">
        <v>9.6166999999999998</v>
      </c>
      <c r="B118" s="1">
        <v>0.79378000000000004</v>
      </c>
      <c r="C118" s="1">
        <f>Tabela9[[#This Row],[Alongamento(mm/mm)]]/$I$2</f>
        <v>1.58756E-2</v>
      </c>
      <c r="D118" s="1">
        <v>41.673999999999999</v>
      </c>
      <c r="E118" s="1">
        <f>Tabela9[[#This Row],[Forτa(N)]]/$I$5</f>
        <v>1328360.82556379</v>
      </c>
      <c r="F118" s="1">
        <f>Tabela9[[#This Row],[Tensão(Pa)]]/1000000</f>
        <v>1.32836082556379</v>
      </c>
    </row>
    <row r="119" spans="1:6" x14ac:dyDescent="0.3">
      <c r="A119" s="1">
        <v>9.6999999999999993</v>
      </c>
      <c r="B119" s="1">
        <v>0.80066999999999999</v>
      </c>
      <c r="C119" s="1">
        <f>Tabela9[[#This Row],[Alongamento(mm/mm)]]/$I$2</f>
        <v>1.6013400000000001E-2</v>
      </c>
      <c r="D119" s="1">
        <v>42.354999999999997</v>
      </c>
      <c r="E119" s="1">
        <f>Tabela9[[#This Row],[Forτa(N)]]/$I$5</f>
        <v>1350067.734480835</v>
      </c>
      <c r="F119" s="1">
        <f>Tabela9[[#This Row],[Tensão(Pa)]]/1000000</f>
        <v>1.3500677344808349</v>
      </c>
    </row>
    <row r="120" spans="1:6" x14ac:dyDescent="0.3">
      <c r="A120" s="1">
        <v>9.7833000000000006</v>
      </c>
      <c r="B120" s="1">
        <v>0.80764999999999998</v>
      </c>
      <c r="C120" s="1">
        <f>Tabela9[[#This Row],[Alongamento(mm/mm)]]/$I$2</f>
        <v>1.6153000000000001E-2</v>
      </c>
      <c r="D120" s="1">
        <v>43.034999999999997</v>
      </c>
      <c r="E120" s="1">
        <f>Tabela9[[#This Row],[Forτa(N)]]/$I$5</f>
        <v>1371742.7683480754</v>
      </c>
      <c r="F120" s="1">
        <f>Tabela9[[#This Row],[Tensão(Pa)]]/1000000</f>
        <v>1.3717427683480754</v>
      </c>
    </row>
    <row r="121" spans="1:6" x14ac:dyDescent="0.3">
      <c r="A121" s="1">
        <v>9.85</v>
      </c>
      <c r="B121" s="1">
        <v>0.81323000000000001</v>
      </c>
      <c r="C121" s="1">
        <f>Tabela9[[#This Row],[Alongamento(mm/mm)]]/$I$2</f>
        <v>1.6264600000000001E-2</v>
      </c>
      <c r="D121" s="1">
        <v>43.715000000000003</v>
      </c>
      <c r="E121" s="1">
        <f>Tabela9[[#This Row],[Forτa(N)]]/$I$5</f>
        <v>1393417.8022153161</v>
      </c>
      <c r="F121" s="1">
        <f>Tabela9[[#This Row],[Tensão(Pa)]]/1000000</f>
        <v>1.3934178022153161</v>
      </c>
    </row>
    <row r="122" spans="1:6" x14ac:dyDescent="0.3">
      <c r="A122" s="1">
        <v>9.9167000000000005</v>
      </c>
      <c r="B122" s="1">
        <v>0.81881999999999999</v>
      </c>
      <c r="C122" s="1">
        <f>Tabela9[[#This Row],[Alongamento(mm/mm)]]/$I$2</f>
        <v>1.6376399999999999E-2</v>
      </c>
      <c r="D122" s="1">
        <v>44.396000000000001</v>
      </c>
      <c r="E122" s="1">
        <f>Tabela9[[#This Row],[Forτa(N)]]/$I$5</f>
        <v>1415124.7111323613</v>
      </c>
      <c r="F122" s="1">
        <f>Tabela9[[#This Row],[Tensão(Pa)]]/1000000</f>
        <v>1.4151247111323613</v>
      </c>
    </row>
    <row r="123" spans="1:6" x14ac:dyDescent="0.3">
      <c r="A123" s="1">
        <v>10</v>
      </c>
      <c r="B123" s="1">
        <v>0.82569999999999999</v>
      </c>
      <c r="C123" s="1">
        <f>Tabela9[[#This Row],[Alongamento(mm/mm)]]/$I$2</f>
        <v>1.6514000000000001E-2</v>
      </c>
      <c r="D123" s="1">
        <v>45.076000000000001</v>
      </c>
      <c r="E123" s="1">
        <f>Tabela9[[#This Row],[Forτa(N)]]/$I$5</f>
        <v>1436799.7449996017</v>
      </c>
      <c r="F123" s="1">
        <f>Tabela9[[#This Row],[Tensão(Pa)]]/1000000</f>
        <v>1.4367997449996017</v>
      </c>
    </row>
    <row r="124" spans="1:6" x14ac:dyDescent="0.3">
      <c r="A124" s="1">
        <v>10.067</v>
      </c>
      <c r="B124" s="1">
        <v>0.83128999999999997</v>
      </c>
      <c r="C124" s="1">
        <f>Tabela9[[#This Row],[Alongamento(mm/mm)]]/$I$2</f>
        <v>1.66258E-2</v>
      </c>
      <c r="D124" s="1">
        <v>45.756999999999998</v>
      </c>
      <c r="E124" s="1">
        <f>Tabela9[[#This Row],[Forτa(N)]]/$I$5</f>
        <v>1458506.6539166467</v>
      </c>
      <c r="F124" s="1">
        <f>Tabela9[[#This Row],[Tensão(Pa)]]/1000000</f>
        <v>1.4585066539166467</v>
      </c>
    </row>
    <row r="125" spans="1:6" x14ac:dyDescent="0.3">
      <c r="A125" s="1">
        <v>10.132999999999999</v>
      </c>
      <c r="B125" s="1">
        <v>0.83677999999999997</v>
      </c>
      <c r="C125" s="1">
        <f>Tabela9[[#This Row],[Alongamento(mm/mm)]]/$I$2</f>
        <v>1.67356E-2</v>
      </c>
      <c r="D125" s="1">
        <v>46.436999999999998</v>
      </c>
      <c r="E125" s="1">
        <f>Tabela9[[#This Row],[Forτa(N)]]/$I$5</f>
        <v>1480181.6877838871</v>
      </c>
      <c r="F125" s="1">
        <f>Tabela9[[#This Row],[Tensão(Pa)]]/1000000</f>
        <v>1.4801816877838871</v>
      </c>
    </row>
    <row r="126" spans="1:6" x14ac:dyDescent="0.3">
      <c r="A126" s="1">
        <v>10.199999999999999</v>
      </c>
      <c r="B126" s="1">
        <v>0.84236</v>
      </c>
      <c r="C126" s="1">
        <f>Tabela9[[#This Row],[Alongamento(mm/mm)]]/$I$2</f>
        <v>1.68472E-2</v>
      </c>
      <c r="D126" s="1">
        <v>47.116999999999997</v>
      </c>
      <c r="E126" s="1">
        <f>Tabela9[[#This Row],[Forτa(N)]]/$I$5</f>
        <v>1501856.7216511276</v>
      </c>
      <c r="F126" s="1">
        <f>Tabela9[[#This Row],[Tensão(Pa)]]/1000000</f>
        <v>1.5018567216511276</v>
      </c>
    </row>
    <row r="127" spans="1:6" x14ac:dyDescent="0.3">
      <c r="A127" s="1">
        <v>10.266999999999999</v>
      </c>
      <c r="B127" s="1">
        <v>0.84794000000000003</v>
      </c>
      <c r="C127" s="1">
        <f>Tabela9[[#This Row],[Alongamento(mm/mm)]]/$I$2</f>
        <v>1.69588E-2</v>
      </c>
      <c r="D127" s="1">
        <v>47.798000000000002</v>
      </c>
      <c r="E127" s="1">
        <f>Tabela9[[#This Row],[Forτa(N)]]/$I$5</f>
        <v>1523563.630568173</v>
      </c>
      <c r="F127" s="1">
        <f>Tabela9[[#This Row],[Tensão(Pa)]]/1000000</f>
        <v>1.523563630568173</v>
      </c>
    </row>
    <row r="128" spans="1:6" x14ac:dyDescent="0.3">
      <c r="A128" s="1">
        <v>10.333</v>
      </c>
      <c r="B128" s="1">
        <v>0.85353000000000001</v>
      </c>
      <c r="C128" s="1">
        <f>Tabela9[[#This Row],[Alongamento(mm/mm)]]/$I$2</f>
        <v>1.7070600000000002E-2</v>
      </c>
      <c r="D128" s="1">
        <v>48.478000000000002</v>
      </c>
      <c r="E128" s="1">
        <f>Tabela9[[#This Row],[Forτa(N)]]/$I$5</f>
        <v>1545238.6644354134</v>
      </c>
      <c r="F128" s="1">
        <f>Tabela9[[#This Row],[Tensão(Pa)]]/1000000</f>
        <v>1.5452386644354135</v>
      </c>
    </row>
    <row r="129" spans="1:6" x14ac:dyDescent="0.3">
      <c r="A129" s="1">
        <v>10.4</v>
      </c>
      <c r="B129" s="1">
        <v>0.85911000000000004</v>
      </c>
      <c r="C129" s="1">
        <f>Tabela9[[#This Row],[Alongamento(mm/mm)]]/$I$2</f>
        <v>1.7182200000000002E-2</v>
      </c>
      <c r="D129" s="1">
        <v>49.158999999999999</v>
      </c>
      <c r="E129" s="1">
        <f>Tabela9[[#This Row],[Forτa(N)]]/$I$5</f>
        <v>1566945.5733524584</v>
      </c>
      <c r="F129" s="1">
        <f>Tabela9[[#This Row],[Tensão(Pa)]]/1000000</f>
        <v>1.5669455733524584</v>
      </c>
    </row>
    <row r="130" spans="1:6" x14ac:dyDescent="0.3">
      <c r="A130" s="1">
        <v>10.483000000000001</v>
      </c>
      <c r="B130" s="1">
        <v>0.86599999999999999</v>
      </c>
      <c r="C130" s="1">
        <f>Tabela9[[#This Row],[Alongamento(mm/mm)]]/$I$2</f>
        <v>1.7319999999999999E-2</v>
      </c>
      <c r="D130" s="1">
        <v>49.838999999999999</v>
      </c>
      <c r="E130" s="1">
        <f>Tabela9[[#This Row],[Forτa(N)]]/$I$5</f>
        <v>1588620.6072196988</v>
      </c>
      <c r="F130" s="1">
        <f>Tabela9[[#This Row],[Tensão(Pa)]]/1000000</f>
        <v>1.5886206072196989</v>
      </c>
    </row>
    <row r="131" spans="1:6" x14ac:dyDescent="0.3">
      <c r="A131" s="1">
        <v>10.55</v>
      </c>
      <c r="B131" s="1">
        <v>0.87158000000000002</v>
      </c>
      <c r="C131" s="1">
        <f>Tabela9[[#This Row],[Alongamento(mm/mm)]]/$I$2</f>
        <v>1.7431600000000002E-2</v>
      </c>
      <c r="D131" s="1">
        <v>50.518999999999998</v>
      </c>
      <c r="E131" s="1">
        <f>Tabela9[[#This Row],[Forτa(N)]]/$I$5</f>
        <v>1610295.6410869393</v>
      </c>
      <c r="F131" s="1">
        <f>Tabela9[[#This Row],[Tensão(Pa)]]/1000000</f>
        <v>1.6102956410869393</v>
      </c>
    </row>
    <row r="132" spans="1:6" x14ac:dyDescent="0.3">
      <c r="A132" s="1">
        <v>10.617000000000001</v>
      </c>
      <c r="B132" s="1">
        <v>0.87707000000000002</v>
      </c>
      <c r="C132" s="1">
        <f>Tabela9[[#This Row],[Alongamento(mm/mm)]]/$I$2</f>
        <v>1.7541399999999999E-2</v>
      </c>
      <c r="D132" s="1">
        <v>51.2</v>
      </c>
      <c r="E132" s="1">
        <f>Tabela9[[#This Row],[Forτa(N)]]/$I$5</f>
        <v>1632002.5500039845</v>
      </c>
      <c r="F132" s="1">
        <f>Tabela9[[#This Row],[Tensão(Pa)]]/1000000</f>
        <v>1.6320025500039845</v>
      </c>
    </row>
    <row r="133" spans="1:6" x14ac:dyDescent="0.3">
      <c r="A133" s="1">
        <v>10.683</v>
      </c>
      <c r="B133" s="1">
        <v>0.88256000000000001</v>
      </c>
      <c r="C133" s="1">
        <f>Tabela9[[#This Row],[Alongamento(mm/mm)]]/$I$2</f>
        <v>1.7651199999999999E-2</v>
      </c>
      <c r="D133" s="1">
        <v>51.88</v>
      </c>
      <c r="E133" s="1">
        <f>Tabela9[[#This Row],[Forτa(N)]]/$I$5</f>
        <v>1653677.5838712249</v>
      </c>
      <c r="F133" s="1">
        <f>Tabela9[[#This Row],[Tensão(Pa)]]/1000000</f>
        <v>1.653677583871225</v>
      </c>
    </row>
    <row r="134" spans="1:6" x14ac:dyDescent="0.3">
      <c r="A134" s="1">
        <v>10.766999999999999</v>
      </c>
      <c r="B134" s="1">
        <v>0.88963000000000003</v>
      </c>
      <c r="C134" s="1">
        <f>Tabela9[[#This Row],[Alongamento(mm/mm)]]/$I$2</f>
        <v>1.7792600000000002E-2</v>
      </c>
      <c r="D134" s="1">
        <v>52.561</v>
      </c>
      <c r="E134" s="1">
        <f>Tabela9[[#This Row],[Forτa(N)]]/$I$5</f>
        <v>1675384.4927882701</v>
      </c>
      <c r="F134" s="1">
        <f>Tabela9[[#This Row],[Tensão(Pa)]]/1000000</f>
        <v>1.6753844927882702</v>
      </c>
    </row>
    <row r="135" spans="1:6" x14ac:dyDescent="0.3">
      <c r="A135" s="1">
        <v>10.833</v>
      </c>
      <c r="B135" s="1">
        <v>0.89522000000000002</v>
      </c>
      <c r="C135" s="1">
        <f>Tabela9[[#This Row],[Alongamento(mm/mm)]]/$I$2</f>
        <v>1.7904400000000001E-2</v>
      </c>
      <c r="D135" s="1">
        <v>53.241</v>
      </c>
      <c r="E135" s="1">
        <f>Tabela9[[#This Row],[Forτa(N)]]/$I$5</f>
        <v>1697059.5266555105</v>
      </c>
      <c r="F135" s="1">
        <f>Tabela9[[#This Row],[Tensão(Pa)]]/1000000</f>
        <v>1.6970595266555106</v>
      </c>
    </row>
    <row r="136" spans="1:6" x14ac:dyDescent="0.3">
      <c r="A136" s="1">
        <v>10.9</v>
      </c>
      <c r="B136" s="1">
        <v>0.90071000000000001</v>
      </c>
      <c r="C136" s="1">
        <f>Tabela9[[#This Row],[Alongamento(mm/mm)]]/$I$2</f>
        <v>1.8014200000000001E-2</v>
      </c>
      <c r="D136" s="1">
        <v>53.920999999999999</v>
      </c>
      <c r="E136" s="1">
        <f>Tabela9[[#This Row],[Forτa(N)]]/$I$5</f>
        <v>1718734.560522751</v>
      </c>
      <c r="F136" s="1">
        <f>Tabela9[[#This Row],[Tensão(Pa)]]/1000000</f>
        <v>1.7187345605227509</v>
      </c>
    </row>
    <row r="137" spans="1:6" x14ac:dyDescent="0.3">
      <c r="A137" s="1">
        <v>10.967000000000001</v>
      </c>
      <c r="B137" s="1">
        <v>0.90629000000000004</v>
      </c>
      <c r="C137" s="1">
        <f>Tabela9[[#This Row],[Alongamento(mm/mm)]]/$I$2</f>
        <v>1.8125800000000001E-2</v>
      </c>
      <c r="D137" s="1">
        <v>54.601999999999997</v>
      </c>
      <c r="E137" s="1">
        <f>Tabela9[[#This Row],[Forτa(N)]]/$I$5</f>
        <v>1740441.4694397959</v>
      </c>
      <c r="F137" s="1">
        <f>Tabela9[[#This Row],[Tensão(Pa)]]/1000000</f>
        <v>1.7404414694397958</v>
      </c>
    </row>
    <row r="138" spans="1:6" x14ac:dyDescent="0.3">
      <c r="A138" s="1">
        <v>11.032999999999999</v>
      </c>
      <c r="B138" s="1">
        <v>0.91188000000000002</v>
      </c>
      <c r="C138" s="1">
        <f>Tabela9[[#This Row],[Alongamento(mm/mm)]]/$I$2</f>
        <v>1.82376E-2</v>
      </c>
      <c r="D138" s="1">
        <v>55.281999999999996</v>
      </c>
      <c r="E138" s="1">
        <f>Tabela9[[#This Row],[Forτa(N)]]/$I$5</f>
        <v>1762116.5033070364</v>
      </c>
      <c r="F138" s="1">
        <f>Tabela9[[#This Row],[Tensão(Pa)]]/1000000</f>
        <v>1.7621165033070363</v>
      </c>
    </row>
    <row r="139" spans="1:6" x14ac:dyDescent="0.3">
      <c r="A139" s="1">
        <v>11.1</v>
      </c>
      <c r="B139" s="1">
        <v>0.91746000000000005</v>
      </c>
      <c r="C139" s="1">
        <f>Tabela9[[#This Row],[Alongamento(mm/mm)]]/$I$2</f>
        <v>1.83492E-2</v>
      </c>
      <c r="D139" s="1">
        <v>55.963000000000001</v>
      </c>
      <c r="E139" s="1">
        <f>Tabela9[[#This Row],[Forτa(N)]]/$I$5</f>
        <v>1783823.4122240818</v>
      </c>
      <c r="F139" s="1">
        <f>Tabela9[[#This Row],[Tensão(Pa)]]/1000000</f>
        <v>1.7838234122240819</v>
      </c>
    </row>
    <row r="140" spans="1:6" x14ac:dyDescent="0.3">
      <c r="A140" s="1">
        <v>11.167</v>
      </c>
      <c r="B140" s="1">
        <v>0.92295000000000005</v>
      </c>
      <c r="C140" s="1">
        <f>Tabela9[[#This Row],[Alongamento(mm/mm)]]/$I$2</f>
        <v>1.8459E-2</v>
      </c>
      <c r="D140" s="1">
        <v>56.643000000000001</v>
      </c>
      <c r="E140" s="1">
        <f>Tabela9[[#This Row],[Forτa(N)]]/$I$5</f>
        <v>1805498.4460913222</v>
      </c>
      <c r="F140" s="1">
        <f>Tabela9[[#This Row],[Tensão(Pa)]]/1000000</f>
        <v>1.8054984460913222</v>
      </c>
    </row>
    <row r="141" spans="1:6" x14ac:dyDescent="0.3">
      <c r="A141" s="1">
        <v>11.233000000000001</v>
      </c>
      <c r="B141" s="1">
        <v>0.92844000000000004</v>
      </c>
      <c r="C141" s="1">
        <f>Tabela9[[#This Row],[Alongamento(mm/mm)]]/$I$2</f>
        <v>1.85688E-2</v>
      </c>
      <c r="D141" s="1">
        <v>57.323</v>
      </c>
      <c r="E141" s="1">
        <f>Tabela9[[#This Row],[Forτa(N)]]/$I$5</f>
        <v>1827173.4799585626</v>
      </c>
      <c r="F141" s="1">
        <f>Tabela9[[#This Row],[Tensão(Pa)]]/1000000</f>
        <v>1.8271734799585626</v>
      </c>
    </row>
    <row r="142" spans="1:6" x14ac:dyDescent="0.3">
      <c r="A142" s="1">
        <v>11.3</v>
      </c>
      <c r="B142" s="1">
        <v>0.93401999999999996</v>
      </c>
      <c r="C142" s="1">
        <f>Tabela9[[#This Row],[Alongamento(mm/mm)]]/$I$2</f>
        <v>1.86804E-2</v>
      </c>
      <c r="D142" s="1">
        <v>58.003999999999998</v>
      </c>
      <c r="E142" s="1">
        <f>Tabela9[[#This Row],[Forτa(N)]]/$I$5</f>
        <v>1848880.3888756076</v>
      </c>
      <c r="F142" s="1">
        <f>Tabela9[[#This Row],[Tensão(Pa)]]/1000000</f>
        <v>1.8488803888756076</v>
      </c>
    </row>
    <row r="143" spans="1:6" x14ac:dyDescent="0.3">
      <c r="A143" s="1">
        <v>11.367000000000001</v>
      </c>
      <c r="B143" s="1">
        <v>0.93960999999999995</v>
      </c>
      <c r="C143" s="1">
        <f>Tabela9[[#This Row],[Alongamento(mm/mm)]]/$I$2</f>
        <v>1.8792199999999998E-2</v>
      </c>
      <c r="D143" s="1">
        <v>58.683999999999997</v>
      </c>
      <c r="E143" s="1">
        <f>Tabela9[[#This Row],[Forτa(N)]]/$I$5</f>
        <v>1870555.4227428481</v>
      </c>
      <c r="F143" s="1">
        <f>Tabela9[[#This Row],[Tensão(Pa)]]/1000000</f>
        <v>1.870555422742848</v>
      </c>
    </row>
    <row r="144" spans="1:6" x14ac:dyDescent="0.3">
      <c r="A144" s="1">
        <v>11.433</v>
      </c>
      <c r="B144" s="1">
        <v>0.94510000000000005</v>
      </c>
      <c r="C144" s="1">
        <f>Tabela9[[#This Row],[Alongamento(mm/mm)]]/$I$2</f>
        <v>1.8902000000000002E-2</v>
      </c>
      <c r="D144" s="1">
        <v>59.363999999999997</v>
      </c>
      <c r="E144" s="1">
        <f>Tabela9[[#This Row],[Forτa(N)]]/$I$5</f>
        <v>1892230.4566100885</v>
      </c>
      <c r="F144" s="1">
        <f>Tabela9[[#This Row],[Tensão(Pa)]]/1000000</f>
        <v>1.8922304566100885</v>
      </c>
    </row>
    <row r="145" spans="1:6" x14ac:dyDescent="0.3">
      <c r="A145" s="1">
        <v>11.5</v>
      </c>
      <c r="B145" s="1">
        <v>0.95077</v>
      </c>
      <c r="C145" s="1">
        <f>Tabela9[[#This Row],[Alongamento(mm/mm)]]/$I$2</f>
        <v>1.9015400000000002E-2</v>
      </c>
      <c r="D145" s="1">
        <v>60.045000000000002</v>
      </c>
      <c r="E145" s="1">
        <f>Tabela9[[#This Row],[Forτa(N)]]/$I$5</f>
        <v>1913937.3655271337</v>
      </c>
      <c r="F145" s="1">
        <f>Tabela9[[#This Row],[Tensão(Pa)]]/1000000</f>
        <v>1.9139373655271337</v>
      </c>
    </row>
    <row r="146" spans="1:6" x14ac:dyDescent="0.3">
      <c r="A146" s="1">
        <v>11.567</v>
      </c>
      <c r="B146" s="1">
        <v>0.95635999999999999</v>
      </c>
      <c r="C146" s="1">
        <f>Tabela9[[#This Row],[Alongamento(mm/mm)]]/$I$2</f>
        <v>1.91272E-2</v>
      </c>
      <c r="D146" s="1">
        <v>60.725000000000001</v>
      </c>
      <c r="E146" s="1">
        <f>Tabela9[[#This Row],[Forτa(N)]]/$I$5</f>
        <v>1935612.3993943741</v>
      </c>
      <c r="F146" s="1">
        <f>Tabela9[[#This Row],[Tensão(Pa)]]/1000000</f>
        <v>1.9356123993943741</v>
      </c>
    </row>
    <row r="147" spans="1:6" x14ac:dyDescent="0.3">
      <c r="A147" s="1">
        <v>11.632999999999999</v>
      </c>
      <c r="B147" s="1">
        <v>0.96184999999999998</v>
      </c>
      <c r="C147" s="1">
        <f>Tabela9[[#This Row],[Alongamento(mm/mm)]]/$I$2</f>
        <v>1.9237000000000001E-2</v>
      </c>
      <c r="D147" s="1">
        <v>61.405999999999999</v>
      </c>
      <c r="E147" s="1">
        <f>Tabela9[[#This Row],[Forτa(N)]]/$I$5</f>
        <v>1957319.3083114193</v>
      </c>
      <c r="F147" s="1">
        <f>Tabela9[[#This Row],[Tensão(Pa)]]/1000000</f>
        <v>1.9573193083114193</v>
      </c>
    </row>
    <row r="148" spans="1:6" x14ac:dyDescent="0.3">
      <c r="A148" s="1">
        <v>11.7</v>
      </c>
      <c r="B148" s="1">
        <v>0.96733999999999998</v>
      </c>
      <c r="C148" s="1">
        <f>Tabela9[[#This Row],[Alongamento(mm/mm)]]/$I$2</f>
        <v>1.9346800000000001E-2</v>
      </c>
      <c r="D148" s="1">
        <v>62.085999999999999</v>
      </c>
      <c r="E148" s="1">
        <f>Tabela9[[#This Row],[Forτa(N)]]/$I$5</f>
        <v>1978994.3421786597</v>
      </c>
      <c r="F148" s="1">
        <f>Tabela9[[#This Row],[Tensão(Pa)]]/1000000</f>
        <v>1.9789943421786598</v>
      </c>
    </row>
    <row r="149" spans="1:6" x14ac:dyDescent="0.3">
      <c r="A149" s="1">
        <v>11.766999999999999</v>
      </c>
      <c r="B149" s="1">
        <v>0.97292000000000001</v>
      </c>
      <c r="C149" s="1">
        <f>Tabela9[[#This Row],[Alongamento(mm/mm)]]/$I$2</f>
        <v>1.9458400000000001E-2</v>
      </c>
      <c r="D149" s="1">
        <v>62.765999999999998</v>
      </c>
      <c r="E149" s="1">
        <f>Tabela9[[#This Row],[Forτa(N)]]/$I$5</f>
        <v>2000669.3760459002</v>
      </c>
      <c r="F149" s="1">
        <f>Tabela9[[#This Row],[Tensão(Pa)]]/1000000</f>
        <v>2.0006693760459</v>
      </c>
    </row>
    <row r="150" spans="1:6" x14ac:dyDescent="0.3">
      <c r="A150" s="1">
        <v>11.833</v>
      </c>
      <c r="B150" s="1">
        <v>0.97850000000000004</v>
      </c>
      <c r="C150" s="1">
        <f>Tabela9[[#This Row],[Alongamento(mm/mm)]]/$I$2</f>
        <v>1.9570000000000001E-2</v>
      </c>
      <c r="D150" s="1">
        <v>63.447000000000003</v>
      </c>
      <c r="E150" s="1">
        <f>Tabela9[[#This Row],[Forτa(N)]]/$I$5</f>
        <v>2022376.2849629454</v>
      </c>
      <c r="F150" s="1">
        <f>Tabela9[[#This Row],[Tensão(Pa)]]/1000000</f>
        <v>2.0223762849629452</v>
      </c>
    </row>
    <row r="151" spans="1:6" x14ac:dyDescent="0.3">
      <c r="A151" s="1">
        <v>11.9</v>
      </c>
      <c r="B151" s="1">
        <v>0.98409000000000002</v>
      </c>
      <c r="C151" s="1">
        <f>Tabela9[[#This Row],[Alongamento(mm/mm)]]/$I$2</f>
        <v>1.9681799999999999E-2</v>
      </c>
      <c r="D151" s="1">
        <v>64.126999999999995</v>
      </c>
      <c r="E151" s="1">
        <f>Tabela9[[#This Row],[Forτa(N)]]/$I$5</f>
        <v>2044051.3188301856</v>
      </c>
      <c r="F151" s="1">
        <f>Tabela9[[#This Row],[Tensão(Pa)]]/1000000</f>
        <v>2.0440513188301854</v>
      </c>
    </row>
    <row r="152" spans="1:6" x14ac:dyDescent="0.3">
      <c r="A152" s="1">
        <v>11.967000000000001</v>
      </c>
      <c r="B152" s="1">
        <v>0.98958000000000002</v>
      </c>
      <c r="C152" s="1">
        <f>Tabela9[[#This Row],[Alongamento(mm/mm)]]/$I$2</f>
        <v>1.9791599999999999E-2</v>
      </c>
      <c r="D152" s="1">
        <v>64.808000000000007</v>
      </c>
      <c r="E152" s="1">
        <f>Tabela9[[#This Row],[Forτa(N)]]/$I$5</f>
        <v>2065758.2277472313</v>
      </c>
      <c r="F152" s="1">
        <f>Tabela9[[#This Row],[Tensão(Pa)]]/1000000</f>
        <v>2.0657582277472311</v>
      </c>
    </row>
    <row r="153" spans="1:6" x14ac:dyDescent="0.3">
      <c r="A153" s="1">
        <v>12.032999999999999</v>
      </c>
      <c r="B153" s="1">
        <v>0.99516000000000004</v>
      </c>
      <c r="C153" s="1">
        <f>Tabela9[[#This Row],[Alongamento(mm/mm)]]/$I$2</f>
        <v>1.9903199999999999E-2</v>
      </c>
      <c r="D153" s="1">
        <v>65.488</v>
      </c>
      <c r="E153" s="1">
        <f>Tabela9[[#This Row],[Forτa(N)]]/$I$5</f>
        <v>2087433.2616144714</v>
      </c>
      <c r="F153" s="1">
        <f>Tabela9[[#This Row],[Tensão(Pa)]]/1000000</f>
        <v>2.0874332616144713</v>
      </c>
    </row>
    <row r="154" spans="1:6" x14ac:dyDescent="0.3">
      <c r="A154" s="1">
        <v>12.083</v>
      </c>
      <c r="B154" s="1">
        <v>0.99934999999999996</v>
      </c>
      <c r="C154" s="1">
        <f>Tabela9[[#This Row],[Alongamento(mm/mm)]]/$I$2</f>
        <v>1.9986999999999998E-2</v>
      </c>
      <c r="D154" s="1">
        <v>66.168000000000006</v>
      </c>
      <c r="E154" s="1">
        <f>Tabela9[[#This Row],[Forτa(N)]]/$I$5</f>
        <v>2109108.2954817121</v>
      </c>
      <c r="F154" s="1">
        <f>Tabela9[[#This Row],[Tensão(Pa)]]/1000000</f>
        <v>2.109108295481712</v>
      </c>
    </row>
    <row r="155" spans="1:6" x14ac:dyDescent="0.3">
      <c r="A155" s="1">
        <v>12.15</v>
      </c>
      <c r="B155" s="1">
        <v>1.0048999999999999</v>
      </c>
      <c r="C155" s="1">
        <f>Tabela9[[#This Row],[Alongamento(mm/mm)]]/$I$2</f>
        <v>2.0097999999999998E-2</v>
      </c>
      <c r="D155" s="1">
        <v>66.849000000000004</v>
      </c>
      <c r="E155" s="1">
        <f>Tabela9[[#This Row],[Forτa(N)]]/$I$5</f>
        <v>2130815.2043987573</v>
      </c>
      <c r="F155" s="1">
        <f>Tabela9[[#This Row],[Tensão(Pa)]]/1000000</f>
        <v>2.1308152043987572</v>
      </c>
    </row>
    <row r="156" spans="1:6" x14ac:dyDescent="0.3">
      <c r="A156" s="1">
        <v>12.217000000000001</v>
      </c>
      <c r="B156" s="1">
        <v>1.0105</v>
      </c>
      <c r="C156" s="1">
        <f>Tabela9[[#This Row],[Alongamento(mm/mm)]]/$I$2</f>
        <v>2.0209999999999999E-2</v>
      </c>
      <c r="D156" s="1">
        <v>67.528999999999996</v>
      </c>
      <c r="E156" s="1">
        <f>Tabela9[[#This Row],[Forτa(N)]]/$I$5</f>
        <v>2152490.2382659973</v>
      </c>
      <c r="F156" s="1">
        <f>Tabela9[[#This Row],[Tensão(Pa)]]/1000000</f>
        <v>2.1524902382659974</v>
      </c>
    </row>
    <row r="157" spans="1:6" x14ac:dyDescent="0.3">
      <c r="A157" s="1">
        <v>12.282999999999999</v>
      </c>
      <c r="B157" s="1">
        <v>1.016</v>
      </c>
      <c r="C157" s="1">
        <f>Tabela9[[#This Row],[Alongamento(mm/mm)]]/$I$2</f>
        <v>2.0320000000000001E-2</v>
      </c>
      <c r="D157" s="1">
        <v>68.209999999999994</v>
      </c>
      <c r="E157" s="1">
        <f>Tabela9[[#This Row],[Forτa(N)]]/$I$5</f>
        <v>2174197.1471830425</v>
      </c>
      <c r="F157" s="1">
        <f>Tabela9[[#This Row],[Tensão(Pa)]]/1000000</f>
        <v>2.1741971471830426</v>
      </c>
    </row>
    <row r="158" spans="1:6" x14ac:dyDescent="0.3">
      <c r="A158" s="1">
        <v>12.35</v>
      </c>
      <c r="B158" s="1">
        <v>1.0215000000000001</v>
      </c>
      <c r="C158" s="1">
        <f>Tabela9[[#This Row],[Alongamento(mm/mm)]]/$I$2</f>
        <v>2.043E-2</v>
      </c>
      <c r="D158" s="1">
        <v>68.89</v>
      </c>
      <c r="E158" s="1">
        <f>Tabela9[[#This Row],[Forτa(N)]]/$I$5</f>
        <v>2195872.1810502829</v>
      </c>
      <c r="F158" s="1">
        <f>Tabela9[[#This Row],[Tensão(Pa)]]/1000000</f>
        <v>2.1958721810502828</v>
      </c>
    </row>
    <row r="159" spans="1:6" x14ac:dyDescent="0.3">
      <c r="A159" s="1">
        <v>12.417</v>
      </c>
      <c r="B159" s="1">
        <v>1.0270999999999999</v>
      </c>
      <c r="C159" s="1">
        <f>Tabela9[[#This Row],[Alongamento(mm/mm)]]/$I$2</f>
        <v>2.0541999999999998E-2</v>
      </c>
      <c r="D159" s="1">
        <v>69.569999999999993</v>
      </c>
      <c r="E159" s="1">
        <f>Tabela9[[#This Row],[Forτa(N)]]/$I$5</f>
        <v>2217547.2149175233</v>
      </c>
      <c r="F159" s="1">
        <f>Tabela9[[#This Row],[Tensão(Pa)]]/1000000</f>
        <v>2.2175472149175235</v>
      </c>
    </row>
    <row r="160" spans="1:6" x14ac:dyDescent="0.3">
      <c r="A160" s="1">
        <v>12.483000000000001</v>
      </c>
      <c r="B160" s="1">
        <v>1.0327</v>
      </c>
      <c r="C160" s="1">
        <f>Tabela9[[#This Row],[Alongamento(mm/mm)]]/$I$2</f>
        <v>2.0653999999999999E-2</v>
      </c>
      <c r="D160" s="1">
        <v>70.251000000000005</v>
      </c>
      <c r="E160" s="1">
        <f>Tabela9[[#This Row],[Forτa(N)]]/$I$5</f>
        <v>2239254.1238345685</v>
      </c>
      <c r="F160" s="1">
        <f>Tabela9[[#This Row],[Tensão(Pa)]]/1000000</f>
        <v>2.2392541238345687</v>
      </c>
    </row>
    <row r="161" spans="1:6" x14ac:dyDescent="0.3">
      <c r="A161" s="1">
        <v>12.532999999999999</v>
      </c>
      <c r="B161" s="1">
        <v>1.0367999999999999</v>
      </c>
      <c r="C161" s="1">
        <f>Tabela9[[#This Row],[Alongamento(mm/mm)]]/$I$2</f>
        <v>2.0735999999999997E-2</v>
      </c>
      <c r="D161" s="1">
        <v>70.930999999999997</v>
      </c>
      <c r="E161" s="1">
        <f>Tabela9[[#This Row],[Forτa(N)]]/$I$5</f>
        <v>2260929.157701809</v>
      </c>
      <c r="F161" s="1">
        <f>Tabela9[[#This Row],[Tensão(Pa)]]/1000000</f>
        <v>2.2609291577018089</v>
      </c>
    </row>
    <row r="162" spans="1:6" x14ac:dyDescent="0.3">
      <c r="A162" s="1">
        <v>12.6</v>
      </c>
      <c r="B162" s="1">
        <v>1.0423</v>
      </c>
      <c r="C162" s="1">
        <f>Tabela9[[#This Row],[Alongamento(mm/mm)]]/$I$2</f>
        <v>2.0846E-2</v>
      </c>
      <c r="D162" s="1">
        <v>71.611999999999995</v>
      </c>
      <c r="E162" s="1">
        <f>Tabela9[[#This Row],[Forτa(N)]]/$I$5</f>
        <v>2282636.0666188542</v>
      </c>
      <c r="F162" s="1">
        <f>Tabela9[[#This Row],[Tensão(Pa)]]/1000000</f>
        <v>2.2826360666188541</v>
      </c>
    </row>
    <row r="163" spans="1:6" x14ac:dyDescent="0.3">
      <c r="A163" s="1">
        <v>12.667</v>
      </c>
      <c r="B163" s="1">
        <v>1.0479000000000001</v>
      </c>
      <c r="C163" s="1">
        <f>Tabela9[[#This Row],[Alongamento(mm/mm)]]/$I$2</f>
        <v>2.0958000000000001E-2</v>
      </c>
      <c r="D163" s="1">
        <v>72.292000000000002</v>
      </c>
      <c r="E163" s="1">
        <f>Tabela9[[#This Row],[Forτa(N)]]/$I$5</f>
        <v>2304311.1004860946</v>
      </c>
      <c r="F163" s="1">
        <f>Tabela9[[#This Row],[Tensão(Pa)]]/1000000</f>
        <v>2.3043111004860948</v>
      </c>
    </row>
    <row r="164" spans="1:6" x14ac:dyDescent="0.3">
      <c r="A164" s="1">
        <v>12.733000000000001</v>
      </c>
      <c r="B164" s="1">
        <v>1.0533999999999999</v>
      </c>
      <c r="C164" s="1">
        <f>Tabela9[[#This Row],[Alongamento(mm/mm)]]/$I$2</f>
        <v>2.1067999999999996E-2</v>
      </c>
      <c r="D164" s="1">
        <v>72.971999999999994</v>
      </c>
      <c r="E164" s="1">
        <f>Tabela9[[#This Row],[Forτa(N)]]/$I$5</f>
        <v>2325986.134353335</v>
      </c>
      <c r="F164" s="1">
        <f>Tabela9[[#This Row],[Tensão(Pa)]]/1000000</f>
        <v>2.325986134353335</v>
      </c>
    </row>
    <row r="165" spans="1:6" x14ac:dyDescent="0.3">
      <c r="A165" s="1">
        <v>12.782999999999999</v>
      </c>
      <c r="B165" s="1">
        <v>1.0577000000000001</v>
      </c>
      <c r="C165" s="1">
        <f>Tabela9[[#This Row],[Alongamento(mm/mm)]]/$I$2</f>
        <v>2.1154000000000003E-2</v>
      </c>
      <c r="D165" s="1">
        <v>73.653000000000006</v>
      </c>
      <c r="E165" s="1">
        <f>Tabela9[[#This Row],[Forτa(N)]]/$I$5</f>
        <v>2347693.0432703802</v>
      </c>
      <c r="F165" s="1">
        <f>Tabela9[[#This Row],[Tensão(Pa)]]/1000000</f>
        <v>2.3476930432703802</v>
      </c>
    </row>
    <row r="166" spans="1:6" x14ac:dyDescent="0.3">
      <c r="A166" s="1">
        <v>12.85</v>
      </c>
      <c r="B166" s="1">
        <v>1.0631999999999999</v>
      </c>
      <c r="C166" s="1">
        <f>Tabela9[[#This Row],[Alongamento(mm/mm)]]/$I$2</f>
        <v>2.1263999999999998E-2</v>
      </c>
      <c r="D166" s="1">
        <v>74.332999999999998</v>
      </c>
      <c r="E166" s="1">
        <f>Tabela9[[#This Row],[Forτa(N)]]/$I$5</f>
        <v>2369368.0771376207</v>
      </c>
      <c r="F166" s="1">
        <f>Tabela9[[#This Row],[Tensão(Pa)]]/1000000</f>
        <v>2.3693680771376204</v>
      </c>
    </row>
    <row r="167" spans="1:6" x14ac:dyDescent="0.3">
      <c r="A167" s="1">
        <v>12.917</v>
      </c>
      <c r="B167" s="1">
        <v>1.0687</v>
      </c>
      <c r="C167" s="1">
        <f>Tabela9[[#This Row],[Alongamento(mm/mm)]]/$I$2</f>
        <v>2.1374000000000001E-2</v>
      </c>
      <c r="D167" s="1">
        <v>75.013999999999996</v>
      </c>
      <c r="E167" s="1">
        <f>Tabela9[[#This Row],[Forτa(N)]]/$I$5</f>
        <v>2391074.9860546659</v>
      </c>
      <c r="F167" s="1">
        <f>Tabela9[[#This Row],[Tensão(Pa)]]/1000000</f>
        <v>2.3910749860546661</v>
      </c>
    </row>
    <row r="168" spans="1:6" x14ac:dyDescent="0.3">
      <c r="A168" s="1">
        <v>12.983000000000001</v>
      </c>
      <c r="B168" s="1">
        <v>1.0743</v>
      </c>
      <c r="C168" s="1">
        <f>Tabela9[[#This Row],[Alongamento(mm/mm)]]/$I$2</f>
        <v>2.1486000000000002E-2</v>
      </c>
      <c r="D168" s="1">
        <v>75.864000000000004</v>
      </c>
      <c r="E168" s="1">
        <f>Tabela9[[#This Row],[Forτa(N)]]/$I$5</f>
        <v>2418168.7783887163</v>
      </c>
      <c r="F168" s="1">
        <f>Tabela9[[#This Row],[Tensão(Pa)]]/1000000</f>
        <v>2.4181687783887162</v>
      </c>
    </row>
    <row r="169" spans="1:6" x14ac:dyDescent="0.3">
      <c r="A169" s="1">
        <v>13.05</v>
      </c>
      <c r="B169" s="1">
        <v>1.0798000000000001</v>
      </c>
      <c r="C169" s="1">
        <f>Tabela9[[#This Row],[Alongamento(mm/mm)]]/$I$2</f>
        <v>2.1596000000000001E-2</v>
      </c>
      <c r="D169" s="1">
        <v>76.543999999999997</v>
      </c>
      <c r="E169" s="1">
        <f>Tabela9[[#This Row],[Forτa(N)]]/$I$5</f>
        <v>2439843.8122559567</v>
      </c>
      <c r="F169" s="1">
        <f>Tabela9[[#This Row],[Tensão(Pa)]]/1000000</f>
        <v>2.4398438122559565</v>
      </c>
    </row>
    <row r="170" spans="1:6" x14ac:dyDescent="0.3">
      <c r="A170" s="1">
        <v>13.117000000000001</v>
      </c>
      <c r="B170" s="1">
        <v>1.0853999999999999</v>
      </c>
      <c r="C170" s="1">
        <f>Tabela9[[#This Row],[Alongamento(mm/mm)]]/$I$2</f>
        <v>2.1707999999999998E-2</v>
      </c>
      <c r="D170" s="1">
        <v>77.224999999999994</v>
      </c>
      <c r="E170" s="1">
        <f>Tabela9[[#This Row],[Forτa(N)]]/$I$5</f>
        <v>2461550.7211730019</v>
      </c>
      <c r="F170" s="1">
        <f>Tabela9[[#This Row],[Tensão(Pa)]]/1000000</f>
        <v>2.4615507211730021</v>
      </c>
    </row>
    <row r="171" spans="1:6" x14ac:dyDescent="0.3">
      <c r="A171" s="1">
        <v>13.167</v>
      </c>
      <c r="B171" s="1">
        <v>1.0895999999999999</v>
      </c>
      <c r="C171" s="1">
        <f>Tabela9[[#This Row],[Alongamento(mm/mm)]]/$I$2</f>
        <v>2.1791999999999999E-2</v>
      </c>
      <c r="D171" s="1">
        <v>77.905000000000001</v>
      </c>
      <c r="E171" s="1">
        <f>Tabela9[[#This Row],[Forτa(N)]]/$I$5</f>
        <v>2483225.7550402423</v>
      </c>
      <c r="F171" s="1">
        <f>Tabela9[[#This Row],[Tensão(Pa)]]/1000000</f>
        <v>2.4832257550402423</v>
      </c>
    </row>
    <row r="172" spans="1:6" x14ac:dyDescent="0.3">
      <c r="A172" s="1">
        <v>13.233000000000001</v>
      </c>
      <c r="B172" s="1">
        <v>1.0952</v>
      </c>
      <c r="C172" s="1">
        <f>Tabela9[[#This Row],[Alongamento(mm/mm)]]/$I$2</f>
        <v>2.1904E-2</v>
      </c>
      <c r="D172" s="1">
        <v>78.585999999999999</v>
      </c>
      <c r="E172" s="1">
        <f>Tabela9[[#This Row],[Forτa(N)]]/$I$5</f>
        <v>2504932.6639572876</v>
      </c>
      <c r="F172" s="1">
        <f>Tabela9[[#This Row],[Tensão(Pa)]]/1000000</f>
        <v>2.5049326639572875</v>
      </c>
    </row>
    <row r="173" spans="1:6" x14ac:dyDescent="0.3">
      <c r="A173" s="1">
        <v>13.282999999999999</v>
      </c>
      <c r="B173" s="1">
        <v>1.0992999999999999</v>
      </c>
      <c r="C173" s="1">
        <f>Tabela9[[#This Row],[Alongamento(mm/mm)]]/$I$2</f>
        <v>2.1985999999999999E-2</v>
      </c>
      <c r="D173" s="1">
        <v>79.266000000000005</v>
      </c>
      <c r="E173" s="1">
        <f>Tabela9[[#This Row],[Forτa(N)]]/$I$5</f>
        <v>2526607.697824528</v>
      </c>
      <c r="F173" s="1">
        <f>Tabela9[[#This Row],[Tensão(Pa)]]/1000000</f>
        <v>2.5266076978245278</v>
      </c>
    </row>
    <row r="174" spans="1:6" x14ac:dyDescent="0.3">
      <c r="A174" s="1">
        <v>13.35</v>
      </c>
      <c r="B174" s="1">
        <v>1.1049</v>
      </c>
      <c r="C174" s="1">
        <f>Tabela9[[#This Row],[Alongamento(mm/mm)]]/$I$2</f>
        <v>2.2098E-2</v>
      </c>
      <c r="D174" s="1">
        <v>79.945999999999998</v>
      </c>
      <c r="E174" s="1">
        <f>Tabela9[[#This Row],[Forτa(N)]]/$I$5</f>
        <v>2548282.7316917684</v>
      </c>
      <c r="F174" s="1">
        <f>Tabela9[[#This Row],[Tensão(Pa)]]/1000000</f>
        <v>2.5482827316917684</v>
      </c>
    </row>
    <row r="175" spans="1:6" x14ac:dyDescent="0.3">
      <c r="A175" s="1">
        <v>13.4</v>
      </c>
      <c r="B175" s="1">
        <v>1.1091</v>
      </c>
      <c r="C175" s="1">
        <f>Tabela9[[#This Row],[Alongamento(mm/mm)]]/$I$2</f>
        <v>2.2182E-2</v>
      </c>
      <c r="D175" s="1">
        <v>80.626999999999995</v>
      </c>
      <c r="E175" s="1">
        <f>Tabela9[[#This Row],[Forτa(N)]]/$I$5</f>
        <v>2569989.6406088136</v>
      </c>
      <c r="F175" s="1">
        <f>Tabela9[[#This Row],[Tensão(Pa)]]/1000000</f>
        <v>2.5699896406088136</v>
      </c>
    </row>
    <row r="176" spans="1:6" x14ac:dyDescent="0.3">
      <c r="A176" s="1">
        <v>13.467000000000001</v>
      </c>
      <c r="B176" s="1">
        <v>1.1146</v>
      </c>
      <c r="C176" s="1">
        <f>Tabela9[[#This Row],[Alongamento(mm/mm)]]/$I$2</f>
        <v>2.2291999999999999E-2</v>
      </c>
      <c r="D176" s="1">
        <v>81.307000000000002</v>
      </c>
      <c r="E176" s="1">
        <f>Tabela9[[#This Row],[Forτa(N)]]/$I$5</f>
        <v>2591664.674476054</v>
      </c>
      <c r="F176" s="1">
        <f>Tabela9[[#This Row],[Tensão(Pa)]]/1000000</f>
        <v>2.5916646744760539</v>
      </c>
    </row>
    <row r="177" spans="1:6" x14ac:dyDescent="0.3">
      <c r="A177" s="1">
        <v>13.516999999999999</v>
      </c>
      <c r="B177" s="1">
        <v>1.1188</v>
      </c>
      <c r="C177" s="1">
        <f>Tabela9[[#This Row],[Alongamento(mm/mm)]]/$I$2</f>
        <v>2.2376E-2</v>
      </c>
      <c r="D177" s="1">
        <v>81.988</v>
      </c>
      <c r="E177" s="1">
        <f>Tabela9[[#This Row],[Forτa(N)]]/$I$5</f>
        <v>2613371.5833930993</v>
      </c>
      <c r="F177" s="1">
        <f>Tabela9[[#This Row],[Tensão(Pa)]]/1000000</f>
        <v>2.6133715833930991</v>
      </c>
    </row>
    <row r="178" spans="1:6" x14ac:dyDescent="0.3">
      <c r="A178" s="1">
        <v>13.583</v>
      </c>
      <c r="B178" s="1">
        <v>1.1243000000000001</v>
      </c>
      <c r="C178" s="1">
        <f>Tabela9[[#This Row],[Alongamento(mm/mm)]]/$I$2</f>
        <v>2.2486000000000003E-2</v>
      </c>
      <c r="D178" s="1">
        <v>82.668000000000006</v>
      </c>
      <c r="E178" s="1">
        <f>Tabela9[[#This Row],[Forτa(N)]]/$I$5</f>
        <v>2635046.6172603397</v>
      </c>
      <c r="F178" s="1">
        <f>Tabela9[[#This Row],[Tensão(Pa)]]/1000000</f>
        <v>2.6350466172603397</v>
      </c>
    </row>
    <row r="179" spans="1:6" x14ac:dyDescent="0.3">
      <c r="A179" s="1">
        <v>13.632999999999999</v>
      </c>
      <c r="B179" s="1">
        <v>1.1285000000000001</v>
      </c>
      <c r="C179" s="1">
        <f>Tabela9[[#This Row],[Alongamento(mm/mm)]]/$I$2</f>
        <v>2.257E-2</v>
      </c>
      <c r="D179" s="1">
        <v>83.347999999999999</v>
      </c>
      <c r="E179" s="1">
        <f>Tabela9[[#This Row],[Forτa(N)]]/$I$5</f>
        <v>2656721.6511275801</v>
      </c>
      <c r="F179" s="1">
        <f>Tabela9[[#This Row],[Tensão(Pa)]]/1000000</f>
        <v>2.65672165112758</v>
      </c>
    </row>
    <row r="180" spans="1:6" x14ac:dyDescent="0.3">
      <c r="A180" s="1">
        <v>13.7</v>
      </c>
      <c r="B180" s="1">
        <v>1.1341000000000001</v>
      </c>
      <c r="C180" s="1">
        <f>Tabela9[[#This Row],[Alongamento(mm/mm)]]/$I$2</f>
        <v>2.2682000000000001E-2</v>
      </c>
      <c r="D180" s="1">
        <v>84.028999999999996</v>
      </c>
      <c r="E180" s="1">
        <f>Tabela9[[#This Row],[Forτa(N)]]/$I$5</f>
        <v>2678428.5600446253</v>
      </c>
      <c r="F180" s="1">
        <f>Tabela9[[#This Row],[Tensão(Pa)]]/1000000</f>
        <v>2.6784285600446252</v>
      </c>
    </row>
    <row r="181" spans="1:6" x14ac:dyDescent="0.3">
      <c r="A181" s="1">
        <v>13.75</v>
      </c>
      <c r="B181" s="1">
        <v>1.1383000000000001</v>
      </c>
      <c r="C181" s="1">
        <f>Tabela9[[#This Row],[Alongamento(mm/mm)]]/$I$2</f>
        <v>2.2766000000000002E-2</v>
      </c>
      <c r="D181" s="1">
        <v>84.709000000000003</v>
      </c>
      <c r="E181" s="1">
        <f>Tabela9[[#This Row],[Forτa(N)]]/$I$5</f>
        <v>2700103.5939118657</v>
      </c>
      <c r="F181" s="1">
        <f>Tabela9[[#This Row],[Tensão(Pa)]]/1000000</f>
        <v>2.7001035939118658</v>
      </c>
    </row>
    <row r="182" spans="1:6" x14ac:dyDescent="0.3">
      <c r="A182" s="1">
        <v>13.817</v>
      </c>
      <c r="B182" s="1">
        <v>1.1438999999999999</v>
      </c>
      <c r="C182" s="1">
        <f>Tabela9[[#This Row],[Alongamento(mm/mm)]]/$I$2</f>
        <v>2.2877999999999999E-2</v>
      </c>
      <c r="D182" s="1">
        <v>85.39</v>
      </c>
      <c r="E182" s="1">
        <f>Tabela9[[#This Row],[Forτa(N)]]/$I$5</f>
        <v>2721810.5028289109</v>
      </c>
      <c r="F182" s="1">
        <f>Tabela9[[#This Row],[Tensão(Pa)]]/1000000</f>
        <v>2.721810502828911</v>
      </c>
    </row>
    <row r="183" spans="1:6" x14ac:dyDescent="0.3">
      <c r="A183" s="1">
        <v>13.867000000000001</v>
      </c>
      <c r="B183" s="1">
        <v>1.1479999999999999</v>
      </c>
      <c r="C183" s="1">
        <f>Tabela9[[#This Row],[Alongamento(mm/mm)]]/$I$2</f>
        <v>2.2959999999999998E-2</v>
      </c>
      <c r="D183" s="1">
        <v>86.07</v>
      </c>
      <c r="E183" s="1">
        <f>Tabela9[[#This Row],[Forτa(N)]]/$I$5</f>
        <v>2743485.5366961509</v>
      </c>
      <c r="F183" s="1">
        <f>Tabela9[[#This Row],[Tensão(Pa)]]/1000000</f>
        <v>2.7434855366961508</v>
      </c>
    </row>
    <row r="184" spans="1:6" x14ac:dyDescent="0.3">
      <c r="A184" s="1">
        <v>13.933</v>
      </c>
      <c r="B184" s="1">
        <v>1.1535</v>
      </c>
      <c r="C184" s="1">
        <f>Tabela9[[#This Row],[Alongamento(mm/mm)]]/$I$2</f>
        <v>2.307E-2</v>
      </c>
      <c r="D184" s="1">
        <v>86.92</v>
      </c>
      <c r="E184" s="1">
        <f>Tabela9[[#This Row],[Forτa(N)]]/$I$5</f>
        <v>2770579.3290302018</v>
      </c>
      <c r="F184" s="1">
        <f>Tabela9[[#This Row],[Tensão(Pa)]]/1000000</f>
        <v>2.7705793290302019</v>
      </c>
    </row>
    <row r="185" spans="1:6" x14ac:dyDescent="0.3">
      <c r="A185" s="1">
        <v>14</v>
      </c>
      <c r="B185" s="1">
        <v>1.159</v>
      </c>
      <c r="C185" s="1">
        <f>Tabela9[[#This Row],[Alongamento(mm/mm)]]/$I$2</f>
        <v>2.3179999999999999E-2</v>
      </c>
      <c r="D185" s="1">
        <v>87.600999999999999</v>
      </c>
      <c r="E185" s="1">
        <f>Tabela9[[#This Row],[Forτa(N)]]/$I$5</f>
        <v>2792286.237947247</v>
      </c>
      <c r="F185" s="1">
        <f>Tabela9[[#This Row],[Tensão(Pa)]]/1000000</f>
        <v>2.7922862379472471</v>
      </c>
    </row>
    <row r="186" spans="1:6" x14ac:dyDescent="0.3">
      <c r="A186" s="1">
        <v>14.05</v>
      </c>
      <c r="B186" s="1">
        <v>1.1632</v>
      </c>
      <c r="C186" s="1">
        <f>Tabela9[[#This Row],[Alongamento(mm/mm)]]/$I$2</f>
        <v>2.3264E-2</v>
      </c>
      <c r="D186" s="1">
        <v>88.281000000000006</v>
      </c>
      <c r="E186" s="1">
        <f>Tabela9[[#This Row],[Forτa(N)]]/$I$5</f>
        <v>2813961.2718144874</v>
      </c>
      <c r="F186" s="1">
        <f>Tabela9[[#This Row],[Tensão(Pa)]]/1000000</f>
        <v>2.8139612718144873</v>
      </c>
    </row>
    <row r="187" spans="1:6" x14ac:dyDescent="0.3">
      <c r="A187" s="1">
        <v>14.1</v>
      </c>
      <c r="B187" s="1">
        <v>1.1673</v>
      </c>
      <c r="C187" s="1">
        <f>Tabela9[[#This Row],[Alongamento(mm/mm)]]/$I$2</f>
        <v>2.3345999999999999E-2</v>
      </c>
      <c r="D187" s="1">
        <v>88.962000000000003</v>
      </c>
      <c r="E187" s="1">
        <f>Tabela9[[#This Row],[Forτa(N)]]/$I$5</f>
        <v>2835668.1807315326</v>
      </c>
      <c r="F187" s="1">
        <f>Tabela9[[#This Row],[Tensão(Pa)]]/1000000</f>
        <v>2.8356681807315325</v>
      </c>
    </row>
    <row r="188" spans="1:6" x14ac:dyDescent="0.3">
      <c r="A188" s="1">
        <v>14.15</v>
      </c>
      <c r="B188" s="1">
        <v>1.1715</v>
      </c>
      <c r="C188" s="1">
        <f>Tabela9[[#This Row],[Alongamento(mm/mm)]]/$I$2</f>
        <v>2.3429999999999999E-2</v>
      </c>
      <c r="D188" s="1">
        <v>89.641999999999996</v>
      </c>
      <c r="E188" s="1">
        <f>Tabela9[[#This Row],[Forτa(N)]]/$I$5</f>
        <v>2857343.214598773</v>
      </c>
      <c r="F188" s="1">
        <f>Tabela9[[#This Row],[Tensão(Pa)]]/1000000</f>
        <v>2.8573432145987732</v>
      </c>
    </row>
    <row r="189" spans="1:6" x14ac:dyDescent="0.3">
      <c r="A189" s="1">
        <v>14.217000000000001</v>
      </c>
      <c r="B189" s="1">
        <v>1.177</v>
      </c>
      <c r="C189" s="1">
        <f>Tabela9[[#This Row],[Alongamento(mm/mm)]]/$I$2</f>
        <v>2.3540000000000002E-2</v>
      </c>
      <c r="D189" s="1">
        <v>90.322000000000003</v>
      </c>
      <c r="E189" s="1">
        <f>Tabela9[[#This Row],[Forτa(N)]]/$I$5</f>
        <v>2879018.2484660135</v>
      </c>
      <c r="F189" s="1">
        <f>Tabela9[[#This Row],[Tensão(Pa)]]/1000000</f>
        <v>2.8790182484660134</v>
      </c>
    </row>
    <row r="190" spans="1:6" x14ac:dyDescent="0.3">
      <c r="A190" s="1">
        <v>14.266999999999999</v>
      </c>
      <c r="B190" s="1">
        <v>1.1813</v>
      </c>
      <c r="C190" s="1">
        <f>Tabela9[[#This Row],[Alongamento(mm/mm)]]/$I$2</f>
        <v>2.3626000000000001E-2</v>
      </c>
      <c r="D190" s="1">
        <v>91.003</v>
      </c>
      <c r="E190" s="1">
        <f>Tabela9[[#This Row],[Forτa(N)]]/$I$5</f>
        <v>2900725.1573830587</v>
      </c>
      <c r="F190" s="1">
        <f>Tabela9[[#This Row],[Tensão(Pa)]]/1000000</f>
        <v>2.9007251573830586</v>
      </c>
    </row>
    <row r="191" spans="1:6" x14ac:dyDescent="0.3">
      <c r="A191" s="1">
        <v>14.317</v>
      </c>
      <c r="B191" s="1">
        <v>1.1855</v>
      </c>
      <c r="C191" s="1">
        <f>Tabela9[[#This Row],[Alongamento(mm/mm)]]/$I$2</f>
        <v>2.3709999999999998E-2</v>
      </c>
      <c r="D191" s="1">
        <v>91.683000000000007</v>
      </c>
      <c r="E191" s="1">
        <f>Tabela9[[#This Row],[Forτa(N)]]/$I$5</f>
        <v>2922400.1912502991</v>
      </c>
      <c r="F191" s="1">
        <f>Tabela9[[#This Row],[Tensão(Pa)]]/1000000</f>
        <v>2.9224001912502993</v>
      </c>
    </row>
    <row r="192" spans="1:6" x14ac:dyDescent="0.3">
      <c r="A192" s="1">
        <v>14.367000000000001</v>
      </c>
      <c r="B192" s="1">
        <v>1.1897</v>
      </c>
      <c r="C192" s="1">
        <f>Tabela9[[#This Row],[Alongamento(mm/mm)]]/$I$2</f>
        <v>2.3793999999999999E-2</v>
      </c>
      <c r="D192" s="1">
        <v>92.364000000000004</v>
      </c>
      <c r="E192" s="1">
        <f>Tabela9[[#This Row],[Forτa(N)]]/$I$5</f>
        <v>2944107.1001673443</v>
      </c>
      <c r="F192" s="1">
        <f>Tabela9[[#This Row],[Tensão(Pa)]]/1000000</f>
        <v>2.9441071001673444</v>
      </c>
    </row>
    <row r="193" spans="1:6" x14ac:dyDescent="0.3">
      <c r="A193" s="1">
        <v>14.433</v>
      </c>
      <c r="B193" s="1">
        <v>1.1952</v>
      </c>
      <c r="C193" s="1">
        <f>Tabela9[[#This Row],[Alongamento(mm/mm)]]/$I$2</f>
        <v>2.3904000000000002E-2</v>
      </c>
      <c r="D193" s="1">
        <v>93.213999999999999</v>
      </c>
      <c r="E193" s="1">
        <f>Tabela9[[#This Row],[Forτa(N)]]/$I$5</f>
        <v>2971200.8925013947</v>
      </c>
      <c r="F193" s="1">
        <f>Tabela9[[#This Row],[Tensão(Pa)]]/1000000</f>
        <v>2.9712008925013946</v>
      </c>
    </row>
    <row r="194" spans="1:6" x14ac:dyDescent="0.3">
      <c r="A194" s="1">
        <v>14.483000000000001</v>
      </c>
      <c r="B194" s="1">
        <v>1.1993</v>
      </c>
      <c r="C194" s="1">
        <f>Tabela9[[#This Row],[Alongamento(mm/mm)]]/$I$2</f>
        <v>2.3986E-2</v>
      </c>
      <c r="D194" s="1">
        <v>93.894999999999996</v>
      </c>
      <c r="E194" s="1">
        <f>Tabela9[[#This Row],[Forτa(N)]]/$I$5</f>
        <v>2992907.80141844</v>
      </c>
      <c r="F194" s="1">
        <f>Tabela9[[#This Row],[Tensão(Pa)]]/1000000</f>
        <v>2.9929078014184398</v>
      </c>
    </row>
    <row r="195" spans="1:6" x14ac:dyDescent="0.3">
      <c r="A195" s="1">
        <v>14.532999999999999</v>
      </c>
      <c r="B195" s="1">
        <v>1.2034</v>
      </c>
      <c r="C195" s="1">
        <f>Tabela9[[#This Row],[Alongamento(mm/mm)]]/$I$2</f>
        <v>2.4067999999999999E-2</v>
      </c>
      <c r="D195" s="1">
        <v>94.575000000000003</v>
      </c>
      <c r="E195" s="1">
        <f>Tabela9[[#This Row],[Forτa(N)]]/$I$5</f>
        <v>3014582.8352856804</v>
      </c>
      <c r="F195" s="1">
        <f>Tabela9[[#This Row],[Tensão(Pa)]]/1000000</f>
        <v>3.0145828352856805</v>
      </c>
    </row>
    <row r="196" spans="1:6" x14ac:dyDescent="0.3">
      <c r="A196" s="1">
        <v>14.6</v>
      </c>
      <c r="B196" s="1">
        <v>1.2090000000000001</v>
      </c>
      <c r="C196" s="1">
        <f>Tabela9[[#This Row],[Alongamento(mm/mm)]]/$I$2</f>
        <v>2.418E-2</v>
      </c>
      <c r="D196" s="1">
        <v>95.424999999999997</v>
      </c>
      <c r="E196" s="1">
        <f>Tabela9[[#This Row],[Forτa(N)]]/$I$5</f>
        <v>3041676.6276197308</v>
      </c>
      <c r="F196" s="1">
        <f>Tabela9[[#This Row],[Tensão(Pa)]]/1000000</f>
        <v>3.0416766276197307</v>
      </c>
    </row>
    <row r="197" spans="1:6" x14ac:dyDescent="0.3">
      <c r="A197" s="1">
        <v>14.65</v>
      </c>
      <c r="B197" s="1">
        <v>1.2132000000000001</v>
      </c>
      <c r="C197" s="1">
        <f>Tabela9[[#This Row],[Alongamento(mm/mm)]]/$I$2</f>
        <v>2.4264000000000001E-2</v>
      </c>
      <c r="D197" s="1">
        <v>96.105999999999995</v>
      </c>
      <c r="E197" s="1">
        <f>Tabela9[[#This Row],[Forτa(N)]]/$I$5</f>
        <v>3063383.536536776</v>
      </c>
      <c r="F197" s="1">
        <f>Tabela9[[#This Row],[Tensão(Pa)]]/1000000</f>
        <v>3.0633835365367759</v>
      </c>
    </row>
    <row r="198" spans="1:6" x14ac:dyDescent="0.3">
      <c r="A198" s="1">
        <v>14.7</v>
      </c>
      <c r="B198" s="1">
        <v>1.2174</v>
      </c>
      <c r="C198" s="1">
        <f>Tabela9[[#This Row],[Alongamento(mm/mm)]]/$I$2</f>
        <v>2.4348000000000002E-2</v>
      </c>
      <c r="D198" s="1">
        <v>96.786000000000001</v>
      </c>
      <c r="E198" s="1">
        <f>Tabela9[[#This Row],[Forτa(N)]]/$I$5</f>
        <v>3085058.5704040164</v>
      </c>
      <c r="F198" s="1">
        <f>Tabela9[[#This Row],[Tensão(Pa)]]/1000000</f>
        <v>3.0850585704040165</v>
      </c>
    </row>
    <row r="199" spans="1:6" x14ac:dyDescent="0.3">
      <c r="A199" s="1">
        <v>14.75</v>
      </c>
      <c r="B199" s="1">
        <v>1.2216</v>
      </c>
      <c r="C199" s="1">
        <f>Tabela9[[#This Row],[Alongamento(mm/mm)]]/$I$2</f>
        <v>2.4431999999999999E-2</v>
      </c>
      <c r="D199" s="1">
        <v>97.466999999999999</v>
      </c>
      <c r="E199" s="1">
        <f>Tabela9[[#This Row],[Forτa(N)]]/$I$5</f>
        <v>3106765.4793210616</v>
      </c>
      <c r="F199" s="1">
        <f>Tabela9[[#This Row],[Tensão(Pa)]]/1000000</f>
        <v>3.1067654793210617</v>
      </c>
    </row>
    <row r="200" spans="1:6" x14ac:dyDescent="0.3">
      <c r="A200" s="1">
        <v>14.817</v>
      </c>
      <c r="B200" s="1">
        <v>1.2272000000000001</v>
      </c>
      <c r="C200" s="1">
        <f>Tabela9[[#This Row],[Alongamento(mm/mm)]]/$I$2</f>
        <v>2.4544E-2</v>
      </c>
      <c r="D200" s="1">
        <v>98.316999999999993</v>
      </c>
      <c r="E200" s="1">
        <f>Tabela9[[#This Row],[Forτa(N)]]/$I$5</f>
        <v>3133859.271655112</v>
      </c>
      <c r="F200" s="1">
        <f>Tabela9[[#This Row],[Tensão(Pa)]]/1000000</f>
        <v>3.1338592716551119</v>
      </c>
    </row>
    <row r="201" spans="1:6" x14ac:dyDescent="0.3">
      <c r="A201" s="1">
        <v>14.867000000000001</v>
      </c>
      <c r="B201" s="1">
        <v>1.2313000000000001</v>
      </c>
      <c r="C201" s="1">
        <f>Tabela9[[#This Row],[Alongamento(mm/mm)]]/$I$2</f>
        <v>2.4626000000000002E-2</v>
      </c>
      <c r="D201" s="1">
        <v>98.998000000000005</v>
      </c>
      <c r="E201" s="1">
        <f>Tabela9[[#This Row],[Forτa(N)]]/$I$5</f>
        <v>3155566.1805721573</v>
      </c>
      <c r="F201" s="1">
        <f>Tabela9[[#This Row],[Tensão(Pa)]]/1000000</f>
        <v>3.1555661805721571</v>
      </c>
    </row>
    <row r="202" spans="1:6" x14ac:dyDescent="0.3">
      <c r="A202" s="1">
        <v>14.917</v>
      </c>
      <c r="B202" s="1">
        <v>1.2354000000000001</v>
      </c>
      <c r="C202" s="1">
        <f>Tabela9[[#This Row],[Alongamento(mm/mm)]]/$I$2</f>
        <v>2.4708000000000001E-2</v>
      </c>
      <c r="D202" s="1">
        <v>99.677999999999997</v>
      </c>
      <c r="E202" s="1">
        <f>Tabela9[[#This Row],[Forτa(N)]]/$I$5</f>
        <v>3177241.2144393977</v>
      </c>
      <c r="F202" s="1">
        <f>Tabela9[[#This Row],[Tensão(Pa)]]/1000000</f>
        <v>3.1772412144393978</v>
      </c>
    </row>
    <row r="203" spans="1:6" x14ac:dyDescent="0.3">
      <c r="A203" s="1">
        <v>14.967000000000001</v>
      </c>
      <c r="B203" s="1">
        <v>1.2395</v>
      </c>
      <c r="C203" s="1">
        <f>Tabela9[[#This Row],[Alongamento(mm/mm)]]/$I$2</f>
        <v>2.479E-2</v>
      </c>
      <c r="D203" s="1">
        <v>100.36</v>
      </c>
      <c r="E203" s="1">
        <f>Tabela9[[#This Row],[Forτa(N)]]/$I$5</f>
        <v>3198979.9984062477</v>
      </c>
      <c r="F203" s="1">
        <f>Tabela9[[#This Row],[Tensão(Pa)]]/1000000</f>
        <v>3.1989799984062479</v>
      </c>
    </row>
    <row r="204" spans="1:6" x14ac:dyDescent="0.3">
      <c r="A204" s="1">
        <v>15.016999999999999</v>
      </c>
      <c r="B204" s="1">
        <v>1.2438</v>
      </c>
      <c r="C204" s="1">
        <f>Tabela9[[#This Row],[Alongamento(mm/mm)]]/$I$2</f>
        <v>2.4875999999999999E-2</v>
      </c>
      <c r="D204" s="1">
        <v>101.04</v>
      </c>
      <c r="E204" s="1">
        <f>Tabela9[[#This Row],[Forτa(N)]]/$I$5</f>
        <v>3220655.0322734881</v>
      </c>
      <c r="F204" s="1">
        <f>Tabela9[[#This Row],[Tensão(Pa)]]/1000000</f>
        <v>3.2206550322734881</v>
      </c>
    </row>
    <row r="205" spans="1:6" x14ac:dyDescent="0.3">
      <c r="A205" s="1">
        <v>15.067</v>
      </c>
      <c r="B205" s="1">
        <v>1.2479</v>
      </c>
      <c r="C205" s="1">
        <f>Tabela9[[#This Row],[Alongamento(mm/mm)]]/$I$2</f>
        <v>2.4958000000000001E-2</v>
      </c>
      <c r="D205" s="1">
        <v>101.72</v>
      </c>
      <c r="E205" s="1">
        <f>Tabela9[[#This Row],[Forτa(N)]]/$I$5</f>
        <v>3242330.0661407285</v>
      </c>
      <c r="F205" s="1">
        <f>Tabela9[[#This Row],[Tensão(Pa)]]/1000000</f>
        <v>3.2423300661407284</v>
      </c>
    </row>
    <row r="206" spans="1:6" x14ac:dyDescent="0.3">
      <c r="A206" s="1">
        <v>15.117000000000001</v>
      </c>
      <c r="B206" s="1">
        <v>1.2521</v>
      </c>
      <c r="C206" s="1">
        <f>Tabela9[[#This Row],[Alongamento(mm/mm)]]/$I$2</f>
        <v>2.5041999999999998E-2</v>
      </c>
      <c r="D206" s="1">
        <v>102.4</v>
      </c>
      <c r="E206" s="1">
        <f>Tabela9[[#This Row],[Forτa(N)]]/$I$5</f>
        <v>3264005.100007969</v>
      </c>
      <c r="F206" s="1">
        <f>Tabela9[[#This Row],[Tensão(Pa)]]/1000000</f>
        <v>3.2640051000079691</v>
      </c>
    </row>
    <row r="207" spans="1:6" x14ac:dyDescent="0.3">
      <c r="A207" s="1">
        <v>15.167</v>
      </c>
      <c r="B207" s="1">
        <v>1.2563</v>
      </c>
      <c r="C207" s="1">
        <f>Tabela9[[#This Row],[Alongamento(mm/mm)]]/$I$2</f>
        <v>2.5125999999999999E-2</v>
      </c>
      <c r="D207" s="1">
        <v>103.25</v>
      </c>
      <c r="E207" s="1">
        <f>Tabela9[[#This Row],[Forτa(N)]]/$I$5</f>
        <v>3291098.8923420194</v>
      </c>
      <c r="F207" s="1">
        <f>Tabela9[[#This Row],[Tensão(Pa)]]/1000000</f>
        <v>3.2910988923420192</v>
      </c>
    </row>
    <row r="208" spans="1:6" x14ac:dyDescent="0.3">
      <c r="A208" s="1">
        <v>15.217000000000001</v>
      </c>
      <c r="B208" s="1">
        <v>1.2604</v>
      </c>
      <c r="C208" s="1">
        <f>Tabela9[[#This Row],[Alongamento(mm/mm)]]/$I$2</f>
        <v>2.5207999999999998E-2</v>
      </c>
      <c r="D208" s="1">
        <v>103.93</v>
      </c>
      <c r="E208" s="1">
        <f>Tabela9[[#This Row],[Forτa(N)]]/$I$5</f>
        <v>3312773.9262092602</v>
      </c>
      <c r="F208" s="1">
        <f>Tabela9[[#This Row],[Tensão(Pa)]]/1000000</f>
        <v>3.3127739262092604</v>
      </c>
    </row>
    <row r="209" spans="1:6" x14ac:dyDescent="0.3">
      <c r="A209" s="1">
        <v>15.266999999999999</v>
      </c>
      <c r="B209" s="1">
        <v>1.2645999999999999</v>
      </c>
      <c r="C209" s="1">
        <f>Tabela9[[#This Row],[Alongamento(mm/mm)]]/$I$2</f>
        <v>2.5291999999999999E-2</v>
      </c>
      <c r="D209" s="1">
        <v>104.61</v>
      </c>
      <c r="E209" s="1">
        <f>Tabela9[[#This Row],[Forτa(N)]]/$I$5</f>
        <v>3334448.9600765002</v>
      </c>
      <c r="F209" s="1">
        <f>Tabela9[[#This Row],[Tensão(Pa)]]/1000000</f>
        <v>3.3344489600765002</v>
      </c>
    </row>
    <row r="210" spans="1:6" x14ac:dyDescent="0.3">
      <c r="A210" s="1">
        <v>15.317</v>
      </c>
      <c r="B210" s="1">
        <v>1.2687999999999999</v>
      </c>
      <c r="C210" s="1">
        <f>Tabela9[[#This Row],[Alongamento(mm/mm)]]/$I$2</f>
        <v>2.5375999999999999E-2</v>
      </c>
      <c r="D210" s="1">
        <v>105.29</v>
      </c>
      <c r="E210" s="1">
        <f>Tabela9[[#This Row],[Forτa(N)]]/$I$5</f>
        <v>3356123.9939437411</v>
      </c>
      <c r="F210" s="1">
        <f>Tabela9[[#This Row],[Tensão(Pa)]]/1000000</f>
        <v>3.3561239939437413</v>
      </c>
    </row>
    <row r="211" spans="1:6" x14ac:dyDescent="0.3">
      <c r="A211" s="1">
        <v>15.367000000000001</v>
      </c>
      <c r="B211" s="1">
        <v>1.2728999999999999</v>
      </c>
      <c r="C211" s="1">
        <f>Tabela9[[#This Row],[Alongamento(mm/mm)]]/$I$2</f>
        <v>2.5457999999999998E-2</v>
      </c>
      <c r="D211" s="1">
        <v>106.14</v>
      </c>
      <c r="E211" s="1">
        <f>Tabela9[[#This Row],[Forτa(N)]]/$I$5</f>
        <v>3383217.7862777915</v>
      </c>
      <c r="F211" s="1">
        <f>Tabela9[[#This Row],[Tensão(Pa)]]/1000000</f>
        <v>3.3832177862777915</v>
      </c>
    </row>
    <row r="212" spans="1:6" x14ac:dyDescent="0.3">
      <c r="A212" s="1">
        <v>15.417</v>
      </c>
      <c r="B212" s="1">
        <v>1.2770999999999999</v>
      </c>
      <c r="C212" s="1">
        <f>Tabela9[[#This Row],[Alongamento(mm/mm)]]/$I$2</f>
        <v>2.5541999999999999E-2</v>
      </c>
      <c r="D212" s="1">
        <v>106.82</v>
      </c>
      <c r="E212" s="1">
        <f>Tabela9[[#This Row],[Forτa(N)]]/$I$5</f>
        <v>3404892.8201450314</v>
      </c>
      <c r="F212" s="1">
        <f>Tabela9[[#This Row],[Tensão(Pa)]]/1000000</f>
        <v>3.4048928201450313</v>
      </c>
    </row>
    <row r="213" spans="1:6" x14ac:dyDescent="0.3">
      <c r="A213" s="1">
        <v>15.467000000000001</v>
      </c>
      <c r="B213" s="1">
        <v>1.2813000000000001</v>
      </c>
      <c r="C213" s="1">
        <f>Tabela9[[#This Row],[Alongamento(mm/mm)]]/$I$2</f>
        <v>2.5626000000000003E-2</v>
      </c>
      <c r="D213" s="1">
        <v>107.5</v>
      </c>
      <c r="E213" s="1">
        <f>Tabela9[[#This Row],[Forτa(N)]]/$I$5</f>
        <v>3426567.8540122723</v>
      </c>
      <c r="F213" s="1">
        <f>Tabela9[[#This Row],[Tensão(Pa)]]/1000000</f>
        <v>3.4265678540122724</v>
      </c>
    </row>
    <row r="214" spans="1:6" x14ac:dyDescent="0.3">
      <c r="A214" s="1">
        <v>15.516999999999999</v>
      </c>
      <c r="B214" s="1">
        <v>1.2854000000000001</v>
      </c>
      <c r="C214" s="1">
        <f>Tabela9[[#This Row],[Alongamento(mm/mm)]]/$I$2</f>
        <v>2.5708000000000002E-2</v>
      </c>
      <c r="D214" s="1">
        <v>108.35</v>
      </c>
      <c r="E214" s="1">
        <f>Tabela9[[#This Row],[Forτa(N)]]/$I$5</f>
        <v>3453661.6463463223</v>
      </c>
      <c r="F214" s="1">
        <f>Tabela9[[#This Row],[Tensão(Pa)]]/1000000</f>
        <v>3.4536616463463221</v>
      </c>
    </row>
    <row r="215" spans="1:6" x14ac:dyDescent="0.3">
      <c r="A215" s="1">
        <v>15.567</v>
      </c>
      <c r="B215" s="1">
        <v>1.2896000000000001</v>
      </c>
      <c r="C215" s="1">
        <f>Tabela9[[#This Row],[Alongamento(mm/mm)]]/$I$2</f>
        <v>2.5792000000000002E-2</v>
      </c>
      <c r="D215" s="1">
        <v>109.03</v>
      </c>
      <c r="E215" s="1">
        <f>Tabela9[[#This Row],[Forτa(N)]]/$I$5</f>
        <v>3475336.6802135631</v>
      </c>
      <c r="F215" s="1">
        <f>Tabela9[[#This Row],[Tensão(Pa)]]/1000000</f>
        <v>3.4753366802135632</v>
      </c>
    </row>
    <row r="216" spans="1:6" x14ac:dyDescent="0.3">
      <c r="A216" s="1">
        <v>15.617000000000001</v>
      </c>
      <c r="B216" s="1">
        <v>1.2938000000000001</v>
      </c>
      <c r="C216" s="1">
        <f>Tabela9[[#This Row],[Alongamento(mm/mm)]]/$I$2</f>
        <v>2.5876E-2</v>
      </c>
      <c r="D216" s="1">
        <v>109.88</v>
      </c>
      <c r="E216" s="1">
        <f>Tabela9[[#This Row],[Forτa(N)]]/$I$5</f>
        <v>3502430.4725476135</v>
      </c>
      <c r="F216" s="1">
        <f>Tabela9[[#This Row],[Tensão(Pa)]]/1000000</f>
        <v>3.5024304725476134</v>
      </c>
    </row>
    <row r="217" spans="1:6" x14ac:dyDescent="0.3">
      <c r="A217" s="1">
        <v>15.667</v>
      </c>
      <c r="B217" s="1">
        <v>1.298</v>
      </c>
      <c r="C217" s="1">
        <f>Tabela9[[#This Row],[Alongamento(mm/mm)]]/$I$2</f>
        <v>2.596E-2</v>
      </c>
      <c r="D217" s="1">
        <v>110.56</v>
      </c>
      <c r="E217" s="1">
        <f>Tabela9[[#This Row],[Forτa(N)]]/$I$5</f>
        <v>3524105.506414854</v>
      </c>
      <c r="F217" s="1">
        <f>Tabela9[[#This Row],[Tensão(Pa)]]/1000000</f>
        <v>3.5241055064148541</v>
      </c>
    </row>
    <row r="218" spans="1:6" x14ac:dyDescent="0.3">
      <c r="A218" s="1">
        <v>15.717000000000001</v>
      </c>
      <c r="B218" s="1">
        <v>1.3021</v>
      </c>
      <c r="C218" s="1">
        <f>Tabela9[[#This Row],[Alongamento(mm/mm)]]/$I$2</f>
        <v>2.6041999999999999E-2</v>
      </c>
      <c r="D218" s="1">
        <v>111.24</v>
      </c>
      <c r="E218" s="1">
        <f>Tabela9[[#This Row],[Forτa(N)]]/$I$5</f>
        <v>3545780.5402820944</v>
      </c>
      <c r="F218" s="1">
        <f>Tabela9[[#This Row],[Tensão(Pa)]]/1000000</f>
        <v>3.5457805402820943</v>
      </c>
    </row>
    <row r="219" spans="1:6" x14ac:dyDescent="0.3">
      <c r="A219" s="1">
        <v>15.766999999999999</v>
      </c>
      <c r="B219" s="1">
        <v>1.3063</v>
      </c>
      <c r="C219" s="1">
        <f>Tabela9[[#This Row],[Alongamento(mm/mm)]]/$I$2</f>
        <v>2.6126E-2</v>
      </c>
      <c r="D219" s="1">
        <v>112.1</v>
      </c>
      <c r="E219" s="1">
        <f>Tabela9[[#This Row],[Forτa(N)]]/$I$5</f>
        <v>3573193.0831141924</v>
      </c>
      <c r="F219" s="1">
        <f>Tabela9[[#This Row],[Tensão(Pa)]]/1000000</f>
        <v>3.5731930831141923</v>
      </c>
    </row>
    <row r="220" spans="1:6" x14ac:dyDescent="0.3">
      <c r="A220" s="1">
        <v>15.817</v>
      </c>
      <c r="B220" s="1">
        <v>1.3104</v>
      </c>
      <c r="C220" s="1">
        <f>Tabela9[[#This Row],[Alongamento(mm/mm)]]/$I$2</f>
        <v>2.6207999999999999E-2</v>
      </c>
      <c r="D220" s="1">
        <v>112.95</v>
      </c>
      <c r="E220" s="1">
        <f>Tabela9[[#This Row],[Forτa(N)]]/$I$5</f>
        <v>3600286.8754482432</v>
      </c>
      <c r="F220" s="1">
        <f>Tabela9[[#This Row],[Tensão(Pa)]]/1000000</f>
        <v>3.6002868754482433</v>
      </c>
    </row>
    <row r="221" spans="1:6" x14ac:dyDescent="0.3">
      <c r="A221" s="1">
        <v>15.867000000000001</v>
      </c>
      <c r="B221" s="1">
        <v>1.3146</v>
      </c>
      <c r="C221" s="1">
        <f>Tabela9[[#This Row],[Alongamento(mm/mm)]]/$I$2</f>
        <v>2.6291999999999999E-2</v>
      </c>
      <c r="D221" s="1">
        <v>113.63</v>
      </c>
      <c r="E221" s="1">
        <f>Tabela9[[#This Row],[Forτa(N)]]/$I$5</f>
        <v>3621961.9093154832</v>
      </c>
      <c r="F221" s="1">
        <f>Tabela9[[#This Row],[Tensão(Pa)]]/1000000</f>
        <v>3.6219619093154831</v>
      </c>
    </row>
    <row r="222" spans="1:6" x14ac:dyDescent="0.3">
      <c r="A222" s="1">
        <v>15.917</v>
      </c>
      <c r="B222" s="1">
        <v>1.3188</v>
      </c>
      <c r="C222" s="1">
        <f>Tabela9[[#This Row],[Alongamento(mm/mm)]]/$I$2</f>
        <v>2.6376E-2</v>
      </c>
      <c r="D222" s="1">
        <v>114.48</v>
      </c>
      <c r="E222" s="1">
        <f>Tabela9[[#This Row],[Forτa(N)]]/$I$5</f>
        <v>3649055.7016495341</v>
      </c>
      <c r="F222" s="1">
        <f>Tabela9[[#This Row],[Tensão(Pa)]]/1000000</f>
        <v>3.6490557016495342</v>
      </c>
    </row>
    <row r="223" spans="1:6" x14ac:dyDescent="0.3">
      <c r="A223" s="1">
        <v>15.967000000000001</v>
      </c>
      <c r="B223" s="1">
        <v>1.323</v>
      </c>
      <c r="C223" s="1">
        <f>Tabela9[[#This Row],[Alongamento(mm/mm)]]/$I$2</f>
        <v>2.6459999999999997E-2</v>
      </c>
      <c r="D223" s="1">
        <v>115.33</v>
      </c>
      <c r="E223" s="1">
        <f>Tabela9[[#This Row],[Forτa(N)]]/$I$5</f>
        <v>3676149.4939835845</v>
      </c>
      <c r="F223" s="1">
        <f>Tabela9[[#This Row],[Tensão(Pa)]]/1000000</f>
        <v>3.6761494939835844</v>
      </c>
    </row>
    <row r="224" spans="1:6" x14ac:dyDescent="0.3">
      <c r="A224" s="1">
        <v>16.016999999999999</v>
      </c>
      <c r="B224" s="1">
        <v>1.3270999999999999</v>
      </c>
      <c r="C224" s="1">
        <f>Tabela9[[#This Row],[Alongamento(mm/mm)]]/$I$2</f>
        <v>2.6542E-2</v>
      </c>
      <c r="D224" s="1">
        <v>116.01</v>
      </c>
      <c r="E224" s="1">
        <f>Tabela9[[#This Row],[Forτa(N)]]/$I$5</f>
        <v>3697824.5278508253</v>
      </c>
      <c r="F224" s="1">
        <f>Tabela9[[#This Row],[Tensão(Pa)]]/1000000</f>
        <v>3.6978245278508255</v>
      </c>
    </row>
    <row r="225" spans="1:6" x14ac:dyDescent="0.3">
      <c r="A225" s="1">
        <v>16.067</v>
      </c>
      <c r="B225" s="1">
        <v>1.3312999999999999</v>
      </c>
      <c r="C225" s="1">
        <f>Tabela9[[#This Row],[Alongamento(mm/mm)]]/$I$2</f>
        <v>2.6625999999999997E-2</v>
      </c>
      <c r="D225" s="1">
        <v>116.86</v>
      </c>
      <c r="E225" s="1">
        <f>Tabela9[[#This Row],[Forτa(N)]]/$I$5</f>
        <v>3724918.3201848753</v>
      </c>
      <c r="F225" s="1">
        <f>Tabela9[[#This Row],[Tensão(Pa)]]/1000000</f>
        <v>3.7249183201848752</v>
      </c>
    </row>
    <row r="226" spans="1:6" x14ac:dyDescent="0.3">
      <c r="A226" s="1">
        <v>16.117000000000001</v>
      </c>
      <c r="B226" s="1">
        <v>1.3354999999999999</v>
      </c>
      <c r="C226" s="1">
        <f>Tabela9[[#This Row],[Alongamento(mm/mm)]]/$I$2</f>
        <v>2.6709999999999998E-2</v>
      </c>
      <c r="D226" s="1">
        <v>117.71</v>
      </c>
      <c r="E226" s="1">
        <f>Tabela9[[#This Row],[Forτa(N)]]/$I$5</f>
        <v>3752012.1125189257</v>
      </c>
      <c r="F226" s="1">
        <f>Tabela9[[#This Row],[Tensão(Pa)]]/1000000</f>
        <v>3.7520121125189259</v>
      </c>
    </row>
    <row r="227" spans="1:6" x14ac:dyDescent="0.3">
      <c r="A227" s="1">
        <v>16.167000000000002</v>
      </c>
      <c r="B227" s="1">
        <v>1.3395999999999999</v>
      </c>
      <c r="C227" s="1">
        <f>Tabela9[[#This Row],[Alongamento(mm/mm)]]/$I$2</f>
        <v>2.6791999999999996E-2</v>
      </c>
      <c r="D227" s="1">
        <v>118.56</v>
      </c>
      <c r="E227" s="1">
        <f>Tabela9[[#This Row],[Forτa(N)]]/$I$5</f>
        <v>3779105.9048529766</v>
      </c>
      <c r="F227" s="1">
        <f>Tabela9[[#This Row],[Tensão(Pa)]]/1000000</f>
        <v>3.7791059048529765</v>
      </c>
    </row>
    <row r="228" spans="1:6" x14ac:dyDescent="0.3">
      <c r="A228" s="1">
        <v>16.216999999999999</v>
      </c>
      <c r="B228" s="1">
        <v>1.3438000000000001</v>
      </c>
      <c r="C228" s="1">
        <f>Tabela9[[#This Row],[Alongamento(mm/mm)]]/$I$2</f>
        <v>2.6876000000000001E-2</v>
      </c>
      <c r="D228" s="1">
        <v>119.41</v>
      </c>
      <c r="E228" s="1">
        <f>Tabela9[[#This Row],[Forτa(N)]]/$I$5</f>
        <v>3806199.697187027</v>
      </c>
      <c r="F228" s="1">
        <f>Tabela9[[#This Row],[Tensão(Pa)]]/1000000</f>
        <v>3.8061996971870271</v>
      </c>
    </row>
    <row r="229" spans="1:6" x14ac:dyDescent="0.3">
      <c r="A229" s="1">
        <v>16.266999999999999</v>
      </c>
      <c r="B229" s="1">
        <v>1.3479000000000001</v>
      </c>
      <c r="C229" s="1">
        <f>Tabela9[[#This Row],[Alongamento(mm/mm)]]/$I$2</f>
        <v>2.6958000000000003E-2</v>
      </c>
      <c r="D229" s="1">
        <v>120.26</v>
      </c>
      <c r="E229" s="1">
        <f>Tabela9[[#This Row],[Forτa(N)]]/$I$5</f>
        <v>3833293.4895210778</v>
      </c>
      <c r="F229" s="1">
        <f>Tabela9[[#This Row],[Tensão(Pa)]]/1000000</f>
        <v>3.8332934895210777</v>
      </c>
    </row>
    <row r="230" spans="1:6" x14ac:dyDescent="0.3">
      <c r="A230" s="1">
        <v>16.317</v>
      </c>
      <c r="B230" s="1">
        <v>1.3521000000000001</v>
      </c>
      <c r="C230" s="1">
        <f>Tabela9[[#This Row],[Alongamento(mm/mm)]]/$I$2</f>
        <v>2.7042E-2</v>
      </c>
      <c r="D230" s="1">
        <v>121.11</v>
      </c>
      <c r="E230" s="1">
        <f>Tabela9[[#This Row],[Forτa(N)]]/$I$5</f>
        <v>3860387.2818551282</v>
      </c>
      <c r="F230" s="1">
        <f>Tabela9[[#This Row],[Tensão(Pa)]]/1000000</f>
        <v>3.8603872818551284</v>
      </c>
    </row>
    <row r="231" spans="1:6" x14ac:dyDescent="0.3">
      <c r="A231" s="1">
        <v>16.367000000000001</v>
      </c>
      <c r="B231" s="1">
        <v>1.3563000000000001</v>
      </c>
      <c r="C231" s="1">
        <f>Tabela9[[#This Row],[Alongamento(mm/mm)]]/$I$2</f>
        <v>2.7126000000000001E-2</v>
      </c>
      <c r="D231" s="1">
        <v>121.96</v>
      </c>
      <c r="E231" s="1">
        <f>Tabela9[[#This Row],[Forτa(N)]]/$I$5</f>
        <v>3887481.0741891786</v>
      </c>
      <c r="F231" s="1">
        <f>Tabela9[[#This Row],[Tensão(Pa)]]/1000000</f>
        <v>3.8874810741891785</v>
      </c>
    </row>
    <row r="232" spans="1:6" x14ac:dyDescent="0.3">
      <c r="A232" s="1">
        <v>16.399999999999999</v>
      </c>
      <c r="B232" s="1">
        <v>1.359</v>
      </c>
      <c r="C232" s="1">
        <f>Tabela9[[#This Row],[Alongamento(mm/mm)]]/$I$2</f>
        <v>2.7179999999999999E-2</v>
      </c>
      <c r="D232" s="1">
        <v>122.64</v>
      </c>
      <c r="E232" s="1">
        <f>Tabela9[[#This Row],[Forτa(N)]]/$I$5</f>
        <v>3909156.1080564191</v>
      </c>
      <c r="F232" s="1">
        <f>Tabela9[[#This Row],[Tensão(Pa)]]/1000000</f>
        <v>3.9091561080564192</v>
      </c>
    </row>
    <row r="233" spans="1:6" x14ac:dyDescent="0.3">
      <c r="A233" s="1">
        <v>16.45</v>
      </c>
      <c r="B233" s="1">
        <v>1.3631</v>
      </c>
      <c r="C233" s="1">
        <f>Tabela9[[#This Row],[Alongamento(mm/mm)]]/$I$2</f>
        <v>2.7261999999999998E-2</v>
      </c>
      <c r="D233" s="1">
        <v>123.49</v>
      </c>
      <c r="E233" s="1">
        <f>Tabela9[[#This Row],[Forτa(N)]]/$I$5</f>
        <v>3936249.9003904695</v>
      </c>
      <c r="F233" s="1">
        <f>Tabela9[[#This Row],[Tensão(Pa)]]/1000000</f>
        <v>3.9362499003904694</v>
      </c>
    </row>
    <row r="234" spans="1:6" x14ac:dyDescent="0.3">
      <c r="A234" s="1">
        <v>16.483000000000001</v>
      </c>
      <c r="B234" s="1">
        <v>1.3660000000000001</v>
      </c>
      <c r="C234" s="1">
        <f>Tabela9[[#This Row],[Alongamento(mm/mm)]]/$I$2</f>
        <v>2.7320000000000001E-2</v>
      </c>
      <c r="D234" s="1">
        <v>124.17</v>
      </c>
      <c r="E234" s="1">
        <f>Tabela9[[#This Row],[Forτa(N)]]/$I$5</f>
        <v>3957924.9342577099</v>
      </c>
      <c r="F234" s="1">
        <f>Tabela9[[#This Row],[Tensão(Pa)]]/1000000</f>
        <v>3.9579249342577101</v>
      </c>
    </row>
    <row r="235" spans="1:6" x14ac:dyDescent="0.3">
      <c r="A235" s="1">
        <v>16.533000000000001</v>
      </c>
      <c r="B235" s="1">
        <v>1.3702000000000001</v>
      </c>
      <c r="C235" s="1">
        <f>Tabela9[[#This Row],[Alongamento(mm/mm)]]/$I$2</f>
        <v>2.7404000000000001E-2</v>
      </c>
      <c r="D235" s="1">
        <v>125.02</v>
      </c>
      <c r="E235" s="1">
        <f>Tabela9[[#This Row],[Forτa(N)]]/$I$5</f>
        <v>3985018.7265917603</v>
      </c>
      <c r="F235" s="1">
        <f>Tabela9[[#This Row],[Tensão(Pa)]]/1000000</f>
        <v>3.9850187265917603</v>
      </c>
    </row>
    <row r="236" spans="1:6" x14ac:dyDescent="0.3">
      <c r="A236" s="1">
        <v>16.567</v>
      </c>
      <c r="B236" s="1">
        <v>1.373</v>
      </c>
      <c r="C236" s="1">
        <f>Tabela9[[#This Row],[Alongamento(mm/mm)]]/$I$2</f>
        <v>2.7459999999999998E-2</v>
      </c>
      <c r="D236" s="1">
        <v>125.7</v>
      </c>
      <c r="E236" s="1">
        <f>Tabela9[[#This Row],[Forτa(N)]]/$I$5</f>
        <v>4006693.7604590012</v>
      </c>
      <c r="F236" s="1">
        <f>Tabela9[[#This Row],[Tensão(Pa)]]/1000000</f>
        <v>4.0066937604590009</v>
      </c>
    </row>
    <row r="237" spans="1:6" x14ac:dyDescent="0.3">
      <c r="A237" s="1">
        <v>16.617000000000001</v>
      </c>
      <c r="B237" s="1">
        <v>1.3772</v>
      </c>
      <c r="C237" s="1">
        <f>Tabela9[[#This Row],[Alongamento(mm/mm)]]/$I$2</f>
        <v>2.7543999999999999E-2</v>
      </c>
      <c r="D237" s="1">
        <v>126.55</v>
      </c>
      <c r="E237" s="1">
        <f>Tabela9[[#This Row],[Forτa(N)]]/$I$5</f>
        <v>4033787.5527930516</v>
      </c>
      <c r="F237" s="1">
        <f>Tabela9[[#This Row],[Tensão(Pa)]]/1000000</f>
        <v>4.0337875527930516</v>
      </c>
    </row>
    <row r="238" spans="1:6" x14ac:dyDescent="0.3">
      <c r="A238" s="1">
        <v>16.649999999999999</v>
      </c>
      <c r="B238" s="1">
        <v>1.3798999999999999</v>
      </c>
      <c r="C238" s="1">
        <f>Tabela9[[#This Row],[Alongamento(mm/mm)]]/$I$2</f>
        <v>2.7597999999999998E-2</v>
      </c>
      <c r="D238" s="1">
        <v>127.23</v>
      </c>
      <c r="E238" s="1">
        <f>Tabela9[[#This Row],[Forτa(N)]]/$I$5</f>
        <v>4055462.586660292</v>
      </c>
      <c r="F238" s="1">
        <f>Tabela9[[#This Row],[Tensão(Pa)]]/1000000</f>
        <v>4.0554625866602922</v>
      </c>
    </row>
    <row r="239" spans="1:6" x14ac:dyDescent="0.3">
      <c r="A239" s="1">
        <v>16.7</v>
      </c>
      <c r="B239" s="1">
        <v>1.3841000000000001</v>
      </c>
      <c r="C239" s="1">
        <f>Tabela9[[#This Row],[Alongamento(mm/mm)]]/$I$2</f>
        <v>2.7682000000000002E-2</v>
      </c>
      <c r="D239" s="1">
        <v>128.08000000000001</v>
      </c>
      <c r="E239" s="1">
        <f>Tabela9[[#This Row],[Forτa(N)]]/$I$5</f>
        <v>4082556.3789943429</v>
      </c>
      <c r="F239" s="1">
        <f>Tabela9[[#This Row],[Tensão(Pa)]]/1000000</f>
        <v>4.0825563789943429</v>
      </c>
    </row>
    <row r="240" spans="1:6" x14ac:dyDescent="0.3">
      <c r="A240" s="1">
        <v>16.733000000000001</v>
      </c>
      <c r="B240" s="1">
        <v>1.3868</v>
      </c>
      <c r="C240" s="1">
        <f>Tabela9[[#This Row],[Alongamento(mm/mm)]]/$I$2</f>
        <v>2.7736E-2</v>
      </c>
      <c r="D240" s="1">
        <v>128.76</v>
      </c>
      <c r="E240" s="1">
        <f>Tabela9[[#This Row],[Forτa(N)]]/$I$5</f>
        <v>4104231.4128615824</v>
      </c>
      <c r="F240" s="1">
        <f>Tabela9[[#This Row],[Tensão(Pa)]]/1000000</f>
        <v>4.1042314128615827</v>
      </c>
    </row>
    <row r="241" spans="1:6" x14ac:dyDescent="0.3">
      <c r="A241" s="1">
        <v>16.783000000000001</v>
      </c>
      <c r="B241" s="1">
        <v>1.391</v>
      </c>
      <c r="C241" s="1">
        <f>Tabela9[[#This Row],[Alongamento(mm/mm)]]/$I$2</f>
        <v>2.7820000000000001E-2</v>
      </c>
      <c r="D241" s="1">
        <v>129.62</v>
      </c>
      <c r="E241" s="1">
        <f>Tabela9[[#This Row],[Forτa(N)]]/$I$5</f>
        <v>4131643.9556936813</v>
      </c>
      <c r="F241" s="1">
        <f>Tabela9[[#This Row],[Tensão(Pa)]]/1000000</f>
        <v>4.131643955693681</v>
      </c>
    </row>
    <row r="242" spans="1:6" x14ac:dyDescent="0.3">
      <c r="A242" s="1">
        <v>16.817</v>
      </c>
      <c r="B242" s="1">
        <v>1.3936999999999999</v>
      </c>
      <c r="C242" s="1">
        <f>Tabela9[[#This Row],[Alongamento(mm/mm)]]/$I$2</f>
        <v>2.7873999999999999E-2</v>
      </c>
      <c r="D242" s="1">
        <v>130.30000000000001</v>
      </c>
      <c r="E242" s="1">
        <f>Tabela9[[#This Row],[Forτa(N)]]/$I$5</f>
        <v>4153318.9895609217</v>
      </c>
      <c r="F242" s="1">
        <f>Tabela9[[#This Row],[Tensão(Pa)]]/1000000</f>
        <v>4.1533189895609217</v>
      </c>
    </row>
    <row r="243" spans="1:6" x14ac:dyDescent="0.3">
      <c r="A243" s="1">
        <v>16.850000000000001</v>
      </c>
      <c r="B243" s="1">
        <v>1.3966000000000001</v>
      </c>
      <c r="C243" s="1">
        <f>Tabela9[[#This Row],[Alongamento(mm/mm)]]/$I$2</f>
        <v>2.7932000000000002E-2</v>
      </c>
      <c r="D243" s="1">
        <v>130.97999999999999</v>
      </c>
      <c r="E243" s="1">
        <f>Tabela9[[#This Row],[Forτa(N)]]/$I$5</f>
        <v>4174994.0234281616</v>
      </c>
      <c r="F243" s="1">
        <f>Tabela9[[#This Row],[Tensão(Pa)]]/1000000</f>
        <v>4.1749940234281615</v>
      </c>
    </row>
    <row r="244" spans="1:6" x14ac:dyDescent="0.3">
      <c r="A244" s="1">
        <v>16.917000000000002</v>
      </c>
      <c r="B244" s="1">
        <v>1.4020999999999999</v>
      </c>
      <c r="C244" s="1">
        <f>Tabela9[[#This Row],[Alongamento(mm/mm)]]/$I$2</f>
        <v>2.8041999999999997E-2</v>
      </c>
      <c r="D244" s="1">
        <v>132.16999999999999</v>
      </c>
      <c r="E244" s="1">
        <f>Tabela9[[#This Row],[Forτa(N)]]/$I$5</f>
        <v>4212925.3326958325</v>
      </c>
      <c r="F244" s="1">
        <f>Tabela9[[#This Row],[Tensão(Pa)]]/1000000</f>
        <v>4.2129253326958329</v>
      </c>
    </row>
    <row r="245" spans="1:6" x14ac:dyDescent="0.3">
      <c r="A245" s="1">
        <v>16.983000000000001</v>
      </c>
      <c r="B245" s="1">
        <v>1.4077</v>
      </c>
      <c r="C245" s="1">
        <f>Tabela9[[#This Row],[Alongamento(mm/mm)]]/$I$2</f>
        <v>2.8153999999999998E-2</v>
      </c>
      <c r="D245" s="1">
        <v>133.36000000000001</v>
      </c>
      <c r="E245" s="1">
        <f>Tabela9[[#This Row],[Forτa(N)]]/$I$5</f>
        <v>4250856.6419635033</v>
      </c>
      <c r="F245" s="1">
        <f>Tabela9[[#This Row],[Tensão(Pa)]]/1000000</f>
        <v>4.2508566419635034</v>
      </c>
    </row>
    <row r="246" spans="1:6" x14ac:dyDescent="0.3">
      <c r="A246" s="1">
        <v>17.033000000000001</v>
      </c>
      <c r="B246" s="1">
        <v>1.4118999999999999</v>
      </c>
      <c r="C246" s="1">
        <f>Tabela9[[#This Row],[Alongamento(mm/mm)]]/$I$2</f>
        <v>2.8237999999999999E-2</v>
      </c>
      <c r="D246" s="1">
        <v>134.38</v>
      </c>
      <c r="E246" s="1">
        <f>Tabela9[[#This Row],[Forτa(N)]]/$I$5</f>
        <v>4283369.1927643642</v>
      </c>
      <c r="F246" s="1">
        <f>Tabela9[[#This Row],[Tensão(Pa)]]/1000000</f>
        <v>4.283369192764364</v>
      </c>
    </row>
    <row r="247" spans="1:6" x14ac:dyDescent="0.3">
      <c r="A247" s="1">
        <v>17.100000000000001</v>
      </c>
      <c r="B247" s="1">
        <v>1.4174</v>
      </c>
      <c r="C247" s="1">
        <f>Tabela9[[#This Row],[Alongamento(mm/mm)]]/$I$2</f>
        <v>2.8347999999999998E-2</v>
      </c>
      <c r="D247" s="1">
        <v>135.57</v>
      </c>
      <c r="E247" s="1">
        <f>Tabela9[[#This Row],[Forτa(N)]]/$I$5</f>
        <v>4321300.5020320341</v>
      </c>
      <c r="F247" s="1">
        <f>Tabela9[[#This Row],[Tensão(Pa)]]/1000000</f>
        <v>4.3213005020320345</v>
      </c>
    </row>
    <row r="248" spans="1:6" x14ac:dyDescent="0.3">
      <c r="A248" s="1">
        <v>17.149999999999999</v>
      </c>
      <c r="B248" s="1">
        <v>1.4216</v>
      </c>
      <c r="C248" s="1">
        <f>Tabela9[[#This Row],[Alongamento(mm/mm)]]/$I$2</f>
        <v>2.8431999999999999E-2</v>
      </c>
      <c r="D248" s="1">
        <v>136.59</v>
      </c>
      <c r="E248" s="1">
        <f>Tabela9[[#This Row],[Forτa(N)]]/$I$5</f>
        <v>4353813.052832895</v>
      </c>
      <c r="F248" s="1">
        <f>Tabela9[[#This Row],[Tensão(Pa)]]/1000000</f>
        <v>4.3538130528328951</v>
      </c>
    </row>
    <row r="249" spans="1:6" x14ac:dyDescent="0.3">
      <c r="A249" s="1">
        <v>17.216999999999999</v>
      </c>
      <c r="B249" s="1">
        <v>1.4271</v>
      </c>
      <c r="C249" s="1">
        <f>Tabela9[[#This Row],[Alongamento(mm/mm)]]/$I$2</f>
        <v>2.8542000000000001E-2</v>
      </c>
      <c r="D249" s="1">
        <v>137.78</v>
      </c>
      <c r="E249" s="1">
        <f>Tabela9[[#This Row],[Forτa(N)]]/$I$5</f>
        <v>4391744.3621005658</v>
      </c>
      <c r="F249" s="1">
        <f>Tabela9[[#This Row],[Tensão(Pa)]]/1000000</f>
        <v>4.3917443621005656</v>
      </c>
    </row>
    <row r="250" spans="1:6" x14ac:dyDescent="0.3">
      <c r="A250" s="1">
        <v>17.266999999999999</v>
      </c>
      <c r="B250" s="1">
        <v>1.4312</v>
      </c>
      <c r="C250" s="1">
        <f>Tabela9[[#This Row],[Alongamento(mm/mm)]]/$I$2</f>
        <v>2.8624E-2</v>
      </c>
      <c r="D250" s="1">
        <v>138.80000000000001</v>
      </c>
      <c r="E250" s="1">
        <f>Tabela9[[#This Row],[Forτa(N)]]/$I$5</f>
        <v>4424256.9129014267</v>
      </c>
      <c r="F250" s="1">
        <f>Tabela9[[#This Row],[Tensão(Pa)]]/1000000</f>
        <v>4.4242569129014271</v>
      </c>
    </row>
    <row r="251" spans="1:6" x14ac:dyDescent="0.3">
      <c r="A251" s="1">
        <v>17.317</v>
      </c>
      <c r="B251" s="1">
        <v>1.4354</v>
      </c>
      <c r="C251" s="1">
        <f>Tabela9[[#This Row],[Alongamento(mm/mm)]]/$I$2</f>
        <v>2.8708000000000001E-2</v>
      </c>
      <c r="D251" s="1">
        <v>139.82</v>
      </c>
      <c r="E251" s="1">
        <f>Tabela9[[#This Row],[Forτa(N)]]/$I$5</f>
        <v>4456769.4637022875</v>
      </c>
      <c r="F251" s="1">
        <f>Tabela9[[#This Row],[Tensão(Pa)]]/1000000</f>
        <v>4.4567694637022877</v>
      </c>
    </row>
    <row r="252" spans="1:6" x14ac:dyDescent="0.3">
      <c r="A252" s="1">
        <v>17.367000000000001</v>
      </c>
      <c r="B252" s="1">
        <v>1.4396</v>
      </c>
      <c r="C252" s="1">
        <f>Tabela9[[#This Row],[Alongamento(mm/mm)]]/$I$2</f>
        <v>2.8791999999999998E-2</v>
      </c>
      <c r="D252" s="1">
        <v>140.84</v>
      </c>
      <c r="E252" s="1">
        <f>Tabela9[[#This Row],[Forτa(N)]]/$I$5</f>
        <v>4489282.0145031484</v>
      </c>
      <c r="F252" s="1">
        <f>Tabela9[[#This Row],[Tensão(Pa)]]/1000000</f>
        <v>4.4892820145031482</v>
      </c>
    </row>
    <row r="253" spans="1:6" x14ac:dyDescent="0.3">
      <c r="A253" s="1">
        <v>17.433</v>
      </c>
      <c r="B253" s="1">
        <v>1.4452</v>
      </c>
      <c r="C253" s="1">
        <f>Tabela9[[#This Row],[Alongamento(mm/mm)]]/$I$2</f>
        <v>2.8903999999999999E-2</v>
      </c>
      <c r="D253" s="1">
        <v>142.03</v>
      </c>
      <c r="E253" s="1">
        <f>Tabela9[[#This Row],[Forτa(N)]]/$I$5</f>
        <v>4527213.3237708183</v>
      </c>
      <c r="F253" s="1">
        <f>Tabela9[[#This Row],[Tensão(Pa)]]/1000000</f>
        <v>4.5272133237708179</v>
      </c>
    </row>
    <row r="254" spans="1:6" x14ac:dyDescent="0.3">
      <c r="A254" s="1">
        <v>17.483000000000001</v>
      </c>
      <c r="B254" s="1">
        <v>1.4494</v>
      </c>
      <c r="C254" s="1">
        <f>Tabela9[[#This Row],[Alongamento(mm/mm)]]/$I$2</f>
        <v>2.8988E-2</v>
      </c>
      <c r="D254" s="1">
        <v>143.05000000000001</v>
      </c>
      <c r="E254" s="1">
        <f>Tabela9[[#This Row],[Forτa(N)]]/$I$5</f>
        <v>4559725.8745716801</v>
      </c>
      <c r="F254" s="1">
        <f>Tabela9[[#This Row],[Tensão(Pa)]]/1000000</f>
        <v>4.5597258745716802</v>
      </c>
    </row>
    <row r="255" spans="1:6" x14ac:dyDescent="0.3">
      <c r="A255" s="1">
        <v>17.533000000000001</v>
      </c>
      <c r="B255" s="1">
        <v>1.4536</v>
      </c>
      <c r="C255" s="1">
        <f>Tabela9[[#This Row],[Alongamento(mm/mm)]]/$I$2</f>
        <v>2.9072000000000001E-2</v>
      </c>
      <c r="D255" s="1">
        <v>144.07</v>
      </c>
      <c r="E255" s="1">
        <f>Tabela9[[#This Row],[Forτa(N)]]/$I$5</f>
        <v>4592238.42537254</v>
      </c>
      <c r="F255" s="1">
        <f>Tabela9[[#This Row],[Tensão(Pa)]]/1000000</f>
        <v>4.5922384253725399</v>
      </c>
    </row>
    <row r="256" spans="1:6" x14ac:dyDescent="0.3">
      <c r="A256" s="1">
        <v>17.582999999999998</v>
      </c>
      <c r="B256" s="1">
        <v>1.4577</v>
      </c>
      <c r="C256" s="1">
        <f>Tabela9[[#This Row],[Alongamento(mm/mm)]]/$I$2</f>
        <v>2.9153999999999999E-2</v>
      </c>
      <c r="D256" s="1">
        <v>145.09</v>
      </c>
      <c r="E256" s="1">
        <f>Tabela9[[#This Row],[Forτa(N)]]/$I$5</f>
        <v>4624750.9761734009</v>
      </c>
      <c r="F256" s="1">
        <f>Tabela9[[#This Row],[Tensão(Pa)]]/1000000</f>
        <v>4.6247509761734005</v>
      </c>
    </row>
    <row r="257" spans="1:6" x14ac:dyDescent="0.3">
      <c r="A257" s="1">
        <v>17.632999999999999</v>
      </c>
      <c r="B257" s="1">
        <v>1.4618</v>
      </c>
      <c r="C257" s="1">
        <f>Tabela9[[#This Row],[Alongamento(mm/mm)]]/$I$2</f>
        <v>2.9235999999999998E-2</v>
      </c>
      <c r="D257" s="1">
        <v>146.11000000000001</v>
      </c>
      <c r="E257" s="1">
        <f>Tabela9[[#This Row],[Forτa(N)]]/$I$5</f>
        <v>4657263.5269742617</v>
      </c>
      <c r="F257" s="1">
        <f>Tabela9[[#This Row],[Tensão(Pa)]]/1000000</f>
        <v>4.6572635269742619</v>
      </c>
    </row>
    <row r="258" spans="1:6" x14ac:dyDescent="0.3">
      <c r="A258" s="1">
        <v>17.683</v>
      </c>
      <c r="B258" s="1">
        <v>1.466</v>
      </c>
      <c r="C258" s="1">
        <f>Tabela9[[#This Row],[Alongamento(mm/mm)]]/$I$2</f>
        <v>2.9319999999999999E-2</v>
      </c>
      <c r="D258" s="1">
        <v>147.13999999999999</v>
      </c>
      <c r="E258" s="1">
        <f>Tabela9[[#This Row],[Forτa(N)]]/$I$5</f>
        <v>4690094.8282731688</v>
      </c>
      <c r="F258" s="1">
        <f>Tabela9[[#This Row],[Tensão(Pa)]]/1000000</f>
        <v>4.6900948282731685</v>
      </c>
    </row>
    <row r="259" spans="1:6" x14ac:dyDescent="0.3">
      <c r="A259" s="1">
        <v>17.75</v>
      </c>
      <c r="B259" s="1">
        <v>1.4715</v>
      </c>
      <c r="C259" s="1">
        <f>Tabela9[[#This Row],[Alongamento(mm/mm)]]/$I$2</f>
        <v>2.9430000000000001E-2</v>
      </c>
      <c r="D259" s="1">
        <v>148.33000000000001</v>
      </c>
      <c r="E259" s="1">
        <f>Tabela9[[#This Row],[Forτa(N)]]/$I$5</f>
        <v>4728026.1375408405</v>
      </c>
      <c r="F259" s="1">
        <f>Tabela9[[#This Row],[Tensão(Pa)]]/1000000</f>
        <v>4.7280261375408408</v>
      </c>
    </row>
    <row r="260" spans="1:6" x14ac:dyDescent="0.3">
      <c r="A260" s="1">
        <v>17.8</v>
      </c>
      <c r="B260" s="1">
        <v>1.4757</v>
      </c>
      <c r="C260" s="1">
        <f>Tabela9[[#This Row],[Alongamento(mm/mm)]]/$I$2</f>
        <v>2.9513999999999999E-2</v>
      </c>
      <c r="D260" s="1">
        <v>149.35</v>
      </c>
      <c r="E260" s="1">
        <f>Tabela9[[#This Row],[Forτa(N)]]/$I$5</f>
        <v>4760538.6883417005</v>
      </c>
      <c r="F260" s="1">
        <f>Tabela9[[#This Row],[Tensão(Pa)]]/1000000</f>
        <v>4.7605386883417005</v>
      </c>
    </row>
    <row r="261" spans="1:6" x14ac:dyDescent="0.3">
      <c r="A261" s="1">
        <v>17.850000000000001</v>
      </c>
      <c r="B261" s="1">
        <v>1.4799</v>
      </c>
      <c r="C261" s="1">
        <f>Tabela9[[#This Row],[Alongamento(mm/mm)]]/$I$2</f>
        <v>2.9597999999999999E-2</v>
      </c>
      <c r="D261" s="1">
        <v>150.37</v>
      </c>
      <c r="E261" s="1">
        <f>Tabela9[[#This Row],[Forτa(N)]]/$I$5</f>
        <v>4793051.2391425613</v>
      </c>
      <c r="F261" s="1">
        <f>Tabela9[[#This Row],[Tensão(Pa)]]/1000000</f>
        <v>4.793051239142561</v>
      </c>
    </row>
    <row r="262" spans="1:6" x14ac:dyDescent="0.3">
      <c r="A262" s="1">
        <v>17.899999999999999</v>
      </c>
      <c r="B262" s="1">
        <v>1.4841</v>
      </c>
      <c r="C262" s="1">
        <f>Tabela9[[#This Row],[Alongamento(mm/mm)]]/$I$2</f>
        <v>2.9682E-2</v>
      </c>
      <c r="D262" s="1">
        <v>151.38999999999999</v>
      </c>
      <c r="E262" s="1">
        <f>Tabela9[[#This Row],[Forτa(N)]]/$I$5</f>
        <v>4825563.7899434213</v>
      </c>
      <c r="F262" s="1">
        <f>Tabela9[[#This Row],[Tensão(Pa)]]/1000000</f>
        <v>4.8255637899434216</v>
      </c>
    </row>
    <row r="263" spans="1:6" x14ac:dyDescent="0.3">
      <c r="A263" s="1">
        <v>17.95</v>
      </c>
      <c r="B263" s="1">
        <v>1.4882</v>
      </c>
      <c r="C263" s="1">
        <f>Tabela9[[#This Row],[Alongamento(mm/mm)]]/$I$2</f>
        <v>2.9763999999999999E-2</v>
      </c>
      <c r="D263" s="1">
        <v>152.41</v>
      </c>
      <c r="E263" s="1">
        <f>Tabela9[[#This Row],[Forτa(N)]]/$I$5</f>
        <v>4858076.3407442821</v>
      </c>
      <c r="F263" s="1">
        <f>Tabela9[[#This Row],[Tensão(Pa)]]/1000000</f>
        <v>4.8580763407442822</v>
      </c>
    </row>
    <row r="264" spans="1:6" x14ac:dyDescent="0.3">
      <c r="A264" s="1">
        <v>18.016999999999999</v>
      </c>
      <c r="B264" s="1">
        <v>1.4938</v>
      </c>
      <c r="C264" s="1">
        <f>Tabela9[[#This Row],[Alongamento(mm/mm)]]/$I$2</f>
        <v>2.9876E-2</v>
      </c>
      <c r="D264" s="1">
        <v>153.6</v>
      </c>
      <c r="E264" s="1">
        <f>Tabela9[[#This Row],[Forτa(N)]]/$I$5</f>
        <v>4896007.650011953</v>
      </c>
      <c r="F264" s="1">
        <f>Tabela9[[#This Row],[Tensão(Pa)]]/1000000</f>
        <v>4.8960076500119527</v>
      </c>
    </row>
    <row r="265" spans="1:6" x14ac:dyDescent="0.3">
      <c r="A265" s="1">
        <v>18.067</v>
      </c>
      <c r="B265" s="1">
        <v>1.498</v>
      </c>
      <c r="C265" s="1">
        <f>Tabela9[[#This Row],[Alongamento(mm/mm)]]/$I$2</f>
        <v>2.9960000000000001E-2</v>
      </c>
      <c r="D265" s="1">
        <v>154.62</v>
      </c>
      <c r="E265" s="1">
        <f>Tabela9[[#This Row],[Forτa(N)]]/$I$5</f>
        <v>4928520.2008128138</v>
      </c>
      <c r="F265" s="1">
        <f>Tabela9[[#This Row],[Tensão(Pa)]]/1000000</f>
        <v>4.9285202008128142</v>
      </c>
    </row>
    <row r="266" spans="1:6" x14ac:dyDescent="0.3">
      <c r="A266" s="1">
        <v>18.117000000000001</v>
      </c>
      <c r="B266" s="1">
        <v>1.502</v>
      </c>
      <c r="C266" s="1">
        <f>Tabela9[[#This Row],[Alongamento(mm/mm)]]/$I$2</f>
        <v>3.0040000000000001E-2</v>
      </c>
      <c r="D266" s="1">
        <v>155.63999999999999</v>
      </c>
      <c r="E266" s="1">
        <f>Tabela9[[#This Row],[Forτa(N)]]/$I$5</f>
        <v>4961032.7516136747</v>
      </c>
      <c r="F266" s="1">
        <f>Tabela9[[#This Row],[Tensão(Pa)]]/1000000</f>
        <v>4.9610327516136747</v>
      </c>
    </row>
    <row r="267" spans="1:6" x14ac:dyDescent="0.3">
      <c r="A267" s="1">
        <v>18.167000000000002</v>
      </c>
      <c r="B267" s="1">
        <v>1.5063</v>
      </c>
      <c r="C267" s="1">
        <f>Tabela9[[#This Row],[Alongamento(mm/mm)]]/$I$2</f>
        <v>3.0126E-2</v>
      </c>
      <c r="D267" s="1">
        <v>156.66</v>
      </c>
      <c r="E267" s="1">
        <f>Tabela9[[#This Row],[Forτa(N)]]/$I$5</f>
        <v>4993545.3024145355</v>
      </c>
      <c r="F267" s="1">
        <f>Tabela9[[#This Row],[Tensão(Pa)]]/1000000</f>
        <v>4.9935453024145353</v>
      </c>
    </row>
    <row r="268" spans="1:6" x14ac:dyDescent="0.3">
      <c r="A268" s="1">
        <v>18.216999999999999</v>
      </c>
      <c r="B268" s="1">
        <v>1.5105</v>
      </c>
      <c r="C268" s="1">
        <f>Tabela9[[#This Row],[Alongamento(mm/mm)]]/$I$2</f>
        <v>3.0210000000000001E-2</v>
      </c>
      <c r="D268" s="1">
        <v>157.68</v>
      </c>
      <c r="E268" s="1">
        <f>Tabela9[[#This Row],[Forτa(N)]]/$I$5</f>
        <v>5026057.8532153964</v>
      </c>
      <c r="F268" s="1">
        <f>Tabela9[[#This Row],[Tensão(Pa)]]/1000000</f>
        <v>5.0260578532153968</v>
      </c>
    </row>
    <row r="269" spans="1:6" x14ac:dyDescent="0.3">
      <c r="A269" s="1">
        <v>18.266999999999999</v>
      </c>
      <c r="B269" s="1">
        <v>1.5146999999999999</v>
      </c>
      <c r="C269" s="1">
        <f>Tabela9[[#This Row],[Alongamento(mm/mm)]]/$I$2</f>
        <v>3.0293999999999998E-2</v>
      </c>
      <c r="D269" s="1">
        <v>158.69999999999999</v>
      </c>
      <c r="E269" s="1">
        <f>Tabela9[[#This Row],[Forτa(N)]]/$I$5</f>
        <v>5058570.4040162563</v>
      </c>
      <c r="F269" s="1">
        <f>Tabela9[[#This Row],[Tensão(Pa)]]/1000000</f>
        <v>5.0585704040162565</v>
      </c>
    </row>
    <row r="270" spans="1:6" x14ac:dyDescent="0.3">
      <c r="A270" s="1">
        <v>18.317</v>
      </c>
      <c r="B270" s="1">
        <v>1.5186999999999999</v>
      </c>
      <c r="C270" s="1">
        <f>Tabela9[[#This Row],[Alongamento(mm/mm)]]/$I$2</f>
        <v>3.0373999999999998E-2</v>
      </c>
      <c r="D270" s="1">
        <v>159.72</v>
      </c>
      <c r="E270" s="1">
        <f>Tabela9[[#This Row],[Forτa(N)]]/$I$5</f>
        <v>5091082.9548171172</v>
      </c>
      <c r="F270" s="1">
        <f>Tabela9[[#This Row],[Tensão(Pa)]]/1000000</f>
        <v>5.091082954817117</v>
      </c>
    </row>
    <row r="271" spans="1:6" x14ac:dyDescent="0.3">
      <c r="A271" s="1">
        <v>18.382999999999999</v>
      </c>
      <c r="B271" s="1">
        <v>1.5243</v>
      </c>
      <c r="C271" s="1">
        <f>Tabela9[[#This Row],[Alongamento(mm/mm)]]/$I$2</f>
        <v>3.0485999999999999E-2</v>
      </c>
      <c r="D271" s="1">
        <v>161.08000000000001</v>
      </c>
      <c r="E271" s="1">
        <f>Tabela9[[#This Row],[Forτa(N)]]/$I$5</f>
        <v>5134433.022551598</v>
      </c>
      <c r="F271" s="1">
        <f>Tabela9[[#This Row],[Tensão(Pa)]]/1000000</f>
        <v>5.1344330225515984</v>
      </c>
    </row>
    <row r="272" spans="1:6" x14ac:dyDescent="0.3">
      <c r="A272" s="1">
        <v>18.45</v>
      </c>
      <c r="B272" s="1">
        <v>1.5299</v>
      </c>
      <c r="C272" s="1">
        <f>Tabela9[[#This Row],[Alongamento(mm/mm)]]/$I$2</f>
        <v>3.0598E-2</v>
      </c>
      <c r="D272" s="1">
        <v>162.27000000000001</v>
      </c>
      <c r="E272" s="1">
        <f>Tabela9[[#This Row],[Forτa(N)]]/$I$5</f>
        <v>5172364.3318192689</v>
      </c>
      <c r="F272" s="1">
        <f>Tabela9[[#This Row],[Tensão(Pa)]]/1000000</f>
        <v>5.1723643318192689</v>
      </c>
    </row>
    <row r="273" spans="1:6" x14ac:dyDescent="0.3">
      <c r="A273" s="1">
        <v>18.5</v>
      </c>
      <c r="B273" s="1">
        <v>1.534</v>
      </c>
      <c r="C273" s="1">
        <f>Tabela9[[#This Row],[Alongamento(mm/mm)]]/$I$2</f>
        <v>3.0679999999999999E-2</v>
      </c>
      <c r="D273" s="1">
        <v>163.29</v>
      </c>
      <c r="E273" s="1">
        <f>Tabela9[[#This Row],[Forτa(N)]]/$I$5</f>
        <v>5204876.8826201288</v>
      </c>
      <c r="F273" s="1">
        <f>Tabela9[[#This Row],[Tensão(Pa)]]/1000000</f>
        <v>5.2048768826201286</v>
      </c>
    </row>
    <row r="274" spans="1:6" x14ac:dyDescent="0.3">
      <c r="A274" s="1">
        <v>18.55</v>
      </c>
      <c r="B274" s="1">
        <v>1.5382</v>
      </c>
      <c r="C274" s="1">
        <f>Tabela9[[#This Row],[Alongamento(mm/mm)]]/$I$2</f>
        <v>3.0764E-2</v>
      </c>
      <c r="D274" s="1">
        <v>164.32</v>
      </c>
      <c r="E274" s="1">
        <f>Tabela9[[#This Row],[Forτa(N)]]/$I$5</f>
        <v>5237708.1839190377</v>
      </c>
      <c r="F274" s="1">
        <f>Tabela9[[#This Row],[Tensão(Pa)]]/1000000</f>
        <v>5.2377081839190378</v>
      </c>
    </row>
    <row r="275" spans="1:6" x14ac:dyDescent="0.3">
      <c r="A275" s="1">
        <v>18.600000000000001</v>
      </c>
      <c r="B275" s="1">
        <v>1.5424</v>
      </c>
      <c r="C275" s="1">
        <f>Tabela9[[#This Row],[Alongamento(mm/mm)]]/$I$2</f>
        <v>3.0848E-2</v>
      </c>
      <c r="D275" s="1">
        <v>165.34</v>
      </c>
      <c r="E275" s="1">
        <f>Tabela9[[#This Row],[Forτa(N)]]/$I$5</f>
        <v>5270220.7347198986</v>
      </c>
      <c r="F275" s="1">
        <f>Tabela9[[#This Row],[Tensão(Pa)]]/1000000</f>
        <v>5.2702207347198984</v>
      </c>
    </row>
    <row r="276" spans="1:6" x14ac:dyDescent="0.3">
      <c r="A276" s="1">
        <v>18.649999999999999</v>
      </c>
      <c r="B276" s="1">
        <v>1.5466</v>
      </c>
      <c r="C276" s="1">
        <f>Tabela9[[#This Row],[Alongamento(mm/mm)]]/$I$2</f>
        <v>3.0932000000000001E-2</v>
      </c>
      <c r="D276" s="1">
        <v>166.36</v>
      </c>
      <c r="E276" s="1">
        <f>Tabela9[[#This Row],[Forτa(N)]]/$I$5</f>
        <v>5302733.2855207594</v>
      </c>
      <c r="F276" s="1">
        <f>Tabela9[[#This Row],[Tensão(Pa)]]/1000000</f>
        <v>5.3027332855207598</v>
      </c>
    </row>
    <row r="277" spans="1:6" x14ac:dyDescent="0.3">
      <c r="A277" s="1">
        <v>18.7</v>
      </c>
      <c r="B277" s="1">
        <v>1.5507</v>
      </c>
      <c r="C277" s="1">
        <f>Tabela9[[#This Row],[Alongamento(mm/mm)]]/$I$2</f>
        <v>3.1014E-2</v>
      </c>
      <c r="D277" s="1">
        <v>167.38</v>
      </c>
      <c r="E277" s="1">
        <f>Tabela9[[#This Row],[Forτa(N)]]/$I$5</f>
        <v>5335245.8363216193</v>
      </c>
      <c r="F277" s="1">
        <f>Tabela9[[#This Row],[Tensão(Pa)]]/1000000</f>
        <v>5.3352458363216195</v>
      </c>
    </row>
    <row r="278" spans="1:6" x14ac:dyDescent="0.3">
      <c r="A278" s="1">
        <v>18.75</v>
      </c>
      <c r="B278" s="1">
        <v>1.5548</v>
      </c>
      <c r="C278" s="1">
        <f>Tabela9[[#This Row],[Alongamento(mm/mm)]]/$I$2</f>
        <v>3.1095999999999999E-2</v>
      </c>
      <c r="D278" s="1">
        <v>168.4</v>
      </c>
      <c r="E278" s="1">
        <f>Tabela9[[#This Row],[Forτa(N)]]/$I$5</f>
        <v>5367758.3871224802</v>
      </c>
      <c r="F278" s="1">
        <f>Tabela9[[#This Row],[Tensão(Pa)]]/1000000</f>
        <v>5.3677583871224801</v>
      </c>
    </row>
    <row r="279" spans="1:6" x14ac:dyDescent="0.3">
      <c r="A279" s="1">
        <v>18.8</v>
      </c>
      <c r="B279" s="1">
        <v>1.5590999999999999</v>
      </c>
      <c r="C279" s="1">
        <f>Tabela9[[#This Row],[Alongamento(mm/mm)]]/$I$2</f>
        <v>3.1181999999999998E-2</v>
      </c>
      <c r="D279" s="1">
        <v>169.42</v>
      </c>
      <c r="E279" s="1">
        <f>Tabela9[[#This Row],[Forτa(N)]]/$I$5</f>
        <v>5400270.9379233401</v>
      </c>
      <c r="F279" s="1">
        <f>Tabela9[[#This Row],[Tensão(Pa)]]/1000000</f>
        <v>5.4002709379233398</v>
      </c>
    </row>
    <row r="280" spans="1:6" x14ac:dyDescent="0.3">
      <c r="A280" s="1">
        <v>18.850000000000001</v>
      </c>
      <c r="B280" s="1">
        <v>1.5632999999999999</v>
      </c>
      <c r="C280" s="1">
        <f>Tabela9[[#This Row],[Alongamento(mm/mm)]]/$I$2</f>
        <v>3.1265999999999995E-2</v>
      </c>
      <c r="D280" s="1">
        <v>170.44</v>
      </c>
      <c r="E280" s="1">
        <f>Tabela9[[#This Row],[Forτa(N)]]/$I$5</f>
        <v>5432783.488724201</v>
      </c>
      <c r="F280" s="1">
        <f>Tabela9[[#This Row],[Tensão(Pa)]]/1000000</f>
        <v>5.4327834887242012</v>
      </c>
    </row>
    <row r="281" spans="1:6" x14ac:dyDescent="0.3">
      <c r="A281" s="1">
        <v>18.899999999999999</v>
      </c>
      <c r="B281" s="1">
        <v>1.5673999999999999</v>
      </c>
      <c r="C281" s="1">
        <f>Tabela9[[#This Row],[Alongamento(mm/mm)]]/$I$2</f>
        <v>3.1348000000000001E-2</v>
      </c>
      <c r="D281" s="1">
        <v>171.46</v>
      </c>
      <c r="E281" s="1">
        <f>Tabela9[[#This Row],[Forτa(N)]]/$I$5</f>
        <v>5465296.0395250628</v>
      </c>
      <c r="F281" s="1">
        <f>Tabela9[[#This Row],[Tensão(Pa)]]/1000000</f>
        <v>5.4652960395250627</v>
      </c>
    </row>
    <row r="282" spans="1:6" x14ac:dyDescent="0.3">
      <c r="A282" s="1">
        <v>18.95</v>
      </c>
      <c r="B282" s="1">
        <v>1.5716000000000001</v>
      </c>
      <c r="C282" s="1">
        <f>Tabela9[[#This Row],[Alongamento(mm/mm)]]/$I$2</f>
        <v>3.1432000000000002E-2</v>
      </c>
      <c r="D282" s="1">
        <v>172.48</v>
      </c>
      <c r="E282" s="1">
        <f>Tabela9[[#This Row],[Forτa(N)]]/$I$5</f>
        <v>5497808.5903259227</v>
      </c>
      <c r="F282" s="1">
        <f>Tabela9[[#This Row],[Tensão(Pa)]]/1000000</f>
        <v>5.4978085903259224</v>
      </c>
    </row>
    <row r="283" spans="1:6" x14ac:dyDescent="0.3">
      <c r="A283" s="1">
        <v>19</v>
      </c>
      <c r="B283" s="1">
        <v>1.5757000000000001</v>
      </c>
      <c r="C283" s="1">
        <f>Tabela9[[#This Row],[Alongamento(mm/mm)]]/$I$2</f>
        <v>3.1514E-2</v>
      </c>
      <c r="D283" s="1">
        <v>173.5</v>
      </c>
      <c r="E283" s="1">
        <f>Tabela9[[#This Row],[Forτa(N)]]/$I$5</f>
        <v>5530321.1411267836</v>
      </c>
      <c r="F283" s="1">
        <f>Tabela9[[#This Row],[Tensão(Pa)]]/1000000</f>
        <v>5.5303211411267839</v>
      </c>
    </row>
    <row r="284" spans="1:6" x14ac:dyDescent="0.3">
      <c r="A284" s="1">
        <v>19.05</v>
      </c>
      <c r="B284" s="1">
        <v>1.5798000000000001</v>
      </c>
      <c r="C284" s="1">
        <f>Tabela9[[#This Row],[Alongamento(mm/mm)]]/$I$2</f>
        <v>3.1595999999999999E-2</v>
      </c>
      <c r="D284" s="1">
        <v>174.69</v>
      </c>
      <c r="E284" s="1">
        <f>Tabela9[[#This Row],[Forτa(N)]]/$I$5</f>
        <v>5568252.4503944544</v>
      </c>
      <c r="F284" s="1">
        <f>Tabela9[[#This Row],[Tensão(Pa)]]/1000000</f>
        <v>5.5682524503944544</v>
      </c>
    </row>
    <row r="285" spans="1:6" x14ac:dyDescent="0.3">
      <c r="A285" s="1">
        <v>19.117000000000001</v>
      </c>
      <c r="B285" s="1">
        <v>1.5853999999999999</v>
      </c>
      <c r="C285" s="1">
        <f>Tabela9[[#This Row],[Alongamento(mm/mm)]]/$I$2</f>
        <v>3.1708E-2</v>
      </c>
      <c r="D285" s="1">
        <v>176.05</v>
      </c>
      <c r="E285" s="1">
        <f>Tabela9[[#This Row],[Forτa(N)]]/$I$5</f>
        <v>5611602.5181289352</v>
      </c>
      <c r="F285" s="1">
        <f>Tabela9[[#This Row],[Tensão(Pa)]]/1000000</f>
        <v>5.6116025181289348</v>
      </c>
    </row>
    <row r="286" spans="1:6" x14ac:dyDescent="0.3">
      <c r="A286" s="1">
        <v>19.183</v>
      </c>
      <c r="B286" s="1">
        <v>1.591</v>
      </c>
      <c r="C286" s="1">
        <f>Tabela9[[#This Row],[Alongamento(mm/mm)]]/$I$2</f>
        <v>3.1820000000000001E-2</v>
      </c>
      <c r="D286" s="1">
        <v>177.41</v>
      </c>
      <c r="E286" s="1">
        <f>Tabela9[[#This Row],[Forτa(N)]]/$I$5</f>
        <v>5654952.5858634161</v>
      </c>
      <c r="F286" s="1">
        <f>Tabela9[[#This Row],[Tensão(Pa)]]/1000000</f>
        <v>5.6549525858634162</v>
      </c>
    </row>
    <row r="287" spans="1:6" x14ac:dyDescent="0.3">
      <c r="A287" s="1">
        <v>19.25</v>
      </c>
      <c r="B287" s="1">
        <v>1.5965</v>
      </c>
      <c r="C287" s="1">
        <f>Tabela9[[#This Row],[Alongamento(mm/mm)]]/$I$2</f>
        <v>3.193E-2</v>
      </c>
      <c r="D287" s="1">
        <v>178.77</v>
      </c>
      <c r="E287" s="1">
        <f>Tabela9[[#This Row],[Forτa(N)]]/$I$5</f>
        <v>5698302.6535978969</v>
      </c>
      <c r="F287" s="1">
        <f>Tabela9[[#This Row],[Tensão(Pa)]]/1000000</f>
        <v>5.6983026535978967</v>
      </c>
    </row>
    <row r="288" spans="1:6" x14ac:dyDescent="0.3">
      <c r="A288" s="1">
        <v>19.317</v>
      </c>
      <c r="B288" s="1">
        <v>1.6021000000000001</v>
      </c>
      <c r="C288" s="1">
        <f>Tabela9[[#This Row],[Alongamento(mm/mm)]]/$I$2</f>
        <v>3.2042000000000001E-2</v>
      </c>
      <c r="D288" s="1">
        <v>180.3</v>
      </c>
      <c r="E288" s="1">
        <f>Tabela9[[#This Row],[Forτa(N)]]/$I$5</f>
        <v>5747071.4797991877</v>
      </c>
      <c r="F288" s="1">
        <f>Tabela9[[#This Row],[Tensão(Pa)]]/1000000</f>
        <v>5.747071479799188</v>
      </c>
    </row>
    <row r="289" spans="1:6" x14ac:dyDescent="0.3">
      <c r="A289" s="1">
        <v>19.382999999999999</v>
      </c>
      <c r="B289" s="1">
        <v>1.6076999999999999</v>
      </c>
      <c r="C289" s="1">
        <f>Tabela9[[#This Row],[Alongamento(mm/mm)]]/$I$2</f>
        <v>3.2153999999999995E-2</v>
      </c>
      <c r="D289" s="1">
        <v>181.67</v>
      </c>
      <c r="E289" s="1">
        <f>Tabela9[[#This Row],[Forτa(N)]]/$I$5</f>
        <v>5790740.2980317157</v>
      </c>
      <c r="F289" s="1">
        <f>Tabela9[[#This Row],[Tensão(Pa)]]/1000000</f>
        <v>5.7907402980317153</v>
      </c>
    </row>
    <row r="290" spans="1:6" x14ac:dyDescent="0.3">
      <c r="A290" s="1">
        <v>19.45</v>
      </c>
      <c r="B290" s="1">
        <v>1.6133</v>
      </c>
      <c r="C290" s="1">
        <f>Tabela9[[#This Row],[Alongamento(mm/mm)]]/$I$2</f>
        <v>3.2265999999999996E-2</v>
      </c>
      <c r="D290" s="1">
        <v>183.2</v>
      </c>
      <c r="E290" s="1">
        <f>Tabela9[[#This Row],[Forτa(N)]]/$I$5</f>
        <v>5839509.1242330065</v>
      </c>
      <c r="F290" s="1">
        <f>Tabela9[[#This Row],[Tensão(Pa)]]/1000000</f>
        <v>5.8395091242330066</v>
      </c>
    </row>
    <row r="291" spans="1:6" x14ac:dyDescent="0.3">
      <c r="A291" s="1">
        <v>19.516999999999999</v>
      </c>
      <c r="B291" s="1">
        <v>1.6187</v>
      </c>
      <c r="C291" s="1">
        <f>Tabela9[[#This Row],[Alongamento(mm/mm)]]/$I$2</f>
        <v>3.2374E-2</v>
      </c>
      <c r="D291" s="1">
        <v>184.56</v>
      </c>
      <c r="E291" s="1">
        <f>Tabela9[[#This Row],[Forτa(N)]]/$I$5</f>
        <v>5882859.1919674883</v>
      </c>
      <c r="F291" s="1">
        <f>Tabela9[[#This Row],[Tensão(Pa)]]/1000000</f>
        <v>5.882859191967488</v>
      </c>
    </row>
    <row r="292" spans="1:6" x14ac:dyDescent="0.3">
      <c r="A292" s="1">
        <v>19.582999999999998</v>
      </c>
      <c r="B292" s="1">
        <v>1.6243000000000001</v>
      </c>
      <c r="C292" s="1">
        <f>Tabela9[[#This Row],[Alongamento(mm/mm)]]/$I$2</f>
        <v>3.2486000000000001E-2</v>
      </c>
      <c r="D292" s="1">
        <v>185.92</v>
      </c>
      <c r="E292" s="1">
        <f>Tabela9[[#This Row],[Forτa(N)]]/$I$5</f>
        <v>5926209.2597019682</v>
      </c>
      <c r="F292" s="1">
        <f>Tabela9[[#This Row],[Tensão(Pa)]]/1000000</f>
        <v>5.9262092597019684</v>
      </c>
    </row>
    <row r="293" spans="1:6" x14ac:dyDescent="0.3">
      <c r="A293" s="1">
        <v>19.649999999999999</v>
      </c>
      <c r="B293" s="1">
        <v>1.6298999999999999</v>
      </c>
      <c r="C293" s="1">
        <f>Tabela9[[#This Row],[Alongamento(mm/mm)]]/$I$2</f>
        <v>3.2597999999999995E-2</v>
      </c>
      <c r="D293" s="1">
        <v>187.28</v>
      </c>
      <c r="E293" s="1">
        <f>Tabela9[[#This Row],[Forτa(N)]]/$I$5</f>
        <v>5969559.3274364499</v>
      </c>
      <c r="F293" s="1">
        <f>Tabela9[[#This Row],[Tensão(Pa)]]/1000000</f>
        <v>5.9695593274364498</v>
      </c>
    </row>
    <row r="294" spans="1:6" x14ac:dyDescent="0.3">
      <c r="A294" s="1">
        <v>19.716999999999999</v>
      </c>
      <c r="B294" s="1">
        <v>1.6355</v>
      </c>
      <c r="C294" s="1">
        <f>Tabela9[[#This Row],[Alongamento(mm/mm)]]/$I$2</f>
        <v>3.2709999999999996E-2</v>
      </c>
      <c r="D294" s="1">
        <v>188.81</v>
      </c>
      <c r="E294" s="1">
        <f>Tabela9[[#This Row],[Forτa(N)]]/$I$5</f>
        <v>6018328.1536377408</v>
      </c>
      <c r="F294" s="1">
        <f>Tabela9[[#This Row],[Tensão(Pa)]]/1000000</f>
        <v>6.0183281536377411</v>
      </c>
    </row>
    <row r="295" spans="1:6" x14ac:dyDescent="0.3">
      <c r="A295" s="1">
        <v>19.783000000000001</v>
      </c>
      <c r="B295" s="1">
        <v>1.641</v>
      </c>
      <c r="C295" s="1">
        <f>Tabela9[[#This Row],[Alongamento(mm/mm)]]/$I$2</f>
        <v>3.2820000000000002E-2</v>
      </c>
      <c r="D295" s="1">
        <v>190.17</v>
      </c>
      <c r="E295" s="1">
        <f>Tabela9[[#This Row],[Forτa(N)]]/$I$5</f>
        <v>6061678.2213722207</v>
      </c>
      <c r="F295" s="1">
        <f>Tabela9[[#This Row],[Tensão(Pa)]]/1000000</f>
        <v>6.0616782213722207</v>
      </c>
    </row>
    <row r="296" spans="1:6" x14ac:dyDescent="0.3">
      <c r="A296" s="1">
        <v>19.850000000000001</v>
      </c>
      <c r="B296" s="1">
        <v>1.6466000000000001</v>
      </c>
      <c r="C296" s="1">
        <f>Tabela9[[#This Row],[Alongamento(mm/mm)]]/$I$2</f>
        <v>3.2932000000000003E-2</v>
      </c>
      <c r="D296" s="1">
        <v>191.7</v>
      </c>
      <c r="E296" s="1">
        <f>Tabela9[[#This Row],[Forτa(N)]]/$I$5</f>
        <v>6110447.0475735115</v>
      </c>
      <c r="F296" s="1">
        <f>Tabela9[[#This Row],[Tensão(Pa)]]/1000000</f>
        <v>6.1104470475735111</v>
      </c>
    </row>
    <row r="297" spans="1:6" x14ac:dyDescent="0.3">
      <c r="A297" s="1">
        <v>19.917000000000002</v>
      </c>
      <c r="B297" s="1">
        <v>1.6521999999999999</v>
      </c>
      <c r="C297" s="1">
        <f>Tabela9[[#This Row],[Alongamento(mm/mm)]]/$I$2</f>
        <v>3.3043999999999997E-2</v>
      </c>
      <c r="D297" s="1">
        <v>193.06</v>
      </c>
      <c r="E297" s="1">
        <f>Tabela9[[#This Row],[Forτa(N)]]/$I$5</f>
        <v>6153797.1153079933</v>
      </c>
      <c r="F297" s="1">
        <f>Tabela9[[#This Row],[Tensão(Pa)]]/1000000</f>
        <v>6.1537971153079933</v>
      </c>
    </row>
    <row r="298" spans="1:6" x14ac:dyDescent="0.3">
      <c r="A298" s="1">
        <v>19.983000000000001</v>
      </c>
      <c r="B298" s="1">
        <v>1.6576</v>
      </c>
      <c r="C298" s="1">
        <f>Tabela9[[#This Row],[Alongamento(mm/mm)]]/$I$2</f>
        <v>3.3152000000000001E-2</v>
      </c>
      <c r="D298" s="1">
        <v>194.59</v>
      </c>
      <c r="E298" s="1">
        <f>Tabela9[[#This Row],[Forτa(N)]]/$I$5</f>
        <v>6202565.9415092841</v>
      </c>
      <c r="F298" s="1">
        <f>Tabela9[[#This Row],[Tensão(Pa)]]/1000000</f>
        <v>6.2025659415092838</v>
      </c>
    </row>
    <row r="299" spans="1:6" x14ac:dyDescent="0.3">
      <c r="A299" s="1">
        <v>20.05</v>
      </c>
      <c r="B299" s="1">
        <v>1.6632</v>
      </c>
      <c r="C299" s="1">
        <f>Tabela9[[#This Row],[Alongamento(mm/mm)]]/$I$2</f>
        <v>3.3264000000000002E-2</v>
      </c>
      <c r="D299" s="1">
        <v>195.95</v>
      </c>
      <c r="E299" s="1">
        <f>Tabela9[[#This Row],[Forτa(N)]]/$I$5</f>
        <v>6245916.009243764</v>
      </c>
      <c r="F299" s="1">
        <f>Tabela9[[#This Row],[Tensão(Pa)]]/1000000</f>
        <v>6.2459160092437642</v>
      </c>
    </row>
    <row r="300" spans="1:6" x14ac:dyDescent="0.3">
      <c r="A300" s="1">
        <v>20.117000000000001</v>
      </c>
      <c r="B300" s="1">
        <v>1.6687000000000001</v>
      </c>
      <c r="C300" s="1">
        <f>Tabela9[[#This Row],[Alongamento(mm/mm)]]/$I$2</f>
        <v>3.3374000000000001E-2</v>
      </c>
      <c r="D300" s="1">
        <v>197.31</v>
      </c>
      <c r="E300" s="1">
        <f>Tabela9[[#This Row],[Forτa(N)]]/$I$5</f>
        <v>6289266.0769782458</v>
      </c>
      <c r="F300" s="1">
        <f>Tabela9[[#This Row],[Tensão(Pa)]]/1000000</f>
        <v>6.2892660769782456</v>
      </c>
    </row>
    <row r="301" spans="1:6" x14ac:dyDescent="0.3">
      <c r="A301" s="1">
        <v>20.183</v>
      </c>
      <c r="B301" s="1">
        <v>1.6742999999999999</v>
      </c>
      <c r="C301" s="1">
        <f>Tabela9[[#This Row],[Alongamento(mm/mm)]]/$I$2</f>
        <v>3.3485999999999995E-2</v>
      </c>
      <c r="D301" s="1">
        <v>198.85</v>
      </c>
      <c r="E301" s="1">
        <f>Tabela9[[#This Row],[Forτa(N)]]/$I$5</f>
        <v>6338353.6536775837</v>
      </c>
      <c r="F301" s="1">
        <f>Tabela9[[#This Row],[Tensão(Pa)]]/1000000</f>
        <v>6.3383536536775837</v>
      </c>
    </row>
    <row r="302" spans="1:6" x14ac:dyDescent="0.3">
      <c r="A302" s="1">
        <v>20.25</v>
      </c>
      <c r="B302" s="1">
        <v>1.6798999999999999</v>
      </c>
      <c r="C302" s="1">
        <f>Tabela9[[#This Row],[Alongamento(mm/mm)]]/$I$2</f>
        <v>3.3597999999999996E-2</v>
      </c>
      <c r="D302" s="1">
        <v>200.21</v>
      </c>
      <c r="E302" s="1">
        <f>Tabela9[[#This Row],[Forτa(N)]]/$I$5</f>
        <v>6381703.7214120654</v>
      </c>
      <c r="F302" s="1">
        <f>Tabela9[[#This Row],[Tensão(Pa)]]/1000000</f>
        <v>6.3817037214120651</v>
      </c>
    </row>
    <row r="303" spans="1:6" x14ac:dyDescent="0.3">
      <c r="A303" s="1">
        <v>20.317</v>
      </c>
      <c r="B303" s="1">
        <v>1.6855</v>
      </c>
      <c r="C303" s="1">
        <f>Tabela9[[#This Row],[Alongamento(mm/mm)]]/$I$2</f>
        <v>3.3709999999999997E-2</v>
      </c>
      <c r="D303" s="1">
        <v>201.57</v>
      </c>
      <c r="E303" s="1">
        <f>Tabela9[[#This Row],[Forτa(N)]]/$I$5</f>
        <v>6425053.7891465453</v>
      </c>
      <c r="F303" s="1">
        <f>Tabela9[[#This Row],[Tensão(Pa)]]/1000000</f>
        <v>6.4250537891465456</v>
      </c>
    </row>
    <row r="304" spans="1:6" x14ac:dyDescent="0.3">
      <c r="A304" s="1">
        <v>20.382999999999999</v>
      </c>
      <c r="B304" s="1">
        <v>1.6910000000000001</v>
      </c>
      <c r="C304" s="1">
        <f>Tabela9[[#This Row],[Alongamento(mm/mm)]]/$I$2</f>
        <v>3.3820000000000003E-2</v>
      </c>
      <c r="D304" s="1">
        <v>203.1</v>
      </c>
      <c r="E304" s="1">
        <f>Tabela9[[#This Row],[Forτa(N)]]/$I$5</f>
        <v>6473822.6153478371</v>
      </c>
      <c r="F304" s="1">
        <f>Tabela9[[#This Row],[Tensão(Pa)]]/1000000</f>
        <v>6.4738226153478369</v>
      </c>
    </row>
    <row r="305" spans="1:6" x14ac:dyDescent="0.3">
      <c r="A305" s="1">
        <v>20.45</v>
      </c>
      <c r="B305" s="1">
        <v>1.6966000000000001</v>
      </c>
      <c r="C305" s="1">
        <f>Tabela9[[#This Row],[Alongamento(mm/mm)]]/$I$2</f>
        <v>3.3932000000000004E-2</v>
      </c>
      <c r="D305" s="1">
        <v>204.46</v>
      </c>
      <c r="E305" s="1">
        <f>Tabela9[[#This Row],[Forτa(N)]]/$I$5</f>
        <v>6517172.6830823179</v>
      </c>
      <c r="F305" s="1">
        <f>Tabela9[[#This Row],[Tensão(Pa)]]/1000000</f>
        <v>6.5171726830823182</v>
      </c>
    </row>
    <row r="306" spans="1:6" x14ac:dyDescent="0.3">
      <c r="A306" s="1">
        <v>20.516999999999999</v>
      </c>
      <c r="B306" s="1">
        <v>1.7020999999999999</v>
      </c>
      <c r="C306" s="1">
        <f>Tabela9[[#This Row],[Alongamento(mm/mm)]]/$I$2</f>
        <v>3.4041999999999996E-2</v>
      </c>
      <c r="D306" s="1">
        <v>205.99</v>
      </c>
      <c r="E306" s="1">
        <f>Tabela9[[#This Row],[Forτa(N)]]/$I$5</f>
        <v>6565941.5092836088</v>
      </c>
      <c r="F306" s="1">
        <f>Tabela9[[#This Row],[Tensão(Pa)]]/1000000</f>
        <v>6.5659415092836086</v>
      </c>
    </row>
    <row r="307" spans="1:6" x14ac:dyDescent="0.3">
      <c r="A307" s="1">
        <v>20.582999999999998</v>
      </c>
      <c r="B307" s="1">
        <v>1.7077</v>
      </c>
      <c r="C307" s="1">
        <f>Tabela9[[#This Row],[Alongamento(mm/mm)]]/$I$2</f>
        <v>3.4153999999999997E-2</v>
      </c>
      <c r="D307" s="1">
        <v>207.35</v>
      </c>
      <c r="E307" s="1">
        <f>Tabela9[[#This Row],[Forτa(N)]]/$I$5</f>
        <v>6609291.5770180896</v>
      </c>
      <c r="F307" s="1">
        <f>Tabela9[[#This Row],[Tensão(Pa)]]/1000000</f>
        <v>6.60929157701809</v>
      </c>
    </row>
    <row r="308" spans="1:6" x14ac:dyDescent="0.3">
      <c r="A308" s="1">
        <v>20.65</v>
      </c>
      <c r="B308" s="1">
        <v>1.7132000000000001</v>
      </c>
      <c r="C308" s="1">
        <f>Tabela9[[#This Row],[Alongamento(mm/mm)]]/$I$2</f>
        <v>3.4264000000000003E-2</v>
      </c>
      <c r="D308" s="1">
        <v>208.71</v>
      </c>
      <c r="E308" s="1">
        <f>Tabela9[[#This Row],[Forτa(N)]]/$I$5</f>
        <v>6652641.6447525704</v>
      </c>
      <c r="F308" s="1">
        <f>Tabela9[[#This Row],[Tensão(Pa)]]/1000000</f>
        <v>6.6526416447525705</v>
      </c>
    </row>
    <row r="309" spans="1:6" x14ac:dyDescent="0.3">
      <c r="A309" s="1">
        <v>20.716999999999999</v>
      </c>
      <c r="B309" s="1">
        <v>1.7188000000000001</v>
      </c>
      <c r="C309" s="1">
        <f>Tabela9[[#This Row],[Alongamento(mm/mm)]]/$I$2</f>
        <v>3.4376000000000004E-2</v>
      </c>
      <c r="D309" s="1">
        <v>210.07</v>
      </c>
      <c r="E309" s="1">
        <f>Tabela9[[#This Row],[Forτa(N)]]/$I$5</f>
        <v>6695991.7124870513</v>
      </c>
      <c r="F309" s="1">
        <f>Tabela9[[#This Row],[Tensão(Pa)]]/1000000</f>
        <v>6.6959917124870509</v>
      </c>
    </row>
    <row r="310" spans="1:6" x14ac:dyDescent="0.3">
      <c r="A310" s="1">
        <v>20.783000000000001</v>
      </c>
      <c r="B310" s="1">
        <v>1.7243999999999999</v>
      </c>
      <c r="C310" s="1">
        <f>Tabela9[[#This Row],[Alongamento(mm/mm)]]/$I$2</f>
        <v>3.4487999999999998E-2</v>
      </c>
      <c r="D310" s="1">
        <v>211.6</v>
      </c>
      <c r="E310" s="1">
        <f>Tabela9[[#This Row],[Forτa(N)]]/$I$5</f>
        <v>6744760.5386883421</v>
      </c>
      <c r="F310" s="1">
        <f>Tabela9[[#This Row],[Tensão(Pa)]]/1000000</f>
        <v>6.7447605386883422</v>
      </c>
    </row>
    <row r="311" spans="1:6" x14ac:dyDescent="0.3">
      <c r="A311" s="1">
        <v>20.85</v>
      </c>
      <c r="B311" s="1">
        <v>1.7299</v>
      </c>
      <c r="C311" s="1">
        <f>Tabela9[[#This Row],[Alongamento(mm/mm)]]/$I$2</f>
        <v>3.4597999999999997E-2</v>
      </c>
      <c r="D311" s="1">
        <v>212.96</v>
      </c>
      <c r="E311" s="1">
        <f>Tabela9[[#This Row],[Forτa(N)]]/$I$5</f>
        <v>6788110.6064228229</v>
      </c>
      <c r="F311" s="1">
        <f>Tabela9[[#This Row],[Tensão(Pa)]]/1000000</f>
        <v>6.7881106064228227</v>
      </c>
    </row>
    <row r="312" spans="1:6" x14ac:dyDescent="0.3">
      <c r="A312" s="1">
        <v>20.917000000000002</v>
      </c>
      <c r="B312" s="1">
        <v>1.7353000000000001</v>
      </c>
      <c r="C312" s="1">
        <f>Tabela9[[#This Row],[Alongamento(mm/mm)]]/$I$2</f>
        <v>3.4706000000000001E-2</v>
      </c>
      <c r="D312" s="1">
        <v>214.49</v>
      </c>
      <c r="E312" s="1">
        <f>Tabela9[[#This Row],[Forτa(N)]]/$I$5</f>
        <v>6836879.4326241137</v>
      </c>
      <c r="F312" s="1">
        <f>Tabela9[[#This Row],[Tensão(Pa)]]/1000000</f>
        <v>6.836879432624114</v>
      </c>
    </row>
    <row r="313" spans="1:6" x14ac:dyDescent="0.3">
      <c r="A313" s="1">
        <v>20.983000000000001</v>
      </c>
      <c r="B313" s="1">
        <v>1.7408999999999999</v>
      </c>
      <c r="C313" s="1">
        <f>Tabela9[[#This Row],[Alongamento(mm/mm)]]/$I$2</f>
        <v>3.4817999999999995E-2</v>
      </c>
      <c r="D313" s="1">
        <v>216.03</v>
      </c>
      <c r="E313" s="1">
        <f>Tabela9[[#This Row],[Forτa(N)]]/$I$5</f>
        <v>6885967.0093234526</v>
      </c>
      <c r="F313" s="1">
        <f>Tabela9[[#This Row],[Tensão(Pa)]]/1000000</f>
        <v>6.8859670093234522</v>
      </c>
    </row>
    <row r="314" spans="1:6" x14ac:dyDescent="0.3">
      <c r="A314" s="1">
        <v>21.05</v>
      </c>
      <c r="B314" s="1">
        <v>1.7464999999999999</v>
      </c>
      <c r="C314" s="1">
        <f>Tabela9[[#This Row],[Alongamento(mm/mm)]]/$I$2</f>
        <v>3.4929999999999996E-2</v>
      </c>
      <c r="D314" s="1">
        <v>217.39</v>
      </c>
      <c r="E314" s="1">
        <f>Tabela9[[#This Row],[Forτa(N)]]/$I$5</f>
        <v>6929317.0770579325</v>
      </c>
      <c r="F314" s="1">
        <f>Tabela9[[#This Row],[Tensão(Pa)]]/1000000</f>
        <v>6.9293170770579327</v>
      </c>
    </row>
    <row r="315" spans="1:6" x14ac:dyDescent="0.3">
      <c r="A315" s="1">
        <v>21.117000000000001</v>
      </c>
      <c r="B315" s="1">
        <v>1.7521</v>
      </c>
      <c r="C315" s="1">
        <f>Tabela9[[#This Row],[Alongamento(mm/mm)]]/$I$2</f>
        <v>3.5041999999999997E-2</v>
      </c>
      <c r="D315" s="1">
        <v>218.92</v>
      </c>
      <c r="E315" s="1">
        <f>Tabela9[[#This Row],[Forτa(N)]]/$I$5</f>
        <v>6978085.9032592243</v>
      </c>
      <c r="F315" s="1">
        <f>Tabela9[[#This Row],[Tensão(Pa)]]/1000000</f>
        <v>6.978085903259224</v>
      </c>
    </row>
    <row r="316" spans="1:6" x14ac:dyDescent="0.3">
      <c r="A316" s="1">
        <v>21.2</v>
      </c>
      <c r="B316" s="1">
        <v>1.7591000000000001</v>
      </c>
      <c r="C316" s="1">
        <f>Tabela9[[#This Row],[Alongamento(mm/mm)]]/$I$2</f>
        <v>3.5182000000000005E-2</v>
      </c>
      <c r="D316" s="1">
        <v>220.96</v>
      </c>
      <c r="E316" s="1">
        <f>Tabela9[[#This Row],[Forτa(N)]]/$I$5</f>
        <v>7043111.004860946</v>
      </c>
      <c r="F316" s="1">
        <f>Tabela9[[#This Row],[Tensão(Pa)]]/1000000</f>
        <v>7.043111004860946</v>
      </c>
    </row>
    <row r="317" spans="1:6" x14ac:dyDescent="0.3">
      <c r="A317" s="1">
        <v>21.283000000000001</v>
      </c>
      <c r="B317" s="1">
        <v>1.766</v>
      </c>
      <c r="C317" s="1">
        <f>Tabela9[[#This Row],[Alongamento(mm/mm)]]/$I$2</f>
        <v>3.5319999999999997E-2</v>
      </c>
      <c r="D317" s="1">
        <v>222.83</v>
      </c>
      <c r="E317" s="1">
        <f>Tabela9[[#This Row],[Forτa(N)]]/$I$5</f>
        <v>7102717.3479958568</v>
      </c>
      <c r="F317" s="1">
        <f>Tabela9[[#This Row],[Tensão(Pa)]]/1000000</f>
        <v>7.1027173479958572</v>
      </c>
    </row>
    <row r="318" spans="1:6" x14ac:dyDescent="0.3">
      <c r="A318" s="1">
        <v>21.367000000000001</v>
      </c>
      <c r="B318" s="1">
        <v>1.7728999999999999</v>
      </c>
      <c r="C318" s="1">
        <f>Tabela9[[#This Row],[Alongamento(mm/mm)]]/$I$2</f>
        <v>3.5457999999999996E-2</v>
      </c>
      <c r="D318" s="1">
        <v>224.87</v>
      </c>
      <c r="E318" s="1">
        <f>Tabela9[[#This Row],[Forτa(N)]]/$I$5</f>
        <v>7167742.4495975785</v>
      </c>
      <c r="F318" s="1">
        <f>Tabela9[[#This Row],[Tensão(Pa)]]/1000000</f>
        <v>7.1677424495975783</v>
      </c>
    </row>
    <row r="319" spans="1:6" x14ac:dyDescent="0.3">
      <c r="A319" s="1">
        <v>21.45</v>
      </c>
      <c r="B319" s="1">
        <v>1.7799</v>
      </c>
      <c r="C319" s="1">
        <f>Tabela9[[#This Row],[Alongamento(mm/mm)]]/$I$2</f>
        <v>3.5597999999999998E-2</v>
      </c>
      <c r="D319" s="1">
        <v>226.74</v>
      </c>
      <c r="E319" s="1">
        <f>Tabela9[[#This Row],[Forτa(N)]]/$I$5</f>
        <v>7227348.7927324893</v>
      </c>
      <c r="F319" s="1">
        <f>Tabela9[[#This Row],[Tensão(Pa)]]/1000000</f>
        <v>7.2273487927324895</v>
      </c>
    </row>
    <row r="320" spans="1:6" x14ac:dyDescent="0.3">
      <c r="A320" s="1">
        <v>21.533000000000001</v>
      </c>
      <c r="B320" s="1">
        <v>1.7867999999999999</v>
      </c>
      <c r="C320" s="1">
        <f>Tabela9[[#This Row],[Alongamento(mm/mm)]]/$I$2</f>
        <v>3.5735999999999997E-2</v>
      </c>
      <c r="D320" s="1">
        <v>228.61</v>
      </c>
      <c r="E320" s="1">
        <f>Tabela9[[#This Row],[Forτa(N)]]/$I$5</f>
        <v>7286955.135867401</v>
      </c>
      <c r="F320" s="1">
        <f>Tabela9[[#This Row],[Tensão(Pa)]]/1000000</f>
        <v>7.2869551358674007</v>
      </c>
    </row>
    <row r="321" spans="1:6" x14ac:dyDescent="0.3">
      <c r="A321" s="1">
        <v>21.617000000000001</v>
      </c>
      <c r="B321" s="1">
        <v>1.7938000000000001</v>
      </c>
      <c r="C321" s="1">
        <f>Tabela9[[#This Row],[Alongamento(mm/mm)]]/$I$2</f>
        <v>3.5875999999999998E-2</v>
      </c>
      <c r="D321" s="1">
        <v>230.65</v>
      </c>
      <c r="E321" s="1">
        <f>Tabela9[[#This Row],[Forτa(N)]]/$I$5</f>
        <v>7351980.2374691218</v>
      </c>
      <c r="F321" s="1">
        <f>Tabela9[[#This Row],[Tensão(Pa)]]/1000000</f>
        <v>7.3519802374691219</v>
      </c>
    </row>
    <row r="322" spans="1:6" x14ac:dyDescent="0.3">
      <c r="A322" s="1">
        <v>21.7</v>
      </c>
      <c r="B322" s="1">
        <v>1.8008</v>
      </c>
      <c r="C322" s="1">
        <f>Tabela9[[#This Row],[Alongamento(mm/mm)]]/$I$2</f>
        <v>3.6015999999999999E-2</v>
      </c>
      <c r="D322" s="1">
        <v>232.53</v>
      </c>
      <c r="E322" s="1">
        <f>Tabela9[[#This Row],[Forτa(N)]]/$I$5</f>
        <v>7411905.3311020806</v>
      </c>
      <c r="F322" s="1">
        <f>Tabela9[[#This Row],[Tensão(Pa)]]/1000000</f>
        <v>7.4119053311020808</v>
      </c>
    </row>
    <row r="323" spans="1:6" x14ac:dyDescent="0.3">
      <c r="A323" s="1">
        <v>21.783000000000001</v>
      </c>
      <c r="B323" s="1">
        <v>1.8077000000000001</v>
      </c>
      <c r="C323" s="1">
        <f>Tabela9[[#This Row],[Alongamento(mm/mm)]]/$I$2</f>
        <v>3.6153999999999999E-2</v>
      </c>
      <c r="D323" s="1">
        <v>234.4</v>
      </c>
      <c r="E323" s="1">
        <f>Tabela9[[#This Row],[Forτa(N)]]/$I$5</f>
        <v>7471511.6742369914</v>
      </c>
      <c r="F323" s="1">
        <f>Tabela9[[#This Row],[Tensão(Pa)]]/1000000</f>
        <v>7.4715116742369911</v>
      </c>
    </row>
    <row r="324" spans="1:6" x14ac:dyDescent="0.3">
      <c r="A324" s="1">
        <v>21.85</v>
      </c>
      <c r="B324" s="1">
        <v>1.8130999999999999</v>
      </c>
      <c r="C324" s="1">
        <f>Tabela9[[#This Row],[Alongamento(mm/mm)]]/$I$2</f>
        <v>3.6261999999999996E-2</v>
      </c>
      <c r="D324" s="1">
        <v>236.1</v>
      </c>
      <c r="E324" s="1">
        <f>Tabela9[[#This Row],[Forτa(N)]]/$I$5</f>
        <v>7525699.2589050923</v>
      </c>
      <c r="F324" s="1">
        <f>Tabela9[[#This Row],[Tensão(Pa)]]/1000000</f>
        <v>7.5256992589050924</v>
      </c>
    </row>
    <row r="325" spans="1:6" x14ac:dyDescent="0.3">
      <c r="A325" s="1">
        <v>21.933</v>
      </c>
      <c r="B325" s="1">
        <v>1.8201000000000001</v>
      </c>
      <c r="C325" s="1">
        <f>Tabela9[[#This Row],[Alongamento(mm/mm)]]/$I$2</f>
        <v>3.6402000000000004E-2</v>
      </c>
      <c r="D325" s="1">
        <v>238.14</v>
      </c>
      <c r="E325" s="1">
        <f>Tabela9[[#This Row],[Forτa(N)]]/$I$5</f>
        <v>7590724.360506813</v>
      </c>
      <c r="F325" s="1">
        <f>Tabela9[[#This Row],[Tensão(Pa)]]/1000000</f>
        <v>7.5907243605068127</v>
      </c>
    </row>
    <row r="326" spans="1:6" x14ac:dyDescent="0.3">
      <c r="A326" s="1">
        <v>22.016999999999999</v>
      </c>
      <c r="B326" s="1">
        <v>1.8270999999999999</v>
      </c>
      <c r="C326" s="1">
        <f>Tabela9[[#This Row],[Alongamento(mm/mm)]]/$I$2</f>
        <v>3.6541999999999998E-2</v>
      </c>
      <c r="D326" s="1">
        <v>240.18</v>
      </c>
      <c r="E326" s="1">
        <f>Tabela9[[#This Row],[Forτa(N)]]/$I$5</f>
        <v>7655749.4621085348</v>
      </c>
      <c r="F326" s="1">
        <f>Tabela9[[#This Row],[Tensão(Pa)]]/1000000</f>
        <v>7.6557494621085347</v>
      </c>
    </row>
    <row r="327" spans="1:6" x14ac:dyDescent="0.3">
      <c r="A327" s="1">
        <v>22.082999999999998</v>
      </c>
      <c r="B327" s="1">
        <v>1.8327</v>
      </c>
      <c r="C327" s="1">
        <f>Tabela9[[#This Row],[Alongamento(mm/mm)]]/$I$2</f>
        <v>3.6653999999999999E-2</v>
      </c>
      <c r="D327" s="1">
        <v>241.88</v>
      </c>
      <c r="E327" s="1">
        <f>Tabela9[[#This Row],[Forτa(N)]]/$I$5</f>
        <v>7709937.0467766356</v>
      </c>
      <c r="F327" s="1">
        <f>Tabela9[[#This Row],[Tensão(Pa)]]/1000000</f>
        <v>7.7099370467766359</v>
      </c>
    </row>
    <row r="328" spans="1:6" x14ac:dyDescent="0.3">
      <c r="A328" s="1">
        <v>22.167000000000002</v>
      </c>
      <c r="B328" s="1">
        <v>1.8395999999999999</v>
      </c>
      <c r="C328" s="1">
        <f>Tabela9[[#This Row],[Alongamento(mm/mm)]]/$I$2</f>
        <v>3.6791999999999998E-2</v>
      </c>
      <c r="D328" s="1">
        <v>243.92</v>
      </c>
      <c r="E328" s="1">
        <f>Tabela9[[#This Row],[Forτa(N)]]/$I$5</f>
        <v>7774962.1483783573</v>
      </c>
      <c r="F328" s="1">
        <f>Tabela9[[#This Row],[Tensão(Pa)]]/1000000</f>
        <v>7.7749621483783571</v>
      </c>
    </row>
    <row r="329" spans="1:6" x14ac:dyDescent="0.3">
      <c r="A329" s="1">
        <v>22.25</v>
      </c>
      <c r="B329" s="1">
        <v>1.8465</v>
      </c>
      <c r="C329" s="1">
        <f>Tabela9[[#This Row],[Alongamento(mm/mm)]]/$I$2</f>
        <v>3.6929999999999998E-2</v>
      </c>
      <c r="D329" s="1">
        <v>245.96</v>
      </c>
      <c r="E329" s="1">
        <f>Tabela9[[#This Row],[Forτa(N)]]/$I$5</f>
        <v>7839987.249980079</v>
      </c>
      <c r="F329" s="1">
        <f>Tabela9[[#This Row],[Tensão(Pa)]]/1000000</f>
        <v>7.8399872499800791</v>
      </c>
    </row>
    <row r="330" spans="1:6" x14ac:dyDescent="0.3">
      <c r="A330" s="1">
        <v>22.332999999999998</v>
      </c>
      <c r="B330" s="1">
        <v>1.8534999999999999</v>
      </c>
      <c r="C330" s="1">
        <f>Tabela9[[#This Row],[Alongamento(mm/mm)]]/$I$2</f>
        <v>3.7069999999999999E-2</v>
      </c>
      <c r="D330" s="1">
        <v>247.83</v>
      </c>
      <c r="E330" s="1">
        <f>Tabela9[[#This Row],[Forτa(N)]]/$I$5</f>
        <v>7899593.5931149898</v>
      </c>
      <c r="F330" s="1">
        <f>Tabela9[[#This Row],[Tensão(Pa)]]/1000000</f>
        <v>7.8995935931149894</v>
      </c>
    </row>
    <row r="331" spans="1:6" x14ac:dyDescent="0.3">
      <c r="A331" s="1">
        <v>22.4</v>
      </c>
      <c r="B331" s="1">
        <v>1.859</v>
      </c>
      <c r="C331" s="1">
        <f>Tabela9[[#This Row],[Alongamento(mm/mm)]]/$I$2</f>
        <v>3.7179999999999998E-2</v>
      </c>
      <c r="D331" s="1">
        <v>249.53</v>
      </c>
      <c r="E331" s="1">
        <f>Tabela9[[#This Row],[Forτa(N)]]/$I$5</f>
        <v>7953781.1777830906</v>
      </c>
      <c r="F331" s="1">
        <f>Tabela9[[#This Row],[Tensão(Pa)]]/1000000</f>
        <v>7.9537811777830907</v>
      </c>
    </row>
    <row r="332" spans="1:6" x14ac:dyDescent="0.3">
      <c r="A332" s="1">
        <v>22.483000000000001</v>
      </c>
      <c r="B332" s="1">
        <v>1.8660000000000001</v>
      </c>
      <c r="C332" s="1">
        <f>Tabela9[[#This Row],[Alongamento(mm/mm)]]/$I$2</f>
        <v>3.7319999999999999E-2</v>
      </c>
      <c r="D332" s="1">
        <v>251.58</v>
      </c>
      <c r="E332" s="1">
        <f>Tabela9[[#This Row],[Forτa(N)]]/$I$5</f>
        <v>8019125.0298828604</v>
      </c>
      <c r="F332" s="1">
        <f>Tabela9[[#This Row],[Tensão(Pa)]]/1000000</f>
        <v>8.0191250298828596</v>
      </c>
    </row>
    <row r="333" spans="1:6" x14ac:dyDescent="0.3">
      <c r="A333" s="1">
        <v>22.567</v>
      </c>
      <c r="B333" s="1">
        <v>1.873</v>
      </c>
      <c r="C333" s="1">
        <f>Tabela9[[#This Row],[Alongamento(mm/mm)]]/$I$2</f>
        <v>3.746E-2</v>
      </c>
      <c r="D333" s="1">
        <v>253.62</v>
      </c>
      <c r="E333" s="1">
        <f>Tabela9[[#This Row],[Forτa(N)]]/$I$5</f>
        <v>8084150.1314845812</v>
      </c>
      <c r="F333" s="1">
        <f>Tabela9[[#This Row],[Tensão(Pa)]]/1000000</f>
        <v>8.0841501314845807</v>
      </c>
    </row>
    <row r="334" spans="1:6" x14ac:dyDescent="0.3">
      <c r="A334" s="1">
        <v>22.65</v>
      </c>
      <c r="B334" s="1">
        <v>1.8798999999999999</v>
      </c>
      <c r="C334" s="1">
        <f>Tabela9[[#This Row],[Alongamento(mm/mm)]]/$I$2</f>
        <v>3.7597999999999999E-2</v>
      </c>
      <c r="D334" s="1">
        <v>255.66</v>
      </c>
      <c r="E334" s="1">
        <f>Tabela9[[#This Row],[Forτa(N)]]/$I$5</f>
        <v>8149175.2330863019</v>
      </c>
      <c r="F334" s="1">
        <f>Tabela9[[#This Row],[Tensão(Pa)]]/1000000</f>
        <v>8.1491752330863019</v>
      </c>
    </row>
    <row r="335" spans="1:6" x14ac:dyDescent="0.3">
      <c r="A335" s="1">
        <v>22.733000000000001</v>
      </c>
      <c r="B335" s="1">
        <v>1.8868</v>
      </c>
      <c r="C335" s="1">
        <f>Tabela9[[#This Row],[Alongamento(mm/mm)]]/$I$2</f>
        <v>3.7735999999999999E-2</v>
      </c>
      <c r="D335" s="1">
        <v>257.7</v>
      </c>
      <c r="E335" s="1">
        <f>Tabela9[[#This Row],[Forτa(N)]]/$I$5</f>
        <v>8214200.3346880227</v>
      </c>
      <c r="F335" s="1">
        <f>Tabela9[[#This Row],[Tensão(Pa)]]/1000000</f>
        <v>8.214200334688023</v>
      </c>
    </row>
    <row r="336" spans="1:6" x14ac:dyDescent="0.3">
      <c r="A336" s="1">
        <v>22.817</v>
      </c>
      <c r="B336" s="1">
        <v>1.8937999999999999</v>
      </c>
      <c r="C336" s="1">
        <f>Tabela9[[#This Row],[Alongamento(mm/mm)]]/$I$2</f>
        <v>3.7876E-2</v>
      </c>
      <c r="D336" s="1">
        <v>259.57</v>
      </c>
      <c r="E336" s="1">
        <f>Tabela9[[#This Row],[Forτa(N)]]/$I$5</f>
        <v>8273806.6778229345</v>
      </c>
      <c r="F336" s="1">
        <f>Tabela9[[#This Row],[Tensão(Pa)]]/1000000</f>
        <v>8.2738066778229342</v>
      </c>
    </row>
    <row r="337" spans="1:6" x14ac:dyDescent="0.3">
      <c r="A337" s="1">
        <v>22.882999999999999</v>
      </c>
      <c r="B337" s="1">
        <v>1.8993</v>
      </c>
      <c r="C337" s="1">
        <f>Tabela9[[#This Row],[Alongamento(mm/mm)]]/$I$2</f>
        <v>3.7985999999999999E-2</v>
      </c>
      <c r="D337" s="1">
        <v>261.27</v>
      </c>
      <c r="E337" s="1">
        <f>Tabela9[[#This Row],[Forτa(N)]]/$I$5</f>
        <v>8327994.2624910353</v>
      </c>
      <c r="F337" s="1">
        <f>Tabela9[[#This Row],[Tensão(Pa)]]/1000000</f>
        <v>8.3279942624910355</v>
      </c>
    </row>
    <row r="338" spans="1:6" x14ac:dyDescent="0.3">
      <c r="A338" s="1">
        <v>22.966999999999999</v>
      </c>
      <c r="B338" s="1">
        <v>1.9061999999999999</v>
      </c>
      <c r="C338" s="1">
        <f>Tabela9[[#This Row],[Alongamento(mm/mm)]]/$I$2</f>
        <v>3.8123999999999998E-2</v>
      </c>
      <c r="D338" s="1">
        <v>263.31</v>
      </c>
      <c r="E338" s="1">
        <f>Tabela9[[#This Row],[Forτa(N)]]/$I$5</f>
        <v>8393019.3640927561</v>
      </c>
      <c r="F338" s="1">
        <f>Tabela9[[#This Row],[Tensão(Pa)]]/1000000</f>
        <v>8.3930193640927566</v>
      </c>
    </row>
    <row r="339" spans="1:6" x14ac:dyDescent="0.3">
      <c r="A339" s="1">
        <v>23.05</v>
      </c>
      <c r="B339" s="1">
        <v>1.9132</v>
      </c>
      <c r="C339" s="1">
        <f>Tabela9[[#This Row],[Alongamento(mm/mm)]]/$I$2</f>
        <v>3.8263999999999999E-2</v>
      </c>
      <c r="D339" s="1">
        <v>265.35000000000002</v>
      </c>
      <c r="E339" s="1">
        <f>Tabela9[[#This Row],[Forτa(N)]]/$I$5</f>
        <v>8458044.4656944796</v>
      </c>
      <c r="F339" s="1">
        <f>Tabela9[[#This Row],[Tensão(Pa)]]/1000000</f>
        <v>8.4580444656944795</v>
      </c>
    </row>
    <row r="340" spans="1:6" x14ac:dyDescent="0.3">
      <c r="A340" s="1">
        <v>23.132999999999999</v>
      </c>
      <c r="B340" s="1">
        <v>1.9201999999999999</v>
      </c>
      <c r="C340" s="1">
        <f>Tabela9[[#This Row],[Alongamento(mm/mm)]]/$I$2</f>
        <v>3.8404000000000001E-2</v>
      </c>
      <c r="D340" s="1">
        <v>267.39999999999998</v>
      </c>
      <c r="E340" s="1">
        <f>Tabela9[[#This Row],[Forτa(N)]]/$I$5</f>
        <v>8523388.3177942466</v>
      </c>
      <c r="F340" s="1">
        <f>Tabela9[[#This Row],[Tensão(Pa)]]/1000000</f>
        <v>8.5233883177942467</v>
      </c>
    </row>
    <row r="341" spans="1:6" x14ac:dyDescent="0.3">
      <c r="A341" s="1">
        <v>23.216999999999999</v>
      </c>
      <c r="B341" s="1">
        <v>1.927</v>
      </c>
      <c r="C341" s="1">
        <f>Tabela9[[#This Row],[Alongamento(mm/mm)]]/$I$2</f>
        <v>3.8539999999999998E-2</v>
      </c>
      <c r="D341" s="1">
        <v>269.44</v>
      </c>
      <c r="E341" s="1">
        <f>Tabela9[[#This Row],[Forτa(N)]]/$I$5</f>
        <v>8588413.4193959683</v>
      </c>
      <c r="F341" s="1">
        <f>Tabela9[[#This Row],[Tensão(Pa)]]/1000000</f>
        <v>8.5884134193959678</v>
      </c>
    </row>
    <row r="342" spans="1:6" x14ac:dyDescent="0.3">
      <c r="A342" s="1">
        <v>23.3</v>
      </c>
      <c r="B342" s="1">
        <v>1.9340999999999999</v>
      </c>
      <c r="C342" s="1">
        <f>Tabela9[[#This Row],[Alongamento(mm/mm)]]/$I$2</f>
        <v>3.8682000000000001E-2</v>
      </c>
      <c r="D342" s="1">
        <v>271.64999999999998</v>
      </c>
      <c r="E342" s="1">
        <f>Tabela9[[#This Row],[Forτa(N)]]/$I$5</f>
        <v>8658857.2794644982</v>
      </c>
      <c r="F342" s="1">
        <f>Tabela9[[#This Row],[Tensão(Pa)]]/1000000</f>
        <v>8.6588572794644989</v>
      </c>
    </row>
    <row r="343" spans="1:6" x14ac:dyDescent="0.3">
      <c r="A343" s="1">
        <v>23.382999999999999</v>
      </c>
      <c r="B343" s="1">
        <v>1.9410000000000001</v>
      </c>
      <c r="C343" s="1">
        <f>Tabela9[[#This Row],[Alongamento(mm/mm)]]/$I$2</f>
        <v>3.882E-2</v>
      </c>
      <c r="D343" s="1">
        <v>273.69</v>
      </c>
      <c r="E343" s="1">
        <f>Tabela9[[#This Row],[Forτa(N)]]/$I$5</f>
        <v>8723882.3810662217</v>
      </c>
      <c r="F343" s="1">
        <f>Tabela9[[#This Row],[Tensão(Pa)]]/1000000</f>
        <v>8.7238823810662218</v>
      </c>
    </row>
    <row r="344" spans="1:6" x14ac:dyDescent="0.3">
      <c r="A344" s="1">
        <v>23.466999999999999</v>
      </c>
      <c r="B344" s="1">
        <v>1.9479</v>
      </c>
      <c r="C344" s="1">
        <f>Tabela9[[#This Row],[Alongamento(mm/mm)]]/$I$2</f>
        <v>3.8958E-2</v>
      </c>
      <c r="D344" s="1">
        <v>275.73</v>
      </c>
      <c r="E344" s="1">
        <f>Tabela9[[#This Row],[Forτa(N)]]/$I$5</f>
        <v>8788907.4826679435</v>
      </c>
      <c r="F344" s="1">
        <f>Tabela9[[#This Row],[Tensão(Pa)]]/1000000</f>
        <v>8.788907482667943</v>
      </c>
    </row>
    <row r="345" spans="1:6" x14ac:dyDescent="0.3">
      <c r="A345" s="1">
        <v>23.55</v>
      </c>
      <c r="B345" s="1">
        <v>1.9549000000000001</v>
      </c>
      <c r="C345" s="1">
        <f>Tabela9[[#This Row],[Alongamento(mm/mm)]]/$I$2</f>
        <v>3.9098000000000001E-2</v>
      </c>
      <c r="D345" s="1">
        <v>277.94</v>
      </c>
      <c r="E345" s="1">
        <f>Tabela9[[#This Row],[Forτa(N)]]/$I$5</f>
        <v>8859351.3427364733</v>
      </c>
      <c r="F345" s="1">
        <f>Tabela9[[#This Row],[Tensão(Pa)]]/1000000</f>
        <v>8.8593513427364741</v>
      </c>
    </row>
    <row r="346" spans="1:6" x14ac:dyDescent="0.3">
      <c r="A346" s="1">
        <v>23.632999999999999</v>
      </c>
      <c r="B346" s="1">
        <v>1.9618</v>
      </c>
      <c r="C346" s="1">
        <f>Tabela9[[#This Row],[Alongamento(mm/mm)]]/$I$2</f>
        <v>3.9236E-2</v>
      </c>
      <c r="D346" s="1">
        <v>280.14999999999998</v>
      </c>
      <c r="E346" s="1">
        <f>Tabela9[[#This Row],[Forτa(N)]]/$I$5</f>
        <v>8929795.202805005</v>
      </c>
      <c r="F346" s="1">
        <f>Tabela9[[#This Row],[Tensão(Pa)]]/1000000</f>
        <v>8.9297952028050052</v>
      </c>
    </row>
    <row r="347" spans="1:6" x14ac:dyDescent="0.3">
      <c r="A347" s="1">
        <v>23.716999999999999</v>
      </c>
      <c r="B347" s="1">
        <v>1.9686999999999999</v>
      </c>
      <c r="C347" s="1">
        <f>Tabela9[[#This Row],[Alongamento(mm/mm)]]/$I$2</f>
        <v>3.9373999999999999E-2</v>
      </c>
      <c r="D347" s="1">
        <v>282.19</v>
      </c>
      <c r="E347" s="1">
        <f>Tabela9[[#This Row],[Forτa(N)]]/$I$5</f>
        <v>8994820.3044067267</v>
      </c>
      <c r="F347" s="1">
        <f>Tabela9[[#This Row],[Tensão(Pa)]]/1000000</f>
        <v>8.9948203044067263</v>
      </c>
    </row>
    <row r="348" spans="1:6" x14ac:dyDescent="0.3">
      <c r="A348" s="1">
        <v>23.8</v>
      </c>
      <c r="B348" s="1">
        <v>1.9757</v>
      </c>
      <c r="C348" s="1">
        <f>Tabela9[[#This Row],[Alongamento(mm/mm)]]/$I$2</f>
        <v>3.9514000000000001E-2</v>
      </c>
      <c r="D348" s="1">
        <v>284.41000000000003</v>
      </c>
      <c r="E348" s="1">
        <f>Tabela9[[#This Row],[Forτa(N)]]/$I$5</f>
        <v>9065582.9149733055</v>
      </c>
      <c r="F348" s="1">
        <f>Tabela9[[#This Row],[Tensão(Pa)]]/1000000</f>
        <v>9.0655829149733052</v>
      </c>
    </row>
    <row r="349" spans="1:6" x14ac:dyDescent="0.3">
      <c r="A349" s="1">
        <v>23.882999999999999</v>
      </c>
      <c r="B349" s="1">
        <v>1.9826999999999999</v>
      </c>
      <c r="C349" s="1">
        <f>Tabela9[[#This Row],[Alongamento(mm/mm)]]/$I$2</f>
        <v>3.9653999999999995E-2</v>
      </c>
      <c r="D349" s="1">
        <v>286.62</v>
      </c>
      <c r="E349" s="1">
        <f>Tabela9[[#This Row],[Forτa(N)]]/$I$5</f>
        <v>9136026.7750418372</v>
      </c>
      <c r="F349" s="1">
        <f>Tabela9[[#This Row],[Tensão(Pa)]]/1000000</f>
        <v>9.136026775041838</v>
      </c>
    </row>
    <row r="350" spans="1:6" x14ac:dyDescent="0.3">
      <c r="A350" s="1">
        <v>23.966999999999999</v>
      </c>
      <c r="B350" s="1">
        <v>1.9896</v>
      </c>
      <c r="C350" s="1">
        <f>Tabela9[[#This Row],[Alongamento(mm/mm)]]/$I$2</f>
        <v>3.9792000000000001E-2</v>
      </c>
      <c r="D350" s="1">
        <v>288.83</v>
      </c>
      <c r="E350" s="1">
        <f>Tabela9[[#This Row],[Forτa(N)]]/$I$5</f>
        <v>9206470.6351103671</v>
      </c>
      <c r="F350" s="1">
        <f>Tabela9[[#This Row],[Tensão(Pa)]]/1000000</f>
        <v>9.2064706351103673</v>
      </c>
    </row>
    <row r="351" spans="1:6" x14ac:dyDescent="0.3">
      <c r="A351" s="1">
        <v>24.05</v>
      </c>
      <c r="B351" s="1">
        <v>1.9965999999999999</v>
      </c>
      <c r="C351" s="1">
        <f>Tabela9[[#This Row],[Alongamento(mm/mm)]]/$I$2</f>
        <v>3.9931999999999995E-2</v>
      </c>
      <c r="D351" s="1">
        <v>290.87</v>
      </c>
      <c r="E351" s="1">
        <f>Tabela9[[#This Row],[Forτa(N)]]/$I$5</f>
        <v>9271495.7367120888</v>
      </c>
      <c r="F351" s="1">
        <f>Tabela9[[#This Row],[Tensão(Pa)]]/1000000</f>
        <v>9.2714957367120885</v>
      </c>
    </row>
    <row r="352" spans="1:6" x14ac:dyDescent="0.3">
      <c r="A352" s="1">
        <v>24.132999999999999</v>
      </c>
      <c r="B352" s="1">
        <v>2.0034999999999998</v>
      </c>
      <c r="C352" s="1">
        <f>Tabela9[[#This Row],[Alongamento(mm/mm)]]/$I$2</f>
        <v>4.0069999999999995E-2</v>
      </c>
      <c r="D352" s="1">
        <v>293.08</v>
      </c>
      <c r="E352" s="1">
        <f>Tabela9[[#This Row],[Forτa(N)]]/$I$5</f>
        <v>9341939.5967806205</v>
      </c>
      <c r="F352" s="1">
        <f>Tabela9[[#This Row],[Tensão(Pa)]]/1000000</f>
        <v>9.3419395967806214</v>
      </c>
    </row>
    <row r="353" spans="1:6" x14ac:dyDescent="0.3">
      <c r="A353" s="1">
        <v>24.216999999999999</v>
      </c>
      <c r="B353" s="1">
        <v>2.0104000000000002</v>
      </c>
      <c r="C353" s="1">
        <f>Tabela9[[#This Row],[Alongamento(mm/mm)]]/$I$2</f>
        <v>4.0208000000000001E-2</v>
      </c>
      <c r="D353" s="1">
        <v>295.12</v>
      </c>
      <c r="E353" s="1">
        <f>Tabela9[[#This Row],[Forτa(N)]]/$I$5</f>
        <v>9406964.6983823422</v>
      </c>
      <c r="F353" s="1">
        <f>Tabela9[[#This Row],[Tensão(Pa)]]/1000000</f>
        <v>9.4069646983823425</v>
      </c>
    </row>
    <row r="354" spans="1:6" x14ac:dyDescent="0.3">
      <c r="A354" s="1">
        <v>24.3</v>
      </c>
      <c r="B354" s="1">
        <v>2.0173999999999999</v>
      </c>
      <c r="C354" s="1">
        <f>Tabela9[[#This Row],[Alongamento(mm/mm)]]/$I$2</f>
        <v>4.0347999999999995E-2</v>
      </c>
      <c r="D354" s="1">
        <v>297.33</v>
      </c>
      <c r="E354" s="1">
        <f>Tabela9[[#This Row],[Forτa(N)]]/$I$5</f>
        <v>9477408.5584508721</v>
      </c>
      <c r="F354" s="1">
        <f>Tabela9[[#This Row],[Tensão(Pa)]]/1000000</f>
        <v>9.4774085584508718</v>
      </c>
    </row>
    <row r="355" spans="1:6" x14ac:dyDescent="0.3">
      <c r="A355" s="1">
        <v>24.382999999999999</v>
      </c>
      <c r="B355" s="1">
        <v>2.0243000000000002</v>
      </c>
      <c r="C355" s="1">
        <f>Tabela9[[#This Row],[Alongamento(mm/mm)]]/$I$2</f>
        <v>4.0486000000000001E-2</v>
      </c>
      <c r="D355" s="1">
        <v>299.54000000000002</v>
      </c>
      <c r="E355" s="1">
        <f>Tabela9[[#This Row],[Forτa(N)]]/$I$5</f>
        <v>9547852.4185194056</v>
      </c>
      <c r="F355" s="1">
        <f>Tabela9[[#This Row],[Tensão(Pa)]]/1000000</f>
        <v>9.5478524185194065</v>
      </c>
    </row>
    <row r="356" spans="1:6" x14ac:dyDescent="0.3">
      <c r="A356" s="1">
        <v>24.466999999999999</v>
      </c>
      <c r="B356" s="1">
        <v>2.0312999999999999</v>
      </c>
      <c r="C356" s="1">
        <f>Tabela9[[#This Row],[Alongamento(mm/mm)]]/$I$2</f>
        <v>4.0625999999999995E-2</v>
      </c>
      <c r="D356" s="1">
        <v>301.76</v>
      </c>
      <c r="E356" s="1">
        <f>Tabela9[[#This Row],[Forτa(N)]]/$I$5</f>
        <v>9618615.0290859826</v>
      </c>
      <c r="F356" s="1">
        <f>Tabela9[[#This Row],[Tensão(Pa)]]/1000000</f>
        <v>9.6186150290859818</v>
      </c>
    </row>
    <row r="357" spans="1:6" x14ac:dyDescent="0.3">
      <c r="A357" s="1">
        <v>24.55</v>
      </c>
      <c r="B357" s="1">
        <v>2.0381999999999998</v>
      </c>
      <c r="C357" s="1">
        <f>Tabela9[[#This Row],[Alongamento(mm/mm)]]/$I$2</f>
        <v>4.0763999999999995E-2</v>
      </c>
      <c r="D357" s="1">
        <v>303.97000000000003</v>
      </c>
      <c r="E357" s="1">
        <f>Tabela9[[#This Row],[Forτa(N)]]/$I$5</f>
        <v>9689058.8891545162</v>
      </c>
      <c r="F357" s="1">
        <f>Tabela9[[#This Row],[Tensão(Pa)]]/1000000</f>
        <v>9.6890588891545164</v>
      </c>
    </row>
    <row r="358" spans="1:6" x14ac:dyDescent="0.3">
      <c r="A358" s="1">
        <v>24.632999999999999</v>
      </c>
      <c r="B358" s="1">
        <v>2.0451000000000001</v>
      </c>
      <c r="C358" s="1">
        <f>Tabela9[[#This Row],[Alongamento(mm/mm)]]/$I$2</f>
        <v>4.0902000000000001E-2</v>
      </c>
      <c r="D358" s="1">
        <v>306.01</v>
      </c>
      <c r="E358" s="1">
        <f>Tabela9[[#This Row],[Forτa(N)]]/$I$5</f>
        <v>9754083.990756236</v>
      </c>
      <c r="F358" s="1">
        <f>Tabela9[[#This Row],[Tensão(Pa)]]/1000000</f>
        <v>9.7540839907562358</v>
      </c>
    </row>
    <row r="359" spans="1:6" x14ac:dyDescent="0.3">
      <c r="A359" s="1">
        <v>24.716999999999999</v>
      </c>
      <c r="B359" s="1">
        <v>2.0520999999999998</v>
      </c>
      <c r="C359" s="1">
        <f>Tabela9[[#This Row],[Alongamento(mm/mm)]]/$I$2</f>
        <v>4.1041999999999995E-2</v>
      </c>
      <c r="D359" s="1">
        <v>308.39</v>
      </c>
      <c r="E359" s="1">
        <f>Tabela9[[#This Row],[Forτa(N)]]/$I$5</f>
        <v>9829946.6092915777</v>
      </c>
      <c r="F359" s="1">
        <f>Tabela9[[#This Row],[Tensão(Pa)]]/1000000</f>
        <v>9.8299466092915786</v>
      </c>
    </row>
    <row r="360" spans="1:6" x14ac:dyDescent="0.3">
      <c r="A360" s="1">
        <v>24.817</v>
      </c>
      <c r="B360" s="1">
        <v>2.0604</v>
      </c>
      <c r="C360" s="1">
        <f>Tabela9[[#This Row],[Alongamento(mm/mm)]]/$I$2</f>
        <v>4.1208000000000002E-2</v>
      </c>
      <c r="D360" s="1">
        <v>310.94</v>
      </c>
      <c r="E360" s="1">
        <f>Tabela9[[#This Row],[Forτa(N)]]/$I$5</f>
        <v>9911227.9862937294</v>
      </c>
      <c r="F360" s="1">
        <f>Tabela9[[#This Row],[Tensão(Pa)]]/1000000</f>
        <v>9.9112279862937296</v>
      </c>
    </row>
    <row r="361" spans="1:6" x14ac:dyDescent="0.3">
      <c r="A361" s="1">
        <v>24.917000000000002</v>
      </c>
      <c r="B361" s="1">
        <v>2.0689000000000002</v>
      </c>
      <c r="C361" s="1">
        <f>Tabela9[[#This Row],[Alongamento(mm/mm)]]/$I$2</f>
        <v>4.1378000000000005E-2</v>
      </c>
      <c r="D361" s="1">
        <v>313.66000000000003</v>
      </c>
      <c r="E361" s="1">
        <f>Tabela9[[#This Row],[Forτa(N)]]/$I$5</f>
        <v>9997928.1217626911</v>
      </c>
      <c r="F361" s="1">
        <f>Tabela9[[#This Row],[Tensão(Pa)]]/1000000</f>
        <v>9.9979281217626905</v>
      </c>
    </row>
    <row r="362" spans="1:6" x14ac:dyDescent="0.3">
      <c r="A362" s="1">
        <v>25.016999999999999</v>
      </c>
      <c r="B362" s="1">
        <v>2.0771000000000002</v>
      </c>
      <c r="C362" s="1">
        <f>Tabela9[[#This Row],[Alongamento(mm/mm)]]/$I$2</f>
        <v>4.1542000000000003E-2</v>
      </c>
      <c r="D362" s="1">
        <v>316.38</v>
      </c>
      <c r="E362" s="1">
        <f>Tabela9[[#This Row],[Forτa(N)]]/$I$5</f>
        <v>10084628.257231653</v>
      </c>
      <c r="F362" s="1">
        <f>Tabela9[[#This Row],[Tensão(Pa)]]/1000000</f>
        <v>10.084628257231653</v>
      </c>
    </row>
    <row r="363" spans="1:6" x14ac:dyDescent="0.3">
      <c r="A363" s="1">
        <v>25.117000000000001</v>
      </c>
      <c r="B363" s="1">
        <v>2.0853999999999999</v>
      </c>
      <c r="C363" s="1">
        <f>Tabela9[[#This Row],[Alongamento(mm/mm)]]/$I$2</f>
        <v>4.1707999999999995E-2</v>
      </c>
      <c r="D363" s="1">
        <v>318.94</v>
      </c>
      <c r="E363" s="1">
        <f>Tabela9[[#This Row],[Forτa(N)]]/$I$5</f>
        <v>10166228.384731852</v>
      </c>
      <c r="F363" s="1">
        <f>Tabela9[[#This Row],[Tensão(Pa)]]/1000000</f>
        <v>10.166228384731852</v>
      </c>
    </row>
    <row r="364" spans="1:6" x14ac:dyDescent="0.3">
      <c r="A364" s="1">
        <v>25.2</v>
      </c>
      <c r="B364" s="1">
        <v>2.0922999999999998</v>
      </c>
      <c r="C364" s="1">
        <f>Tabela9[[#This Row],[Alongamento(mm/mm)]]/$I$2</f>
        <v>4.1845999999999994E-2</v>
      </c>
      <c r="D364" s="1">
        <v>321.32</v>
      </c>
      <c r="E364" s="1">
        <f>Tabela9[[#This Row],[Forτa(N)]]/$I$5</f>
        <v>10242091.003267193</v>
      </c>
      <c r="F364" s="1">
        <f>Tabela9[[#This Row],[Tensão(Pa)]]/1000000</f>
        <v>10.242091003267193</v>
      </c>
    </row>
    <row r="365" spans="1:6" x14ac:dyDescent="0.3">
      <c r="A365" s="1">
        <v>25.3</v>
      </c>
      <c r="B365" s="1">
        <v>2.1006999999999998</v>
      </c>
      <c r="C365" s="1">
        <f>Tabela9[[#This Row],[Alongamento(mm/mm)]]/$I$2</f>
        <v>4.2013999999999996E-2</v>
      </c>
      <c r="D365" s="1">
        <v>324.04000000000002</v>
      </c>
      <c r="E365" s="1">
        <f>Tabela9[[#This Row],[Forτa(N)]]/$I$5</f>
        <v>10328791.138736155</v>
      </c>
      <c r="F365" s="1">
        <f>Tabela9[[#This Row],[Tensão(Pa)]]/1000000</f>
        <v>10.328791138736156</v>
      </c>
    </row>
    <row r="366" spans="1:6" x14ac:dyDescent="0.3">
      <c r="A366" s="1">
        <v>25.4</v>
      </c>
      <c r="B366" s="1">
        <v>2.109</v>
      </c>
      <c r="C366" s="1">
        <f>Tabela9[[#This Row],[Alongamento(mm/mm)]]/$I$2</f>
        <v>4.2180000000000002E-2</v>
      </c>
      <c r="D366" s="1">
        <v>326.76</v>
      </c>
      <c r="E366" s="1">
        <f>Tabela9[[#This Row],[Forτa(N)]]/$I$5</f>
        <v>10415491.274205117</v>
      </c>
      <c r="F366" s="1">
        <f>Tabela9[[#This Row],[Tensão(Pa)]]/1000000</f>
        <v>10.415491274205117</v>
      </c>
    </row>
    <row r="367" spans="1:6" x14ac:dyDescent="0.3">
      <c r="A367" s="1">
        <v>25.5</v>
      </c>
      <c r="B367" s="1">
        <v>2.1173000000000002</v>
      </c>
      <c r="C367" s="1">
        <f>Tabela9[[#This Row],[Alongamento(mm/mm)]]/$I$2</f>
        <v>4.2346000000000002E-2</v>
      </c>
      <c r="D367" s="1">
        <v>329.48</v>
      </c>
      <c r="E367" s="1">
        <f>Tabela9[[#This Row],[Forτa(N)]]/$I$5</f>
        <v>10502191.409674078</v>
      </c>
      <c r="F367" s="1">
        <f>Tabela9[[#This Row],[Tensão(Pa)]]/1000000</f>
        <v>10.502191409674078</v>
      </c>
    </row>
    <row r="368" spans="1:6" x14ac:dyDescent="0.3">
      <c r="A368" s="1">
        <v>25.582999999999998</v>
      </c>
      <c r="B368" s="1">
        <v>2.1242999999999999</v>
      </c>
      <c r="C368" s="1">
        <f>Tabela9[[#This Row],[Alongamento(mm/mm)]]/$I$2</f>
        <v>4.2485999999999996E-2</v>
      </c>
      <c r="D368" s="1">
        <v>331.86</v>
      </c>
      <c r="E368" s="1">
        <f>Tabela9[[#This Row],[Forτa(N)]]/$I$5</f>
        <v>10578054.02820942</v>
      </c>
      <c r="F368" s="1">
        <f>Tabela9[[#This Row],[Tensão(Pa)]]/1000000</f>
        <v>10.57805402820942</v>
      </c>
    </row>
    <row r="369" spans="1:6" x14ac:dyDescent="0.3">
      <c r="A369" s="1">
        <v>25.683</v>
      </c>
      <c r="B369" s="1">
        <v>2.1326999999999998</v>
      </c>
      <c r="C369" s="1">
        <f>Tabela9[[#This Row],[Alongamento(mm/mm)]]/$I$2</f>
        <v>4.2653999999999997E-2</v>
      </c>
      <c r="D369" s="1">
        <v>334.58</v>
      </c>
      <c r="E369" s="1">
        <f>Tabela9[[#This Row],[Forτa(N)]]/$I$5</f>
        <v>10664754.163678382</v>
      </c>
      <c r="F369" s="1">
        <f>Tabela9[[#This Row],[Tensão(Pa)]]/1000000</f>
        <v>10.664754163678381</v>
      </c>
    </row>
    <row r="370" spans="1:6" x14ac:dyDescent="0.3">
      <c r="A370" s="1">
        <v>25.783000000000001</v>
      </c>
      <c r="B370" s="1">
        <v>2.141</v>
      </c>
      <c r="C370" s="1">
        <f>Tabela9[[#This Row],[Alongamento(mm/mm)]]/$I$2</f>
        <v>4.2819999999999997E-2</v>
      </c>
      <c r="D370" s="1">
        <v>337.31</v>
      </c>
      <c r="E370" s="1">
        <f>Tabela9[[#This Row],[Forτa(N)]]/$I$5</f>
        <v>10751773.04964539</v>
      </c>
      <c r="F370" s="1">
        <f>Tabela9[[#This Row],[Tensão(Pa)]]/1000000</f>
        <v>10.75177304964539</v>
      </c>
    </row>
    <row r="371" spans="1:6" x14ac:dyDescent="0.3">
      <c r="A371" s="1">
        <v>25.882999999999999</v>
      </c>
      <c r="B371" s="1">
        <v>2.1493000000000002</v>
      </c>
      <c r="C371" s="1">
        <f>Tabela9[[#This Row],[Alongamento(mm/mm)]]/$I$2</f>
        <v>4.2986000000000003E-2</v>
      </c>
      <c r="D371" s="1">
        <v>340.03</v>
      </c>
      <c r="E371" s="1">
        <f>Tabela9[[#This Row],[Forτa(N)]]/$I$5</f>
        <v>10838473.185114352</v>
      </c>
      <c r="F371" s="1">
        <f>Tabela9[[#This Row],[Tensão(Pa)]]/1000000</f>
        <v>10.838473185114353</v>
      </c>
    </row>
    <row r="372" spans="1:6" x14ac:dyDescent="0.3">
      <c r="A372" s="1">
        <v>25.983000000000001</v>
      </c>
      <c r="B372" s="1">
        <v>2.1577000000000002</v>
      </c>
      <c r="C372" s="1">
        <f>Tabela9[[#This Row],[Alongamento(mm/mm)]]/$I$2</f>
        <v>4.3154000000000005E-2</v>
      </c>
      <c r="D372" s="1">
        <v>342.75</v>
      </c>
      <c r="E372" s="1">
        <f>Tabela9[[#This Row],[Forτa(N)]]/$I$5</f>
        <v>10925173.320583314</v>
      </c>
      <c r="F372" s="1">
        <f>Tabela9[[#This Row],[Tensão(Pa)]]/1000000</f>
        <v>10.925173320583314</v>
      </c>
    </row>
    <row r="373" spans="1:6" x14ac:dyDescent="0.3">
      <c r="A373" s="1">
        <v>26.082999999999998</v>
      </c>
      <c r="B373" s="1">
        <v>2.1659999999999999</v>
      </c>
      <c r="C373" s="1">
        <f>Tabela9[[#This Row],[Alongamento(mm/mm)]]/$I$2</f>
        <v>4.3319999999999997E-2</v>
      </c>
      <c r="D373" s="1">
        <v>345.47</v>
      </c>
      <c r="E373" s="1">
        <f>Tabela9[[#This Row],[Forτa(N)]]/$I$5</f>
        <v>11011873.456052277</v>
      </c>
      <c r="F373" s="1">
        <f>Tabela9[[#This Row],[Tensão(Pa)]]/1000000</f>
        <v>11.011873456052276</v>
      </c>
    </row>
    <row r="374" spans="1:6" x14ac:dyDescent="0.3">
      <c r="A374" s="1">
        <v>26.167000000000002</v>
      </c>
      <c r="B374" s="1">
        <v>2.173</v>
      </c>
      <c r="C374" s="1">
        <f>Tabela9[[#This Row],[Alongamento(mm/mm)]]/$I$2</f>
        <v>4.3459999999999999E-2</v>
      </c>
      <c r="D374" s="1">
        <v>347.85</v>
      </c>
      <c r="E374" s="1">
        <f>Tabela9[[#This Row],[Forτa(N)]]/$I$5</f>
        <v>11087736.074587617</v>
      </c>
      <c r="F374" s="1">
        <f>Tabela9[[#This Row],[Tensão(Pa)]]/1000000</f>
        <v>11.087736074587617</v>
      </c>
    </row>
    <row r="375" spans="1:6" x14ac:dyDescent="0.3">
      <c r="A375" s="1">
        <v>26.266999999999999</v>
      </c>
      <c r="B375" s="1">
        <v>2.1812999999999998</v>
      </c>
      <c r="C375" s="1">
        <f>Tabela9[[#This Row],[Alongamento(mm/mm)]]/$I$2</f>
        <v>4.3625999999999998E-2</v>
      </c>
      <c r="D375" s="1">
        <v>350.57</v>
      </c>
      <c r="E375" s="1">
        <f>Tabela9[[#This Row],[Forτa(N)]]/$I$5</f>
        <v>11174436.210056579</v>
      </c>
      <c r="F375" s="1">
        <f>Tabela9[[#This Row],[Tensão(Pa)]]/1000000</f>
        <v>11.174436210056578</v>
      </c>
    </row>
    <row r="376" spans="1:6" x14ac:dyDescent="0.3">
      <c r="A376" s="1">
        <v>26.367000000000001</v>
      </c>
      <c r="B376" s="1">
        <v>2.1897000000000002</v>
      </c>
      <c r="C376" s="1">
        <f>Tabela9[[#This Row],[Alongamento(mm/mm)]]/$I$2</f>
        <v>4.3794000000000007E-2</v>
      </c>
      <c r="D376" s="1">
        <v>353.3</v>
      </c>
      <c r="E376" s="1">
        <f>Tabela9[[#This Row],[Forτa(N)]]/$I$5</f>
        <v>11261455.096023589</v>
      </c>
      <c r="F376" s="1">
        <f>Tabela9[[#This Row],[Tensão(Pa)]]/1000000</f>
        <v>11.261455096023589</v>
      </c>
    </row>
    <row r="377" spans="1:6" x14ac:dyDescent="0.3">
      <c r="A377" s="1">
        <v>26.466999999999999</v>
      </c>
      <c r="B377" s="1">
        <v>2.1979000000000002</v>
      </c>
      <c r="C377" s="1">
        <f>Tabela9[[#This Row],[Alongamento(mm/mm)]]/$I$2</f>
        <v>4.3958000000000004E-2</v>
      </c>
      <c r="D377" s="1">
        <v>356.19</v>
      </c>
      <c r="E377" s="1">
        <f>Tabela9[[#This Row],[Forτa(N)]]/$I$5</f>
        <v>11353573.989959359</v>
      </c>
      <c r="F377" s="1">
        <f>Tabela9[[#This Row],[Tensão(Pa)]]/1000000</f>
        <v>11.35357398995936</v>
      </c>
    </row>
    <row r="378" spans="1:6" x14ac:dyDescent="0.3">
      <c r="A378" s="1">
        <v>26.567</v>
      </c>
      <c r="B378" s="1">
        <v>2.2061999999999999</v>
      </c>
      <c r="C378" s="1">
        <f>Tabela9[[#This Row],[Alongamento(mm/mm)]]/$I$2</f>
        <v>4.4123999999999997E-2</v>
      </c>
      <c r="D378" s="1">
        <v>359.08</v>
      </c>
      <c r="E378" s="1">
        <f>Tabela9[[#This Row],[Forτa(N)]]/$I$5</f>
        <v>11445692.883895131</v>
      </c>
      <c r="F378" s="1">
        <f>Tabela9[[#This Row],[Tensão(Pa)]]/1000000</f>
        <v>11.445692883895131</v>
      </c>
    </row>
    <row r="379" spans="1:6" x14ac:dyDescent="0.3">
      <c r="A379" s="1">
        <v>26.667000000000002</v>
      </c>
      <c r="B379" s="1">
        <v>2.2145999999999999</v>
      </c>
      <c r="C379" s="1">
        <f>Tabela9[[#This Row],[Alongamento(mm/mm)]]/$I$2</f>
        <v>4.4291999999999998E-2</v>
      </c>
      <c r="D379" s="1">
        <v>361.8</v>
      </c>
      <c r="E379" s="1">
        <f>Tabela9[[#This Row],[Forτa(N)]]/$I$5</f>
        <v>11532393.019364094</v>
      </c>
      <c r="F379" s="1">
        <f>Tabela9[[#This Row],[Tensão(Pa)]]/1000000</f>
        <v>11.532393019364095</v>
      </c>
    </row>
    <row r="380" spans="1:6" x14ac:dyDescent="0.3">
      <c r="A380" s="1">
        <v>26.766999999999999</v>
      </c>
      <c r="B380" s="1">
        <v>2.2229999999999999</v>
      </c>
      <c r="C380" s="1">
        <f>Tabela9[[#This Row],[Alongamento(mm/mm)]]/$I$2</f>
        <v>4.446E-2</v>
      </c>
      <c r="D380" s="1">
        <v>364.69</v>
      </c>
      <c r="E380" s="1">
        <f>Tabela9[[#This Row],[Forτa(N)]]/$I$5</f>
        <v>11624511.913299866</v>
      </c>
      <c r="F380" s="1">
        <f>Tabela9[[#This Row],[Tensão(Pa)]]/1000000</f>
        <v>11.624511913299866</v>
      </c>
    </row>
    <row r="381" spans="1:6" x14ac:dyDescent="0.3">
      <c r="A381" s="1">
        <v>26.867000000000001</v>
      </c>
      <c r="B381" s="1">
        <v>2.2313000000000001</v>
      </c>
      <c r="C381" s="1">
        <f>Tabela9[[#This Row],[Alongamento(mm/mm)]]/$I$2</f>
        <v>4.4625999999999999E-2</v>
      </c>
      <c r="D381" s="1">
        <v>367.58</v>
      </c>
      <c r="E381" s="1">
        <f>Tabela9[[#This Row],[Forτa(N)]]/$I$5</f>
        <v>11716630.807235636</v>
      </c>
      <c r="F381" s="1">
        <f>Tabela9[[#This Row],[Tensão(Pa)]]/1000000</f>
        <v>11.716630807235635</v>
      </c>
    </row>
    <row r="382" spans="1:6" x14ac:dyDescent="0.3">
      <c r="A382" s="1">
        <v>26.966999999999999</v>
      </c>
      <c r="B382" s="1">
        <v>2.2395999999999998</v>
      </c>
      <c r="C382" s="1">
        <f>Tabela9[[#This Row],[Alongamento(mm/mm)]]/$I$2</f>
        <v>4.4791999999999998E-2</v>
      </c>
      <c r="D382" s="1">
        <v>370.48</v>
      </c>
      <c r="E382" s="1">
        <f>Tabela9[[#This Row],[Forτa(N)]]/$I$5</f>
        <v>11809068.451669456</v>
      </c>
      <c r="F382" s="1">
        <f>Tabela9[[#This Row],[Tensão(Pa)]]/1000000</f>
        <v>11.809068451669457</v>
      </c>
    </row>
    <row r="383" spans="1:6" x14ac:dyDescent="0.3">
      <c r="A383" s="1">
        <v>27.067</v>
      </c>
      <c r="B383" s="1">
        <v>2.2479</v>
      </c>
      <c r="C383" s="1">
        <f>Tabela9[[#This Row],[Alongamento(mm/mm)]]/$I$2</f>
        <v>4.4957999999999998E-2</v>
      </c>
      <c r="D383" s="1">
        <v>373.54</v>
      </c>
      <c r="E383" s="1">
        <f>Tabela9[[#This Row],[Forτa(N)]]/$I$5</f>
        <v>11906606.104072038</v>
      </c>
      <c r="F383" s="1">
        <f>Tabela9[[#This Row],[Tensão(Pa)]]/1000000</f>
        <v>11.906606104072038</v>
      </c>
    </row>
    <row r="384" spans="1:6" x14ac:dyDescent="0.3">
      <c r="A384" s="1">
        <v>27.167000000000002</v>
      </c>
      <c r="B384" s="1">
        <v>2.2564000000000002</v>
      </c>
      <c r="C384" s="1">
        <f>Tabela9[[#This Row],[Alongamento(mm/mm)]]/$I$2</f>
        <v>4.5128000000000001E-2</v>
      </c>
      <c r="D384" s="1">
        <v>376.43</v>
      </c>
      <c r="E384" s="1">
        <f>Tabela9[[#This Row],[Forτa(N)]]/$I$5</f>
        <v>11998724.99800781</v>
      </c>
      <c r="F384" s="1">
        <f>Tabela9[[#This Row],[Tensão(Pa)]]/1000000</f>
        <v>11.998724998007809</v>
      </c>
    </row>
    <row r="385" spans="1:6" x14ac:dyDescent="0.3">
      <c r="A385" s="1">
        <v>27.266999999999999</v>
      </c>
      <c r="B385" s="1">
        <v>2.2646999999999999</v>
      </c>
      <c r="C385" s="1">
        <f>Tabela9[[#This Row],[Alongamento(mm/mm)]]/$I$2</f>
        <v>4.5294000000000001E-2</v>
      </c>
      <c r="D385" s="1">
        <v>379.49</v>
      </c>
      <c r="E385" s="1">
        <f>Tabela9[[#This Row],[Forτa(N)]]/$I$5</f>
        <v>12096262.650410391</v>
      </c>
      <c r="F385" s="1">
        <f>Tabela9[[#This Row],[Tensão(Pa)]]/1000000</f>
        <v>12.096262650410392</v>
      </c>
    </row>
    <row r="386" spans="1:6" x14ac:dyDescent="0.3">
      <c r="A386" s="1">
        <v>27.367000000000001</v>
      </c>
      <c r="B386" s="1">
        <v>2.2728999999999999</v>
      </c>
      <c r="C386" s="1">
        <f>Tabela9[[#This Row],[Alongamento(mm/mm)]]/$I$2</f>
        <v>4.5457999999999998E-2</v>
      </c>
      <c r="D386" s="1">
        <v>382.55</v>
      </c>
      <c r="E386" s="1">
        <f>Tabela9[[#This Row],[Forτa(N)]]/$I$5</f>
        <v>12193800.302812975</v>
      </c>
      <c r="F386" s="1">
        <f>Tabela9[[#This Row],[Tensão(Pa)]]/1000000</f>
        <v>12.193800302812974</v>
      </c>
    </row>
    <row r="387" spans="1:6" x14ac:dyDescent="0.3">
      <c r="A387" s="1">
        <v>27.45</v>
      </c>
      <c r="B387" s="1">
        <v>2.2797999999999998</v>
      </c>
      <c r="C387" s="1">
        <f>Tabela9[[#This Row],[Alongamento(mm/mm)]]/$I$2</f>
        <v>4.5595999999999998E-2</v>
      </c>
      <c r="D387" s="1">
        <v>385.27</v>
      </c>
      <c r="E387" s="1">
        <f>Tabela9[[#This Row],[Forτa(N)]]/$I$5</f>
        <v>12280500.438281935</v>
      </c>
      <c r="F387" s="1">
        <f>Tabela9[[#This Row],[Tensão(Pa)]]/1000000</f>
        <v>12.280500438281935</v>
      </c>
    </row>
    <row r="388" spans="1:6" x14ac:dyDescent="0.3">
      <c r="A388" s="1">
        <v>27.55</v>
      </c>
      <c r="B388" s="1">
        <v>2.2881999999999998</v>
      </c>
      <c r="C388" s="1">
        <f>Tabela9[[#This Row],[Alongamento(mm/mm)]]/$I$2</f>
        <v>4.5763999999999999E-2</v>
      </c>
      <c r="D388" s="1">
        <v>388.34</v>
      </c>
      <c r="E388" s="1">
        <f>Tabela9[[#This Row],[Forτa(N)]]/$I$5</f>
        <v>12378356.841182563</v>
      </c>
      <c r="F388" s="1">
        <f>Tabela9[[#This Row],[Tensão(Pa)]]/1000000</f>
        <v>12.378356841182564</v>
      </c>
    </row>
    <row r="389" spans="1:6" x14ac:dyDescent="0.3">
      <c r="A389" s="1">
        <v>27.65</v>
      </c>
      <c r="B389" s="1">
        <v>2.2966000000000002</v>
      </c>
      <c r="C389" s="1">
        <f>Tabela9[[#This Row],[Alongamento(mm/mm)]]/$I$2</f>
        <v>4.5932000000000001E-2</v>
      </c>
      <c r="D389" s="1">
        <v>391.4</v>
      </c>
      <c r="E389" s="1">
        <f>Tabela9[[#This Row],[Forτa(N)]]/$I$5</f>
        <v>12475894.493585147</v>
      </c>
      <c r="F389" s="1">
        <f>Tabela9[[#This Row],[Tensão(Pa)]]/1000000</f>
        <v>12.475894493585146</v>
      </c>
    </row>
    <row r="390" spans="1:6" x14ac:dyDescent="0.3">
      <c r="A390" s="1">
        <v>27.733000000000001</v>
      </c>
      <c r="B390" s="1">
        <v>2.3035000000000001</v>
      </c>
      <c r="C390" s="1">
        <f>Tabela9[[#This Row],[Alongamento(mm/mm)]]/$I$2</f>
        <v>4.607E-2</v>
      </c>
      <c r="D390" s="1">
        <v>394.12</v>
      </c>
      <c r="E390" s="1">
        <f>Tabela9[[#This Row],[Forτa(N)]]/$I$5</f>
        <v>12562594.629054109</v>
      </c>
      <c r="F390" s="1">
        <f>Tabela9[[#This Row],[Tensão(Pa)]]/1000000</f>
        <v>12.562594629054109</v>
      </c>
    </row>
    <row r="391" spans="1:6" x14ac:dyDescent="0.3">
      <c r="A391" s="1">
        <v>27.832999999999998</v>
      </c>
      <c r="B391" s="1">
        <v>2.3117999999999999</v>
      </c>
      <c r="C391" s="1">
        <f>Tabela9[[#This Row],[Alongamento(mm/mm)]]/$I$2</f>
        <v>4.6235999999999999E-2</v>
      </c>
      <c r="D391" s="1">
        <v>397.18</v>
      </c>
      <c r="E391" s="1">
        <f>Tabela9[[#This Row],[Forτa(N)]]/$I$5</f>
        <v>12660132.28145669</v>
      </c>
      <c r="F391" s="1">
        <f>Tabela9[[#This Row],[Tensão(Pa)]]/1000000</f>
        <v>12.66013228145669</v>
      </c>
    </row>
    <row r="392" spans="1:6" x14ac:dyDescent="0.3">
      <c r="A392" s="1">
        <v>27.933</v>
      </c>
      <c r="B392" s="1">
        <v>2.3201000000000001</v>
      </c>
      <c r="C392" s="1">
        <f>Tabela9[[#This Row],[Alongamento(mm/mm)]]/$I$2</f>
        <v>4.6401999999999999E-2</v>
      </c>
      <c r="D392" s="1">
        <v>400.24</v>
      </c>
      <c r="E392" s="1">
        <f>Tabela9[[#This Row],[Forτa(N)]]/$I$5</f>
        <v>12757669.933859272</v>
      </c>
      <c r="F392" s="1">
        <f>Tabela9[[#This Row],[Tensão(Pa)]]/1000000</f>
        <v>12.757669933859273</v>
      </c>
    </row>
    <row r="393" spans="1:6" x14ac:dyDescent="0.3">
      <c r="A393" s="1">
        <v>28.033000000000001</v>
      </c>
      <c r="B393" s="1">
        <v>2.3285</v>
      </c>
      <c r="C393" s="1">
        <f>Tabela9[[#This Row],[Alongamento(mm/mm)]]/$I$2</f>
        <v>4.657E-2</v>
      </c>
      <c r="D393" s="1">
        <v>403.47</v>
      </c>
      <c r="E393" s="1">
        <f>Tabela9[[#This Row],[Forτa(N)]]/$I$5</f>
        <v>12860626.344728665</v>
      </c>
      <c r="F393" s="1">
        <f>Tabela9[[#This Row],[Tensão(Pa)]]/1000000</f>
        <v>12.860626344728665</v>
      </c>
    </row>
    <row r="394" spans="1:6" x14ac:dyDescent="0.3">
      <c r="A394" s="1">
        <v>28.132999999999999</v>
      </c>
      <c r="B394" s="1">
        <v>2.3369</v>
      </c>
      <c r="C394" s="1">
        <f>Tabela9[[#This Row],[Alongamento(mm/mm)]]/$I$2</f>
        <v>4.6738000000000002E-2</v>
      </c>
      <c r="D394" s="1">
        <v>406.71</v>
      </c>
      <c r="E394" s="1">
        <f>Tabela9[[#This Row],[Forτa(N)]]/$I$5</f>
        <v>12963901.506096104</v>
      </c>
      <c r="F394" s="1">
        <f>Tabela9[[#This Row],[Tensão(Pa)]]/1000000</f>
        <v>12.963901506096104</v>
      </c>
    </row>
    <row r="395" spans="1:6" x14ac:dyDescent="0.3">
      <c r="A395" s="1">
        <v>28.233000000000001</v>
      </c>
      <c r="B395" s="1">
        <v>2.3452000000000002</v>
      </c>
      <c r="C395" s="1">
        <f>Tabela9[[#This Row],[Alongamento(mm/mm)]]/$I$2</f>
        <v>4.6904000000000001E-2</v>
      </c>
      <c r="D395" s="1">
        <v>409.77</v>
      </c>
      <c r="E395" s="1">
        <f>Tabela9[[#This Row],[Forτa(N)]]/$I$5</f>
        <v>13061439.158498686</v>
      </c>
      <c r="F395" s="1">
        <f>Tabela9[[#This Row],[Tensão(Pa)]]/1000000</f>
        <v>13.061439158498686</v>
      </c>
    </row>
    <row r="396" spans="1:6" x14ac:dyDescent="0.3">
      <c r="A396" s="1">
        <v>28.332999999999998</v>
      </c>
      <c r="B396" s="1">
        <v>2.3534999999999999</v>
      </c>
      <c r="C396" s="1">
        <f>Tabela9[[#This Row],[Alongamento(mm/mm)]]/$I$2</f>
        <v>4.7070000000000001E-2</v>
      </c>
      <c r="D396" s="1">
        <v>413</v>
      </c>
      <c r="E396" s="1">
        <f>Tabela9[[#This Row],[Forτa(N)]]/$I$5</f>
        <v>13164395.569368077</v>
      </c>
      <c r="F396" s="1">
        <f>Tabela9[[#This Row],[Tensão(Pa)]]/1000000</f>
        <v>13.164395569368077</v>
      </c>
    </row>
    <row r="397" spans="1:6" x14ac:dyDescent="0.3">
      <c r="A397" s="1">
        <v>28.433</v>
      </c>
      <c r="B397" s="1">
        <v>2.3618000000000001</v>
      </c>
      <c r="C397" s="1">
        <f>Tabela9[[#This Row],[Alongamento(mm/mm)]]/$I$2</f>
        <v>4.7236E-2</v>
      </c>
      <c r="D397" s="1">
        <v>416.23</v>
      </c>
      <c r="E397" s="1">
        <f>Tabela9[[#This Row],[Forτa(N)]]/$I$5</f>
        <v>13267351.980237471</v>
      </c>
      <c r="F397" s="1">
        <f>Tabela9[[#This Row],[Tensão(Pa)]]/1000000</f>
        <v>13.267351980237471</v>
      </c>
    </row>
    <row r="398" spans="1:6" x14ac:dyDescent="0.3">
      <c r="A398" s="1">
        <v>28.533000000000001</v>
      </c>
      <c r="B398" s="1">
        <v>2.3702000000000001</v>
      </c>
      <c r="C398" s="1">
        <f>Tabela9[[#This Row],[Alongamento(mm/mm)]]/$I$2</f>
        <v>4.7404000000000002E-2</v>
      </c>
      <c r="D398" s="1">
        <v>419.46</v>
      </c>
      <c r="E398" s="1">
        <f>Tabela9[[#This Row],[Forτa(N)]]/$I$5</f>
        <v>13370308.391106861</v>
      </c>
      <c r="F398" s="1">
        <f>Tabela9[[#This Row],[Tensão(Pa)]]/1000000</f>
        <v>13.37030839110686</v>
      </c>
    </row>
    <row r="399" spans="1:6" x14ac:dyDescent="0.3">
      <c r="A399" s="1">
        <v>28.632999999999999</v>
      </c>
      <c r="B399" s="1">
        <v>2.3784999999999998</v>
      </c>
      <c r="C399" s="1">
        <f>Tabela9[[#This Row],[Alongamento(mm/mm)]]/$I$2</f>
        <v>4.7569999999999994E-2</v>
      </c>
      <c r="D399" s="1">
        <v>422.53</v>
      </c>
      <c r="E399" s="1">
        <f>Tabela9[[#This Row],[Forτa(N)]]/$I$5</f>
        <v>13468164.794007491</v>
      </c>
      <c r="F399" s="1">
        <f>Tabela9[[#This Row],[Tensão(Pa)]]/1000000</f>
        <v>13.468164794007491</v>
      </c>
    </row>
    <row r="400" spans="1:6" x14ac:dyDescent="0.3">
      <c r="A400" s="1">
        <v>28.733000000000001</v>
      </c>
      <c r="B400" s="1">
        <v>2.3868</v>
      </c>
      <c r="C400" s="1">
        <f>Tabela9[[#This Row],[Alongamento(mm/mm)]]/$I$2</f>
        <v>4.7736000000000001E-2</v>
      </c>
      <c r="D400" s="1">
        <v>425.76</v>
      </c>
      <c r="E400" s="1">
        <f>Tabela9[[#This Row],[Forτa(N)]]/$I$5</f>
        <v>13571121.204876883</v>
      </c>
      <c r="F400" s="1">
        <f>Tabela9[[#This Row],[Tensão(Pa)]]/1000000</f>
        <v>13.571121204876883</v>
      </c>
    </row>
    <row r="401" spans="1:6" x14ac:dyDescent="0.3">
      <c r="A401" s="1">
        <v>28.832999999999998</v>
      </c>
      <c r="B401" s="1">
        <v>2.3952</v>
      </c>
      <c r="C401" s="1">
        <f>Tabela9[[#This Row],[Alongamento(mm/mm)]]/$I$2</f>
        <v>4.7904000000000002E-2</v>
      </c>
      <c r="D401" s="1">
        <v>428.99</v>
      </c>
      <c r="E401" s="1">
        <f>Tabela9[[#This Row],[Forτa(N)]]/$I$5</f>
        <v>13674077.615746276</v>
      </c>
      <c r="F401" s="1">
        <f>Tabela9[[#This Row],[Tensão(Pa)]]/1000000</f>
        <v>13.674077615746276</v>
      </c>
    </row>
    <row r="402" spans="1:6" x14ac:dyDescent="0.3">
      <c r="A402" s="1">
        <v>28.933</v>
      </c>
      <c r="B402" s="1">
        <v>2.4035000000000002</v>
      </c>
      <c r="C402" s="1">
        <f>Tabela9[[#This Row],[Alongamento(mm/mm)]]/$I$2</f>
        <v>4.8070000000000002E-2</v>
      </c>
      <c r="D402" s="1">
        <v>432.22</v>
      </c>
      <c r="E402" s="1">
        <f>Tabela9[[#This Row],[Forτa(N)]]/$I$5</f>
        <v>13777034.026615668</v>
      </c>
      <c r="F402" s="1">
        <f>Tabela9[[#This Row],[Tensão(Pa)]]/1000000</f>
        <v>13.777034026615668</v>
      </c>
    </row>
    <row r="403" spans="1:6" x14ac:dyDescent="0.3">
      <c r="A403" s="1">
        <v>29.033000000000001</v>
      </c>
      <c r="B403" s="1">
        <v>2.4117999999999999</v>
      </c>
      <c r="C403" s="1">
        <f>Tabela9[[#This Row],[Alongamento(mm/mm)]]/$I$2</f>
        <v>4.8236000000000001E-2</v>
      </c>
      <c r="D403" s="1">
        <v>435.45</v>
      </c>
      <c r="E403" s="1">
        <f>Tabela9[[#This Row],[Forτa(N)]]/$I$5</f>
        <v>13879990.43748506</v>
      </c>
      <c r="F403" s="1">
        <f>Tabela9[[#This Row],[Tensão(Pa)]]/1000000</f>
        <v>13.879990437485059</v>
      </c>
    </row>
    <row r="404" spans="1:6" x14ac:dyDescent="0.3">
      <c r="A404" s="1">
        <v>29.15</v>
      </c>
      <c r="B404" s="1">
        <v>2.4216000000000002</v>
      </c>
      <c r="C404" s="1">
        <f>Tabela9[[#This Row],[Alongamento(mm/mm)]]/$I$2</f>
        <v>4.8432000000000003E-2</v>
      </c>
      <c r="D404" s="1">
        <v>439.2</v>
      </c>
      <c r="E404" s="1">
        <f>Tabela9[[#This Row],[Forτa(N)]]/$I$5</f>
        <v>13999521.874252928</v>
      </c>
      <c r="F404" s="1">
        <f>Tabela9[[#This Row],[Tensão(Pa)]]/1000000</f>
        <v>13.999521874252929</v>
      </c>
    </row>
    <row r="405" spans="1:6" x14ac:dyDescent="0.3">
      <c r="A405" s="1">
        <v>29.266999999999999</v>
      </c>
      <c r="B405" s="1">
        <v>2.4312999999999998</v>
      </c>
      <c r="C405" s="1">
        <f>Tabela9[[#This Row],[Alongamento(mm/mm)]]/$I$2</f>
        <v>4.8625999999999996E-2</v>
      </c>
      <c r="D405" s="1">
        <v>443.11</v>
      </c>
      <c r="E405" s="1">
        <f>Tabela9[[#This Row],[Forτa(N)]]/$I$5</f>
        <v>14124153.318989562</v>
      </c>
      <c r="F405" s="1">
        <f>Tabela9[[#This Row],[Tensão(Pa)]]/1000000</f>
        <v>14.124153318989562</v>
      </c>
    </row>
    <row r="406" spans="1:6" x14ac:dyDescent="0.3">
      <c r="A406" s="1">
        <v>29.382999999999999</v>
      </c>
      <c r="B406" s="1">
        <v>2.4409999999999998</v>
      </c>
      <c r="C406" s="1">
        <f>Tabela9[[#This Row],[Alongamento(mm/mm)]]/$I$2</f>
        <v>4.8819999999999995E-2</v>
      </c>
      <c r="D406" s="1">
        <v>446.85</v>
      </c>
      <c r="E406" s="1">
        <f>Tabela9[[#This Row],[Forτa(N)]]/$I$5</f>
        <v>14243366.005259385</v>
      </c>
      <c r="F406" s="1">
        <f>Tabela9[[#This Row],[Tensão(Pa)]]/1000000</f>
        <v>14.243366005259386</v>
      </c>
    </row>
    <row r="407" spans="1:6" x14ac:dyDescent="0.3">
      <c r="A407" s="1">
        <v>29.5</v>
      </c>
      <c r="B407" s="1">
        <v>2.4508000000000001</v>
      </c>
      <c r="C407" s="1">
        <f>Tabela9[[#This Row],[Alongamento(mm/mm)]]/$I$2</f>
        <v>4.9016000000000004E-2</v>
      </c>
      <c r="D407" s="1">
        <v>450.59</v>
      </c>
      <c r="E407" s="1">
        <f>Tabela9[[#This Row],[Forτa(N)]]/$I$5</f>
        <v>14362578.691529205</v>
      </c>
      <c r="F407" s="1">
        <f>Tabela9[[#This Row],[Tensão(Pa)]]/1000000</f>
        <v>14.362578691529205</v>
      </c>
    </row>
    <row r="408" spans="1:6" x14ac:dyDescent="0.3">
      <c r="A408" s="1">
        <v>29.617000000000001</v>
      </c>
      <c r="B408" s="1">
        <v>2.4605000000000001</v>
      </c>
      <c r="C408" s="1">
        <f>Tabela9[[#This Row],[Alongamento(mm/mm)]]/$I$2</f>
        <v>4.9210000000000004E-2</v>
      </c>
      <c r="D408" s="1">
        <v>454.33</v>
      </c>
      <c r="E408" s="1">
        <f>Tabela9[[#This Row],[Forτa(N)]]/$I$5</f>
        <v>14481791.377799029</v>
      </c>
      <c r="F408" s="1">
        <f>Tabela9[[#This Row],[Tensão(Pa)]]/1000000</f>
        <v>14.481791377799029</v>
      </c>
    </row>
    <row r="409" spans="1:6" x14ac:dyDescent="0.3">
      <c r="A409" s="1">
        <v>29.733000000000001</v>
      </c>
      <c r="B409" s="1">
        <v>2.4701</v>
      </c>
      <c r="C409" s="1">
        <f>Tabela9[[#This Row],[Alongamento(mm/mm)]]/$I$2</f>
        <v>4.9402000000000001E-2</v>
      </c>
      <c r="D409" s="1">
        <v>458.25</v>
      </c>
      <c r="E409" s="1">
        <f>Tabela9[[#This Row],[Forτa(N)]]/$I$5</f>
        <v>14606741.573033709</v>
      </c>
      <c r="F409" s="1">
        <f>Tabela9[[#This Row],[Tensão(Pa)]]/1000000</f>
        <v>14.606741573033709</v>
      </c>
    </row>
    <row r="410" spans="1:6" x14ac:dyDescent="0.3">
      <c r="A410" s="1">
        <v>29.85</v>
      </c>
      <c r="B410" s="1">
        <v>2.4798</v>
      </c>
      <c r="C410" s="1">
        <f>Tabela9[[#This Row],[Alongamento(mm/mm)]]/$I$2</f>
        <v>4.9596000000000001E-2</v>
      </c>
      <c r="D410" s="1">
        <v>461.99</v>
      </c>
      <c r="E410" s="1">
        <f>Tabela9[[#This Row],[Forτa(N)]]/$I$5</f>
        <v>14725954.259303531</v>
      </c>
      <c r="F410" s="1">
        <f>Tabela9[[#This Row],[Tensão(Pa)]]/1000000</f>
        <v>14.725954259303531</v>
      </c>
    </row>
    <row r="411" spans="1:6" x14ac:dyDescent="0.3">
      <c r="A411" s="1">
        <v>29.95</v>
      </c>
      <c r="B411" s="1">
        <v>2.4883000000000002</v>
      </c>
      <c r="C411" s="1">
        <f>Tabela9[[#This Row],[Alongamento(mm/mm)]]/$I$2</f>
        <v>4.9766000000000005E-2</v>
      </c>
      <c r="D411" s="1">
        <v>465.39</v>
      </c>
      <c r="E411" s="1">
        <f>Tabela9[[#This Row],[Forτa(N)]]/$I$5</f>
        <v>14834329.428639732</v>
      </c>
      <c r="F411" s="1">
        <f>Tabela9[[#This Row],[Tensão(Pa)]]/1000000</f>
        <v>14.834329428639732</v>
      </c>
    </row>
    <row r="412" spans="1:6" x14ac:dyDescent="0.3">
      <c r="A412" s="1">
        <v>30.05</v>
      </c>
      <c r="B412" s="1">
        <v>2.4965999999999999</v>
      </c>
      <c r="C412" s="1">
        <f>Tabela9[[#This Row],[Alongamento(mm/mm)]]/$I$2</f>
        <v>4.9931999999999997E-2</v>
      </c>
      <c r="D412" s="1">
        <v>468.79</v>
      </c>
      <c r="E412" s="1">
        <f>Tabela9[[#This Row],[Forτa(N)]]/$I$5</f>
        <v>14942704.597975936</v>
      </c>
      <c r="F412" s="1">
        <f>Tabela9[[#This Row],[Tensão(Pa)]]/1000000</f>
        <v>14.942704597975936</v>
      </c>
    </row>
    <row r="413" spans="1:6" x14ac:dyDescent="0.3">
      <c r="A413" s="1">
        <v>30.167000000000002</v>
      </c>
      <c r="B413" s="1">
        <v>2.5062000000000002</v>
      </c>
      <c r="C413" s="1">
        <f>Tabela9[[#This Row],[Alongamento(mm/mm)]]/$I$2</f>
        <v>5.0124000000000002E-2</v>
      </c>
      <c r="D413" s="1">
        <v>472.53</v>
      </c>
      <c r="E413" s="1">
        <f>Tabela9[[#This Row],[Forτa(N)]]/$I$5</f>
        <v>15061917.284245757</v>
      </c>
      <c r="F413" s="1">
        <f>Tabela9[[#This Row],[Tensão(Pa)]]/1000000</f>
        <v>15.061917284245757</v>
      </c>
    </row>
    <row r="414" spans="1:6" x14ac:dyDescent="0.3">
      <c r="A414" s="1">
        <v>30.266999999999999</v>
      </c>
      <c r="B414" s="1">
        <v>2.5146000000000002</v>
      </c>
      <c r="C414" s="1">
        <f>Tabela9[[#This Row],[Alongamento(mm/mm)]]/$I$2</f>
        <v>5.0292000000000003E-2</v>
      </c>
      <c r="D414" s="1">
        <v>475.94</v>
      </c>
      <c r="E414" s="1">
        <f>Tabela9[[#This Row],[Forτa(N)]]/$I$5</f>
        <v>15170611.204080008</v>
      </c>
      <c r="F414" s="1">
        <f>Tabela9[[#This Row],[Tensão(Pa)]]/1000000</f>
        <v>15.170611204080007</v>
      </c>
    </row>
    <row r="415" spans="1:6" x14ac:dyDescent="0.3">
      <c r="A415" s="1">
        <v>30.367000000000001</v>
      </c>
      <c r="B415" s="1">
        <v>2.5230000000000001</v>
      </c>
      <c r="C415" s="1">
        <f>Tabela9[[#This Row],[Alongamento(mm/mm)]]/$I$2</f>
        <v>5.0460000000000005E-2</v>
      </c>
      <c r="D415" s="1">
        <v>479.34</v>
      </c>
      <c r="E415" s="1">
        <f>Tabela9[[#This Row],[Forτa(N)]]/$I$5</f>
        <v>15278986.373416208</v>
      </c>
      <c r="F415" s="1">
        <f>Tabela9[[#This Row],[Tensão(Pa)]]/1000000</f>
        <v>15.278986373416208</v>
      </c>
    </row>
    <row r="416" spans="1:6" x14ac:dyDescent="0.3">
      <c r="A416" s="1">
        <v>30.483000000000001</v>
      </c>
      <c r="B416" s="1">
        <v>2.5327000000000002</v>
      </c>
      <c r="C416" s="1">
        <f>Tabela9[[#This Row],[Alongamento(mm/mm)]]/$I$2</f>
        <v>5.0654000000000005E-2</v>
      </c>
      <c r="D416" s="1">
        <v>483.08</v>
      </c>
      <c r="E416" s="1">
        <f>Tabela9[[#This Row],[Forτa(N)]]/$I$5</f>
        <v>15398199.059686031</v>
      </c>
      <c r="F416" s="1">
        <f>Tabela9[[#This Row],[Tensão(Pa)]]/1000000</f>
        <v>15.39819905968603</v>
      </c>
    </row>
    <row r="417" spans="1:6" x14ac:dyDescent="0.3">
      <c r="A417" s="1">
        <v>30.6</v>
      </c>
      <c r="B417" s="1">
        <v>2.5423</v>
      </c>
      <c r="C417" s="1">
        <f>Tabela9[[#This Row],[Alongamento(mm/mm)]]/$I$2</f>
        <v>5.0846000000000002E-2</v>
      </c>
      <c r="D417" s="1">
        <v>486.99</v>
      </c>
      <c r="E417" s="1">
        <f>Tabela9[[#This Row],[Forτa(N)]]/$I$5</f>
        <v>15522830.504422665</v>
      </c>
      <c r="F417" s="1">
        <f>Tabela9[[#This Row],[Tensão(Pa)]]/1000000</f>
        <v>15.522830504422664</v>
      </c>
    </row>
    <row r="418" spans="1:6" x14ac:dyDescent="0.3">
      <c r="A418" s="1">
        <v>30.716999999999999</v>
      </c>
      <c r="B418" s="1">
        <v>2.552</v>
      </c>
      <c r="C418" s="1">
        <f>Tabela9[[#This Row],[Alongamento(mm/mm)]]/$I$2</f>
        <v>5.1040000000000002E-2</v>
      </c>
      <c r="D418" s="1">
        <v>490.91</v>
      </c>
      <c r="E418" s="1">
        <f>Tabela9[[#This Row],[Forτa(N)]]/$I$5</f>
        <v>15647780.699657345</v>
      </c>
      <c r="F418" s="1">
        <f>Tabela9[[#This Row],[Tensão(Pa)]]/1000000</f>
        <v>15.647780699657345</v>
      </c>
    </row>
    <row r="419" spans="1:6" x14ac:dyDescent="0.3">
      <c r="A419" s="1">
        <v>30.832999999999998</v>
      </c>
      <c r="B419" s="1">
        <v>2.5619000000000001</v>
      </c>
      <c r="C419" s="1">
        <f>Tabela9[[#This Row],[Alongamento(mm/mm)]]/$I$2</f>
        <v>5.1237999999999999E-2</v>
      </c>
      <c r="D419" s="1">
        <v>494.65</v>
      </c>
      <c r="E419" s="1">
        <f>Tabela9[[#This Row],[Forτa(N)]]/$I$5</f>
        <v>15766993.385927165</v>
      </c>
      <c r="F419" s="1">
        <f>Tabela9[[#This Row],[Tensão(Pa)]]/1000000</f>
        <v>15.766993385927165</v>
      </c>
    </row>
    <row r="420" spans="1:6" x14ac:dyDescent="0.3">
      <c r="A420" s="1">
        <v>30.95</v>
      </c>
      <c r="B420" s="1">
        <v>2.5716000000000001</v>
      </c>
      <c r="C420" s="1">
        <f>Tabela9[[#This Row],[Alongamento(mm/mm)]]/$I$2</f>
        <v>5.1432000000000005E-2</v>
      </c>
      <c r="D420" s="1">
        <v>498.39</v>
      </c>
      <c r="E420" s="1">
        <f>Tabela9[[#This Row],[Forτa(N)]]/$I$5</f>
        <v>15886206.072196988</v>
      </c>
      <c r="F420" s="1">
        <f>Tabela9[[#This Row],[Tensão(Pa)]]/1000000</f>
        <v>15.886206072196988</v>
      </c>
    </row>
    <row r="421" spans="1:6" x14ac:dyDescent="0.3">
      <c r="A421" s="1">
        <v>31.067</v>
      </c>
      <c r="B421" s="1">
        <v>2.5813000000000001</v>
      </c>
      <c r="C421" s="1">
        <f>Tabela9[[#This Row],[Alongamento(mm/mm)]]/$I$2</f>
        <v>5.1626000000000005E-2</v>
      </c>
      <c r="D421" s="1">
        <v>502.13</v>
      </c>
      <c r="E421" s="1">
        <f>Tabela9[[#This Row],[Forτa(N)]]/$I$5</f>
        <v>16005418.75846681</v>
      </c>
      <c r="F421" s="1">
        <f>Tabela9[[#This Row],[Tensão(Pa)]]/1000000</f>
        <v>16.00541875846681</v>
      </c>
    </row>
    <row r="422" spans="1:6" x14ac:dyDescent="0.3">
      <c r="A422" s="1">
        <v>31.183</v>
      </c>
      <c r="B422" s="1">
        <v>2.5910000000000002</v>
      </c>
      <c r="C422" s="1">
        <f>Tabela9[[#This Row],[Alongamento(mm/mm)]]/$I$2</f>
        <v>5.1820000000000005E-2</v>
      </c>
      <c r="D422" s="1">
        <v>505.87</v>
      </c>
      <c r="E422" s="1">
        <f>Tabela9[[#This Row],[Forτa(N)]]/$I$5</f>
        <v>16124631.444736633</v>
      </c>
      <c r="F422" s="1">
        <f>Tabela9[[#This Row],[Tensão(Pa)]]/1000000</f>
        <v>16.124631444736632</v>
      </c>
    </row>
    <row r="423" spans="1:6" x14ac:dyDescent="0.3">
      <c r="A423" s="1">
        <v>31.3</v>
      </c>
      <c r="B423" s="1">
        <v>2.6006999999999998</v>
      </c>
      <c r="C423" s="1">
        <f>Tabela9[[#This Row],[Alongamento(mm/mm)]]/$I$2</f>
        <v>5.2013999999999998E-2</v>
      </c>
      <c r="D423" s="1">
        <v>509.79</v>
      </c>
      <c r="E423" s="1">
        <f>Tabela9[[#This Row],[Forτa(N)]]/$I$5</f>
        <v>16249581.639971314</v>
      </c>
      <c r="F423" s="1">
        <f>Tabela9[[#This Row],[Tensão(Pa)]]/1000000</f>
        <v>16.249581639971314</v>
      </c>
    </row>
    <row r="424" spans="1:6" x14ac:dyDescent="0.3">
      <c r="A424" s="1">
        <v>31.417000000000002</v>
      </c>
      <c r="B424" s="1">
        <v>2.6105</v>
      </c>
      <c r="C424" s="1">
        <f>Tabela9[[#This Row],[Alongamento(mm/mm)]]/$I$2</f>
        <v>5.2209999999999999E-2</v>
      </c>
      <c r="D424" s="1">
        <v>513.53</v>
      </c>
      <c r="E424" s="1">
        <f>Tabela9[[#This Row],[Forτa(N)]]/$I$5</f>
        <v>16368794.326241136</v>
      </c>
      <c r="F424" s="1">
        <f>Tabela9[[#This Row],[Tensão(Pa)]]/1000000</f>
        <v>16.368794326241137</v>
      </c>
    </row>
    <row r="425" spans="1:6" x14ac:dyDescent="0.3">
      <c r="A425" s="1">
        <v>31.533000000000001</v>
      </c>
      <c r="B425" s="1">
        <v>2.6200999999999999</v>
      </c>
      <c r="C425" s="1">
        <f>Tabela9[[#This Row],[Alongamento(mm/mm)]]/$I$2</f>
        <v>5.2401999999999997E-2</v>
      </c>
      <c r="D425" s="1">
        <v>517.44000000000005</v>
      </c>
      <c r="E425" s="1">
        <f>Tabela9[[#This Row],[Forτa(N)]]/$I$5</f>
        <v>16493425.770977769</v>
      </c>
      <c r="F425" s="1">
        <f>Tabela9[[#This Row],[Tensão(Pa)]]/1000000</f>
        <v>16.493425770977769</v>
      </c>
    </row>
    <row r="426" spans="1:6" x14ac:dyDescent="0.3">
      <c r="A426" s="1">
        <v>31.65</v>
      </c>
      <c r="B426" s="1">
        <v>2.6299000000000001</v>
      </c>
      <c r="C426" s="1">
        <f>Tabela9[[#This Row],[Alongamento(mm/mm)]]/$I$2</f>
        <v>5.2598000000000006E-2</v>
      </c>
      <c r="D426" s="1">
        <v>521.35</v>
      </c>
      <c r="E426" s="1">
        <f>Tabela9[[#This Row],[Forτa(N)]]/$I$5</f>
        <v>16618057.215714401</v>
      </c>
      <c r="F426" s="1">
        <f>Tabela9[[#This Row],[Tensão(Pa)]]/1000000</f>
        <v>16.618057215714401</v>
      </c>
    </row>
    <row r="427" spans="1:6" x14ac:dyDescent="0.3">
      <c r="A427" s="1">
        <v>31.766999999999999</v>
      </c>
      <c r="B427" s="1">
        <v>2.6396000000000002</v>
      </c>
      <c r="C427" s="1">
        <f>Tabela9[[#This Row],[Alongamento(mm/mm)]]/$I$2</f>
        <v>5.2792000000000006E-2</v>
      </c>
      <c r="D427" s="1">
        <v>525.27</v>
      </c>
      <c r="E427" s="1">
        <f>Tabela9[[#This Row],[Forτa(N)]]/$I$5</f>
        <v>16743007.410949079</v>
      </c>
      <c r="F427" s="1">
        <f>Tabela9[[#This Row],[Tensão(Pa)]]/1000000</f>
        <v>16.74300741094908</v>
      </c>
    </row>
    <row r="428" spans="1:6" x14ac:dyDescent="0.3">
      <c r="A428" s="1">
        <v>31.9</v>
      </c>
      <c r="B428" s="1">
        <v>2.6507000000000001</v>
      </c>
      <c r="C428" s="1">
        <f>Tabela9[[#This Row],[Alongamento(mm/mm)]]/$I$2</f>
        <v>5.3013999999999999E-2</v>
      </c>
      <c r="D428" s="1">
        <v>529.86</v>
      </c>
      <c r="E428" s="1">
        <f>Tabela9[[#This Row],[Forτa(N)]]/$I$5</f>
        <v>16889313.889552955</v>
      </c>
      <c r="F428" s="1">
        <f>Tabela9[[#This Row],[Tensão(Pa)]]/1000000</f>
        <v>16.889313889552955</v>
      </c>
    </row>
    <row r="429" spans="1:6" x14ac:dyDescent="0.3">
      <c r="A429" s="1">
        <v>32.033000000000001</v>
      </c>
      <c r="B429" s="1">
        <v>2.6617999999999999</v>
      </c>
      <c r="C429" s="1">
        <f>Tabela9[[#This Row],[Alongamento(mm/mm)]]/$I$2</f>
        <v>5.3235999999999999E-2</v>
      </c>
      <c r="D429" s="1">
        <v>534.28</v>
      </c>
      <c r="E429" s="1">
        <f>Tabela9[[#This Row],[Forτa(N)]]/$I$5</f>
        <v>17030201.609690014</v>
      </c>
      <c r="F429" s="1">
        <f>Tabela9[[#This Row],[Tensão(Pa)]]/1000000</f>
        <v>17.030201609690014</v>
      </c>
    </row>
    <row r="430" spans="1:6" x14ac:dyDescent="0.3">
      <c r="A430" s="1">
        <v>32.15</v>
      </c>
      <c r="B430" s="1">
        <v>2.6715</v>
      </c>
      <c r="C430" s="1">
        <f>Tabela9[[#This Row],[Alongamento(mm/mm)]]/$I$2</f>
        <v>5.3429999999999998E-2</v>
      </c>
      <c r="D430" s="1">
        <v>538.36</v>
      </c>
      <c r="E430" s="1">
        <f>Tabela9[[#This Row],[Forτa(N)]]/$I$5</f>
        <v>17160251.812893458</v>
      </c>
      <c r="F430" s="1">
        <f>Tabela9[[#This Row],[Tensão(Pa)]]/1000000</f>
        <v>17.160251812893456</v>
      </c>
    </row>
    <row r="431" spans="1:6" x14ac:dyDescent="0.3">
      <c r="A431" s="1">
        <v>32.283000000000001</v>
      </c>
      <c r="B431" s="1">
        <v>2.6827000000000001</v>
      </c>
      <c r="C431" s="1">
        <f>Tabela9[[#This Row],[Alongamento(mm/mm)]]/$I$2</f>
        <v>5.3654E-2</v>
      </c>
      <c r="D431" s="1">
        <v>542.79</v>
      </c>
      <c r="E431" s="1">
        <f>Tabela9[[#This Row],[Forτa(N)]]/$I$5</f>
        <v>17301458.283528566</v>
      </c>
      <c r="F431" s="1">
        <f>Tabela9[[#This Row],[Tensão(Pa)]]/1000000</f>
        <v>17.301458283528568</v>
      </c>
    </row>
    <row r="432" spans="1:6" x14ac:dyDescent="0.3">
      <c r="A432" s="1">
        <v>32.4</v>
      </c>
      <c r="B432" s="1">
        <v>2.6924000000000001</v>
      </c>
      <c r="C432" s="1">
        <f>Tabela9[[#This Row],[Alongamento(mm/mm)]]/$I$2</f>
        <v>5.3848E-2</v>
      </c>
      <c r="D432" s="1">
        <v>546.87</v>
      </c>
      <c r="E432" s="1">
        <f>Tabela9[[#This Row],[Forτa(N)]]/$I$5</f>
        <v>17431508.48673201</v>
      </c>
      <c r="F432" s="1">
        <f>Tabela9[[#This Row],[Tensão(Pa)]]/1000000</f>
        <v>17.43150848673201</v>
      </c>
    </row>
    <row r="433" spans="1:6" x14ac:dyDescent="0.3">
      <c r="A433" s="1">
        <v>32.533000000000001</v>
      </c>
      <c r="B433" s="1">
        <v>2.7035</v>
      </c>
      <c r="C433" s="1">
        <f>Tabela9[[#This Row],[Alongamento(mm/mm)]]/$I$2</f>
        <v>5.407E-2</v>
      </c>
      <c r="D433" s="1">
        <v>551.29</v>
      </c>
      <c r="E433" s="1">
        <f>Tabela9[[#This Row],[Forτa(N)]]/$I$5</f>
        <v>17572396.206869073</v>
      </c>
      <c r="F433" s="1">
        <f>Tabela9[[#This Row],[Tensão(Pa)]]/1000000</f>
        <v>17.572396206869072</v>
      </c>
    </row>
    <row r="434" spans="1:6" x14ac:dyDescent="0.3">
      <c r="A434" s="1">
        <v>32.65</v>
      </c>
      <c r="B434" s="1">
        <v>2.7130999999999998</v>
      </c>
      <c r="C434" s="1">
        <f>Tabela9[[#This Row],[Alongamento(mm/mm)]]/$I$2</f>
        <v>5.4261999999999998E-2</v>
      </c>
      <c r="D434" s="1">
        <v>555.37</v>
      </c>
      <c r="E434" s="1">
        <f>Tabela9[[#This Row],[Forτa(N)]]/$I$5</f>
        <v>17702446.410072517</v>
      </c>
      <c r="F434" s="1">
        <f>Tabela9[[#This Row],[Tensão(Pa)]]/1000000</f>
        <v>17.702446410072518</v>
      </c>
    </row>
    <row r="435" spans="1:6" x14ac:dyDescent="0.3">
      <c r="A435" s="1">
        <v>32.783000000000001</v>
      </c>
      <c r="B435" s="1">
        <v>2.7244000000000002</v>
      </c>
      <c r="C435" s="1">
        <f>Tabela9[[#This Row],[Alongamento(mm/mm)]]/$I$2</f>
        <v>5.4488000000000002E-2</v>
      </c>
      <c r="D435" s="1">
        <v>559.97</v>
      </c>
      <c r="E435" s="1">
        <f>Tabela9[[#This Row],[Forτa(N)]]/$I$5</f>
        <v>17849071.639174439</v>
      </c>
      <c r="F435" s="1">
        <f>Tabela9[[#This Row],[Tensão(Pa)]]/1000000</f>
        <v>17.84907163917444</v>
      </c>
    </row>
    <row r="436" spans="1:6" x14ac:dyDescent="0.3">
      <c r="A436" s="1">
        <v>32.9</v>
      </c>
      <c r="B436" s="1">
        <v>2.734</v>
      </c>
      <c r="C436" s="1">
        <f>Tabela9[[#This Row],[Alongamento(mm/mm)]]/$I$2</f>
        <v>5.4679999999999999E-2</v>
      </c>
      <c r="D436" s="1">
        <v>564.04999999999995</v>
      </c>
      <c r="E436" s="1">
        <f>Tabela9[[#This Row],[Forτa(N)]]/$I$5</f>
        <v>17979121.842377879</v>
      </c>
      <c r="F436" s="1">
        <f>Tabela9[[#This Row],[Tensão(Pa)]]/1000000</f>
        <v>17.979121842377879</v>
      </c>
    </row>
    <row r="437" spans="1:6" x14ac:dyDescent="0.3">
      <c r="A437" s="1">
        <v>33.033000000000001</v>
      </c>
      <c r="B437" s="1">
        <v>2.7450999999999999</v>
      </c>
      <c r="C437" s="1">
        <f>Tabela9[[#This Row],[Alongamento(mm/mm)]]/$I$2</f>
        <v>5.4901999999999999E-2</v>
      </c>
      <c r="D437" s="1">
        <v>568.64</v>
      </c>
      <c r="E437" s="1">
        <f>Tabela9[[#This Row],[Forτa(N)]]/$I$5</f>
        <v>18125428.320981752</v>
      </c>
      <c r="F437" s="1">
        <f>Tabela9[[#This Row],[Tensão(Pa)]]/1000000</f>
        <v>18.125428320981751</v>
      </c>
    </row>
    <row r="438" spans="1:6" x14ac:dyDescent="0.3">
      <c r="A438" s="1">
        <v>33.167000000000002</v>
      </c>
      <c r="B438" s="1">
        <v>2.7563</v>
      </c>
      <c r="C438" s="1">
        <f>Tabela9[[#This Row],[Alongamento(mm/mm)]]/$I$2</f>
        <v>5.5126000000000001E-2</v>
      </c>
      <c r="D438" s="1">
        <v>573.4</v>
      </c>
      <c r="E438" s="1">
        <f>Tabela9[[#This Row],[Forτa(N)]]/$I$5</f>
        <v>18277153.558052436</v>
      </c>
      <c r="F438" s="1">
        <f>Tabela9[[#This Row],[Tensão(Pa)]]/1000000</f>
        <v>18.277153558052436</v>
      </c>
    </row>
    <row r="439" spans="1:6" x14ac:dyDescent="0.3">
      <c r="A439" s="1">
        <v>33.299999999999997</v>
      </c>
      <c r="B439" s="1">
        <v>2.7673999999999999</v>
      </c>
      <c r="C439" s="1">
        <f>Tabela9[[#This Row],[Alongamento(mm/mm)]]/$I$2</f>
        <v>5.5347999999999994E-2</v>
      </c>
      <c r="D439" s="1">
        <v>578.16999999999996</v>
      </c>
      <c r="E439" s="1">
        <f>Tabela9[[#This Row],[Forτa(N)]]/$I$5</f>
        <v>18429197.545621164</v>
      </c>
      <c r="F439" s="1">
        <f>Tabela9[[#This Row],[Tensão(Pa)]]/1000000</f>
        <v>18.429197545621165</v>
      </c>
    </row>
    <row r="440" spans="1:6" x14ac:dyDescent="0.3">
      <c r="A440" s="1">
        <v>33.433</v>
      </c>
      <c r="B440" s="1">
        <v>2.7785000000000002</v>
      </c>
      <c r="C440" s="1">
        <f>Tabela9[[#This Row],[Alongamento(mm/mm)]]/$I$2</f>
        <v>5.5570000000000001E-2</v>
      </c>
      <c r="D440" s="1">
        <v>582.92999999999995</v>
      </c>
      <c r="E440" s="1">
        <f>Tabela9[[#This Row],[Forτa(N)]]/$I$5</f>
        <v>18580922.782691848</v>
      </c>
      <c r="F440" s="1">
        <f>Tabela9[[#This Row],[Tensão(Pa)]]/1000000</f>
        <v>18.580922782691847</v>
      </c>
    </row>
    <row r="441" spans="1:6" x14ac:dyDescent="0.3">
      <c r="A441" s="1">
        <v>33.567</v>
      </c>
      <c r="B441" s="1">
        <v>2.7894999999999999</v>
      </c>
      <c r="C441" s="1">
        <f>Tabela9[[#This Row],[Alongamento(mm/mm)]]/$I$2</f>
        <v>5.5789999999999999E-2</v>
      </c>
      <c r="D441" s="1">
        <v>587.69000000000005</v>
      </c>
      <c r="E441" s="1">
        <f>Tabela9[[#This Row],[Forτa(N)]]/$I$5</f>
        <v>18732648.019762535</v>
      </c>
      <c r="F441" s="1">
        <f>Tabela9[[#This Row],[Tensão(Pa)]]/1000000</f>
        <v>18.732648019762536</v>
      </c>
    </row>
    <row r="442" spans="1:6" x14ac:dyDescent="0.3">
      <c r="A442" s="1">
        <v>33.700000000000003</v>
      </c>
      <c r="B442" s="1">
        <v>2.8007</v>
      </c>
      <c r="C442" s="1">
        <f>Tabela9[[#This Row],[Alongamento(mm/mm)]]/$I$2</f>
        <v>5.6014000000000001E-2</v>
      </c>
      <c r="D442" s="1">
        <v>592.45000000000005</v>
      </c>
      <c r="E442" s="1">
        <f>Tabela9[[#This Row],[Forτa(N)]]/$I$5</f>
        <v>18884373.256833218</v>
      </c>
      <c r="F442" s="1">
        <f>Tabela9[[#This Row],[Tensão(Pa)]]/1000000</f>
        <v>18.884373256833218</v>
      </c>
    </row>
    <row r="443" spans="1:6" x14ac:dyDescent="0.3">
      <c r="A443" s="1">
        <v>33.832999999999998</v>
      </c>
      <c r="B443" s="1">
        <v>2.8117999999999999</v>
      </c>
      <c r="C443" s="1">
        <f>Tabela9[[#This Row],[Alongamento(mm/mm)]]/$I$2</f>
        <v>5.6235999999999994E-2</v>
      </c>
      <c r="D443" s="1">
        <v>597.22</v>
      </c>
      <c r="E443" s="1">
        <f>Tabela9[[#This Row],[Forτa(N)]]/$I$5</f>
        <v>19036417.244401947</v>
      </c>
      <c r="F443" s="1">
        <f>Tabela9[[#This Row],[Tensão(Pa)]]/1000000</f>
        <v>19.036417244401946</v>
      </c>
    </row>
    <row r="444" spans="1:6" x14ac:dyDescent="0.3">
      <c r="A444" s="1">
        <v>33.966999999999999</v>
      </c>
      <c r="B444" s="1">
        <v>2.823</v>
      </c>
      <c r="C444" s="1">
        <f>Tabela9[[#This Row],[Alongamento(mm/mm)]]/$I$2</f>
        <v>5.6459999999999996E-2</v>
      </c>
      <c r="D444" s="1">
        <v>601.98</v>
      </c>
      <c r="E444" s="1">
        <f>Tabela9[[#This Row],[Forτa(N)]]/$I$5</f>
        <v>19188142.48147263</v>
      </c>
      <c r="F444" s="1">
        <f>Tabela9[[#This Row],[Tensão(Pa)]]/1000000</f>
        <v>19.188142481472632</v>
      </c>
    </row>
    <row r="445" spans="1:6" x14ac:dyDescent="0.3">
      <c r="A445" s="1">
        <v>34.1</v>
      </c>
      <c r="B445" s="1">
        <v>2.8340999999999998</v>
      </c>
      <c r="C445" s="1">
        <f>Tabela9[[#This Row],[Alongamento(mm/mm)]]/$I$2</f>
        <v>5.6681999999999996E-2</v>
      </c>
      <c r="D445" s="1">
        <v>606.91</v>
      </c>
      <c r="E445" s="1">
        <f>Tabela9[[#This Row],[Forτa(N)]]/$I$5</f>
        <v>19345286.47701012</v>
      </c>
      <c r="F445" s="1">
        <f>Tabela9[[#This Row],[Tensão(Pa)]]/1000000</f>
        <v>19.34528647701012</v>
      </c>
    </row>
    <row r="446" spans="1:6" x14ac:dyDescent="0.3">
      <c r="A446" s="1">
        <v>34.216999999999999</v>
      </c>
      <c r="B446" s="1">
        <v>2.8437999999999999</v>
      </c>
      <c r="C446" s="1">
        <f>Tabela9[[#This Row],[Alongamento(mm/mm)]]/$I$2</f>
        <v>5.6875999999999996E-2</v>
      </c>
      <c r="D446" s="1">
        <v>611.51</v>
      </c>
      <c r="E446" s="1">
        <f>Tabela9[[#This Row],[Forτa(N)]]/$I$5</f>
        <v>19491911.706112042</v>
      </c>
      <c r="F446" s="1">
        <f>Tabela9[[#This Row],[Tensão(Pa)]]/1000000</f>
        <v>19.491911706112042</v>
      </c>
    </row>
    <row r="447" spans="1:6" x14ac:dyDescent="0.3">
      <c r="A447" s="1">
        <v>34.35</v>
      </c>
      <c r="B447" s="1">
        <v>2.8549000000000002</v>
      </c>
      <c r="C447" s="1">
        <f>Tabela9[[#This Row],[Alongamento(mm/mm)]]/$I$2</f>
        <v>5.7098000000000003E-2</v>
      </c>
      <c r="D447" s="1">
        <v>616.44000000000005</v>
      </c>
      <c r="E447" s="1">
        <f>Tabela9[[#This Row],[Forτa(N)]]/$I$5</f>
        <v>19649055.701649535</v>
      </c>
      <c r="F447" s="1">
        <f>Tabela9[[#This Row],[Tensão(Pa)]]/1000000</f>
        <v>19.649055701649534</v>
      </c>
    </row>
    <row r="448" spans="1:6" x14ac:dyDescent="0.3">
      <c r="A448" s="1">
        <v>34.482999999999997</v>
      </c>
      <c r="B448" s="1">
        <v>2.8660000000000001</v>
      </c>
      <c r="C448" s="1">
        <f>Tabela9[[#This Row],[Alongamento(mm/mm)]]/$I$2</f>
        <v>5.7320000000000003E-2</v>
      </c>
      <c r="D448" s="1">
        <v>621.54</v>
      </c>
      <c r="E448" s="1">
        <f>Tabela9[[#This Row],[Forτa(N)]]/$I$5</f>
        <v>19811618.455653835</v>
      </c>
      <c r="F448" s="1">
        <f>Tabela9[[#This Row],[Tensão(Pa)]]/1000000</f>
        <v>19.811618455653836</v>
      </c>
    </row>
    <row r="449" spans="1:6" x14ac:dyDescent="0.3">
      <c r="A449" s="1">
        <v>34.616999999999997</v>
      </c>
      <c r="B449" s="1">
        <v>2.8771</v>
      </c>
      <c r="C449" s="1">
        <f>Tabela9[[#This Row],[Alongamento(mm/mm)]]/$I$2</f>
        <v>5.7542000000000003E-2</v>
      </c>
      <c r="D449" s="1">
        <v>626.47</v>
      </c>
      <c r="E449" s="1">
        <f>Tabela9[[#This Row],[Forτa(N)]]/$I$5</f>
        <v>19968762.451191332</v>
      </c>
      <c r="F449" s="1">
        <f>Tabela9[[#This Row],[Tensão(Pa)]]/1000000</f>
        <v>19.968762451191331</v>
      </c>
    </row>
    <row r="450" spans="1:6" x14ac:dyDescent="0.3">
      <c r="A450" s="1">
        <v>34.75</v>
      </c>
      <c r="B450" s="1">
        <v>2.8881999999999999</v>
      </c>
      <c r="C450" s="1">
        <f>Tabela9[[#This Row],[Alongamento(mm/mm)]]/$I$2</f>
        <v>5.7763999999999996E-2</v>
      </c>
      <c r="D450" s="1">
        <v>631.41</v>
      </c>
      <c r="E450" s="1">
        <f>Tabela9[[#This Row],[Forτa(N)]]/$I$5</f>
        <v>20126225.197226871</v>
      </c>
      <c r="F450" s="1">
        <f>Tabela9[[#This Row],[Tensão(Pa)]]/1000000</f>
        <v>20.126225197226869</v>
      </c>
    </row>
    <row r="451" spans="1:6" x14ac:dyDescent="0.3">
      <c r="A451" s="1">
        <v>34.883000000000003</v>
      </c>
      <c r="B451" s="1">
        <v>2.8992</v>
      </c>
      <c r="C451" s="1">
        <f>Tabela9[[#This Row],[Alongamento(mm/mm)]]/$I$2</f>
        <v>5.7984000000000001E-2</v>
      </c>
      <c r="D451" s="1">
        <v>636.34</v>
      </c>
      <c r="E451" s="1">
        <f>Tabela9[[#This Row],[Forτa(N)]]/$I$5</f>
        <v>20283369.192764364</v>
      </c>
      <c r="F451" s="1">
        <f>Tabela9[[#This Row],[Tensão(Pa)]]/1000000</f>
        <v>20.283369192764365</v>
      </c>
    </row>
    <row r="452" spans="1:6" x14ac:dyDescent="0.3">
      <c r="A452" s="1">
        <v>35.017000000000003</v>
      </c>
      <c r="B452" s="1">
        <v>2.9104999999999999</v>
      </c>
      <c r="C452" s="1">
        <f>Tabela9[[#This Row],[Alongamento(mm/mm)]]/$I$2</f>
        <v>5.8209999999999998E-2</v>
      </c>
      <c r="D452" s="1">
        <v>641.27</v>
      </c>
      <c r="E452" s="1">
        <f>Tabela9[[#This Row],[Forτa(N)]]/$I$5</f>
        <v>20440513.188301858</v>
      </c>
      <c r="F452" s="1">
        <f>Tabela9[[#This Row],[Tensão(Pa)]]/1000000</f>
        <v>20.440513188301857</v>
      </c>
    </row>
    <row r="453" spans="1:6" x14ac:dyDescent="0.3">
      <c r="A453" s="1">
        <v>35.15</v>
      </c>
      <c r="B453" s="1">
        <v>2.9216000000000002</v>
      </c>
      <c r="C453" s="1">
        <f>Tabela9[[#This Row],[Alongamento(mm/mm)]]/$I$2</f>
        <v>5.8432000000000005E-2</v>
      </c>
      <c r="D453" s="1">
        <v>646.38</v>
      </c>
      <c r="E453" s="1">
        <f>Tabela9[[#This Row],[Forτa(N)]]/$I$5</f>
        <v>20603394.69280421</v>
      </c>
      <c r="F453" s="1">
        <f>Tabela9[[#This Row],[Tensão(Pa)]]/1000000</f>
        <v>20.603394692804208</v>
      </c>
    </row>
    <row r="454" spans="1:6" x14ac:dyDescent="0.3">
      <c r="A454" s="1">
        <v>35.283000000000001</v>
      </c>
      <c r="B454" s="1">
        <v>2.9327000000000001</v>
      </c>
      <c r="C454" s="1">
        <f>Tabela9[[#This Row],[Alongamento(mm/mm)]]/$I$2</f>
        <v>5.8654000000000005E-2</v>
      </c>
      <c r="D454" s="1">
        <v>651.30999999999995</v>
      </c>
      <c r="E454" s="1">
        <f>Tabela9[[#This Row],[Forτa(N)]]/$I$5</f>
        <v>20760538.6883417</v>
      </c>
      <c r="F454" s="1">
        <f>Tabela9[[#This Row],[Tensão(Pa)]]/1000000</f>
        <v>20.7605386883417</v>
      </c>
    </row>
    <row r="455" spans="1:6" x14ac:dyDescent="0.3">
      <c r="A455" s="1">
        <v>35.417000000000002</v>
      </c>
      <c r="B455" s="1">
        <v>2.9438</v>
      </c>
      <c r="C455" s="1">
        <f>Tabela9[[#This Row],[Alongamento(mm/mm)]]/$I$2</f>
        <v>5.8875999999999998E-2</v>
      </c>
      <c r="D455" s="1">
        <v>656.24</v>
      </c>
      <c r="E455" s="1">
        <f>Tabela9[[#This Row],[Forτa(N)]]/$I$5</f>
        <v>20917682.683879197</v>
      </c>
      <c r="F455" s="1">
        <f>Tabela9[[#This Row],[Tensão(Pa)]]/1000000</f>
        <v>20.917682683879196</v>
      </c>
    </row>
    <row r="456" spans="1:6" x14ac:dyDescent="0.3">
      <c r="A456" s="1">
        <v>35.567</v>
      </c>
      <c r="B456" s="1">
        <v>2.9563000000000001</v>
      </c>
      <c r="C456" s="1">
        <f>Tabela9[[#This Row],[Alongamento(mm/mm)]]/$I$2</f>
        <v>5.9126000000000005E-2</v>
      </c>
      <c r="D456" s="1">
        <v>661.85</v>
      </c>
      <c r="E456" s="1">
        <f>Tabela9[[#This Row],[Forτa(N)]]/$I$5</f>
        <v>21096501.71328393</v>
      </c>
      <c r="F456" s="1">
        <f>Tabela9[[#This Row],[Tensão(Pa)]]/1000000</f>
        <v>21.096501713283931</v>
      </c>
    </row>
    <row r="457" spans="1:6" x14ac:dyDescent="0.3">
      <c r="A457" s="1">
        <v>35.700000000000003</v>
      </c>
      <c r="B457" s="1">
        <v>2.9672999999999998</v>
      </c>
      <c r="C457" s="1">
        <f>Tabela9[[#This Row],[Alongamento(mm/mm)]]/$I$2</f>
        <v>5.9345999999999996E-2</v>
      </c>
      <c r="D457" s="1">
        <v>666.96</v>
      </c>
      <c r="E457" s="1">
        <f>Tabela9[[#This Row],[Forτa(N)]]/$I$5</f>
        <v>21259383.217786279</v>
      </c>
      <c r="F457" s="1">
        <f>Tabela9[[#This Row],[Tensão(Pa)]]/1000000</f>
        <v>21.259383217786279</v>
      </c>
    </row>
    <row r="458" spans="1:6" x14ac:dyDescent="0.3">
      <c r="A458" s="1">
        <v>35.85</v>
      </c>
      <c r="B458" s="1">
        <v>2.9799000000000002</v>
      </c>
      <c r="C458" s="1">
        <f>Tabela9[[#This Row],[Alongamento(mm/mm)]]/$I$2</f>
        <v>5.9598000000000005E-2</v>
      </c>
      <c r="D458" s="1">
        <v>672.57</v>
      </c>
      <c r="E458" s="1">
        <f>Tabela9[[#This Row],[Forτa(N)]]/$I$5</f>
        <v>21438202.247191016</v>
      </c>
      <c r="F458" s="1">
        <f>Tabela9[[#This Row],[Tensão(Pa)]]/1000000</f>
        <v>21.438202247191015</v>
      </c>
    </row>
    <row r="459" spans="1:6" x14ac:dyDescent="0.3">
      <c r="A459" s="1">
        <v>36</v>
      </c>
      <c r="B459" s="1">
        <v>2.9923999999999999</v>
      </c>
      <c r="C459" s="1">
        <f>Tabela9[[#This Row],[Alongamento(mm/mm)]]/$I$2</f>
        <v>5.9847999999999998E-2</v>
      </c>
      <c r="D459" s="1">
        <v>678.01</v>
      </c>
      <c r="E459" s="1">
        <f>Tabela9[[#This Row],[Forτa(N)]]/$I$5</f>
        <v>21611602.518128935</v>
      </c>
      <c r="F459" s="1">
        <f>Tabela9[[#This Row],[Tensão(Pa)]]/1000000</f>
        <v>21.611602518128937</v>
      </c>
    </row>
    <row r="460" spans="1:6" x14ac:dyDescent="0.3">
      <c r="A460" s="1">
        <v>36.133000000000003</v>
      </c>
      <c r="B460" s="1">
        <v>3.0034999999999998</v>
      </c>
      <c r="C460" s="1">
        <f>Tabela9[[#This Row],[Alongamento(mm/mm)]]/$I$2</f>
        <v>6.0069999999999998E-2</v>
      </c>
      <c r="D460" s="1">
        <v>683.12</v>
      </c>
      <c r="E460" s="1">
        <f>Tabela9[[#This Row],[Forτa(N)]]/$I$5</f>
        <v>21774484.022631288</v>
      </c>
      <c r="F460" s="1">
        <f>Tabela9[[#This Row],[Tensão(Pa)]]/1000000</f>
        <v>21.774484022631288</v>
      </c>
    </row>
    <row r="461" spans="1:6" x14ac:dyDescent="0.3">
      <c r="A461" s="1">
        <v>36.283000000000001</v>
      </c>
      <c r="B461" s="1">
        <v>3.016</v>
      </c>
      <c r="C461" s="1">
        <f>Tabela9[[#This Row],[Alongamento(mm/mm)]]/$I$2</f>
        <v>6.0319999999999999E-2</v>
      </c>
      <c r="D461" s="1">
        <v>688.56</v>
      </c>
      <c r="E461" s="1">
        <f>Tabela9[[#This Row],[Forτa(N)]]/$I$5</f>
        <v>21947884.293569207</v>
      </c>
      <c r="F461" s="1">
        <f>Tabela9[[#This Row],[Tensão(Pa)]]/1000000</f>
        <v>21.947884293569206</v>
      </c>
    </row>
    <row r="462" spans="1:6" x14ac:dyDescent="0.3">
      <c r="A462" s="1">
        <v>36.433</v>
      </c>
      <c r="B462" s="1">
        <v>3.0285000000000002</v>
      </c>
      <c r="C462" s="1">
        <f>Tabela9[[#This Row],[Alongamento(mm/mm)]]/$I$2</f>
        <v>6.0570000000000006E-2</v>
      </c>
      <c r="D462" s="1">
        <v>694.17</v>
      </c>
      <c r="E462" s="1">
        <f>Tabela9[[#This Row],[Forτa(N)]]/$I$5</f>
        <v>22126703.322973941</v>
      </c>
      <c r="F462" s="1">
        <f>Tabela9[[#This Row],[Tensão(Pa)]]/1000000</f>
        <v>22.126703322973942</v>
      </c>
    </row>
    <row r="463" spans="1:6" x14ac:dyDescent="0.3">
      <c r="A463" s="1">
        <v>36.567</v>
      </c>
      <c r="B463" s="1">
        <v>3.0396000000000001</v>
      </c>
      <c r="C463" s="1">
        <f>Tabela9[[#This Row],[Alongamento(mm/mm)]]/$I$2</f>
        <v>6.0791999999999999E-2</v>
      </c>
      <c r="D463" s="1">
        <v>699.28</v>
      </c>
      <c r="E463" s="1">
        <f>Tabela9[[#This Row],[Forτa(N)]]/$I$5</f>
        <v>22289584.827476293</v>
      </c>
      <c r="F463" s="1">
        <f>Tabela9[[#This Row],[Tensão(Pa)]]/1000000</f>
        <v>22.289584827476293</v>
      </c>
    </row>
    <row r="464" spans="1:6" x14ac:dyDescent="0.3">
      <c r="A464" s="1">
        <v>36.716999999999999</v>
      </c>
      <c r="B464" s="1">
        <v>3.0520999999999998</v>
      </c>
      <c r="C464" s="1">
        <f>Tabela9[[#This Row],[Alongamento(mm/mm)]]/$I$2</f>
        <v>6.1041999999999999E-2</v>
      </c>
      <c r="D464" s="1">
        <v>704.89</v>
      </c>
      <c r="E464" s="1">
        <f>Tabela9[[#This Row],[Forτa(N)]]/$I$5</f>
        <v>22468403.856881026</v>
      </c>
      <c r="F464" s="1">
        <f>Tabela9[[#This Row],[Tensão(Pa)]]/1000000</f>
        <v>22.468403856881025</v>
      </c>
    </row>
    <row r="465" spans="1:6" x14ac:dyDescent="0.3">
      <c r="A465" s="1">
        <v>36.866999999999997</v>
      </c>
      <c r="B465" s="1">
        <v>3.0646</v>
      </c>
      <c r="C465" s="1">
        <f>Tabela9[[#This Row],[Alongamento(mm/mm)]]/$I$2</f>
        <v>6.1291999999999999E-2</v>
      </c>
      <c r="D465" s="1">
        <v>710.33</v>
      </c>
      <c r="E465" s="1">
        <f>Tabela9[[#This Row],[Forτa(N)]]/$I$5</f>
        <v>22641804.127818953</v>
      </c>
      <c r="F465" s="1">
        <f>Tabela9[[#This Row],[Tensão(Pa)]]/1000000</f>
        <v>22.641804127818954</v>
      </c>
    </row>
    <row r="466" spans="1:6" x14ac:dyDescent="0.3">
      <c r="A466" s="1">
        <v>37.017000000000003</v>
      </c>
      <c r="B466" s="1">
        <v>3.0771000000000002</v>
      </c>
      <c r="C466" s="1">
        <f>Tabela9[[#This Row],[Alongamento(mm/mm)]]/$I$2</f>
        <v>6.1542000000000006E-2</v>
      </c>
      <c r="D466" s="1">
        <v>715.95</v>
      </c>
      <c r="E466" s="1">
        <f>Tabela9[[#This Row],[Forτa(N)]]/$I$5</f>
        <v>22820941.907721732</v>
      </c>
      <c r="F466" s="1">
        <f>Tabela9[[#This Row],[Tensão(Pa)]]/1000000</f>
        <v>22.820941907721732</v>
      </c>
    </row>
    <row r="467" spans="1:6" x14ac:dyDescent="0.3">
      <c r="A467" s="1">
        <v>37.167000000000002</v>
      </c>
      <c r="B467" s="1">
        <v>3.0895999999999999</v>
      </c>
      <c r="C467" s="1">
        <f>Tabela9[[#This Row],[Alongamento(mm/mm)]]/$I$2</f>
        <v>6.1792E-2</v>
      </c>
      <c r="D467" s="1">
        <v>721.73</v>
      </c>
      <c r="E467" s="1">
        <f>Tabela9[[#This Row],[Forτa(N)]]/$I$5</f>
        <v>23005179.695593275</v>
      </c>
      <c r="F467" s="1">
        <f>Tabela9[[#This Row],[Tensão(Pa)]]/1000000</f>
        <v>23.005179695593274</v>
      </c>
    </row>
    <row r="468" spans="1:6" x14ac:dyDescent="0.3">
      <c r="A468" s="1">
        <v>37.317</v>
      </c>
      <c r="B468" s="1">
        <v>3.1021999999999998</v>
      </c>
      <c r="C468" s="1">
        <f>Tabela9[[#This Row],[Alongamento(mm/mm)]]/$I$2</f>
        <v>6.2043999999999995E-2</v>
      </c>
      <c r="D468" s="1">
        <v>727.34</v>
      </c>
      <c r="E468" s="1">
        <f>Tabela9[[#This Row],[Forτa(N)]]/$I$5</f>
        <v>23183998.724998008</v>
      </c>
      <c r="F468" s="1">
        <f>Tabela9[[#This Row],[Tensão(Pa)]]/1000000</f>
        <v>23.183998724998009</v>
      </c>
    </row>
    <row r="469" spans="1:6" x14ac:dyDescent="0.3">
      <c r="A469" s="1">
        <v>37.466999999999999</v>
      </c>
      <c r="B469" s="1">
        <v>3.1147</v>
      </c>
      <c r="C469" s="1">
        <f>Tabela9[[#This Row],[Alongamento(mm/mm)]]/$I$2</f>
        <v>6.2294000000000002E-2</v>
      </c>
      <c r="D469" s="1">
        <v>733.13</v>
      </c>
      <c r="E469" s="1">
        <f>Tabela9[[#This Row],[Forτa(N)]]/$I$5</f>
        <v>23368555.263367601</v>
      </c>
      <c r="F469" s="1">
        <f>Tabela9[[#This Row],[Tensão(Pa)]]/1000000</f>
        <v>23.3685552633676</v>
      </c>
    </row>
    <row r="470" spans="1:6" x14ac:dyDescent="0.3">
      <c r="A470" s="1">
        <v>37.616999999999997</v>
      </c>
      <c r="B470" s="1">
        <v>3.1271</v>
      </c>
      <c r="C470" s="1">
        <f>Tabela9[[#This Row],[Alongamento(mm/mm)]]/$I$2</f>
        <v>6.2542E-2</v>
      </c>
      <c r="D470" s="1">
        <v>738.91</v>
      </c>
      <c r="E470" s="1">
        <f>Tabela9[[#This Row],[Forτa(N)]]/$I$5</f>
        <v>23552793.051239144</v>
      </c>
      <c r="F470" s="1">
        <f>Tabela9[[#This Row],[Tensão(Pa)]]/1000000</f>
        <v>23.552793051239146</v>
      </c>
    </row>
    <row r="471" spans="1:6" x14ac:dyDescent="0.3">
      <c r="A471" s="1">
        <v>37.767000000000003</v>
      </c>
      <c r="B471" s="1">
        <v>3.1396000000000002</v>
      </c>
      <c r="C471" s="1">
        <f>Tabela9[[#This Row],[Alongamento(mm/mm)]]/$I$2</f>
        <v>6.2792000000000001E-2</v>
      </c>
      <c r="D471" s="1">
        <v>744.69</v>
      </c>
      <c r="E471" s="1">
        <f>Tabela9[[#This Row],[Forτa(N)]]/$I$5</f>
        <v>23737030.839110687</v>
      </c>
      <c r="F471" s="1">
        <f>Tabela9[[#This Row],[Tensão(Pa)]]/1000000</f>
        <v>23.737030839110687</v>
      </c>
    </row>
    <row r="472" spans="1:6" x14ac:dyDescent="0.3">
      <c r="A472" s="1">
        <v>37.917000000000002</v>
      </c>
      <c r="B472" s="1">
        <v>3.1520999999999999</v>
      </c>
      <c r="C472" s="1">
        <f>Tabela9[[#This Row],[Alongamento(mm/mm)]]/$I$2</f>
        <v>6.3042000000000001E-2</v>
      </c>
      <c r="D472" s="1">
        <v>750.48</v>
      </c>
      <c r="E472" s="1">
        <f>Tabela9[[#This Row],[Forτa(N)]]/$I$5</f>
        <v>23921587.37748028</v>
      </c>
      <c r="F472" s="1">
        <f>Tabela9[[#This Row],[Tensão(Pa)]]/1000000</f>
        <v>23.921587377480279</v>
      </c>
    </row>
    <row r="473" spans="1:6" x14ac:dyDescent="0.3">
      <c r="A473" s="1">
        <v>38.067</v>
      </c>
      <c r="B473" s="1">
        <v>3.1646000000000001</v>
      </c>
      <c r="C473" s="1">
        <f>Tabela9[[#This Row],[Alongamento(mm/mm)]]/$I$2</f>
        <v>6.3292000000000001E-2</v>
      </c>
      <c r="D473" s="1">
        <v>756.26</v>
      </c>
      <c r="E473" s="1">
        <f>Tabela9[[#This Row],[Forτa(N)]]/$I$5</f>
        <v>24105825.165351823</v>
      </c>
      <c r="F473" s="1">
        <f>Tabela9[[#This Row],[Tensão(Pa)]]/1000000</f>
        <v>24.105825165351824</v>
      </c>
    </row>
    <row r="474" spans="1:6" x14ac:dyDescent="0.3">
      <c r="A474" s="1">
        <v>38.216999999999999</v>
      </c>
      <c r="B474" s="1">
        <v>3.1770999999999998</v>
      </c>
      <c r="C474" s="1">
        <f>Tabela9[[#This Row],[Alongamento(mm/mm)]]/$I$2</f>
        <v>6.3542000000000001E-2</v>
      </c>
      <c r="D474" s="1">
        <v>762.04</v>
      </c>
      <c r="E474" s="1">
        <f>Tabela9[[#This Row],[Forτa(N)]]/$I$5</f>
        <v>24290062.953223366</v>
      </c>
      <c r="F474" s="1">
        <f>Tabela9[[#This Row],[Tensão(Pa)]]/1000000</f>
        <v>24.290062953223366</v>
      </c>
    </row>
    <row r="475" spans="1:6" x14ac:dyDescent="0.3">
      <c r="A475" s="1">
        <v>38.366999999999997</v>
      </c>
      <c r="B475" s="1">
        <v>3.1897000000000002</v>
      </c>
      <c r="C475" s="1">
        <f>Tabela9[[#This Row],[Alongamento(mm/mm)]]/$I$2</f>
        <v>6.3794000000000003E-2</v>
      </c>
      <c r="D475" s="1">
        <v>767.83</v>
      </c>
      <c r="E475" s="1">
        <f>Tabela9[[#This Row],[Forτa(N)]]/$I$5</f>
        <v>24474619.491592959</v>
      </c>
      <c r="F475" s="1">
        <f>Tabela9[[#This Row],[Tensão(Pa)]]/1000000</f>
        <v>24.474619491592957</v>
      </c>
    </row>
    <row r="476" spans="1:6" x14ac:dyDescent="0.3">
      <c r="A476" s="1">
        <v>38.533000000000001</v>
      </c>
      <c r="B476" s="1">
        <v>3.2033999999999998</v>
      </c>
      <c r="C476" s="1">
        <f>Tabela9[[#This Row],[Alongamento(mm/mm)]]/$I$2</f>
        <v>6.4068E-2</v>
      </c>
      <c r="D476" s="1">
        <v>774.12</v>
      </c>
      <c r="E476" s="1">
        <f>Tabela9[[#This Row],[Forτa(N)]]/$I$5</f>
        <v>24675113.554864932</v>
      </c>
      <c r="F476" s="1">
        <f>Tabela9[[#This Row],[Tensão(Pa)]]/1000000</f>
        <v>24.675113554864932</v>
      </c>
    </row>
    <row r="477" spans="1:6" x14ac:dyDescent="0.3">
      <c r="A477" s="1">
        <v>38.683</v>
      </c>
      <c r="B477" s="1">
        <v>3.2160000000000002</v>
      </c>
      <c r="C477" s="1">
        <f>Tabela9[[#This Row],[Alongamento(mm/mm)]]/$I$2</f>
        <v>6.4320000000000002E-2</v>
      </c>
      <c r="D477" s="1">
        <v>779.9</v>
      </c>
      <c r="E477" s="1">
        <f>Tabela9[[#This Row],[Forτa(N)]]/$I$5</f>
        <v>24859351.342736475</v>
      </c>
      <c r="F477" s="1">
        <f>Tabela9[[#This Row],[Tensão(Pa)]]/1000000</f>
        <v>24.859351342736474</v>
      </c>
    </row>
    <row r="478" spans="1:6" x14ac:dyDescent="0.3">
      <c r="A478" s="1">
        <v>38.85</v>
      </c>
      <c r="B478" s="1">
        <v>3.2299000000000002</v>
      </c>
      <c r="C478" s="1">
        <f>Tabela9[[#This Row],[Alongamento(mm/mm)]]/$I$2</f>
        <v>6.4598000000000003E-2</v>
      </c>
      <c r="D478" s="1">
        <v>786.2</v>
      </c>
      <c r="E478" s="1">
        <f>Tabela9[[#This Row],[Forτa(N)]]/$I$5</f>
        <v>25060164.156506497</v>
      </c>
      <c r="F478" s="1">
        <f>Tabela9[[#This Row],[Tensão(Pa)]]/1000000</f>
        <v>25.060164156506499</v>
      </c>
    </row>
    <row r="479" spans="1:6" x14ac:dyDescent="0.3">
      <c r="A479" s="1">
        <v>39.017000000000003</v>
      </c>
      <c r="B479" s="1">
        <v>3.2437999999999998</v>
      </c>
      <c r="C479" s="1">
        <f>Tabela9[[#This Row],[Alongamento(mm/mm)]]/$I$2</f>
        <v>6.4875999999999989E-2</v>
      </c>
      <c r="D479" s="1">
        <v>792.66</v>
      </c>
      <c r="E479" s="1">
        <f>Tabela9[[#This Row],[Forτa(N)]]/$I$5</f>
        <v>25266076.978245281</v>
      </c>
      <c r="F479" s="1">
        <f>Tabela9[[#This Row],[Tensão(Pa)]]/1000000</f>
        <v>25.26607697824528</v>
      </c>
    </row>
    <row r="480" spans="1:6" x14ac:dyDescent="0.3">
      <c r="A480" s="1">
        <v>39.183</v>
      </c>
      <c r="B480" s="1">
        <v>3.2576999999999998</v>
      </c>
      <c r="C480" s="1">
        <f>Tabela9[[#This Row],[Alongamento(mm/mm)]]/$I$2</f>
        <v>6.515399999999999E-2</v>
      </c>
      <c r="D480" s="1">
        <v>799.12</v>
      </c>
      <c r="E480" s="1">
        <f>Tabela9[[#This Row],[Forτa(N)]]/$I$5</f>
        <v>25471989.799984064</v>
      </c>
      <c r="F480" s="1">
        <f>Tabela9[[#This Row],[Tensão(Pa)]]/1000000</f>
        <v>25.471989799984065</v>
      </c>
    </row>
    <row r="481" spans="1:6" x14ac:dyDescent="0.3">
      <c r="A481" s="1">
        <v>39.332999999999998</v>
      </c>
      <c r="B481" s="1">
        <v>3.2702</v>
      </c>
      <c r="C481" s="1">
        <f>Tabela9[[#This Row],[Alongamento(mm/mm)]]/$I$2</f>
        <v>6.5404000000000004E-2</v>
      </c>
      <c r="D481" s="1">
        <v>805.25</v>
      </c>
      <c r="E481" s="1">
        <f>Tabela9[[#This Row],[Forτa(N)]]/$I$5</f>
        <v>25667383.855287276</v>
      </c>
      <c r="F481" s="1">
        <f>Tabela9[[#This Row],[Tensão(Pa)]]/1000000</f>
        <v>25.667383855287277</v>
      </c>
    </row>
    <row r="482" spans="1:6" x14ac:dyDescent="0.3">
      <c r="A482" s="1">
        <v>39.5</v>
      </c>
      <c r="B482" s="1">
        <v>3.2841</v>
      </c>
      <c r="C482" s="1">
        <f>Tabela9[[#This Row],[Alongamento(mm/mm)]]/$I$2</f>
        <v>6.5682000000000004E-2</v>
      </c>
      <c r="D482" s="1">
        <v>811.88</v>
      </c>
      <c r="E482" s="1">
        <f>Tabela9[[#This Row],[Forτa(N)]]/$I$5</f>
        <v>25878715.435492869</v>
      </c>
      <c r="F482" s="1">
        <f>Tabela9[[#This Row],[Tensão(Pa)]]/1000000</f>
        <v>25.878715435492868</v>
      </c>
    </row>
    <row r="483" spans="1:6" x14ac:dyDescent="0.3">
      <c r="A483" s="1">
        <v>39.667000000000002</v>
      </c>
      <c r="B483" s="1">
        <v>3.298</v>
      </c>
      <c r="C483" s="1">
        <f>Tabela9[[#This Row],[Alongamento(mm/mm)]]/$I$2</f>
        <v>6.5960000000000005E-2</v>
      </c>
      <c r="D483" s="1">
        <v>818.52</v>
      </c>
      <c r="E483" s="1">
        <f>Tabela9[[#This Row],[Forτa(N)]]/$I$5</f>
        <v>26090365.766196512</v>
      </c>
      <c r="F483" s="1">
        <f>Tabela9[[#This Row],[Tensão(Pa)]]/1000000</f>
        <v>26.090365766196513</v>
      </c>
    </row>
    <row r="484" spans="1:6" x14ac:dyDescent="0.3">
      <c r="A484" s="1">
        <v>39.832999999999998</v>
      </c>
      <c r="B484" s="1">
        <v>3.3117999999999999</v>
      </c>
      <c r="C484" s="1">
        <f>Tabela9[[#This Row],[Alongamento(mm/mm)]]/$I$2</f>
        <v>6.6236000000000003E-2</v>
      </c>
      <c r="D484" s="1">
        <v>825.15</v>
      </c>
      <c r="E484" s="1">
        <f>Tabela9[[#This Row],[Forτa(N)]]/$I$5</f>
        <v>26301697.346402105</v>
      </c>
      <c r="F484" s="1">
        <f>Tabela9[[#This Row],[Tensão(Pa)]]/1000000</f>
        <v>26.301697346402104</v>
      </c>
    </row>
    <row r="485" spans="1:6" x14ac:dyDescent="0.3">
      <c r="A485" s="1">
        <v>39.982999999999997</v>
      </c>
      <c r="B485" s="1">
        <v>3.3243</v>
      </c>
      <c r="C485" s="1">
        <f>Tabela9[[#This Row],[Alongamento(mm/mm)]]/$I$2</f>
        <v>6.6486000000000003E-2</v>
      </c>
      <c r="D485" s="1">
        <v>831.27</v>
      </c>
      <c r="E485" s="1">
        <f>Tabela9[[#This Row],[Forτa(N)]]/$I$5</f>
        <v>26496772.651207268</v>
      </c>
      <c r="F485" s="1">
        <f>Tabela9[[#This Row],[Tensão(Pa)]]/1000000</f>
        <v>26.496772651207269</v>
      </c>
    </row>
    <row r="486" spans="1:6" x14ac:dyDescent="0.3">
      <c r="A486" s="1">
        <v>40.15</v>
      </c>
      <c r="B486" s="1">
        <v>3.3382000000000001</v>
      </c>
      <c r="C486" s="1">
        <f>Tabela9[[#This Row],[Alongamento(mm/mm)]]/$I$2</f>
        <v>6.6764000000000004E-2</v>
      </c>
      <c r="D486" s="1">
        <v>838.08</v>
      </c>
      <c r="E486" s="1">
        <f>Tabela9[[#This Row],[Forτa(N)]]/$I$5</f>
        <v>26713841.74037772</v>
      </c>
      <c r="F486" s="1">
        <f>Tabela9[[#This Row],[Tensão(Pa)]]/1000000</f>
        <v>26.71384174037772</v>
      </c>
    </row>
    <row r="487" spans="1:6" x14ac:dyDescent="0.3">
      <c r="A487" s="1">
        <v>40.317</v>
      </c>
      <c r="B487" s="1">
        <v>3.3521000000000001</v>
      </c>
      <c r="C487" s="1">
        <f>Tabela9[[#This Row],[Alongamento(mm/mm)]]/$I$2</f>
        <v>6.7042000000000004E-2</v>
      </c>
      <c r="D487" s="1">
        <v>844.88</v>
      </c>
      <c r="E487" s="1">
        <f>Tabela9[[#This Row],[Forτa(N)]]/$I$5</f>
        <v>26930592.079050124</v>
      </c>
      <c r="F487" s="1">
        <f>Tabela9[[#This Row],[Tensão(Pa)]]/1000000</f>
        <v>26.930592079050125</v>
      </c>
    </row>
    <row r="488" spans="1:6" x14ac:dyDescent="0.3">
      <c r="A488" s="1">
        <v>40.482999999999997</v>
      </c>
      <c r="B488" s="1">
        <v>3.3660000000000001</v>
      </c>
      <c r="C488" s="1">
        <f>Tabela9[[#This Row],[Alongamento(mm/mm)]]/$I$2</f>
        <v>6.7320000000000005E-2</v>
      </c>
      <c r="D488" s="1">
        <v>851.85</v>
      </c>
      <c r="E488" s="1">
        <f>Tabela9[[#This Row],[Forτa(N)]]/$I$5</f>
        <v>27152761.176189341</v>
      </c>
      <c r="F488" s="1">
        <f>Tabela9[[#This Row],[Tensão(Pa)]]/1000000</f>
        <v>27.15276117618934</v>
      </c>
    </row>
    <row r="489" spans="1:6" x14ac:dyDescent="0.3">
      <c r="A489" s="1">
        <v>40.65</v>
      </c>
      <c r="B489" s="1">
        <v>3.3799000000000001</v>
      </c>
      <c r="C489" s="1">
        <f>Tabela9[[#This Row],[Alongamento(mm/mm)]]/$I$2</f>
        <v>6.7598000000000005E-2</v>
      </c>
      <c r="D489" s="1">
        <v>858.66</v>
      </c>
      <c r="E489" s="1">
        <f>Tabela9[[#This Row],[Forτa(N)]]/$I$5</f>
        <v>27369830.265359789</v>
      </c>
      <c r="F489" s="1">
        <f>Tabela9[[#This Row],[Tensão(Pa)]]/1000000</f>
        <v>27.369830265359788</v>
      </c>
    </row>
    <row r="490" spans="1:6" x14ac:dyDescent="0.3">
      <c r="A490" s="1">
        <v>40.817</v>
      </c>
      <c r="B490" s="1">
        <v>3.3936999999999999</v>
      </c>
      <c r="C490" s="1">
        <f>Tabela9[[#This Row],[Alongamento(mm/mm)]]/$I$2</f>
        <v>6.7874000000000004E-2</v>
      </c>
      <c r="D490" s="1">
        <v>865.63</v>
      </c>
      <c r="E490" s="1">
        <f>Tabela9[[#This Row],[Forτa(N)]]/$I$5</f>
        <v>27591999.362499006</v>
      </c>
      <c r="F490" s="1">
        <f>Tabela9[[#This Row],[Tensão(Pa)]]/1000000</f>
        <v>27.591999362499006</v>
      </c>
    </row>
    <row r="491" spans="1:6" x14ac:dyDescent="0.3">
      <c r="A491" s="1">
        <v>40.982999999999997</v>
      </c>
      <c r="B491" s="1">
        <v>3.4077000000000002</v>
      </c>
      <c r="C491" s="1">
        <f>Tabela9[[#This Row],[Alongamento(mm/mm)]]/$I$2</f>
        <v>6.8154000000000006E-2</v>
      </c>
      <c r="D491" s="1">
        <v>872.61</v>
      </c>
      <c r="E491" s="1">
        <f>Tabela9[[#This Row],[Forτa(N)]]/$I$5</f>
        <v>27814487.210136268</v>
      </c>
      <c r="F491" s="1">
        <f>Tabela9[[#This Row],[Tensão(Pa)]]/1000000</f>
        <v>27.814487210136267</v>
      </c>
    </row>
    <row r="492" spans="1:6" x14ac:dyDescent="0.3">
      <c r="A492" s="1">
        <v>41.15</v>
      </c>
      <c r="B492" s="1">
        <v>3.4216000000000002</v>
      </c>
      <c r="C492" s="1">
        <f>Tabela9[[#This Row],[Alongamento(mm/mm)]]/$I$2</f>
        <v>6.8432000000000007E-2</v>
      </c>
      <c r="D492" s="1">
        <v>879.75</v>
      </c>
      <c r="E492" s="1">
        <f>Tabela9[[#This Row],[Forτa(N)]]/$I$5</f>
        <v>28042075.065742292</v>
      </c>
      <c r="F492" s="1">
        <f>Tabela9[[#This Row],[Tensão(Pa)]]/1000000</f>
        <v>28.042075065742292</v>
      </c>
    </row>
    <row r="493" spans="1:6" x14ac:dyDescent="0.3">
      <c r="A493" s="1">
        <v>41.317</v>
      </c>
      <c r="B493" s="1">
        <v>3.4354</v>
      </c>
      <c r="C493" s="1">
        <f>Tabela9[[#This Row],[Alongamento(mm/mm)]]/$I$2</f>
        <v>6.8708000000000005E-2</v>
      </c>
      <c r="D493" s="1">
        <v>886.9</v>
      </c>
      <c r="E493" s="1">
        <f>Tabela9[[#This Row],[Forτa(N)]]/$I$5</f>
        <v>28269981.671846364</v>
      </c>
      <c r="F493" s="1">
        <f>Tabela9[[#This Row],[Tensão(Pa)]]/1000000</f>
        <v>28.269981671846363</v>
      </c>
    </row>
    <row r="494" spans="1:6" x14ac:dyDescent="0.3">
      <c r="A494" s="1">
        <v>41.482999999999997</v>
      </c>
      <c r="B494" s="1">
        <v>3.4493</v>
      </c>
      <c r="C494" s="1">
        <f>Tabela9[[#This Row],[Alongamento(mm/mm)]]/$I$2</f>
        <v>6.8986000000000006E-2</v>
      </c>
      <c r="D494" s="1">
        <v>893.87</v>
      </c>
      <c r="E494" s="1">
        <f>Tabela9[[#This Row],[Forτa(N)]]/$I$5</f>
        <v>28492150.768985577</v>
      </c>
      <c r="F494" s="1">
        <f>Tabela9[[#This Row],[Tensão(Pa)]]/1000000</f>
        <v>28.492150768985578</v>
      </c>
    </row>
    <row r="495" spans="1:6" x14ac:dyDescent="0.3">
      <c r="A495" s="1">
        <v>41.65</v>
      </c>
      <c r="B495" s="1">
        <v>3.4632000000000001</v>
      </c>
      <c r="C495" s="1">
        <f>Tabela9[[#This Row],[Alongamento(mm/mm)]]/$I$2</f>
        <v>6.9264000000000006E-2</v>
      </c>
      <c r="D495" s="1">
        <v>900.84</v>
      </c>
      <c r="E495" s="1">
        <f>Tabela9[[#This Row],[Forτa(N)]]/$I$5</f>
        <v>28714319.866124794</v>
      </c>
      <c r="F495" s="1">
        <f>Tabela9[[#This Row],[Tensão(Pa)]]/1000000</f>
        <v>28.714319866124793</v>
      </c>
    </row>
    <row r="496" spans="1:6" x14ac:dyDescent="0.3">
      <c r="A496" s="1">
        <v>41.817</v>
      </c>
      <c r="B496" s="1">
        <v>3.4771000000000001</v>
      </c>
      <c r="C496" s="1">
        <f>Tabela9[[#This Row],[Alongamento(mm/mm)]]/$I$2</f>
        <v>6.9542000000000007E-2</v>
      </c>
      <c r="D496" s="1">
        <v>907.82</v>
      </c>
      <c r="E496" s="1">
        <f>Tabela9[[#This Row],[Forτa(N)]]/$I$5</f>
        <v>28936807.713762056</v>
      </c>
      <c r="F496" s="1">
        <f>Tabela9[[#This Row],[Tensão(Pa)]]/1000000</f>
        <v>28.936807713762057</v>
      </c>
    </row>
    <row r="497" spans="1:6" x14ac:dyDescent="0.3">
      <c r="A497" s="1">
        <v>41.982999999999997</v>
      </c>
      <c r="B497" s="1">
        <v>3.4910999999999999</v>
      </c>
      <c r="C497" s="1">
        <f>Tabela9[[#This Row],[Alongamento(mm/mm)]]/$I$2</f>
        <v>6.9821999999999995E-2</v>
      </c>
      <c r="D497" s="1">
        <v>914.62</v>
      </c>
      <c r="E497" s="1">
        <f>Tabela9[[#This Row],[Forτa(N)]]/$I$5</f>
        <v>29153558.052434459</v>
      </c>
      <c r="F497" s="1">
        <f>Tabela9[[#This Row],[Tensão(Pa)]]/1000000</f>
        <v>29.153558052434459</v>
      </c>
    </row>
    <row r="498" spans="1:6" x14ac:dyDescent="0.3">
      <c r="A498" s="1">
        <v>42.167000000000002</v>
      </c>
      <c r="B498" s="1">
        <v>3.5063</v>
      </c>
      <c r="C498" s="1">
        <f>Tabela9[[#This Row],[Alongamento(mm/mm)]]/$I$2</f>
        <v>7.0125999999999994E-2</v>
      </c>
      <c r="D498" s="1">
        <v>922.11</v>
      </c>
      <c r="E498" s="1">
        <f>Tabela9[[#This Row],[Forτa(N)]]/$I$5</f>
        <v>29392302.175472151</v>
      </c>
      <c r="F498" s="1">
        <f>Tabela9[[#This Row],[Tensão(Pa)]]/1000000</f>
        <v>29.392302175472153</v>
      </c>
    </row>
    <row r="499" spans="1:6" x14ac:dyDescent="0.3">
      <c r="A499" s="1">
        <v>42.35</v>
      </c>
      <c r="B499" s="1">
        <v>3.5215999999999998</v>
      </c>
      <c r="C499" s="1">
        <f>Tabela9[[#This Row],[Alongamento(mm/mm)]]/$I$2</f>
        <v>7.0431999999999995E-2</v>
      </c>
      <c r="D499" s="1">
        <v>929.42</v>
      </c>
      <c r="E499" s="1">
        <f>Tabela9[[#This Row],[Forτa(N)]]/$I$5</f>
        <v>29625308.789544985</v>
      </c>
      <c r="F499" s="1">
        <f>Tabela9[[#This Row],[Tensão(Pa)]]/1000000</f>
        <v>29.625308789544984</v>
      </c>
    </row>
    <row r="500" spans="1:6" x14ac:dyDescent="0.3">
      <c r="A500" s="1">
        <v>42.533000000000001</v>
      </c>
      <c r="B500" s="1">
        <v>3.5369000000000002</v>
      </c>
      <c r="C500" s="1">
        <f>Tabela9[[#This Row],[Alongamento(mm/mm)]]/$I$2</f>
        <v>7.0738000000000009E-2</v>
      </c>
      <c r="D500" s="1">
        <v>936.9</v>
      </c>
      <c r="E500" s="1">
        <f>Tabela9[[#This Row],[Forτa(N)]]/$I$5</f>
        <v>29863734.162084628</v>
      </c>
      <c r="F500" s="1">
        <f>Tabela9[[#This Row],[Tensão(Pa)]]/1000000</f>
        <v>29.863734162084629</v>
      </c>
    </row>
    <row r="501" spans="1:6" x14ac:dyDescent="0.3">
      <c r="A501" s="1">
        <v>42.716999999999999</v>
      </c>
      <c r="B501" s="1">
        <v>3.5520999999999998</v>
      </c>
      <c r="C501" s="1">
        <f>Tabela9[[#This Row],[Alongamento(mm/mm)]]/$I$2</f>
        <v>7.1041999999999994E-2</v>
      </c>
      <c r="D501" s="1">
        <v>944.39</v>
      </c>
      <c r="E501" s="1">
        <f>Tabela9[[#This Row],[Forτa(N)]]/$I$5</f>
        <v>30102478.28512232</v>
      </c>
      <c r="F501" s="1">
        <f>Tabela9[[#This Row],[Tensão(Pa)]]/1000000</f>
        <v>30.10247828512232</v>
      </c>
    </row>
    <row r="502" spans="1:6" x14ac:dyDescent="0.3">
      <c r="A502" s="1">
        <v>42.9</v>
      </c>
      <c r="B502" s="1">
        <v>3.5674000000000001</v>
      </c>
      <c r="C502" s="1">
        <f>Tabela9[[#This Row],[Alongamento(mm/mm)]]/$I$2</f>
        <v>7.1348000000000009E-2</v>
      </c>
      <c r="D502" s="1">
        <v>952.04</v>
      </c>
      <c r="E502" s="1">
        <f>Tabela9[[#This Row],[Forτa(N)]]/$I$5</f>
        <v>30346322.416128777</v>
      </c>
      <c r="F502" s="1">
        <f>Tabela9[[#This Row],[Tensão(Pa)]]/1000000</f>
        <v>30.346322416128778</v>
      </c>
    </row>
    <row r="503" spans="1:6" x14ac:dyDescent="0.3">
      <c r="A503" s="1">
        <v>43.082999999999998</v>
      </c>
      <c r="B503" s="1">
        <v>3.5825999999999998</v>
      </c>
      <c r="C503" s="1">
        <f>Tabela9[[#This Row],[Alongamento(mm/mm)]]/$I$2</f>
        <v>7.1651999999999993E-2</v>
      </c>
      <c r="D503" s="1">
        <v>959.53</v>
      </c>
      <c r="E503" s="1">
        <f>Tabela9[[#This Row],[Forτa(N)]]/$I$5</f>
        <v>30585066.539166469</v>
      </c>
      <c r="F503" s="1">
        <f>Tabela9[[#This Row],[Tensão(Pa)]]/1000000</f>
        <v>30.585066539166469</v>
      </c>
    </row>
    <row r="504" spans="1:6" x14ac:dyDescent="0.3">
      <c r="A504" s="1">
        <v>43.267000000000003</v>
      </c>
      <c r="B504" s="1">
        <v>3.5979000000000001</v>
      </c>
      <c r="C504" s="1">
        <f>Tabela9[[#This Row],[Alongamento(mm/mm)]]/$I$2</f>
        <v>7.1958000000000008E-2</v>
      </c>
      <c r="D504" s="1">
        <v>967.18</v>
      </c>
      <c r="E504" s="1">
        <f>Tabela9[[#This Row],[Forτa(N)]]/$I$5</f>
        <v>30828910.670172922</v>
      </c>
      <c r="F504" s="1">
        <f>Tabela9[[#This Row],[Tensão(Pa)]]/1000000</f>
        <v>30.828910670172924</v>
      </c>
    </row>
    <row r="505" spans="1:6" x14ac:dyDescent="0.3">
      <c r="A505" s="1">
        <v>43.45</v>
      </c>
      <c r="B505" s="1">
        <v>3.6132</v>
      </c>
      <c r="C505" s="1">
        <f>Tabela9[[#This Row],[Alongamento(mm/mm)]]/$I$2</f>
        <v>7.2263999999999995E-2</v>
      </c>
      <c r="D505" s="1">
        <v>974.67</v>
      </c>
      <c r="E505" s="1">
        <f>Tabela9[[#This Row],[Forτa(N)]]/$I$5</f>
        <v>31067654.793210614</v>
      </c>
      <c r="F505" s="1">
        <f>Tabela9[[#This Row],[Tensão(Pa)]]/1000000</f>
        <v>31.067654793210615</v>
      </c>
    </row>
    <row r="506" spans="1:6" x14ac:dyDescent="0.3">
      <c r="A506" s="1">
        <v>43.633000000000003</v>
      </c>
      <c r="B506" s="1">
        <v>3.6284000000000001</v>
      </c>
      <c r="C506" s="1">
        <f>Tabela9[[#This Row],[Alongamento(mm/mm)]]/$I$2</f>
        <v>7.2568000000000007E-2</v>
      </c>
      <c r="D506" s="1">
        <v>982.32</v>
      </c>
      <c r="E506" s="1">
        <f>Tabela9[[#This Row],[Forτa(N)]]/$I$5</f>
        <v>31311498.924217071</v>
      </c>
      <c r="F506" s="1">
        <f>Tabela9[[#This Row],[Tensão(Pa)]]/1000000</f>
        <v>31.311498924217073</v>
      </c>
    </row>
    <row r="507" spans="1:6" x14ac:dyDescent="0.3">
      <c r="A507" s="1">
        <v>43.817</v>
      </c>
      <c r="B507" s="1">
        <v>3.6436999999999999</v>
      </c>
      <c r="C507" s="1">
        <f>Tabela9[[#This Row],[Alongamento(mm/mm)]]/$I$2</f>
        <v>7.2873999999999994E-2</v>
      </c>
      <c r="D507" s="1">
        <v>989.98</v>
      </c>
      <c r="E507" s="1">
        <f>Tabela9[[#This Row],[Forτa(N)]]/$I$5</f>
        <v>31555661.805721574</v>
      </c>
      <c r="F507" s="1">
        <f>Tabela9[[#This Row],[Tensão(Pa)]]/1000000</f>
        <v>31.555661805721574</v>
      </c>
    </row>
    <row r="508" spans="1:6" x14ac:dyDescent="0.3">
      <c r="A508" s="1">
        <v>44</v>
      </c>
      <c r="B508" s="1">
        <v>3.6589</v>
      </c>
      <c r="C508" s="1">
        <f>Tabela9[[#This Row],[Alongamento(mm/mm)]]/$I$2</f>
        <v>7.3178000000000007E-2</v>
      </c>
      <c r="D508" s="1">
        <v>997.63</v>
      </c>
      <c r="E508" s="1">
        <f>Tabela9[[#This Row],[Forτa(N)]]/$I$5</f>
        <v>31799505.936728027</v>
      </c>
      <c r="F508" s="1">
        <f>Tabela9[[#This Row],[Tensão(Pa)]]/1000000</f>
        <v>31.799505936728028</v>
      </c>
    </row>
    <row r="509" spans="1:6" x14ac:dyDescent="0.3">
      <c r="A509" s="1">
        <v>44.183</v>
      </c>
      <c r="B509" s="1">
        <v>3.6741999999999999</v>
      </c>
      <c r="C509" s="1">
        <f>Tabela9[[#This Row],[Alongamento(mm/mm)]]/$I$2</f>
        <v>7.3483999999999994E-2</v>
      </c>
      <c r="D509" s="1">
        <v>1005.3</v>
      </c>
      <c r="E509" s="1">
        <f>Tabela9[[#This Row],[Forτa(N)]]/$I$5</f>
        <v>32043987.568730578</v>
      </c>
      <c r="F509" s="1">
        <f>Tabela9[[#This Row],[Tensão(Pa)]]/1000000</f>
        <v>32.043987568730579</v>
      </c>
    </row>
    <row r="510" spans="1:6" x14ac:dyDescent="0.3">
      <c r="A510" s="1">
        <v>44.383000000000003</v>
      </c>
      <c r="B510" s="1">
        <v>3.6909999999999998</v>
      </c>
      <c r="C510" s="1">
        <f>Tabela9[[#This Row],[Alongamento(mm/mm)]]/$I$2</f>
        <v>7.3819999999999997E-2</v>
      </c>
      <c r="D510" s="1">
        <v>1013.4</v>
      </c>
      <c r="E510" s="1">
        <f>Tabela9[[#This Row],[Forτa(N)]]/$I$5</f>
        <v>32302175.472149175</v>
      </c>
      <c r="F510" s="1">
        <f>Tabela9[[#This Row],[Tensão(Pa)]]/1000000</f>
        <v>32.302175472149173</v>
      </c>
    </row>
    <row r="511" spans="1:6" x14ac:dyDescent="0.3">
      <c r="A511" s="1">
        <v>44.582999999999998</v>
      </c>
      <c r="B511" s="1">
        <v>3.7077</v>
      </c>
      <c r="C511" s="1">
        <f>Tabela9[[#This Row],[Alongamento(mm/mm)]]/$I$2</f>
        <v>7.4153999999999998E-2</v>
      </c>
      <c r="D511" s="1">
        <v>1021.8</v>
      </c>
      <c r="E511" s="1">
        <f>Tabela9[[#This Row],[Forτa(N)]]/$I$5</f>
        <v>32569925.890509203</v>
      </c>
      <c r="F511" s="1">
        <f>Tabela9[[#This Row],[Tensão(Pa)]]/1000000</f>
        <v>32.569925890509204</v>
      </c>
    </row>
    <row r="512" spans="1:6" x14ac:dyDescent="0.3">
      <c r="A512" s="1">
        <v>44.767000000000003</v>
      </c>
      <c r="B512" s="1">
        <v>3.7229999999999999</v>
      </c>
      <c r="C512" s="1">
        <f>Tabela9[[#This Row],[Alongamento(mm/mm)]]/$I$2</f>
        <v>7.4459999999999998E-2</v>
      </c>
      <c r="D512" s="1">
        <v>1029.8</v>
      </c>
      <c r="E512" s="1">
        <f>Tabela9[[#This Row],[Forτa(N)]]/$I$5</f>
        <v>32824926.288947325</v>
      </c>
      <c r="F512" s="1">
        <f>Tabela9[[#This Row],[Tensão(Pa)]]/1000000</f>
        <v>32.824926288947324</v>
      </c>
    </row>
    <row r="513" spans="1:6" x14ac:dyDescent="0.3">
      <c r="A513" s="1">
        <v>44.966999999999999</v>
      </c>
      <c r="B513" s="1">
        <v>3.7395999999999998</v>
      </c>
      <c r="C513" s="1">
        <f>Tabela9[[#This Row],[Alongamento(mm/mm)]]/$I$2</f>
        <v>7.4791999999999997E-2</v>
      </c>
      <c r="D513" s="1">
        <v>1038.0999999999999</v>
      </c>
      <c r="E513" s="1">
        <f>Tabela9[[#This Row],[Forτa(N)]]/$I$5</f>
        <v>33089489.202326879</v>
      </c>
      <c r="F513" s="1">
        <f>Tabela9[[#This Row],[Tensão(Pa)]]/1000000</f>
        <v>33.089489202326881</v>
      </c>
    </row>
    <row r="514" spans="1:6" x14ac:dyDescent="0.3">
      <c r="A514" s="1">
        <v>45.167000000000002</v>
      </c>
      <c r="B514" s="1">
        <v>3.7563</v>
      </c>
      <c r="C514" s="1">
        <f>Tabela9[[#This Row],[Alongamento(mm/mm)]]/$I$2</f>
        <v>7.5125999999999998E-2</v>
      </c>
      <c r="D514" s="1">
        <v>1046.4000000000001</v>
      </c>
      <c r="E514" s="1">
        <f>Tabela9[[#This Row],[Forτa(N)]]/$I$5</f>
        <v>33354052.115706436</v>
      </c>
      <c r="F514" s="1">
        <f>Tabela9[[#This Row],[Tensão(Pa)]]/1000000</f>
        <v>33.354052115706438</v>
      </c>
    </row>
    <row r="515" spans="1:6" x14ac:dyDescent="0.3">
      <c r="A515" s="1">
        <v>45.366999999999997</v>
      </c>
      <c r="B515" s="1">
        <v>3.7728999999999999</v>
      </c>
      <c r="C515" s="1">
        <f>Tabela9[[#This Row],[Alongamento(mm/mm)]]/$I$2</f>
        <v>7.5457999999999997E-2</v>
      </c>
      <c r="D515" s="1">
        <v>1054.5999999999999</v>
      </c>
      <c r="E515" s="1">
        <f>Tabela9[[#This Row],[Forτa(N)]]/$I$5</f>
        <v>33615427.524105504</v>
      </c>
      <c r="F515" s="1">
        <f>Tabela9[[#This Row],[Tensão(Pa)]]/1000000</f>
        <v>33.615427524105506</v>
      </c>
    </row>
    <row r="516" spans="1:6" x14ac:dyDescent="0.3">
      <c r="A516" s="1">
        <v>45.567</v>
      </c>
      <c r="B516" s="1">
        <v>3.7896000000000001</v>
      </c>
      <c r="C516" s="1">
        <f>Tabela9[[#This Row],[Alongamento(mm/mm)]]/$I$2</f>
        <v>7.5791999999999998E-2</v>
      </c>
      <c r="D516" s="1">
        <v>1063.0999999999999</v>
      </c>
      <c r="E516" s="1">
        <f>Tabela9[[#This Row],[Forτa(N)]]/$I$5</f>
        <v>33886365.447446011</v>
      </c>
      <c r="F516" s="1">
        <f>Tabela9[[#This Row],[Tensão(Pa)]]/1000000</f>
        <v>33.886365447446011</v>
      </c>
    </row>
    <row r="517" spans="1:6" x14ac:dyDescent="0.3">
      <c r="A517" s="1">
        <v>45.767000000000003</v>
      </c>
      <c r="B517" s="1">
        <v>3.8062999999999998</v>
      </c>
      <c r="C517" s="1">
        <f>Tabela9[[#This Row],[Alongamento(mm/mm)]]/$I$2</f>
        <v>7.6125999999999999E-2</v>
      </c>
      <c r="D517" s="1">
        <v>1071.8</v>
      </c>
      <c r="E517" s="1">
        <f>Tabela9[[#This Row],[Forτa(N)]]/$I$5</f>
        <v>34163678.380747467</v>
      </c>
      <c r="F517" s="1">
        <f>Tabela9[[#This Row],[Tensão(Pa)]]/1000000</f>
        <v>34.16367838074747</v>
      </c>
    </row>
    <row r="518" spans="1:6" x14ac:dyDescent="0.3">
      <c r="A518" s="1">
        <v>45.966999999999999</v>
      </c>
      <c r="B518" s="1">
        <v>3.8229000000000002</v>
      </c>
      <c r="C518" s="1">
        <f>Tabela9[[#This Row],[Alongamento(mm/mm)]]/$I$2</f>
        <v>7.6457999999999998E-2</v>
      </c>
      <c r="D518" s="1">
        <v>1080.5999999999999</v>
      </c>
      <c r="E518" s="1">
        <f>Tabela9[[#This Row],[Forτa(N)]]/$I$5</f>
        <v>34444178.819029406</v>
      </c>
      <c r="F518" s="1">
        <f>Tabela9[[#This Row],[Tensão(Pa)]]/1000000</f>
        <v>34.444178819029403</v>
      </c>
    </row>
    <row r="519" spans="1:6" x14ac:dyDescent="0.3">
      <c r="A519" s="1">
        <v>46.167000000000002</v>
      </c>
      <c r="B519" s="1">
        <v>3.8395999999999999</v>
      </c>
      <c r="C519" s="1">
        <f>Tabela9[[#This Row],[Alongamento(mm/mm)]]/$I$2</f>
        <v>7.6791999999999999E-2</v>
      </c>
      <c r="D519" s="1">
        <v>1089.3</v>
      </c>
      <c r="E519" s="1">
        <f>Tabela9[[#This Row],[Forτa(N)]]/$I$5</f>
        <v>34721491.752330862</v>
      </c>
      <c r="F519" s="1">
        <f>Tabela9[[#This Row],[Tensão(Pa)]]/1000000</f>
        <v>34.721491752330863</v>
      </c>
    </row>
    <row r="520" spans="1:6" x14ac:dyDescent="0.3">
      <c r="A520" s="1">
        <v>46.366999999999997</v>
      </c>
      <c r="B520" s="1">
        <v>3.8561999999999999</v>
      </c>
      <c r="C520" s="1">
        <f>Tabela9[[#This Row],[Alongamento(mm/mm)]]/$I$2</f>
        <v>7.7123999999999998E-2</v>
      </c>
      <c r="D520" s="1">
        <v>1098</v>
      </c>
      <c r="E520" s="1">
        <f>Tabela9[[#This Row],[Forτa(N)]]/$I$5</f>
        <v>34998804.685632326</v>
      </c>
      <c r="F520" s="1">
        <f>Tabela9[[#This Row],[Tensão(Pa)]]/1000000</f>
        <v>34.998804685632322</v>
      </c>
    </row>
    <row r="521" spans="1:6" x14ac:dyDescent="0.3">
      <c r="A521" s="1">
        <v>46.567</v>
      </c>
      <c r="B521" s="1">
        <v>3.8730000000000002</v>
      </c>
      <c r="C521" s="1">
        <f>Tabela9[[#This Row],[Alongamento(mm/mm)]]/$I$2</f>
        <v>7.7460000000000001E-2</v>
      </c>
      <c r="D521" s="1">
        <v>1106.7</v>
      </c>
      <c r="E521" s="1">
        <f>Tabela9[[#This Row],[Forτa(N)]]/$I$5</f>
        <v>35276117.618933782</v>
      </c>
      <c r="F521" s="1">
        <f>Tabela9[[#This Row],[Tensão(Pa)]]/1000000</f>
        <v>35.276117618933782</v>
      </c>
    </row>
    <row r="522" spans="1:6" x14ac:dyDescent="0.3">
      <c r="A522" s="1">
        <v>46.767000000000003</v>
      </c>
      <c r="B522" s="1">
        <v>3.8896000000000002</v>
      </c>
      <c r="C522" s="1">
        <f>Tabela9[[#This Row],[Alongamento(mm/mm)]]/$I$2</f>
        <v>7.7792E-2</v>
      </c>
      <c r="D522" s="1">
        <v>1115.5</v>
      </c>
      <c r="E522" s="1">
        <f>Tabela9[[#This Row],[Forτa(N)]]/$I$5</f>
        <v>35556618.057215713</v>
      </c>
      <c r="F522" s="1">
        <f>Tabela9[[#This Row],[Tensão(Pa)]]/1000000</f>
        <v>35.556618057215715</v>
      </c>
    </row>
    <row r="523" spans="1:6" x14ac:dyDescent="0.3">
      <c r="A523" s="1">
        <v>46.966999999999999</v>
      </c>
      <c r="B523" s="1">
        <v>3.9062000000000001</v>
      </c>
      <c r="C523" s="1">
        <f>Tabela9[[#This Row],[Alongamento(mm/mm)]]/$I$2</f>
        <v>7.8123999999999999E-2</v>
      </c>
      <c r="D523" s="1">
        <v>1124.4000000000001</v>
      </c>
      <c r="E523" s="1">
        <f>Tabela9[[#This Row],[Forτa(N)]]/$I$5</f>
        <v>35840306.000478134</v>
      </c>
      <c r="F523" s="1">
        <f>Tabela9[[#This Row],[Tensão(Pa)]]/1000000</f>
        <v>35.840306000478137</v>
      </c>
    </row>
    <row r="524" spans="1:6" x14ac:dyDescent="0.3">
      <c r="A524" s="1">
        <v>47.167000000000002</v>
      </c>
      <c r="B524" s="1">
        <v>3.9228999999999998</v>
      </c>
      <c r="C524" s="1">
        <f>Tabela9[[#This Row],[Alongamento(mm/mm)]]/$I$2</f>
        <v>7.8458E-2</v>
      </c>
      <c r="D524" s="1">
        <v>1133.2</v>
      </c>
      <c r="E524" s="1">
        <f>Tabela9[[#This Row],[Forτa(N)]]/$I$5</f>
        <v>36120806.438760065</v>
      </c>
      <c r="F524" s="1">
        <f>Tabela9[[#This Row],[Tensão(Pa)]]/1000000</f>
        <v>36.120806438760063</v>
      </c>
    </row>
    <row r="525" spans="1:6" x14ac:dyDescent="0.3">
      <c r="A525" s="1">
        <v>47.383000000000003</v>
      </c>
      <c r="B525" s="1">
        <v>3.9409999999999998</v>
      </c>
      <c r="C525" s="1">
        <f>Tabela9[[#This Row],[Alongamento(mm/mm)]]/$I$2</f>
        <v>7.8820000000000001E-2</v>
      </c>
      <c r="D525" s="1">
        <v>1142.5999999999999</v>
      </c>
      <c r="E525" s="1">
        <f>Tabela9[[#This Row],[Forτa(N)]]/$I$5</f>
        <v>36420431.906924851</v>
      </c>
      <c r="F525" s="1">
        <f>Tabela9[[#This Row],[Tensão(Pa)]]/1000000</f>
        <v>36.420431906924854</v>
      </c>
    </row>
    <row r="526" spans="1:6" x14ac:dyDescent="0.3">
      <c r="A526" s="1">
        <v>47.6</v>
      </c>
      <c r="B526" s="1">
        <v>3.9590999999999998</v>
      </c>
      <c r="C526" s="1">
        <f>Tabela9[[#This Row],[Alongamento(mm/mm)]]/$I$2</f>
        <v>7.9182000000000002E-2</v>
      </c>
      <c r="D526" s="1">
        <v>1151.9000000000001</v>
      </c>
      <c r="E526" s="1">
        <f>Tabela9[[#This Row],[Forτa(N)]]/$I$5</f>
        <v>36716869.870109178</v>
      </c>
      <c r="F526" s="1">
        <f>Tabela9[[#This Row],[Tensão(Pa)]]/1000000</f>
        <v>36.716869870109178</v>
      </c>
    </row>
    <row r="527" spans="1:6" x14ac:dyDescent="0.3">
      <c r="A527" s="1">
        <v>47.817</v>
      </c>
      <c r="B527" s="1">
        <v>3.9771000000000001</v>
      </c>
      <c r="C527" s="1">
        <f>Tabela9[[#This Row],[Alongamento(mm/mm)]]/$I$2</f>
        <v>7.9542000000000002E-2</v>
      </c>
      <c r="D527" s="1">
        <v>1161.3</v>
      </c>
      <c r="E527" s="1">
        <f>Tabela9[[#This Row],[Forτa(N)]]/$I$5</f>
        <v>37016495.338273965</v>
      </c>
      <c r="F527" s="1">
        <f>Tabela9[[#This Row],[Tensão(Pa)]]/1000000</f>
        <v>37.016495338273963</v>
      </c>
    </row>
    <row r="528" spans="1:6" x14ac:dyDescent="0.3">
      <c r="A528" s="1">
        <v>48.033000000000001</v>
      </c>
      <c r="B528" s="1">
        <v>3.9952000000000001</v>
      </c>
      <c r="C528" s="1">
        <f>Tabela9[[#This Row],[Alongamento(mm/mm)]]/$I$2</f>
        <v>7.9904000000000003E-2</v>
      </c>
      <c r="D528" s="1">
        <v>1170.5999999999999</v>
      </c>
      <c r="E528" s="1">
        <f>Tabela9[[#This Row],[Forτa(N)]]/$I$5</f>
        <v>37312933.301458284</v>
      </c>
      <c r="F528" s="1">
        <f>Tabela9[[#This Row],[Tensão(Pa)]]/1000000</f>
        <v>37.312933301458287</v>
      </c>
    </row>
    <row r="529" spans="1:6" x14ac:dyDescent="0.3">
      <c r="A529" s="1">
        <v>48.25</v>
      </c>
      <c r="B529" s="1">
        <v>4.0132000000000003</v>
      </c>
      <c r="C529" s="1">
        <f>Tabela9[[#This Row],[Alongamento(mm/mm)]]/$I$2</f>
        <v>8.0264000000000002E-2</v>
      </c>
      <c r="D529" s="1">
        <v>1180</v>
      </c>
      <c r="E529" s="1">
        <f>Tabela9[[#This Row],[Forτa(N)]]/$I$5</f>
        <v>37612558.769623078</v>
      </c>
      <c r="F529" s="1">
        <f>Tabela9[[#This Row],[Tensão(Pa)]]/1000000</f>
        <v>37.612558769623078</v>
      </c>
    </row>
    <row r="530" spans="1:6" x14ac:dyDescent="0.3">
      <c r="A530" s="1">
        <v>48.466999999999999</v>
      </c>
      <c r="B530" s="1">
        <v>4.0312000000000001</v>
      </c>
      <c r="C530" s="1">
        <f>Tabela9[[#This Row],[Alongamento(mm/mm)]]/$I$2</f>
        <v>8.0624000000000001E-2</v>
      </c>
      <c r="D530" s="1">
        <v>1189.3</v>
      </c>
      <c r="E530" s="1">
        <f>Tabela9[[#This Row],[Forτa(N)]]/$I$5</f>
        <v>37908996.732807398</v>
      </c>
      <c r="F530" s="1">
        <f>Tabela9[[#This Row],[Tensão(Pa)]]/1000000</f>
        <v>37.908996732807395</v>
      </c>
    </row>
    <row r="531" spans="1:6" x14ac:dyDescent="0.3">
      <c r="A531" s="1">
        <v>48.683</v>
      </c>
      <c r="B531" s="1">
        <v>4.0492999999999997</v>
      </c>
      <c r="C531" s="1">
        <f>Tabela9[[#This Row],[Alongamento(mm/mm)]]/$I$2</f>
        <v>8.0985999999999989E-2</v>
      </c>
      <c r="D531" s="1">
        <v>1198.5</v>
      </c>
      <c r="E531" s="1">
        <f>Tabela9[[#This Row],[Forτa(N)]]/$I$5</f>
        <v>38202247.191011235</v>
      </c>
      <c r="F531" s="1">
        <f>Tabela9[[#This Row],[Tensão(Pa)]]/1000000</f>
        <v>38.202247191011239</v>
      </c>
    </row>
    <row r="532" spans="1:6" x14ac:dyDescent="0.3">
      <c r="A532" s="1">
        <v>48.9</v>
      </c>
      <c r="B532" s="1">
        <v>4.0674000000000001</v>
      </c>
      <c r="C532" s="1">
        <f>Tabela9[[#This Row],[Alongamento(mm/mm)]]/$I$2</f>
        <v>8.1348000000000004E-2</v>
      </c>
      <c r="D532" s="1">
        <v>1207.7</v>
      </c>
      <c r="E532" s="1">
        <f>Tabela9[[#This Row],[Forτa(N)]]/$I$5</f>
        <v>38495497.64921508</v>
      </c>
      <c r="F532" s="1">
        <f>Tabela9[[#This Row],[Tensão(Pa)]]/1000000</f>
        <v>38.495497649215082</v>
      </c>
    </row>
    <row r="533" spans="1:6" x14ac:dyDescent="0.3">
      <c r="A533" s="1">
        <v>49.116999999999997</v>
      </c>
      <c r="B533" s="1">
        <v>4.0853999999999999</v>
      </c>
      <c r="C533" s="1">
        <f>Tabela9[[#This Row],[Alongamento(mm/mm)]]/$I$2</f>
        <v>8.1708000000000003E-2</v>
      </c>
      <c r="D533" s="1">
        <v>1217.0999999999999</v>
      </c>
      <c r="E533" s="1">
        <f>Tabela9[[#This Row],[Forτa(N)]]/$I$5</f>
        <v>38795123.117379867</v>
      </c>
      <c r="F533" s="1">
        <f>Tabela9[[#This Row],[Tensão(Pa)]]/1000000</f>
        <v>38.795123117379866</v>
      </c>
    </row>
    <row r="534" spans="1:6" x14ac:dyDescent="0.3">
      <c r="A534" s="1">
        <v>49.332999999999998</v>
      </c>
      <c r="B534" s="1">
        <v>4.1035000000000004</v>
      </c>
      <c r="C534" s="1">
        <f>Tabela9[[#This Row],[Alongamento(mm/mm)]]/$I$2</f>
        <v>8.2070000000000004E-2</v>
      </c>
      <c r="D534" s="1">
        <v>1226.4000000000001</v>
      </c>
      <c r="E534" s="1">
        <f>Tabela9[[#This Row],[Forτa(N)]]/$I$5</f>
        <v>39091561.080564193</v>
      </c>
      <c r="F534" s="1">
        <f>Tabela9[[#This Row],[Tensão(Pa)]]/1000000</f>
        <v>39.09156108056419</v>
      </c>
    </row>
    <row r="535" spans="1:6" x14ac:dyDescent="0.3">
      <c r="A535" s="1">
        <v>49.567</v>
      </c>
      <c r="B535" s="1">
        <v>4.1228999999999996</v>
      </c>
      <c r="C535" s="1">
        <f>Tabela9[[#This Row],[Alongamento(mm/mm)]]/$I$2</f>
        <v>8.245799999999999E-2</v>
      </c>
      <c r="D535" s="1">
        <v>1236.3</v>
      </c>
      <c r="E535" s="1">
        <f>Tabela9[[#This Row],[Forτa(N)]]/$I$5</f>
        <v>39407124.073631369</v>
      </c>
      <c r="F535" s="1">
        <f>Tabela9[[#This Row],[Tensão(Pa)]]/1000000</f>
        <v>39.407124073631365</v>
      </c>
    </row>
    <row r="536" spans="1:6" x14ac:dyDescent="0.3">
      <c r="A536" s="1">
        <v>49.8</v>
      </c>
      <c r="B536" s="1">
        <v>4.1424000000000003</v>
      </c>
      <c r="C536" s="1">
        <f>Tabela9[[#This Row],[Alongamento(mm/mm)]]/$I$2</f>
        <v>8.2848000000000005E-2</v>
      </c>
      <c r="D536" s="1">
        <v>1246.3</v>
      </c>
      <c r="E536" s="1">
        <f>Tabela9[[#This Row],[Forτa(N)]]/$I$5</f>
        <v>39725874.571679018</v>
      </c>
      <c r="F536" s="1">
        <f>Tabela9[[#This Row],[Tensão(Pa)]]/1000000</f>
        <v>39.725874571679022</v>
      </c>
    </row>
    <row r="537" spans="1:6" x14ac:dyDescent="0.3">
      <c r="A537" s="1">
        <v>50.033000000000001</v>
      </c>
      <c r="B537" s="1">
        <v>4.1618000000000004</v>
      </c>
      <c r="C537" s="1">
        <f>Tabela9[[#This Row],[Alongamento(mm/mm)]]/$I$2</f>
        <v>8.3236000000000004E-2</v>
      </c>
      <c r="D537" s="1">
        <v>1256.3</v>
      </c>
      <c r="E537" s="1">
        <f>Tabela9[[#This Row],[Forτa(N)]]/$I$5</f>
        <v>40044625.069726676</v>
      </c>
      <c r="F537" s="1">
        <f>Tabela9[[#This Row],[Tensão(Pa)]]/1000000</f>
        <v>40.044625069726678</v>
      </c>
    </row>
    <row r="538" spans="1:6" x14ac:dyDescent="0.3">
      <c r="A538" s="1">
        <v>50.267000000000003</v>
      </c>
      <c r="B538" s="1">
        <v>4.1813000000000002</v>
      </c>
      <c r="C538" s="1">
        <f>Tabela9[[#This Row],[Alongamento(mm/mm)]]/$I$2</f>
        <v>8.3626000000000006E-2</v>
      </c>
      <c r="D538" s="1">
        <v>1266.4000000000001</v>
      </c>
      <c r="E538" s="1">
        <f>Tabela9[[#This Row],[Forτa(N)]]/$I$5</f>
        <v>40366563.072754808</v>
      </c>
      <c r="F538" s="1">
        <f>Tabela9[[#This Row],[Tensão(Pa)]]/1000000</f>
        <v>40.366563072754808</v>
      </c>
    </row>
    <row r="539" spans="1:6" x14ac:dyDescent="0.3">
      <c r="A539" s="1">
        <v>50.5</v>
      </c>
      <c r="B539" s="1">
        <v>4.2005999999999997</v>
      </c>
      <c r="C539" s="1">
        <f>Tabela9[[#This Row],[Alongamento(mm/mm)]]/$I$2</f>
        <v>8.4011999999999989E-2</v>
      </c>
      <c r="D539" s="1">
        <v>1276.3</v>
      </c>
      <c r="E539" s="1">
        <f>Tabela9[[#This Row],[Forτa(N)]]/$I$5</f>
        <v>40682126.065821975</v>
      </c>
      <c r="F539" s="1">
        <f>Tabela9[[#This Row],[Tensão(Pa)]]/1000000</f>
        <v>40.682126065821976</v>
      </c>
    </row>
    <row r="540" spans="1:6" x14ac:dyDescent="0.3">
      <c r="A540" s="1">
        <v>50.732999999999997</v>
      </c>
      <c r="B540" s="1">
        <v>4.2202000000000002</v>
      </c>
      <c r="C540" s="1">
        <f>Tabela9[[#This Row],[Alongamento(mm/mm)]]/$I$2</f>
        <v>8.4404000000000007E-2</v>
      </c>
      <c r="D540" s="1">
        <v>1286.0999999999999</v>
      </c>
      <c r="E540" s="1">
        <f>Tabela9[[#This Row],[Forτa(N)]]/$I$5</f>
        <v>40994501.553908676</v>
      </c>
      <c r="F540" s="1">
        <f>Tabela9[[#This Row],[Tensão(Pa)]]/1000000</f>
        <v>40.994501553908677</v>
      </c>
    </row>
    <row r="541" spans="1:6" x14ac:dyDescent="0.3">
      <c r="A541" s="1">
        <v>50.966999999999999</v>
      </c>
      <c r="B541" s="1">
        <v>4.2396000000000003</v>
      </c>
      <c r="C541" s="1">
        <f>Tabela9[[#This Row],[Alongamento(mm/mm)]]/$I$2</f>
        <v>8.4792000000000006E-2</v>
      </c>
      <c r="D541" s="1">
        <v>1296.2</v>
      </c>
      <c r="E541" s="1">
        <f>Tabela9[[#This Row],[Forτa(N)]]/$I$5</f>
        <v>41316439.556936808</v>
      </c>
      <c r="F541" s="1">
        <f>Tabela9[[#This Row],[Tensão(Pa)]]/1000000</f>
        <v>41.316439556936807</v>
      </c>
    </row>
    <row r="542" spans="1:6" x14ac:dyDescent="0.3">
      <c r="A542" s="1">
        <v>51.2</v>
      </c>
      <c r="B542" s="1">
        <v>4.2591000000000001</v>
      </c>
      <c r="C542" s="1">
        <f>Tabela9[[#This Row],[Alongamento(mm/mm)]]/$I$2</f>
        <v>8.5182000000000008E-2</v>
      </c>
      <c r="D542" s="1">
        <v>1306.2</v>
      </c>
      <c r="E542" s="1">
        <f>Tabela9[[#This Row],[Forτa(N)]]/$I$5</f>
        <v>41635190.054984465</v>
      </c>
      <c r="F542" s="1">
        <f>Tabela9[[#This Row],[Tensão(Pa)]]/1000000</f>
        <v>41.635190054984463</v>
      </c>
    </row>
    <row r="543" spans="1:6" x14ac:dyDescent="0.3">
      <c r="A543" s="1">
        <v>51.433</v>
      </c>
      <c r="B543" s="1">
        <v>4.2784000000000004</v>
      </c>
      <c r="C543" s="1">
        <f>Tabela9[[#This Row],[Alongamento(mm/mm)]]/$I$2</f>
        <v>8.5568000000000005E-2</v>
      </c>
      <c r="D543" s="1">
        <v>1316.2</v>
      </c>
      <c r="E543" s="1">
        <f>Tabela9[[#This Row],[Forτa(N)]]/$I$5</f>
        <v>41953940.553032115</v>
      </c>
      <c r="F543" s="1">
        <f>Tabela9[[#This Row],[Tensão(Pa)]]/1000000</f>
        <v>41.953940553032112</v>
      </c>
    </row>
    <row r="544" spans="1:6" x14ac:dyDescent="0.3">
      <c r="A544" s="1">
        <v>51.683</v>
      </c>
      <c r="B544" s="1">
        <v>4.2994000000000003</v>
      </c>
      <c r="C544" s="1">
        <f>Tabela9[[#This Row],[Alongamento(mm/mm)]]/$I$2</f>
        <v>8.5988000000000009E-2</v>
      </c>
      <c r="D544" s="1">
        <v>1326.9</v>
      </c>
      <c r="E544" s="1">
        <f>Tabela9[[#This Row],[Forτa(N)]]/$I$5</f>
        <v>42295003.58594311</v>
      </c>
      <c r="F544" s="1">
        <f>Tabela9[[#This Row],[Tensão(Pa)]]/1000000</f>
        <v>42.295003585943107</v>
      </c>
    </row>
    <row r="545" spans="1:6" x14ac:dyDescent="0.3">
      <c r="A545" s="1">
        <v>51.917000000000002</v>
      </c>
      <c r="B545" s="1">
        <v>4.3186999999999998</v>
      </c>
      <c r="C545" s="1">
        <f>Tabela9[[#This Row],[Alongamento(mm/mm)]]/$I$2</f>
        <v>8.6373999999999992E-2</v>
      </c>
      <c r="D545" s="1">
        <v>1337.3</v>
      </c>
      <c r="E545" s="1">
        <f>Tabela9[[#This Row],[Forτa(N)]]/$I$5</f>
        <v>42626504.103912666</v>
      </c>
      <c r="F545" s="1">
        <f>Tabela9[[#This Row],[Tensão(Pa)]]/1000000</f>
        <v>42.626504103912666</v>
      </c>
    </row>
    <row r="546" spans="1:6" x14ac:dyDescent="0.3">
      <c r="A546" s="1">
        <v>52.15</v>
      </c>
      <c r="B546" s="1">
        <v>4.3383000000000003</v>
      </c>
      <c r="C546" s="1">
        <f>Tabela9[[#This Row],[Alongamento(mm/mm)]]/$I$2</f>
        <v>8.676600000000001E-2</v>
      </c>
      <c r="D546" s="1">
        <v>1347.9</v>
      </c>
      <c r="E546" s="1">
        <f>Tabela9[[#This Row],[Forτa(N)]]/$I$5</f>
        <v>42964379.631843179</v>
      </c>
      <c r="F546" s="1">
        <f>Tabela9[[#This Row],[Tensão(Pa)]]/1000000</f>
        <v>42.96437963184318</v>
      </c>
    </row>
    <row r="547" spans="1:6" x14ac:dyDescent="0.3">
      <c r="A547" s="1">
        <v>52.383000000000003</v>
      </c>
      <c r="B547" s="1">
        <v>4.3575999999999997</v>
      </c>
      <c r="C547" s="1">
        <f>Tabela9[[#This Row],[Alongamento(mm/mm)]]/$I$2</f>
        <v>8.7151999999999993E-2</v>
      </c>
      <c r="D547" s="1">
        <v>1358.2</v>
      </c>
      <c r="E547" s="1">
        <f>Tabela9[[#This Row],[Forτa(N)]]/$I$5</f>
        <v>43292692.644832261</v>
      </c>
      <c r="F547" s="1">
        <f>Tabela9[[#This Row],[Tensão(Pa)]]/1000000</f>
        <v>43.292692644832258</v>
      </c>
    </row>
    <row r="548" spans="1:6" x14ac:dyDescent="0.3">
      <c r="A548" s="1">
        <v>52.616999999999997</v>
      </c>
      <c r="B548" s="1">
        <v>4.3771000000000004</v>
      </c>
      <c r="C548" s="1">
        <f>Tabela9[[#This Row],[Alongamento(mm/mm)]]/$I$2</f>
        <v>8.7542000000000009E-2</v>
      </c>
      <c r="D548" s="1">
        <v>1368.8</v>
      </c>
      <c r="E548" s="1">
        <f>Tabela9[[#This Row],[Forτa(N)]]/$I$5</f>
        <v>43630568.172762774</v>
      </c>
      <c r="F548" s="1">
        <f>Tabela9[[#This Row],[Tensão(Pa)]]/1000000</f>
        <v>43.630568172762771</v>
      </c>
    </row>
    <row r="549" spans="1:6" x14ac:dyDescent="0.3">
      <c r="A549" s="1">
        <v>52.85</v>
      </c>
      <c r="B549" s="1">
        <v>4.3966000000000003</v>
      </c>
      <c r="C549" s="1">
        <f>Tabela9[[#This Row],[Alongamento(mm/mm)]]/$I$2</f>
        <v>8.793200000000001E-2</v>
      </c>
      <c r="D549" s="1">
        <v>1379.3</v>
      </c>
      <c r="E549" s="1">
        <f>Tabela9[[#This Row],[Forτa(N)]]/$I$5</f>
        <v>43965256.195712805</v>
      </c>
      <c r="F549" s="1">
        <f>Tabela9[[#This Row],[Tensão(Pa)]]/1000000</f>
        <v>43.965256195712804</v>
      </c>
    </row>
    <row r="550" spans="1:6" x14ac:dyDescent="0.3">
      <c r="A550" s="1">
        <v>53.1</v>
      </c>
      <c r="B550" s="1">
        <v>4.4173999999999998</v>
      </c>
      <c r="C550" s="1">
        <f>Tabela9[[#This Row],[Alongamento(mm/mm)]]/$I$2</f>
        <v>8.8347999999999996E-2</v>
      </c>
      <c r="D550" s="1">
        <v>1390.4</v>
      </c>
      <c r="E550" s="1">
        <f>Tabela9[[#This Row],[Forτa(N)]]/$I$5</f>
        <v>44319069.248545706</v>
      </c>
      <c r="F550" s="1">
        <f>Tabela9[[#This Row],[Tensão(Pa)]]/1000000</f>
        <v>44.319069248545709</v>
      </c>
    </row>
    <row r="551" spans="1:6" x14ac:dyDescent="0.3">
      <c r="A551" s="1">
        <v>53.332999999999998</v>
      </c>
      <c r="B551" s="1">
        <v>4.4367999999999999</v>
      </c>
      <c r="C551" s="1">
        <f>Tabela9[[#This Row],[Alongamento(mm/mm)]]/$I$2</f>
        <v>8.8735999999999995E-2</v>
      </c>
      <c r="D551" s="1">
        <v>1400.9</v>
      </c>
      <c r="E551" s="1">
        <f>Tabela9[[#This Row],[Forτa(N)]]/$I$5</f>
        <v>44653757.271495745</v>
      </c>
      <c r="F551" s="1">
        <f>Tabela9[[#This Row],[Tensão(Pa)]]/1000000</f>
        <v>44.653757271495742</v>
      </c>
    </row>
    <row r="552" spans="1:6" x14ac:dyDescent="0.3">
      <c r="A552" s="1">
        <v>53.582999999999998</v>
      </c>
      <c r="B552" s="1">
        <v>4.4577</v>
      </c>
      <c r="C552" s="1">
        <f>Tabela9[[#This Row],[Alongamento(mm/mm)]]/$I$2</f>
        <v>8.9153999999999997E-2</v>
      </c>
      <c r="D552" s="1">
        <v>1412.2</v>
      </c>
      <c r="E552" s="1">
        <f>Tabela9[[#This Row],[Forτa(N)]]/$I$5</f>
        <v>45013945.334289588</v>
      </c>
      <c r="F552" s="1">
        <f>Tabela9[[#This Row],[Tensão(Pa)]]/1000000</f>
        <v>45.013945334289588</v>
      </c>
    </row>
    <row r="553" spans="1:6" x14ac:dyDescent="0.3">
      <c r="A553" s="1">
        <v>53.832999999999998</v>
      </c>
      <c r="B553" s="1">
        <v>4.4785000000000004</v>
      </c>
      <c r="C553" s="1">
        <f>Tabela9[[#This Row],[Alongamento(mm/mm)]]/$I$2</f>
        <v>8.9570000000000011E-2</v>
      </c>
      <c r="D553" s="1">
        <v>1423.2</v>
      </c>
      <c r="E553" s="1">
        <f>Tabela9[[#This Row],[Forτa(N)]]/$I$5</f>
        <v>45364570.882142007</v>
      </c>
      <c r="F553" s="1">
        <f>Tabela9[[#This Row],[Tensão(Pa)]]/1000000</f>
        <v>45.364570882142004</v>
      </c>
    </row>
    <row r="554" spans="1:6" x14ac:dyDescent="0.3">
      <c r="A554" s="1">
        <v>54.082999999999998</v>
      </c>
      <c r="B554" s="1">
        <v>4.4993999999999996</v>
      </c>
      <c r="C554" s="1">
        <f>Tabela9[[#This Row],[Alongamento(mm/mm)]]/$I$2</f>
        <v>8.9987999999999999E-2</v>
      </c>
      <c r="D554" s="1">
        <v>1434.4</v>
      </c>
      <c r="E554" s="1">
        <f>Tabela9[[#This Row],[Forτa(N)]]/$I$5</f>
        <v>45721571.439955384</v>
      </c>
      <c r="F554" s="1">
        <f>Tabela9[[#This Row],[Tensão(Pa)]]/1000000</f>
        <v>45.721571439955383</v>
      </c>
    </row>
    <row r="555" spans="1:6" x14ac:dyDescent="0.3">
      <c r="A555" s="1">
        <v>54.332999999999998</v>
      </c>
      <c r="B555" s="1">
        <v>4.5202</v>
      </c>
      <c r="C555" s="1">
        <f>Tabela9[[#This Row],[Alongamento(mm/mm)]]/$I$2</f>
        <v>9.0403999999999998E-2</v>
      </c>
      <c r="D555" s="1">
        <v>1445.3</v>
      </c>
      <c r="E555" s="1">
        <f>Tabela9[[#This Row],[Forτa(N)]]/$I$5</f>
        <v>46069009.482827321</v>
      </c>
      <c r="F555" s="1">
        <f>Tabela9[[#This Row],[Tensão(Pa)]]/1000000</f>
        <v>46.069009482827319</v>
      </c>
    </row>
    <row r="556" spans="1:6" x14ac:dyDescent="0.3">
      <c r="A556" s="1">
        <v>54.6</v>
      </c>
      <c r="B556" s="1">
        <v>4.5423</v>
      </c>
      <c r="C556" s="1">
        <f>Tabela9[[#This Row],[Alongamento(mm/mm)]]/$I$2</f>
        <v>9.0845999999999996E-2</v>
      </c>
      <c r="D556" s="1">
        <v>1456.7</v>
      </c>
      <c r="E556" s="1">
        <f>Tabela9[[#This Row],[Forτa(N)]]/$I$5</f>
        <v>46432385.050601646</v>
      </c>
      <c r="F556" s="1">
        <f>Tabela9[[#This Row],[Tensão(Pa)]]/1000000</f>
        <v>46.432385050601646</v>
      </c>
    </row>
    <row r="557" spans="1:6" x14ac:dyDescent="0.3">
      <c r="A557" s="1">
        <v>54.866999999999997</v>
      </c>
      <c r="B557" s="1">
        <v>4.5646000000000004</v>
      </c>
      <c r="C557" s="1">
        <f>Tabela9[[#This Row],[Alongamento(mm/mm)]]/$I$2</f>
        <v>9.1292000000000012E-2</v>
      </c>
      <c r="D557" s="1">
        <v>1468</v>
      </c>
      <c r="E557" s="1">
        <f>Tabela9[[#This Row],[Forτa(N)]]/$I$5</f>
        <v>46792573.11339549</v>
      </c>
      <c r="F557" s="1">
        <f>Tabela9[[#This Row],[Tensão(Pa)]]/1000000</f>
        <v>46.792573113395491</v>
      </c>
    </row>
    <row r="558" spans="1:6" x14ac:dyDescent="0.3">
      <c r="A558" s="1">
        <v>55.133000000000003</v>
      </c>
      <c r="B558" s="1">
        <v>4.5868000000000002</v>
      </c>
      <c r="C558" s="1">
        <f>Tabela9[[#This Row],[Alongamento(mm/mm)]]/$I$2</f>
        <v>9.1735999999999998E-2</v>
      </c>
      <c r="D558" s="1">
        <v>1479.5</v>
      </c>
      <c r="E558" s="1">
        <f>Tabela9[[#This Row],[Forτa(N)]]/$I$5</f>
        <v>47159136.18615029</v>
      </c>
      <c r="F558" s="1">
        <f>Tabela9[[#This Row],[Tensão(Pa)]]/1000000</f>
        <v>47.159136186150292</v>
      </c>
    </row>
    <row r="559" spans="1:6" x14ac:dyDescent="0.3">
      <c r="A559" s="1">
        <v>55.4</v>
      </c>
      <c r="B559" s="1">
        <v>4.6090999999999998</v>
      </c>
      <c r="C559" s="1">
        <f>Tabela9[[#This Row],[Alongamento(mm/mm)]]/$I$2</f>
        <v>9.2182E-2</v>
      </c>
      <c r="D559" s="1">
        <v>1491.1</v>
      </c>
      <c r="E559" s="1">
        <f>Tabela9[[#This Row],[Forτa(N)]]/$I$5</f>
        <v>47528886.763885565</v>
      </c>
      <c r="F559" s="1">
        <f>Tabela9[[#This Row],[Tensão(Pa)]]/1000000</f>
        <v>47.528886763885566</v>
      </c>
    </row>
    <row r="560" spans="1:6" x14ac:dyDescent="0.3">
      <c r="A560" s="1">
        <v>55.667000000000002</v>
      </c>
      <c r="B560" s="1">
        <v>4.6313000000000004</v>
      </c>
      <c r="C560" s="1">
        <f>Tabela9[[#This Row],[Alongamento(mm/mm)]]/$I$2</f>
        <v>9.2626000000000014E-2</v>
      </c>
      <c r="D560" s="1">
        <v>1502.7</v>
      </c>
      <c r="E560" s="1">
        <f>Tabela9[[#This Row],[Forτa(N)]]/$I$5</f>
        <v>47898637.341620848</v>
      </c>
      <c r="F560" s="1">
        <f>Tabela9[[#This Row],[Tensão(Pa)]]/1000000</f>
        <v>47.898637341620848</v>
      </c>
    </row>
    <row r="561" spans="1:6" x14ac:dyDescent="0.3">
      <c r="A561" s="1">
        <v>55.933</v>
      </c>
      <c r="B561" s="1">
        <v>4.6535000000000002</v>
      </c>
      <c r="C561" s="1">
        <f>Tabela9[[#This Row],[Alongamento(mm/mm)]]/$I$2</f>
        <v>9.307E-2</v>
      </c>
      <c r="D561" s="1">
        <v>1514.2</v>
      </c>
      <c r="E561" s="1">
        <f>Tabela9[[#This Row],[Forτa(N)]]/$I$5</f>
        <v>48265200.414375655</v>
      </c>
      <c r="F561" s="1">
        <f>Tabela9[[#This Row],[Tensão(Pa)]]/1000000</f>
        <v>48.265200414375656</v>
      </c>
    </row>
    <row r="562" spans="1:6" x14ac:dyDescent="0.3">
      <c r="A562" s="1">
        <v>56.216999999999999</v>
      </c>
      <c r="B562" s="1">
        <v>4.6771000000000003</v>
      </c>
      <c r="C562" s="1">
        <f>Tabela9[[#This Row],[Alongamento(mm/mm)]]/$I$2</f>
        <v>9.3542E-2</v>
      </c>
      <c r="D562" s="1">
        <v>1526.3</v>
      </c>
      <c r="E562" s="1">
        <f>Tabela9[[#This Row],[Forτa(N)]]/$I$5</f>
        <v>48650888.517013311</v>
      </c>
      <c r="F562" s="1">
        <f>Tabela9[[#This Row],[Tensão(Pa)]]/1000000</f>
        <v>48.650888517013314</v>
      </c>
    </row>
    <row r="563" spans="1:6" x14ac:dyDescent="0.3">
      <c r="A563" s="1">
        <v>56.5</v>
      </c>
      <c r="B563" s="1">
        <v>4.7007000000000003</v>
      </c>
      <c r="C563" s="1">
        <f>Tabela9[[#This Row],[Alongamento(mm/mm)]]/$I$2</f>
        <v>9.4014E-2</v>
      </c>
      <c r="D563" s="1">
        <v>1538.4</v>
      </c>
      <c r="E563" s="1">
        <f>Tabela9[[#This Row],[Forτa(N)]]/$I$5</f>
        <v>49036576.619650975</v>
      </c>
      <c r="F563" s="1">
        <f>Tabela9[[#This Row],[Tensão(Pa)]]/1000000</f>
        <v>49.036576619650972</v>
      </c>
    </row>
    <row r="564" spans="1:6" x14ac:dyDescent="0.3">
      <c r="A564" s="1">
        <v>56.783000000000001</v>
      </c>
      <c r="B564" s="1">
        <v>4.7244000000000002</v>
      </c>
      <c r="C564" s="1">
        <f>Tabela9[[#This Row],[Alongamento(mm/mm)]]/$I$2</f>
        <v>9.4488000000000003E-2</v>
      </c>
      <c r="D564" s="1">
        <v>1550.5</v>
      </c>
      <c r="E564" s="1">
        <f>Tabela9[[#This Row],[Forτa(N)]]/$I$5</f>
        <v>49422264.722288631</v>
      </c>
      <c r="F564" s="1">
        <f>Tabela9[[#This Row],[Tensão(Pa)]]/1000000</f>
        <v>49.422264722288631</v>
      </c>
    </row>
    <row r="565" spans="1:6" x14ac:dyDescent="0.3">
      <c r="A565" s="1">
        <v>57.05</v>
      </c>
      <c r="B565" s="1">
        <v>4.7465000000000002</v>
      </c>
      <c r="C565" s="1">
        <f>Tabela9[[#This Row],[Alongamento(mm/mm)]]/$I$2</f>
        <v>9.493E-2</v>
      </c>
      <c r="D565" s="1">
        <v>1562.4</v>
      </c>
      <c r="E565" s="1">
        <f>Tabela9[[#This Row],[Forτa(N)]]/$I$5</f>
        <v>49801577.814965345</v>
      </c>
      <c r="F565" s="1">
        <f>Tabela9[[#This Row],[Tensão(Pa)]]/1000000</f>
        <v>49.801577814965341</v>
      </c>
    </row>
    <row r="566" spans="1:6" x14ac:dyDescent="0.3">
      <c r="A566" s="1">
        <v>57.332999999999998</v>
      </c>
      <c r="B566" s="1">
        <v>4.7702</v>
      </c>
      <c r="C566" s="1">
        <f>Tabela9[[#This Row],[Alongamento(mm/mm)]]/$I$2</f>
        <v>9.5404000000000003E-2</v>
      </c>
      <c r="D566" s="1">
        <v>1574.4</v>
      </c>
      <c r="E566" s="1">
        <f>Tabela9[[#This Row],[Forτa(N)]]/$I$5</f>
        <v>50184078.412622526</v>
      </c>
      <c r="F566" s="1">
        <f>Tabela9[[#This Row],[Tensão(Pa)]]/1000000</f>
        <v>50.184078412622526</v>
      </c>
    </row>
    <row r="567" spans="1:6" x14ac:dyDescent="0.3">
      <c r="A567" s="1">
        <v>57.633000000000003</v>
      </c>
      <c r="B567" s="1">
        <v>4.7952000000000004</v>
      </c>
      <c r="C567" s="1">
        <f>Tabela9[[#This Row],[Alongamento(mm/mm)]]/$I$2</f>
        <v>9.5904000000000003E-2</v>
      </c>
      <c r="D567" s="1">
        <v>1587.4</v>
      </c>
      <c r="E567" s="1">
        <f>Tabela9[[#This Row],[Forτa(N)]]/$I$5</f>
        <v>50598454.060084477</v>
      </c>
      <c r="F567" s="1">
        <f>Tabela9[[#This Row],[Tensão(Pa)]]/1000000</f>
        <v>50.598454060084478</v>
      </c>
    </row>
    <row r="568" spans="1:6" x14ac:dyDescent="0.3">
      <c r="A568" s="1">
        <v>57.917000000000002</v>
      </c>
      <c r="B568" s="1">
        <v>4.8188000000000004</v>
      </c>
      <c r="C568" s="1">
        <f>Tabela9[[#This Row],[Alongamento(mm/mm)]]/$I$2</f>
        <v>9.6376000000000003E-2</v>
      </c>
      <c r="D568" s="1">
        <v>1599.6</v>
      </c>
      <c r="E568" s="1">
        <f>Tabela9[[#This Row],[Forτa(N)]]/$I$5</f>
        <v>50987329.667702608</v>
      </c>
      <c r="F568" s="1">
        <f>Tabela9[[#This Row],[Tensão(Pa)]]/1000000</f>
        <v>50.98732966770261</v>
      </c>
    </row>
    <row r="569" spans="1:6" x14ac:dyDescent="0.3">
      <c r="A569" s="1">
        <v>58.2</v>
      </c>
      <c r="B569" s="1">
        <v>4.8423999999999996</v>
      </c>
      <c r="C569" s="1">
        <f>Tabela9[[#This Row],[Alongamento(mm/mm)]]/$I$2</f>
        <v>9.684799999999999E-2</v>
      </c>
      <c r="D569" s="1">
        <v>1612.4</v>
      </c>
      <c r="E569" s="1">
        <f>Tabela9[[#This Row],[Forτa(N)]]/$I$5</f>
        <v>51395330.305203609</v>
      </c>
      <c r="F569" s="1">
        <f>Tabela9[[#This Row],[Tensão(Pa)]]/1000000</f>
        <v>51.395330305203608</v>
      </c>
    </row>
    <row r="570" spans="1:6" x14ac:dyDescent="0.3">
      <c r="A570" s="1">
        <v>58.482999999999997</v>
      </c>
      <c r="B570" s="1">
        <v>4.8659999999999997</v>
      </c>
      <c r="C570" s="1">
        <f>Tabela9[[#This Row],[Alongamento(mm/mm)]]/$I$2</f>
        <v>9.731999999999999E-2</v>
      </c>
      <c r="D570" s="1">
        <v>1625</v>
      </c>
      <c r="E570" s="1">
        <f>Tabela9[[#This Row],[Forτa(N)]]/$I$5</f>
        <v>51796955.932743646</v>
      </c>
      <c r="F570" s="1">
        <f>Tabela9[[#This Row],[Tensão(Pa)]]/1000000</f>
        <v>51.796955932743643</v>
      </c>
    </row>
    <row r="571" spans="1:6" x14ac:dyDescent="0.3">
      <c r="A571" s="1">
        <v>58.783000000000001</v>
      </c>
      <c r="B571" s="1">
        <v>4.891</v>
      </c>
      <c r="C571" s="1">
        <f>Tabela9[[#This Row],[Alongamento(mm/mm)]]/$I$2</f>
        <v>9.7820000000000004E-2</v>
      </c>
      <c r="D571" s="1">
        <v>1638.1</v>
      </c>
      <c r="E571" s="1">
        <f>Tabela9[[#This Row],[Forτa(N)]]/$I$5</f>
        <v>52214519.085186072</v>
      </c>
      <c r="F571" s="1">
        <f>Tabela9[[#This Row],[Tensão(Pa)]]/1000000</f>
        <v>52.214519085186069</v>
      </c>
    </row>
    <row r="572" spans="1:6" x14ac:dyDescent="0.3">
      <c r="A572" s="1">
        <v>59.067</v>
      </c>
      <c r="B572" s="1">
        <v>4.9146000000000001</v>
      </c>
      <c r="C572" s="1">
        <f>Tabela9[[#This Row],[Alongamento(mm/mm)]]/$I$2</f>
        <v>9.8292000000000004E-2</v>
      </c>
      <c r="D572" s="1">
        <v>1650.6</v>
      </c>
      <c r="E572" s="1">
        <f>Tabela9[[#This Row],[Forτa(N)]]/$I$5</f>
        <v>52612957.207745634</v>
      </c>
      <c r="F572" s="1">
        <f>Tabela9[[#This Row],[Tensão(Pa)]]/1000000</f>
        <v>52.612957207745637</v>
      </c>
    </row>
    <row r="573" spans="1:6" x14ac:dyDescent="0.3">
      <c r="A573" s="1">
        <v>59.35</v>
      </c>
      <c r="B573" s="1">
        <v>4.9382000000000001</v>
      </c>
      <c r="C573" s="1">
        <f>Tabela9[[#This Row],[Alongamento(mm/mm)]]/$I$2</f>
        <v>9.8764000000000005E-2</v>
      </c>
      <c r="D573" s="1">
        <v>1663.2</v>
      </c>
      <c r="E573" s="1">
        <f>Tabela9[[#This Row],[Forτa(N)]]/$I$5</f>
        <v>53014582.835285686</v>
      </c>
      <c r="F573" s="1">
        <f>Tabela9[[#This Row],[Tensão(Pa)]]/1000000</f>
        <v>53.014582835285687</v>
      </c>
    </row>
    <row r="574" spans="1:6" x14ac:dyDescent="0.3">
      <c r="A574" s="1">
        <v>59.65</v>
      </c>
      <c r="B574" s="1">
        <v>4.9631999999999996</v>
      </c>
      <c r="C574" s="1">
        <f>Tabela9[[#This Row],[Alongamento(mm/mm)]]/$I$2</f>
        <v>9.9263999999999991E-2</v>
      </c>
      <c r="D574" s="1">
        <v>1676.3</v>
      </c>
      <c r="E574" s="1">
        <f>Tabela9[[#This Row],[Forτa(N)]]/$I$5</f>
        <v>53432145.987728104</v>
      </c>
      <c r="F574" s="1">
        <f>Tabela9[[#This Row],[Tensão(Pa)]]/1000000</f>
        <v>53.432145987728106</v>
      </c>
    </row>
    <row r="575" spans="1:6" x14ac:dyDescent="0.3">
      <c r="A575" s="1">
        <v>59.95</v>
      </c>
      <c r="B575" s="1">
        <v>4.9882</v>
      </c>
      <c r="C575" s="1">
        <f>Tabela9[[#This Row],[Alongamento(mm/mm)]]/$I$2</f>
        <v>9.9764000000000005E-2</v>
      </c>
      <c r="D575" s="1">
        <v>1689.3</v>
      </c>
      <c r="E575" s="1">
        <f>Tabela9[[#This Row],[Forτa(N)]]/$I$5</f>
        <v>53846521.635190055</v>
      </c>
      <c r="F575" s="1">
        <f>Tabela9[[#This Row],[Tensão(Pa)]]/1000000</f>
        <v>53.846521635190058</v>
      </c>
    </row>
    <row r="576" spans="1:6" x14ac:dyDescent="0.3">
      <c r="A576" s="1">
        <v>60.25</v>
      </c>
      <c r="B576" s="1">
        <v>5.0132000000000003</v>
      </c>
      <c r="C576" s="1">
        <f>Tabela9[[#This Row],[Alongamento(mm/mm)]]/$I$2</f>
        <v>0.10026400000000001</v>
      </c>
      <c r="D576" s="1">
        <v>1702.2</v>
      </c>
      <c r="E576" s="1">
        <f>Tabela9[[#This Row],[Forτa(N)]]/$I$5</f>
        <v>54257709.777671531</v>
      </c>
      <c r="F576" s="1">
        <f>Tabela9[[#This Row],[Tensão(Pa)]]/1000000</f>
        <v>54.257709777671529</v>
      </c>
    </row>
    <row r="577" spans="1:6" x14ac:dyDescent="0.3">
      <c r="A577" s="1">
        <v>60.567</v>
      </c>
      <c r="B577" s="1">
        <v>5.0396000000000001</v>
      </c>
      <c r="C577" s="1">
        <f>Tabela9[[#This Row],[Alongamento(mm/mm)]]/$I$2</f>
        <v>0.10079200000000001</v>
      </c>
      <c r="D577" s="1">
        <v>1715.8</v>
      </c>
      <c r="E577" s="1">
        <f>Tabela9[[#This Row],[Forτa(N)]]/$I$5</f>
        <v>54691210.455016337</v>
      </c>
      <c r="F577" s="1">
        <f>Tabela9[[#This Row],[Tensão(Pa)]]/1000000</f>
        <v>54.691210455016339</v>
      </c>
    </row>
    <row r="578" spans="1:6" x14ac:dyDescent="0.3">
      <c r="A578" s="1">
        <v>60.883000000000003</v>
      </c>
      <c r="B578" s="1">
        <v>5.0659999999999998</v>
      </c>
      <c r="C578" s="1">
        <f>Tabela9[[#This Row],[Alongamento(mm/mm)]]/$I$2</f>
        <v>0.10131999999999999</v>
      </c>
      <c r="D578" s="1">
        <v>1729.4</v>
      </c>
      <c r="E578" s="1">
        <f>Tabela9[[#This Row],[Forτa(N)]]/$I$5</f>
        <v>55124711.132361151</v>
      </c>
      <c r="F578" s="1">
        <f>Tabela9[[#This Row],[Tensão(Pa)]]/1000000</f>
        <v>55.124711132361149</v>
      </c>
    </row>
    <row r="579" spans="1:6" x14ac:dyDescent="0.3">
      <c r="A579" s="1">
        <v>61.2</v>
      </c>
      <c r="B579" s="1">
        <v>5.0923999999999996</v>
      </c>
      <c r="C579" s="1">
        <f>Tabela9[[#This Row],[Alongamento(mm/mm)]]/$I$2</f>
        <v>0.10184799999999999</v>
      </c>
      <c r="D579" s="1">
        <v>1743</v>
      </c>
      <c r="E579" s="1">
        <f>Tabela9[[#This Row],[Forτa(N)]]/$I$5</f>
        <v>55558211.809705958</v>
      </c>
      <c r="F579" s="1">
        <f>Tabela9[[#This Row],[Tensão(Pa)]]/1000000</f>
        <v>55.558211809705959</v>
      </c>
    </row>
    <row r="580" spans="1:6" x14ac:dyDescent="0.3">
      <c r="A580" s="1">
        <v>61.533000000000001</v>
      </c>
      <c r="B580" s="1">
        <v>5.1201999999999996</v>
      </c>
      <c r="C580" s="1">
        <f>Tabela9[[#This Row],[Alongamento(mm/mm)]]/$I$2</f>
        <v>0.102404</v>
      </c>
      <c r="D580" s="1">
        <v>1757.1</v>
      </c>
      <c r="E580" s="1">
        <f>Tabela9[[#This Row],[Forτa(N)]]/$I$5</f>
        <v>56007650.011953145</v>
      </c>
      <c r="F580" s="1">
        <f>Tabela9[[#This Row],[Tensão(Pa)]]/1000000</f>
        <v>56.007650011953146</v>
      </c>
    </row>
    <row r="581" spans="1:6" x14ac:dyDescent="0.3">
      <c r="A581" s="1">
        <v>61.85</v>
      </c>
      <c r="B581" s="1">
        <v>5.1466000000000003</v>
      </c>
      <c r="C581" s="1">
        <f>Tabela9[[#This Row],[Alongamento(mm/mm)]]/$I$2</f>
        <v>0.10293200000000001</v>
      </c>
      <c r="D581" s="1">
        <v>1770.7</v>
      </c>
      <c r="E581" s="1">
        <f>Tabela9[[#This Row],[Forτa(N)]]/$I$5</f>
        <v>56441150.689297959</v>
      </c>
      <c r="F581" s="1">
        <f>Tabela9[[#This Row],[Tensão(Pa)]]/1000000</f>
        <v>56.441150689297956</v>
      </c>
    </row>
    <row r="582" spans="1:6" x14ac:dyDescent="0.3">
      <c r="A582" s="1">
        <v>62.183</v>
      </c>
      <c r="B582" s="1">
        <v>5.1742999999999997</v>
      </c>
      <c r="C582" s="1">
        <f>Tabela9[[#This Row],[Alongamento(mm/mm)]]/$I$2</f>
        <v>0.10348599999999999</v>
      </c>
      <c r="D582" s="1">
        <v>1784.8</v>
      </c>
      <c r="E582" s="1">
        <f>Tabela9[[#This Row],[Forτa(N)]]/$I$5</f>
        <v>56890588.891545147</v>
      </c>
      <c r="F582" s="1">
        <f>Tabela9[[#This Row],[Tensão(Pa)]]/1000000</f>
        <v>56.89058889154515</v>
      </c>
    </row>
    <row r="583" spans="1:6" x14ac:dyDescent="0.3">
      <c r="A583" s="1">
        <v>62.517000000000003</v>
      </c>
      <c r="B583" s="1">
        <v>5.2020999999999997</v>
      </c>
      <c r="C583" s="1">
        <f>Tabela9[[#This Row],[Alongamento(mm/mm)]]/$I$2</f>
        <v>0.104042</v>
      </c>
      <c r="D583" s="1">
        <v>1799</v>
      </c>
      <c r="E583" s="1">
        <f>Tabela9[[#This Row],[Forτa(N)]]/$I$5</f>
        <v>57343214.598772816</v>
      </c>
      <c r="F583" s="1">
        <f>Tabela9[[#This Row],[Tensão(Pa)]]/1000000</f>
        <v>57.343214598772818</v>
      </c>
    </row>
    <row r="584" spans="1:6" x14ac:dyDescent="0.3">
      <c r="A584" s="1">
        <v>62.85</v>
      </c>
      <c r="B584" s="1">
        <v>5.23</v>
      </c>
      <c r="C584" s="1">
        <f>Tabela9[[#This Row],[Alongamento(mm/mm)]]/$I$2</f>
        <v>0.10460000000000001</v>
      </c>
      <c r="D584" s="1">
        <v>1812.9</v>
      </c>
      <c r="E584" s="1">
        <f>Tabela9[[#This Row],[Forτa(N)]]/$I$5</f>
        <v>57786277.791059054</v>
      </c>
      <c r="F584" s="1">
        <f>Tabela9[[#This Row],[Tensão(Pa)]]/1000000</f>
        <v>57.786277791059057</v>
      </c>
    </row>
    <row r="585" spans="1:6" x14ac:dyDescent="0.3">
      <c r="A585" s="1">
        <v>63.2</v>
      </c>
      <c r="B585" s="1">
        <v>5.2591000000000001</v>
      </c>
      <c r="C585" s="1">
        <f>Tabela9[[#This Row],[Alongamento(mm/mm)]]/$I$2</f>
        <v>0.105182</v>
      </c>
      <c r="D585" s="1">
        <v>1827.4</v>
      </c>
      <c r="E585" s="1">
        <f>Tabela9[[#This Row],[Forτa(N)]]/$I$5</f>
        <v>58248466.013228148</v>
      </c>
      <c r="F585" s="1">
        <f>Tabela9[[#This Row],[Tensão(Pa)]]/1000000</f>
        <v>58.248466013228146</v>
      </c>
    </row>
    <row r="586" spans="1:6" x14ac:dyDescent="0.3">
      <c r="A586" s="1">
        <v>63.533000000000001</v>
      </c>
      <c r="B586" s="1">
        <v>5.2868000000000004</v>
      </c>
      <c r="C586" s="1">
        <f>Tabela9[[#This Row],[Alongamento(mm/mm)]]/$I$2</f>
        <v>0.10573600000000001</v>
      </c>
      <c r="D586" s="1">
        <v>1841.7</v>
      </c>
      <c r="E586" s="1">
        <f>Tabela9[[#This Row],[Forτa(N)]]/$I$5</f>
        <v>58704279.225436293</v>
      </c>
      <c r="F586" s="1">
        <f>Tabela9[[#This Row],[Tensão(Pa)]]/1000000</f>
        <v>58.704279225436295</v>
      </c>
    </row>
    <row r="587" spans="1:6" x14ac:dyDescent="0.3">
      <c r="A587" s="1">
        <v>63.883000000000003</v>
      </c>
      <c r="B587" s="1">
        <v>5.3159999999999998</v>
      </c>
      <c r="C587" s="1">
        <f>Tabela9[[#This Row],[Alongamento(mm/mm)]]/$I$2</f>
        <v>0.10632</v>
      </c>
      <c r="D587" s="1">
        <v>1856.5</v>
      </c>
      <c r="E587" s="1">
        <f>Tabela9[[#This Row],[Forτa(N)]]/$I$5</f>
        <v>59176029.962546818</v>
      </c>
      <c r="F587" s="1">
        <f>Tabela9[[#This Row],[Tensão(Pa)]]/1000000</f>
        <v>59.176029962546821</v>
      </c>
    </row>
    <row r="588" spans="1:6" x14ac:dyDescent="0.3">
      <c r="A588" s="1">
        <v>64.233000000000004</v>
      </c>
      <c r="B588" s="1">
        <v>5.3452000000000002</v>
      </c>
      <c r="C588" s="1">
        <f>Tabela9[[#This Row],[Alongamento(mm/mm)]]/$I$2</f>
        <v>0.106904</v>
      </c>
      <c r="D588" s="1">
        <v>1871.3</v>
      </c>
      <c r="E588" s="1">
        <f>Tabela9[[#This Row],[Forτa(N)]]/$I$5</f>
        <v>59647780.699657343</v>
      </c>
      <c r="F588" s="1">
        <f>Tabela9[[#This Row],[Tensão(Pa)]]/1000000</f>
        <v>59.647780699657346</v>
      </c>
    </row>
    <row r="589" spans="1:6" x14ac:dyDescent="0.3">
      <c r="A589" s="1">
        <v>64.582999999999998</v>
      </c>
      <c r="B589" s="1">
        <v>5.3743999999999996</v>
      </c>
      <c r="C589" s="1">
        <f>Tabela9[[#This Row],[Alongamento(mm/mm)]]/$I$2</f>
        <v>0.10748799999999999</v>
      </c>
      <c r="D589" s="1">
        <v>1885.9</v>
      </c>
      <c r="E589" s="1">
        <f>Tabela9[[#This Row],[Forτa(N)]]/$I$5</f>
        <v>60113156.426806927</v>
      </c>
      <c r="F589" s="1">
        <f>Tabela9[[#This Row],[Tensão(Pa)]]/1000000</f>
        <v>60.113156426806924</v>
      </c>
    </row>
    <row r="590" spans="1:6" x14ac:dyDescent="0.3">
      <c r="A590" s="1">
        <v>64.933000000000007</v>
      </c>
      <c r="B590" s="1">
        <v>5.4035000000000002</v>
      </c>
      <c r="C590" s="1">
        <f>Tabela9[[#This Row],[Alongamento(mm/mm)]]/$I$2</f>
        <v>0.10807</v>
      </c>
      <c r="D590" s="1">
        <v>1900.7</v>
      </c>
      <c r="E590" s="1">
        <f>Tabela9[[#This Row],[Forτa(N)]]/$I$5</f>
        <v>60584907.163917452</v>
      </c>
      <c r="F590" s="1">
        <f>Tabela9[[#This Row],[Tensão(Pa)]]/1000000</f>
        <v>60.58490716391745</v>
      </c>
    </row>
    <row r="591" spans="1:6" x14ac:dyDescent="0.3">
      <c r="A591" s="1">
        <v>65.283000000000001</v>
      </c>
      <c r="B591" s="1">
        <v>5.4325999999999999</v>
      </c>
      <c r="C591" s="1">
        <f>Tabela9[[#This Row],[Alongamento(mm/mm)]]/$I$2</f>
        <v>0.108652</v>
      </c>
      <c r="D591" s="1">
        <v>1915.3</v>
      </c>
      <c r="E591" s="1">
        <f>Tabela9[[#This Row],[Forτa(N)]]/$I$5</f>
        <v>61050282.891067021</v>
      </c>
      <c r="F591" s="1">
        <f>Tabela9[[#This Row],[Tensão(Pa)]]/1000000</f>
        <v>61.05028289106702</v>
      </c>
    </row>
    <row r="592" spans="1:6" x14ac:dyDescent="0.3">
      <c r="A592" s="1">
        <v>65.650000000000006</v>
      </c>
      <c r="B592" s="1">
        <v>5.4631999999999996</v>
      </c>
      <c r="C592" s="1">
        <f>Tabela9[[#This Row],[Alongamento(mm/mm)]]/$I$2</f>
        <v>0.10926399999999999</v>
      </c>
      <c r="D592" s="1">
        <v>1930.5</v>
      </c>
      <c r="E592" s="1">
        <f>Tabela9[[#This Row],[Forτa(N)]]/$I$5</f>
        <v>61534783.648099452</v>
      </c>
      <c r="F592" s="1">
        <f>Tabela9[[#This Row],[Tensão(Pa)]]/1000000</f>
        <v>61.534783648099449</v>
      </c>
    </row>
    <row r="593" spans="1:6" x14ac:dyDescent="0.3">
      <c r="A593" s="1">
        <v>66.033000000000001</v>
      </c>
      <c r="B593" s="1">
        <v>5.4951999999999996</v>
      </c>
      <c r="C593" s="1">
        <f>Tabela9[[#This Row],[Alongamento(mm/mm)]]/$I$2</f>
        <v>0.10990399999999999</v>
      </c>
      <c r="D593" s="1">
        <v>1945.8</v>
      </c>
      <c r="E593" s="1">
        <f>Tabela9[[#This Row],[Forτa(N)]]/$I$5</f>
        <v>62022471.910112359</v>
      </c>
      <c r="F593" s="1">
        <f>Tabela9[[#This Row],[Tensão(Pa)]]/1000000</f>
        <v>62.022471910112358</v>
      </c>
    </row>
    <row r="594" spans="1:6" x14ac:dyDescent="0.3">
      <c r="A594" s="1">
        <v>66.433000000000007</v>
      </c>
      <c r="B594" s="1">
        <v>5.5285000000000002</v>
      </c>
      <c r="C594" s="1">
        <f>Tabela9[[#This Row],[Alongamento(mm/mm)]]/$I$2</f>
        <v>0.11057</v>
      </c>
      <c r="D594" s="1">
        <v>1960.9</v>
      </c>
      <c r="E594" s="1">
        <f>Tabela9[[#This Row],[Forτa(N)]]/$I$5</f>
        <v>62503785.162164323</v>
      </c>
      <c r="F594" s="1">
        <f>Tabela9[[#This Row],[Tensão(Pa)]]/1000000</f>
        <v>62.50378516216432</v>
      </c>
    </row>
    <row r="595" spans="1:6" x14ac:dyDescent="0.3">
      <c r="A595" s="1">
        <v>66.867000000000004</v>
      </c>
      <c r="B595" s="1">
        <v>5.5647000000000002</v>
      </c>
      <c r="C595" s="1">
        <f>Tabela9[[#This Row],[Alongamento(mm/mm)]]/$I$2</f>
        <v>0.111294</v>
      </c>
      <c r="D595" s="1">
        <v>1976.5</v>
      </c>
      <c r="E595" s="1">
        <f>Tabela9[[#This Row],[Forτa(N)]]/$I$5</f>
        <v>63001035.939118661</v>
      </c>
      <c r="F595" s="1">
        <f>Tabela9[[#This Row],[Tensão(Pa)]]/1000000</f>
        <v>63.001035939118658</v>
      </c>
    </row>
    <row r="596" spans="1:6" x14ac:dyDescent="0.3">
      <c r="A596" s="1">
        <v>67.3</v>
      </c>
      <c r="B596" s="1">
        <v>5.6007999999999996</v>
      </c>
      <c r="C596" s="1">
        <f>Tabela9[[#This Row],[Alongamento(mm/mm)]]/$I$2</f>
        <v>0.11201599999999999</v>
      </c>
      <c r="D596" s="1">
        <v>1991.9</v>
      </c>
      <c r="E596" s="1">
        <f>Tabela9[[#This Row],[Forτa(N)]]/$I$5</f>
        <v>63491911.70611205</v>
      </c>
      <c r="F596" s="1">
        <f>Tabela9[[#This Row],[Tensão(Pa)]]/1000000</f>
        <v>63.491911706112049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1BA7-AC04-494B-8BE1-1FC20EA44C61}">
  <dimension ref="A1:K587"/>
  <sheetViews>
    <sheetView workbookViewId="0">
      <selection sqref="A1:K1048576"/>
    </sheetView>
  </sheetViews>
  <sheetFormatPr defaultRowHeight="14.4" x14ac:dyDescent="0.3"/>
  <cols>
    <col min="1" max="1" width="11.33203125" style="1" bestFit="1" customWidth="1"/>
    <col min="2" max="2" width="23.88671875" style="1" bestFit="1" customWidth="1"/>
    <col min="3" max="3" width="22.6640625" bestFit="1" customWidth="1"/>
    <col min="4" max="4" width="10.33203125" style="1" bestFit="1" customWidth="1"/>
    <col min="5" max="5" width="13.5546875" bestFit="1" customWidth="1"/>
    <col min="6" max="6" width="14.44140625" bestFit="1" customWidth="1"/>
    <col min="8" max="8" width="10.33203125" bestFit="1" customWidth="1"/>
    <col min="9" max="9" width="14.88671875" bestFit="1" customWidth="1"/>
    <col min="10" max="10" width="9.5546875" bestFit="1" customWidth="1"/>
    <col min="11" max="11" width="11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0.13333</v>
      </c>
      <c r="B2" s="1">
        <v>5.2112E-3</v>
      </c>
      <c r="C2" s="1">
        <f>Tabela7[[#This Row],[Alongamento(mm/mm)]]/$I$2</f>
        <v>1.04224E-4</v>
      </c>
      <c r="D2" s="1">
        <v>0</v>
      </c>
      <c r="E2" s="1">
        <f>Tabela7[[#This Row],[Forτa(N)]]/$I$5</f>
        <v>0</v>
      </c>
      <c r="F2" s="1">
        <f>Tabela7[[#This Row],[Tensão(Pa)]]/1000000</f>
        <v>0</v>
      </c>
      <c r="H2" t="s">
        <v>10</v>
      </c>
      <c r="I2">
        <v>50</v>
      </c>
      <c r="J2">
        <v>12.82</v>
      </c>
      <c r="K2">
        <v>3.3</v>
      </c>
    </row>
    <row r="3" spans="1:11" x14ac:dyDescent="0.3">
      <c r="A3" s="1">
        <v>9</v>
      </c>
      <c r="B3" s="1">
        <v>0.74278999999999995</v>
      </c>
      <c r="C3" s="1">
        <f>Tabela7[[#This Row],[Alongamento(mm/mm)]]/$I$2</f>
        <v>1.4855799999999999E-2</v>
      </c>
      <c r="D3" s="1">
        <v>4.7628000000000004</v>
      </c>
      <c r="E3" s="1">
        <f>Tabela7[[#This Row],[Forτa(N)]]/$I$5</f>
        <v>151814.48721013629</v>
      </c>
      <c r="F3" s="1">
        <f>Tabela7[[#This Row],[Tensão(Pa)]]/1000000</f>
        <v>0.1518144872101363</v>
      </c>
      <c r="H3" t="s">
        <v>11</v>
      </c>
      <c r="I3">
        <v>0.05</v>
      </c>
      <c r="J3">
        <v>1.3349999999999999E-2</v>
      </c>
      <c r="K3">
        <v>2.3500000000000001E-3</v>
      </c>
    </row>
    <row r="4" spans="1:11" x14ac:dyDescent="0.3">
      <c r="A4" s="1">
        <v>9.0832999999999995</v>
      </c>
      <c r="B4" s="1">
        <v>0.74985999999999997</v>
      </c>
      <c r="C4" s="1">
        <f>Tabela7[[#This Row],[Alongamento(mm/mm)]]/$I$2</f>
        <v>1.4997199999999999E-2</v>
      </c>
      <c r="D4" s="1">
        <v>4.7628000000000004</v>
      </c>
      <c r="E4" s="1">
        <f>Tabela7[[#This Row],[Forτa(N)]]/$I$5</f>
        <v>151814.48721013629</v>
      </c>
      <c r="F4" s="1">
        <f>Tabela7[[#This Row],[Tensão(Pa)]]/1000000</f>
        <v>0.1518144872101363</v>
      </c>
    </row>
    <row r="5" spans="1:11" x14ac:dyDescent="0.3">
      <c r="A5" s="1">
        <v>9.1667000000000005</v>
      </c>
      <c r="B5" s="1">
        <v>0.75683999999999996</v>
      </c>
      <c r="C5" s="1">
        <f>Tabela7[[#This Row],[Alongamento(mm/mm)]]/$I$2</f>
        <v>1.5136799999999999E-2</v>
      </c>
      <c r="D5" s="1">
        <v>4.7628000000000004</v>
      </c>
      <c r="E5" s="1">
        <f>Tabela7[[#This Row],[Forτa(N)]]/$I$5</f>
        <v>151814.48721013629</v>
      </c>
      <c r="F5" s="1">
        <f>Tabela7[[#This Row],[Tensão(Pa)]]/1000000</f>
        <v>0.1518144872101363</v>
      </c>
      <c r="H5" t="s">
        <v>12</v>
      </c>
      <c r="I5">
        <v>3.1372499999999998E-5</v>
      </c>
    </row>
    <row r="6" spans="1:11" x14ac:dyDescent="0.3">
      <c r="A6" s="1">
        <v>9.25</v>
      </c>
      <c r="B6" s="1">
        <v>0.76373000000000002</v>
      </c>
      <c r="C6" s="1">
        <f>Tabela7[[#This Row],[Alongamento(mm/mm)]]/$I$2</f>
        <v>1.5274600000000001E-2</v>
      </c>
      <c r="D6" s="1">
        <v>4.7628000000000004</v>
      </c>
      <c r="E6" s="1">
        <f>Tabela7[[#This Row],[Forτa(N)]]/$I$5</f>
        <v>151814.48721013629</v>
      </c>
      <c r="F6" s="1">
        <f>Tabela7[[#This Row],[Tensão(Pa)]]/1000000</f>
        <v>0.1518144872101363</v>
      </c>
    </row>
    <row r="7" spans="1:11" x14ac:dyDescent="0.3">
      <c r="A7" s="1">
        <v>9.3332999999999995</v>
      </c>
      <c r="B7" s="1">
        <v>0.77071000000000001</v>
      </c>
      <c r="C7" s="1">
        <f>Tabela7[[#This Row],[Alongamento(mm/mm)]]/$I$2</f>
        <v>1.5414199999999999E-2</v>
      </c>
      <c r="D7" s="1">
        <v>4.7628000000000004</v>
      </c>
      <c r="E7" s="1">
        <f>Tabela7[[#This Row],[Forτa(N)]]/$I$5</f>
        <v>151814.48721013629</v>
      </c>
      <c r="F7" s="1">
        <f>Tabela7[[#This Row],[Tensão(Pa)]]/1000000</f>
        <v>0.1518144872101363</v>
      </c>
    </row>
    <row r="8" spans="1:11" x14ac:dyDescent="0.3">
      <c r="A8" s="1">
        <v>9.4167000000000005</v>
      </c>
      <c r="B8" s="1">
        <v>0.77768999999999999</v>
      </c>
      <c r="C8" s="1">
        <f>Tabela7[[#This Row],[Alongamento(mm/mm)]]/$I$2</f>
        <v>1.55538E-2</v>
      </c>
      <c r="D8" s="1">
        <v>4.7628000000000004</v>
      </c>
      <c r="E8" s="1">
        <f>Tabela7[[#This Row],[Forτa(N)]]/$I$5</f>
        <v>151814.48721013629</v>
      </c>
      <c r="F8" s="1">
        <f>Tabela7[[#This Row],[Tensão(Pa)]]/1000000</f>
        <v>0.1518144872101363</v>
      </c>
    </row>
    <row r="9" spans="1:11" x14ac:dyDescent="0.3">
      <c r="A9" s="1">
        <v>9.5</v>
      </c>
      <c r="B9" s="1">
        <v>0.78456999999999999</v>
      </c>
      <c r="C9" s="1">
        <f>Tabela7[[#This Row],[Alongamento(mm/mm)]]/$I$2</f>
        <v>1.5691400000000001E-2</v>
      </c>
      <c r="D9" s="1">
        <v>4.7628000000000004</v>
      </c>
      <c r="E9" s="1">
        <f>Tabela7[[#This Row],[Forτa(N)]]/$I$5</f>
        <v>151814.48721013629</v>
      </c>
      <c r="F9" s="1">
        <f>Tabela7[[#This Row],[Tensão(Pa)]]/1000000</f>
        <v>0.1518144872101363</v>
      </c>
    </row>
    <row r="10" spans="1:11" x14ac:dyDescent="0.3">
      <c r="A10" s="1">
        <v>9.5832999999999995</v>
      </c>
      <c r="B10" s="1">
        <v>0.79154999999999998</v>
      </c>
      <c r="C10" s="1">
        <f>Tabela7[[#This Row],[Alongamento(mm/mm)]]/$I$2</f>
        <v>1.5830999999999998E-2</v>
      </c>
      <c r="D10" s="1">
        <v>4.7628000000000004</v>
      </c>
      <c r="E10" s="1">
        <f>Tabela7[[#This Row],[Forτa(N)]]/$I$5</f>
        <v>151814.48721013629</v>
      </c>
      <c r="F10" s="1">
        <f>Tabela7[[#This Row],[Tensão(Pa)]]/1000000</f>
        <v>0.1518144872101363</v>
      </c>
    </row>
    <row r="11" spans="1:11" x14ac:dyDescent="0.3">
      <c r="A11" s="1">
        <v>9.6667000000000005</v>
      </c>
      <c r="B11" s="1">
        <v>0.79844000000000004</v>
      </c>
      <c r="C11" s="1">
        <f>Tabela7[[#This Row],[Alongamento(mm/mm)]]/$I$2</f>
        <v>1.5968800000000002E-2</v>
      </c>
      <c r="D11" s="1">
        <v>4.7628000000000004</v>
      </c>
      <c r="E11" s="1">
        <f>Tabela7[[#This Row],[Forτa(N)]]/$I$5</f>
        <v>151814.48721013629</v>
      </c>
      <c r="F11" s="1">
        <f>Tabela7[[#This Row],[Tensão(Pa)]]/1000000</f>
        <v>0.1518144872101363</v>
      </c>
    </row>
    <row r="12" spans="1:11" x14ac:dyDescent="0.3">
      <c r="A12" s="1">
        <v>9.75</v>
      </c>
      <c r="B12" s="1">
        <v>0.80532000000000004</v>
      </c>
      <c r="C12" s="1">
        <f>Tabela7[[#This Row],[Alongamento(mm/mm)]]/$I$2</f>
        <v>1.61064E-2</v>
      </c>
      <c r="D12" s="1">
        <v>4.9329000000000001</v>
      </c>
      <c r="E12" s="1">
        <f>Tabela7[[#This Row],[Forτa(N)]]/$I$5</f>
        <v>157236.43318192687</v>
      </c>
      <c r="F12" s="1">
        <f>Tabela7[[#This Row],[Tensão(Pa)]]/1000000</f>
        <v>0.15723643318192687</v>
      </c>
    </row>
    <row r="13" spans="1:11" x14ac:dyDescent="0.3">
      <c r="A13" s="1">
        <v>9.8332999999999995</v>
      </c>
      <c r="B13" s="1">
        <v>0.81240000000000001</v>
      </c>
      <c r="C13" s="1">
        <f>Tabela7[[#This Row],[Alongamento(mm/mm)]]/$I$2</f>
        <v>1.6247999999999999E-2</v>
      </c>
      <c r="D13" s="1">
        <v>4.7628000000000004</v>
      </c>
      <c r="E13" s="1">
        <f>Tabela7[[#This Row],[Forτa(N)]]/$I$5</f>
        <v>151814.48721013629</v>
      </c>
      <c r="F13" s="1">
        <f>Tabela7[[#This Row],[Tensão(Pa)]]/1000000</f>
        <v>0.1518144872101363</v>
      </c>
    </row>
    <row r="14" spans="1:11" x14ac:dyDescent="0.3">
      <c r="A14" s="1">
        <v>9.9167000000000005</v>
      </c>
      <c r="B14" s="1">
        <v>0.81928000000000001</v>
      </c>
      <c r="C14" s="1">
        <f>Tabela7[[#This Row],[Alongamento(mm/mm)]]/$I$2</f>
        <v>1.63856E-2</v>
      </c>
      <c r="D14" s="1">
        <v>4.9329000000000001</v>
      </c>
      <c r="E14" s="1">
        <f>Tabela7[[#This Row],[Forτa(N)]]/$I$5</f>
        <v>157236.43318192687</v>
      </c>
      <c r="F14" s="1">
        <f>Tabela7[[#This Row],[Tensão(Pa)]]/1000000</f>
        <v>0.15723643318192687</v>
      </c>
    </row>
    <row r="15" spans="1:11" x14ac:dyDescent="0.3">
      <c r="A15" s="1">
        <v>10</v>
      </c>
      <c r="B15" s="1">
        <v>0.82625999999999999</v>
      </c>
      <c r="C15" s="1">
        <f>Tabela7[[#This Row],[Alongamento(mm/mm)]]/$I$2</f>
        <v>1.65252E-2</v>
      </c>
      <c r="D15" s="1">
        <v>4.7628000000000004</v>
      </c>
      <c r="E15" s="1">
        <f>Tabela7[[#This Row],[Forτa(N)]]/$I$5</f>
        <v>151814.48721013629</v>
      </c>
      <c r="F15" s="1">
        <f>Tabela7[[#This Row],[Tensão(Pa)]]/1000000</f>
        <v>0.1518144872101363</v>
      </c>
    </row>
    <row r="16" spans="1:11" x14ac:dyDescent="0.3">
      <c r="A16" s="1">
        <v>10.083</v>
      </c>
      <c r="B16" s="1">
        <v>0.83314999999999995</v>
      </c>
      <c r="C16" s="1">
        <f>Tabela7[[#This Row],[Alongamento(mm/mm)]]/$I$2</f>
        <v>1.6662999999999997E-2</v>
      </c>
      <c r="D16" s="1">
        <v>4.7628000000000004</v>
      </c>
      <c r="E16" s="1">
        <f>Tabela7[[#This Row],[Forτa(N)]]/$I$5</f>
        <v>151814.48721013629</v>
      </c>
      <c r="F16" s="1">
        <f>Tabela7[[#This Row],[Tensão(Pa)]]/1000000</f>
        <v>0.1518144872101363</v>
      </c>
    </row>
    <row r="17" spans="1:6" x14ac:dyDescent="0.3">
      <c r="A17" s="1">
        <v>10.167</v>
      </c>
      <c r="B17" s="1">
        <v>0.84013000000000004</v>
      </c>
      <c r="C17" s="1">
        <f>Tabela7[[#This Row],[Alongamento(mm/mm)]]/$I$2</f>
        <v>1.6802600000000001E-2</v>
      </c>
      <c r="D17" s="1">
        <v>4.7628000000000004</v>
      </c>
      <c r="E17" s="1">
        <f>Tabela7[[#This Row],[Forτa(N)]]/$I$5</f>
        <v>151814.48721013629</v>
      </c>
      <c r="F17" s="1">
        <f>Tabela7[[#This Row],[Tensão(Pa)]]/1000000</f>
        <v>0.1518144872101363</v>
      </c>
    </row>
    <row r="18" spans="1:6" x14ac:dyDescent="0.3">
      <c r="A18" s="1">
        <v>10.25</v>
      </c>
      <c r="B18" s="1">
        <v>0.84701000000000004</v>
      </c>
      <c r="C18" s="1">
        <f>Tabela7[[#This Row],[Alongamento(mm/mm)]]/$I$2</f>
        <v>1.6940200000000002E-2</v>
      </c>
      <c r="D18" s="1">
        <v>4.7628000000000004</v>
      </c>
      <c r="E18" s="1">
        <f>Tabela7[[#This Row],[Forτa(N)]]/$I$5</f>
        <v>151814.48721013629</v>
      </c>
      <c r="F18" s="1">
        <f>Tabela7[[#This Row],[Tensão(Pa)]]/1000000</f>
        <v>0.1518144872101363</v>
      </c>
    </row>
    <row r="19" spans="1:6" x14ac:dyDescent="0.3">
      <c r="A19" s="1">
        <v>10.333</v>
      </c>
      <c r="B19" s="1">
        <v>0.85399000000000003</v>
      </c>
      <c r="C19" s="1">
        <f>Tabela7[[#This Row],[Alongamento(mm/mm)]]/$I$2</f>
        <v>1.7079799999999999E-2</v>
      </c>
      <c r="D19" s="1">
        <v>4.7628000000000004</v>
      </c>
      <c r="E19" s="1">
        <f>Tabela7[[#This Row],[Forτa(N)]]/$I$5</f>
        <v>151814.48721013629</v>
      </c>
      <c r="F19" s="1">
        <f>Tabela7[[#This Row],[Tensão(Pa)]]/1000000</f>
        <v>0.1518144872101363</v>
      </c>
    </row>
    <row r="20" spans="1:6" x14ac:dyDescent="0.3">
      <c r="A20" s="1">
        <v>10.417</v>
      </c>
      <c r="B20" s="1">
        <v>0.86097000000000001</v>
      </c>
      <c r="C20" s="1">
        <f>Tabela7[[#This Row],[Alongamento(mm/mm)]]/$I$2</f>
        <v>1.7219399999999999E-2</v>
      </c>
      <c r="D20" s="1">
        <v>4.7628000000000004</v>
      </c>
      <c r="E20" s="1">
        <f>Tabela7[[#This Row],[Forτa(N)]]/$I$5</f>
        <v>151814.48721013629</v>
      </c>
      <c r="F20" s="1">
        <f>Tabela7[[#This Row],[Tensão(Pa)]]/1000000</f>
        <v>0.1518144872101363</v>
      </c>
    </row>
    <row r="21" spans="1:6" x14ac:dyDescent="0.3">
      <c r="A21" s="1">
        <v>10.5</v>
      </c>
      <c r="B21" s="1">
        <v>0.86785999999999996</v>
      </c>
      <c r="C21" s="1">
        <f>Tabela7[[#This Row],[Alongamento(mm/mm)]]/$I$2</f>
        <v>1.73572E-2</v>
      </c>
      <c r="D21" s="1">
        <v>4.7628000000000004</v>
      </c>
      <c r="E21" s="1">
        <f>Tabela7[[#This Row],[Forτa(N)]]/$I$5</f>
        <v>151814.48721013629</v>
      </c>
      <c r="F21" s="1">
        <f>Tabela7[[#This Row],[Tensão(Pa)]]/1000000</f>
        <v>0.1518144872101363</v>
      </c>
    </row>
    <row r="22" spans="1:6" x14ac:dyDescent="0.3">
      <c r="A22" s="1">
        <v>10.583</v>
      </c>
      <c r="B22" s="1">
        <v>0.87483999999999995</v>
      </c>
      <c r="C22" s="1">
        <f>Tabela7[[#This Row],[Alongamento(mm/mm)]]/$I$2</f>
        <v>1.74968E-2</v>
      </c>
      <c r="D22" s="1">
        <v>4.9329000000000001</v>
      </c>
      <c r="E22" s="1">
        <f>Tabela7[[#This Row],[Forτa(N)]]/$I$5</f>
        <v>157236.43318192687</v>
      </c>
      <c r="F22" s="1">
        <f>Tabela7[[#This Row],[Tensão(Pa)]]/1000000</f>
        <v>0.15723643318192687</v>
      </c>
    </row>
    <row r="23" spans="1:6" x14ac:dyDescent="0.3">
      <c r="A23" s="1">
        <v>10.667</v>
      </c>
      <c r="B23" s="1">
        <v>0.88171999999999995</v>
      </c>
      <c r="C23" s="1">
        <f>Tabela7[[#This Row],[Alongamento(mm/mm)]]/$I$2</f>
        <v>1.7634399999999998E-2</v>
      </c>
      <c r="D23" s="1">
        <v>4.9329000000000001</v>
      </c>
      <c r="E23" s="1">
        <f>Tabela7[[#This Row],[Forτa(N)]]/$I$5</f>
        <v>157236.43318192687</v>
      </c>
      <c r="F23" s="1">
        <f>Tabela7[[#This Row],[Tensão(Pa)]]/1000000</f>
        <v>0.15723643318192687</v>
      </c>
    </row>
    <row r="24" spans="1:6" x14ac:dyDescent="0.3">
      <c r="A24" s="1">
        <v>10.75</v>
      </c>
      <c r="B24" s="1">
        <v>0.88870000000000005</v>
      </c>
      <c r="C24" s="1">
        <f>Tabela7[[#This Row],[Alongamento(mm/mm)]]/$I$2</f>
        <v>1.7774000000000002E-2</v>
      </c>
      <c r="D24" s="1">
        <v>4.9329000000000001</v>
      </c>
      <c r="E24" s="1">
        <f>Tabela7[[#This Row],[Forτa(N)]]/$I$5</f>
        <v>157236.43318192687</v>
      </c>
      <c r="F24" s="1">
        <f>Tabela7[[#This Row],[Tensão(Pa)]]/1000000</f>
        <v>0.15723643318192687</v>
      </c>
    </row>
    <row r="25" spans="1:6" x14ac:dyDescent="0.3">
      <c r="A25" s="1">
        <v>10.833</v>
      </c>
      <c r="B25" s="1">
        <v>0.89568000000000003</v>
      </c>
      <c r="C25" s="1">
        <f>Tabela7[[#This Row],[Alongamento(mm/mm)]]/$I$2</f>
        <v>1.7913600000000002E-2</v>
      </c>
      <c r="D25" s="1">
        <v>4.9329000000000001</v>
      </c>
      <c r="E25" s="1">
        <f>Tabela7[[#This Row],[Forτa(N)]]/$I$5</f>
        <v>157236.43318192687</v>
      </c>
      <c r="F25" s="1">
        <f>Tabela7[[#This Row],[Tensão(Pa)]]/1000000</f>
        <v>0.15723643318192687</v>
      </c>
    </row>
    <row r="26" spans="1:6" x14ac:dyDescent="0.3">
      <c r="A26" s="1">
        <v>10.917</v>
      </c>
      <c r="B26" s="1">
        <v>0.90266000000000002</v>
      </c>
      <c r="C26" s="1">
        <f>Tabela7[[#This Row],[Alongamento(mm/mm)]]/$I$2</f>
        <v>1.8053200000000002E-2</v>
      </c>
      <c r="D26" s="1">
        <v>5.1029999999999998</v>
      </c>
      <c r="E26" s="1">
        <f>Tabela7[[#This Row],[Forτa(N)]]/$I$5</f>
        <v>162658.37915371743</v>
      </c>
      <c r="F26" s="1">
        <f>Tabela7[[#This Row],[Tensão(Pa)]]/1000000</f>
        <v>0.16265837915371742</v>
      </c>
    </row>
    <row r="27" spans="1:6" x14ac:dyDescent="0.3">
      <c r="A27" s="1">
        <v>11</v>
      </c>
      <c r="B27" s="1">
        <v>0.90964</v>
      </c>
      <c r="C27" s="1">
        <f>Tabela7[[#This Row],[Alongamento(mm/mm)]]/$I$2</f>
        <v>1.8192799999999999E-2</v>
      </c>
      <c r="D27" s="1">
        <v>5.1029999999999998</v>
      </c>
      <c r="E27" s="1">
        <f>Tabela7[[#This Row],[Forτa(N)]]/$I$5</f>
        <v>162658.37915371743</v>
      </c>
      <c r="F27" s="1">
        <f>Tabela7[[#This Row],[Tensão(Pa)]]/1000000</f>
        <v>0.16265837915371742</v>
      </c>
    </row>
    <row r="28" spans="1:6" x14ac:dyDescent="0.3">
      <c r="A28" s="1">
        <v>11.1</v>
      </c>
      <c r="B28" s="1">
        <v>0.91791999999999996</v>
      </c>
      <c r="C28" s="1">
        <f>Tabela7[[#This Row],[Alongamento(mm/mm)]]/$I$2</f>
        <v>1.83584E-2</v>
      </c>
      <c r="D28" s="1">
        <v>5.4432</v>
      </c>
      <c r="E28" s="1">
        <f>Tabela7[[#This Row],[Forτa(N)]]/$I$5</f>
        <v>173502.2710972986</v>
      </c>
      <c r="F28" s="1">
        <f>Tabela7[[#This Row],[Tensão(Pa)]]/1000000</f>
        <v>0.1735022710972986</v>
      </c>
    </row>
    <row r="29" spans="1:6" x14ac:dyDescent="0.3">
      <c r="A29" s="1">
        <v>11.2</v>
      </c>
      <c r="B29" s="1">
        <v>0.92620999999999998</v>
      </c>
      <c r="C29" s="1">
        <f>Tabela7[[#This Row],[Alongamento(mm/mm)]]/$I$2</f>
        <v>1.8524200000000001E-2</v>
      </c>
      <c r="D29" s="1">
        <v>5.9535</v>
      </c>
      <c r="E29" s="1">
        <f>Tabela7[[#This Row],[Forτa(N)]]/$I$5</f>
        <v>189768.10901267035</v>
      </c>
      <c r="F29" s="1">
        <f>Tabela7[[#This Row],[Tensão(Pa)]]/1000000</f>
        <v>0.18976810901267036</v>
      </c>
    </row>
    <row r="30" spans="1:6" x14ac:dyDescent="0.3">
      <c r="A30" s="1">
        <v>11.3</v>
      </c>
      <c r="B30" s="1">
        <v>0.93457999999999997</v>
      </c>
      <c r="C30" s="1">
        <f>Tabela7[[#This Row],[Alongamento(mm/mm)]]/$I$2</f>
        <v>1.8691599999999999E-2</v>
      </c>
      <c r="D30" s="1">
        <v>6.6338999999999997</v>
      </c>
      <c r="E30" s="1">
        <f>Tabela7[[#This Row],[Forτa(N)]]/$I$5</f>
        <v>211455.89289983266</v>
      </c>
      <c r="F30" s="1">
        <f>Tabela7[[#This Row],[Tensão(Pa)]]/1000000</f>
        <v>0.21145589289983266</v>
      </c>
    </row>
    <row r="31" spans="1:6" x14ac:dyDescent="0.3">
      <c r="A31" s="1">
        <v>11.4</v>
      </c>
      <c r="B31" s="1">
        <v>0.94296000000000002</v>
      </c>
      <c r="C31" s="1">
        <f>Tabela7[[#This Row],[Alongamento(mm/mm)]]/$I$2</f>
        <v>1.88592E-2</v>
      </c>
      <c r="D31" s="1">
        <v>6.8040000000000003</v>
      </c>
      <c r="E31" s="1">
        <f>Tabela7[[#This Row],[Forτa(N)]]/$I$5</f>
        <v>216877.83887162324</v>
      </c>
      <c r="F31" s="1">
        <f>Tabela7[[#This Row],[Tensão(Pa)]]/1000000</f>
        <v>0.21687783887162324</v>
      </c>
    </row>
    <row r="32" spans="1:6" x14ac:dyDescent="0.3">
      <c r="A32" s="1">
        <v>11.5</v>
      </c>
      <c r="B32" s="1">
        <v>0.95123999999999997</v>
      </c>
      <c r="C32" s="1">
        <f>Tabela7[[#This Row],[Alongamento(mm/mm)]]/$I$2</f>
        <v>1.9024799999999998E-2</v>
      </c>
      <c r="D32" s="1">
        <v>6.9741</v>
      </c>
      <c r="E32" s="1">
        <f>Tabela7[[#This Row],[Forτa(N)]]/$I$5</f>
        <v>222299.78484341383</v>
      </c>
      <c r="F32" s="1">
        <f>Tabela7[[#This Row],[Tensão(Pa)]]/1000000</f>
        <v>0.22229978484341384</v>
      </c>
    </row>
    <row r="33" spans="1:6" x14ac:dyDescent="0.3">
      <c r="A33" s="1">
        <v>11.6</v>
      </c>
      <c r="B33" s="1">
        <v>0.95952000000000004</v>
      </c>
      <c r="C33" s="1">
        <f>Tabela7[[#This Row],[Alongamento(mm/mm)]]/$I$2</f>
        <v>1.91904E-2</v>
      </c>
      <c r="D33" s="1">
        <v>6.9741</v>
      </c>
      <c r="E33" s="1">
        <f>Tabela7[[#This Row],[Forτa(N)]]/$I$5</f>
        <v>222299.78484341383</v>
      </c>
      <c r="F33" s="1">
        <f>Tabela7[[#This Row],[Tensão(Pa)]]/1000000</f>
        <v>0.22229978484341384</v>
      </c>
    </row>
    <row r="34" spans="1:6" x14ac:dyDescent="0.3">
      <c r="A34" s="1">
        <v>11.7</v>
      </c>
      <c r="B34" s="1">
        <v>0.96789999999999998</v>
      </c>
      <c r="C34" s="1">
        <f>Tabela7[[#This Row],[Alongamento(mm/mm)]]/$I$2</f>
        <v>1.9358E-2</v>
      </c>
      <c r="D34" s="1">
        <v>6.9741</v>
      </c>
      <c r="E34" s="1">
        <f>Tabela7[[#This Row],[Forτa(N)]]/$I$5</f>
        <v>222299.78484341383</v>
      </c>
      <c r="F34" s="1">
        <f>Tabela7[[#This Row],[Tensão(Pa)]]/1000000</f>
        <v>0.22229978484341384</v>
      </c>
    </row>
    <row r="35" spans="1:6" x14ac:dyDescent="0.3">
      <c r="A35" s="1">
        <v>11.8</v>
      </c>
      <c r="B35" s="1">
        <v>0.97618000000000005</v>
      </c>
      <c r="C35" s="1">
        <f>Tabela7[[#This Row],[Alongamento(mm/mm)]]/$I$2</f>
        <v>1.9523600000000002E-2</v>
      </c>
      <c r="D35" s="1">
        <v>6.9741</v>
      </c>
      <c r="E35" s="1">
        <f>Tabela7[[#This Row],[Forτa(N)]]/$I$5</f>
        <v>222299.78484341383</v>
      </c>
      <c r="F35" s="1">
        <f>Tabela7[[#This Row],[Tensão(Pa)]]/1000000</f>
        <v>0.22229978484341384</v>
      </c>
    </row>
    <row r="36" spans="1:6" x14ac:dyDescent="0.3">
      <c r="A36" s="1">
        <v>11.9</v>
      </c>
      <c r="B36" s="1">
        <v>0.98455000000000004</v>
      </c>
      <c r="C36" s="1">
        <f>Tabela7[[#This Row],[Alongamento(mm/mm)]]/$I$2</f>
        <v>1.9691E-2</v>
      </c>
      <c r="D36" s="1">
        <v>6.9741</v>
      </c>
      <c r="E36" s="1">
        <f>Tabela7[[#This Row],[Forτa(N)]]/$I$5</f>
        <v>222299.78484341383</v>
      </c>
      <c r="F36" s="1">
        <f>Tabela7[[#This Row],[Tensão(Pa)]]/1000000</f>
        <v>0.22229978484341384</v>
      </c>
    </row>
    <row r="37" spans="1:6" x14ac:dyDescent="0.3">
      <c r="A37" s="1">
        <v>12</v>
      </c>
      <c r="B37" s="1">
        <v>0.99292999999999998</v>
      </c>
      <c r="C37" s="1">
        <f>Tabela7[[#This Row],[Alongamento(mm/mm)]]/$I$2</f>
        <v>1.9858600000000001E-2</v>
      </c>
      <c r="D37" s="1">
        <v>6.9741</v>
      </c>
      <c r="E37" s="1">
        <f>Tabela7[[#This Row],[Forτa(N)]]/$I$5</f>
        <v>222299.78484341383</v>
      </c>
      <c r="F37" s="1">
        <f>Tabela7[[#This Row],[Tensão(Pa)]]/1000000</f>
        <v>0.22229978484341384</v>
      </c>
    </row>
    <row r="38" spans="1:6" x14ac:dyDescent="0.3">
      <c r="A38" s="1">
        <v>12.1</v>
      </c>
      <c r="B38" s="1">
        <v>1.0012000000000001</v>
      </c>
      <c r="C38" s="1">
        <f>Tabela7[[#This Row],[Alongamento(mm/mm)]]/$I$2</f>
        <v>2.0024E-2</v>
      </c>
      <c r="D38" s="1">
        <v>6.9741</v>
      </c>
      <c r="E38" s="1">
        <f>Tabela7[[#This Row],[Forτa(N)]]/$I$5</f>
        <v>222299.78484341383</v>
      </c>
      <c r="F38" s="1">
        <f>Tabela7[[#This Row],[Tensão(Pa)]]/1000000</f>
        <v>0.22229978484341384</v>
      </c>
    </row>
    <row r="39" spans="1:6" x14ac:dyDescent="0.3">
      <c r="A39" s="1">
        <v>12.2</v>
      </c>
      <c r="B39" s="1">
        <v>1.0096000000000001</v>
      </c>
      <c r="C39" s="1">
        <f>Tabela7[[#This Row],[Alongamento(mm/mm)]]/$I$2</f>
        <v>2.0192000000000002E-2</v>
      </c>
      <c r="D39" s="1">
        <v>6.9741</v>
      </c>
      <c r="E39" s="1">
        <f>Tabela7[[#This Row],[Forτa(N)]]/$I$5</f>
        <v>222299.78484341383</v>
      </c>
      <c r="F39" s="1">
        <f>Tabela7[[#This Row],[Tensão(Pa)]]/1000000</f>
        <v>0.22229978484341384</v>
      </c>
    </row>
    <row r="40" spans="1:6" x14ac:dyDescent="0.3">
      <c r="A40" s="1">
        <v>12.3</v>
      </c>
      <c r="B40" s="1">
        <v>1.0179</v>
      </c>
      <c r="C40" s="1">
        <f>Tabela7[[#This Row],[Alongamento(mm/mm)]]/$I$2</f>
        <v>2.0358000000000001E-2</v>
      </c>
      <c r="D40" s="1">
        <v>6.9741</v>
      </c>
      <c r="E40" s="1">
        <f>Tabela7[[#This Row],[Forτa(N)]]/$I$5</f>
        <v>222299.78484341383</v>
      </c>
      <c r="F40" s="1">
        <f>Tabela7[[#This Row],[Tensão(Pa)]]/1000000</f>
        <v>0.22229978484341384</v>
      </c>
    </row>
    <row r="41" spans="1:6" x14ac:dyDescent="0.3">
      <c r="A41" s="1">
        <v>12.4</v>
      </c>
      <c r="B41" s="1">
        <v>1.0262</v>
      </c>
      <c r="C41" s="1">
        <f>Tabela7[[#This Row],[Alongamento(mm/mm)]]/$I$2</f>
        <v>2.0524000000000001E-2</v>
      </c>
      <c r="D41" s="1">
        <v>7.1441999999999997</v>
      </c>
      <c r="E41" s="1">
        <f>Tabela7[[#This Row],[Forτa(N)]]/$I$5</f>
        <v>227721.73081520441</v>
      </c>
      <c r="F41" s="1">
        <f>Tabela7[[#This Row],[Tensão(Pa)]]/1000000</f>
        <v>0.22772173081520442</v>
      </c>
    </row>
    <row r="42" spans="1:6" x14ac:dyDescent="0.3">
      <c r="A42" s="1">
        <v>12.5</v>
      </c>
      <c r="B42" s="1">
        <v>1.0346</v>
      </c>
      <c r="C42" s="1">
        <f>Tabela7[[#This Row],[Alongamento(mm/mm)]]/$I$2</f>
        <v>2.0691999999999999E-2</v>
      </c>
      <c r="D42" s="1">
        <v>6.9741</v>
      </c>
      <c r="E42" s="1">
        <f>Tabela7[[#This Row],[Forτa(N)]]/$I$5</f>
        <v>222299.78484341383</v>
      </c>
      <c r="F42" s="1">
        <f>Tabela7[[#This Row],[Tensão(Pa)]]/1000000</f>
        <v>0.22229978484341384</v>
      </c>
    </row>
    <row r="43" spans="1:6" x14ac:dyDescent="0.3">
      <c r="A43" s="1">
        <v>12.6</v>
      </c>
      <c r="B43" s="1">
        <v>1.0428999999999999</v>
      </c>
      <c r="C43" s="1">
        <f>Tabela7[[#This Row],[Alongamento(mm/mm)]]/$I$2</f>
        <v>2.0857999999999998E-2</v>
      </c>
      <c r="D43" s="1">
        <v>7.1441999999999997</v>
      </c>
      <c r="E43" s="1">
        <f>Tabela7[[#This Row],[Forτa(N)]]/$I$5</f>
        <v>227721.73081520441</v>
      </c>
      <c r="F43" s="1">
        <f>Tabela7[[#This Row],[Tensão(Pa)]]/1000000</f>
        <v>0.22772173081520442</v>
      </c>
    </row>
    <row r="44" spans="1:6" x14ac:dyDescent="0.3">
      <c r="A44" s="1">
        <v>12.7</v>
      </c>
      <c r="B44" s="1">
        <v>1.0512999999999999</v>
      </c>
      <c r="C44" s="1">
        <f>Tabela7[[#This Row],[Alongamento(mm/mm)]]/$I$2</f>
        <v>2.1026E-2</v>
      </c>
      <c r="D44" s="1">
        <v>7.1441999999999997</v>
      </c>
      <c r="E44" s="1">
        <f>Tabela7[[#This Row],[Forτa(N)]]/$I$5</f>
        <v>227721.73081520441</v>
      </c>
      <c r="F44" s="1">
        <f>Tabela7[[#This Row],[Tensão(Pa)]]/1000000</f>
        <v>0.22772173081520442</v>
      </c>
    </row>
    <row r="45" spans="1:6" x14ac:dyDescent="0.3">
      <c r="A45" s="1">
        <v>12.8</v>
      </c>
      <c r="B45" s="1">
        <v>1.0596000000000001</v>
      </c>
      <c r="C45" s="1">
        <f>Tabela7[[#This Row],[Alongamento(mm/mm)]]/$I$2</f>
        <v>2.1192000000000003E-2</v>
      </c>
      <c r="D45" s="1">
        <v>7.1441999999999997</v>
      </c>
      <c r="E45" s="1">
        <f>Tabela7[[#This Row],[Forτa(N)]]/$I$5</f>
        <v>227721.73081520441</v>
      </c>
      <c r="F45" s="1">
        <f>Tabela7[[#This Row],[Tensão(Pa)]]/1000000</f>
        <v>0.22772173081520442</v>
      </c>
    </row>
    <row r="46" spans="1:6" x14ac:dyDescent="0.3">
      <c r="A46" s="1">
        <v>12.9</v>
      </c>
      <c r="B46" s="1">
        <v>1.0678000000000001</v>
      </c>
      <c r="C46" s="1">
        <f>Tabela7[[#This Row],[Alongamento(mm/mm)]]/$I$2</f>
        <v>2.1356E-2</v>
      </c>
      <c r="D46" s="1">
        <v>7.1441999999999997</v>
      </c>
      <c r="E46" s="1">
        <f>Tabela7[[#This Row],[Forτa(N)]]/$I$5</f>
        <v>227721.73081520441</v>
      </c>
      <c r="F46" s="1">
        <f>Tabela7[[#This Row],[Tensão(Pa)]]/1000000</f>
        <v>0.22772173081520442</v>
      </c>
    </row>
    <row r="47" spans="1:6" x14ac:dyDescent="0.3">
      <c r="A47" s="1">
        <v>13</v>
      </c>
      <c r="B47" s="1">
        <v>1.0762</v>
      </c>
      <c r="C47" s="1">
        <f>Tabela7[[#This Row],[Alongamento(mm/mm)]]/$I$2</f>
        <v>2.1524000000000001E-2</v>
      </c>
      <c r="D47" s="1">
        <v>7.1441999999999997</v>
      </c>
      <c r="E47" s="1">
        <f>Tabela7[[#This Row],[Forτa(N)]]/$I$5</f>
        <v>227721.73081520441</v>
      </c>
      <c r="F47" s="1">
        <f>Tabela7[[#This Row],[Tensão(Pa)]]/1000000</f>
        <v>0.22772173081520442</v>
      </c>
    </row>
    <row r="48" spans="1:6" x14ac:dyDescent="0.3">
      <c r="A48" s="1">
        <v>13.117000000000001</v>
      </c>
      <c r="B48" s="1">
        <v>1.0860000000000001</v>
      </c>
      <c r="C48" s="1">
        <f>Tabela7[[#This Row],[Alongamento(mm/mm)]]/$I$2</f>
        <v>2.1720000000000003E-2</v>
      </c>
      <c r="D48" s="1">
        <v>7.1441999999999997</v>
      </c>
      <c r="E48" s="1">
        <f>Tabela7[[#This Row],[Forτa(N)]]/$I$5</f>
        <v>227721.73081520441</v>
      </c>
      <c r="F48" s="1">
        <f>Tabela7[[#This Row],[Tensão(Pa)]]/1000000</f>
        <v>0.22772173081520442</v>
      </c>
    </row>
    <row r="49" spans="1:6" x14ac:dyDescent="0.3">
      <c r="A49" s="1">
        <v>13.233000000000001</v>
      </c>
      <c r="B49" s="1">
        <v>1.0958000000000001</v>
      </c>
      <c r="C49" s="1">
        <f>Tabela7[[#This Row],[Alongamento(mm/mm)]]/$I$2</f>
        <v>2.1916000000000001E-2</v>
      </c>
      <c r="D49" s="1">
        <v>7.1441999999999997</v>
      </c>
      <c r="E49" s="1">
        <f>Tabela7[[#This Row],[Forτa(N)]]/$I$5</f>
        <v>227721.73081520441</v>
      </c>
      <c r="F49" s="1">
        <f>Tabela7[[#This Row],[Tensão(Pa)]]/1000000</f>
        <v>0.22772173081520442</v>
      </c>
    </row>
    <row r="50" spans="1:6" x14ac:dyDescent="0.3">
      <c r="A50" s="1">
        <v>13.35</v>
      </c>
      <c r="B50" s="1">
        <v>1.1052999999999999</v>
      </c>
      <c r="C50" s="1">
        <f>Tabela7[[#This Row],[Alongamento(mm/mm)]]/$I$2</f>
        <v>2.2106000000000001E-2</v>
      </c>
      <c r="D50" s="1">
        <v>7.1441999999999997</v>
      </c>
      <c r="E50" s="1">
        <f>Tabela7[[#This Row],[Forτa(N)]]/$I$5</f>
        <v>227721.73081520441</v>
      </c>
      <c r="F50" s="1">
        <f>Tabela7[[#This Row],[Tensão(Pa)]]/1000000</f>
        <v>0.22772173081520442</v>
      </c>
    </row>
    <row r="51" spans="1:6" x14ac:dyDescent="0.3">
      <c r="A51" s="1">
        <v>13.467000000000001</v>
      </c>
      <c r="B51" s="1">
        <v>1.115</v>
      </c>
      <c r="C51" s="1">
        <f>Tabela7[[#This Row],[Alongamento(mm/mm)]]/$I$2</f>
        <v>2.23E-2</v>
      </c>
      <c r="D51" s="1">
        <v>7.1441999999999997</v>
      </c>
      <c r="E51" s="1">
        <f>Tabela7[[#This Row],[Forτa(N)]]/$I$5</f>
        <v>227721.73081520441</v>
      </c>
      <c r="F51" s="1">
        <f>Tabela7[[#This Row],[Tensão(Pa)]]/1000000</f>
        <v>0.22772173081520442</v>
      </c>
    </row>
    <row r="52" spans="1:6" x14ac:dyDescent="0.3">
      <c r="A52" s="1">
        <v>13.583</v>
      </c>
      <c r="B52" s="1">
        <v>1.1248</v>
      </c>
      <c r="C52" s="1">
        <f>Tabela7[[#This Row],[Alongamento(mm/mm)]]/$I$2</f>
        <v>2.2496000000000002E-2</v>
      </c>
      <c r="D52" s="1">
        <v>7.1441999999999997</v>
      </c>
      <c r="E52" s="1">
        <f>Tabela7[[#This Row],[Forτa(N)]]/$I$5</f>
        <v>227721.73081520441</v>
      </c>
      <c r="F52" s="1">
        <f>Tabela7[[#This Row],[Tensão(Pa)]]/1000000</f>
        <v>0.22772173081520442</v>
      </c>
    </row>
    <row r="53" spans="1:6" x14ac:dyDescent="0.3">
      <c r="A53" s="1">
        <v>13.7</v>
      </c>
      <c r="B53" s="1">
        <v>1.1346000000000001</v>
      </c>
      <c r="C53" s="1">
        <f>Tabela7[[#This Row],[Alongamento(mm/mm)]]/$I$2</f>
        <v>2.2692E-2</v>
      </c>
      <c r="D53" s="1">
        <v>7.1441999999999997</v>
      </c>
      <c r="E53" s="1">
        <f>Tabela7[[#This Row],[Forτa(N)]]/$I$5</f>
        <v>227721.73081520441</v>
      </c>
      <c r="F53" s="1">
        <f>Tabela7[[#This Row],[Tensão(Pa)]]/1000000</f>
        <v>0.22772173081520442</v>
      </c>
    </row>
    <row r="54" spans="1:6" x14ac:dyDescent="0.3">
      <c r="A54" s="1">
        <v>13.817</v>
      </c>
      <c r="B54" s="1">
        <v>1.1443000000000001</v>
      </c>
      <c r="C54" s="1">
        <f>Tabela7[[#This Row],[Alongamento(mm/mm)]]/$I$2</f>
        <v>2.2886000000000004E-2</v>
      </c>
      <c r="D54" s="1">
        <v>7.1441999999999997</v>
      </c>
      <c r="E54" s="1">
        <f>Tabela7[[#This Row],[Forτa(N)]]/$I$5</f>
        <v>227721.73081520441</v>
      </c>
      <c r="F54" s="1">
        <f>Tabela7[[#This Row],[Tensão(Pa)]]/1000000</f>
        <v>0.22772173081520442</v>
      </c>
    </row>
    <row r="55" spans="1:6" x14ac:dyDescent="0.3">
      <c r="A55" s="1">
        <v>13.933</v>
      </c>
      <c r="B55" s="1">
        <v>1.1539999999999999</v>
      </c>
      <c r="C55" s="1">
        <f>Tabela7[[#This Row],[Alongamento(mm/mm)]]/$I$2</f>
        <v>2.308E-2</v>
      </c>
      <c r="D55" s="1">
        <v>7.1441999999999997</v>
      </c>
      <c r="E55" s="1">
        <f>Tabela7[[#This Row],[Forτa(N)]]/$I$5</f>
        <v>227721.73081520441</v>
      </c>
      <c r="F55" s="1">
        <f>Tabela7[[#This Row],[Tensão(Pa)]]/1000000</f>
        <v>0.22772173081520442</v>
      </c>
    </row>
    <row r="56" spans="1:6" x14ac:dyDescent="0.3">
      <c r="A56" s="1">
        <v>14.05</v>
      </c>
      <c r="B56" s="1">
        <v>1.1637999999999999</v>
      </c>
      <c r="C56" s="1">
        <f>Tabela7[[#This Row],[Alongamento(mm/mm)]]/$I$2</f>
        <v>2.3275999999999998E-2</v>
      </c>
      <c r="D56" s="1">
        <v>7.3141999999999996</v>
      </c>
      <c r="E56" s="1">
        <f>Tabela7[[#This Row],[Forτa(N)]]/$I$5</f>
        <v>233140.48928201452</v>
      </c>
      <c r="F56" s="1">
        <f>Tabela7[[#This Row],[Tensão(Pa)]]/1000000</f>
        <v>0.23314048928201453</v>
      </c>
    </row>
    <row r="57" spans="1:6" x14ac:dyDescent="0.3">
      <c r="A57" s="1">
        <v>14.167</v>
      </c>
      <c r="B57" s="1">
        <v>1.1735</v>
      </c>
      <c r="C57" s="1">
        <f>Tabela7[[#This Row],[Alongamento(mm/mm)]]/$I$2</f>
        <v>2.3470000000000001E-2</v>
      </c>
      <c r="D57" s="1">
        <v>7.3141999999999996</v>
      </c>
      <c r="E57" s="1">
        <f>Tabela7[[#This Row],[Forτa(N)]]/$I$5</f>
        <v>233140.48928201452</v>
      </c>
      <c r="F57" s="1">
        <f>Tabela7[[#This Row],[Tensão(Pa)]]/1000000</f>
        <v>0.23314048928201453</v>
      </c>
    </row>
    <row r="58" spans="1:6" x14ac:dyDescent="0.3">
      <c r="A58" s="1">
        <v>14.282999999999999</v>
      </c>
      <c r="B58" s="1">
        <v>1.1831</v>
      </c>
      <c r="C58" s="1">
        <f>Tabela7[[#This Row],[Alongamento(mm/mm)]]/$I$2</f>
        <v>2.3662000000000002E-2</v>
      </c>
      <c r="D58" s="1">
        <v>7.3141999999999996</v>
      </c>
      <c r="E58" s="1">
        <f>Tabela7[[#This Row],[Forτa(N)]]/$I$5</f>
        <v>233140.48928201452</v>
      </c>
      <c r="F58" s="1">
        <f>Tabela7[[#This Row],[Tensão(Pa)]]/1000000</f>
        <v>0.23314048928201453</v>
      </c>
    </row>
    <row r="59" spans="1:6" x14ac:dyDescent="0.3">
      <c r="A59" s="1">
        <v>14.4</v>
      </c>
      <c r="B59" s="1">
        <v>1.1928000000000001</v>
      </c>
      <c r="C59" s="1">
        <f>Tabela7[[#This Row],[Alongamento(mm/mm)]]/$I$2</f>
        <v>2.3856000000000002E-2</v>
      </c>
      <c r="D59" s="1">
        <v>7.3141999999999996</v>
      </c>
      <c r="E59" s="1">
        <f>Tabela7[[#This Row],[Forτa(N)]]/$I$5</f>
        <v>233140.48928201452</v>
      </c>
      <c r="F59" s="1">
        <f>Tabela7[[#This Row],[Tensão(Pa)]]/1000000</f>
        <v>0.23314048928201453</v>
      </c>
    </row>
    <row r="60" spans="1:6" x14ac:dyDescent="0.3">
      <c r="A60" s="1">
        <v>14.516999999999999</v>
      </c>
      <c r="B60" s="1">
        <v>1.2025999999999999</v>
      </c>
      <c r="C60" s="1">
        <f>Tabela7[[#This Row],[Alongamento(mm/mm)]]/$I$2</f>
        <v>2.4051999999999997E-2</v>
      </c>
      <c r="D60" s="1">
        <v>7.3141999999999996</v>
      </c>
      <c r="E60" s="1">
        <f>Tabela7[[#This Row],[Forτa(N)]]/$I$5</f>
        <v>233140.48928201452</v>
      </c>
      <c r="F60" s="1">
        <f>Tabela7[[#This Row],[Tensão(Pa)]]/1000000</f>
        <v>0.23314048928201453</v>
      </c>
    </row>
    <row r="61" spans="1:6" x14ac:dyDescent="0.3">
      <c r="A61" s="1">
        <v>14.632999999999999</v>
      </c>
      <c r="B61" s="1">
        <v>1.2123999999999999</v>
      </c>
      <c r="C61" s="1">
        <f>Tabela7[[#This Row],[Alongamento(mm/mm)]]/$I$2</f>
        <v>2.4247999999999999E-2</v>
      </c>
      <c r="D61" s="1">
        <v>7.4843000000000002</v>
      </c>
      <c r="E61" s="1">
        <f>Tabela7[[#This Row],[Forτa(N)]]/$I$5</f>
        <v>238562.4352538051</v>
      </c>
      <c r="F61" s="1">
        <f>Tabela7[[#This Row],[Tensão(Pa)]]/1000000</f>
        <v>0.23856243525380511</v>
      </c>
    </row>
    <row r="62" spans="1:6" x14ac:dyDescent="0.3">
      <c r="A62" s="1">
        <v>14.75</v>
      </c>
      <c r="B62" s="1">
        <v>1.2221</v>
      </c>
      <c r="C62" s="1">
        <f>Tabela7[[#This Row],[Alongamento(mm/mm)]]/$I$2</f>
        <v>2.4441999999999998E-2</v>
      </c>
      <c r="D62" s="1">
        <v>7.4843000000000002</v>
      </c>
      <c r="E62" s="1">
        <f>Tabela7[[#This Row],[Forτa(N)]]/$I$5</f>
        <v>238562.4352538051</v>
      </c>
      <c r="F62" s="1">
        <f>Tabela7[[#This Row],[Tensão(Pa)]]/1000000</f>
        <v>0.23856243525380511</v>
      </c>
    </row>
    <row r="63" spans="1:6" x14ac:dyDescent="0.3">
      <c r="A63" s="1">
        <v>14.867000000000001</v>
      </c>
      <c r="B63" s="1">
        <v>1.2318</v>
      </c>
      <c r="C63" s="1">
        <f>Tabela7[[#This Row],[Alongamento(mm/mm)]]/$I$2</f>
        <v>2.4636000000000002E-2</v>
      </c>
      <c r="D63" s="1">
        <v>7.6543999999999999</v>
      </c>
      <c r="E63" s="1">
        <f>Tabela7[[#This Row],[Forτa(N)]]/$I$5</f>
        <v>243984.38122559569</v>
      </c>
      <c r="F63" s="1">
        <f>Tabela7[[#This Row],[Tensão(Pa)]]/1000000</f>
        <v>0.24398438122559568</v>
      </c>
    </row>
    <row r="64" spans="1:6" x14ac:dyDescent="0.3">
      <c r="A64" s="1">
        <v>14.983000000000001</v>
      </c>
      <c r="B64" s="1">
        <v>1.2416</v>
      </c>
      <c r="C64" s="1">
        <f>Tabela7[[#This Row],[Alongamento(mm/mm)]]/$I$2</f>
        <v>2.4832E-2</v>
      </c>
      <c r="D64" s="1">
        <v>7.6543999999999999</v>
      </c>
      <c r="E64" s="1">
        <f>Tabela7[[#This Row],[Forτa(N)]]/$I$5</f>
        <v>243984.38122559569</v>
      </c>
      <c r="F64" s="1">
        <f>Tabela7[[#This Row],[Tensão(Pa)]]/1000000</f>
        <v>0.24398438122559568</v>
      </c>
    </row>
    <row r="65" spans="1:6" x14ac:dyDescent="0.3">
      <c r="A65" s="1">
        <v>15.1</v>
      </c>
      <c r="B65" s="1">
        <v>1.2513000000000001</v>
      </c>
      <c r="C65" s="1">
        <f>Tabela7[[#This Row],[Alongamento(mm/mm)]]/$I$2</f>
        <v>2.5026000000000003E-2</v>
      </c>
      <c r="D65" s="1">
        <v>7.4843000000000002</v>
      </c>
      <c r="E65" s="1">
        <f>Tabela7[[#This Row],[Forτa(N)]]/$I$5</f>
        <v>238562.4352538051</v>
      </c>
      <c r="F65" s="1">
        <f>Tabela7[[#This Row],[Tensão(Pa)]]/1000000</f>
        <v>0.23856243525380511</v>
      </c>
    </row>
    <row r="66" spans="1:6" x14ac:dyDescent="0.3">
      <c r="A66" s="1">
        <v>15.233000000000001</v>
      </c>
      <c r="B66" s="1">
        <v>1.2623</v>
      </c>
      <c r="C66" s="1">
        <f>Tabela7[[#This Row],[Alongamento(mm/mm)]]/$I$2</f>
        <v>2.5246000000000001E-2</v>
      </c>
      <c r="D66" s="1">
        <v>7.6543999999999999</v>
      </c>
      <c r="E66" s="1">
        <f>Tabela7[[#This Row],[Forτa(N)]]/$I$5</f>
        <v>243984.38122559569</v>
      </c>
      <c r="F66" s="1">
        <f>Tabela7[[#This Row],[Tensão(Pa)]]/1000000</f>
        <v>0.24398438122559568</v>
      </c>
    </row>
    <row r="67" spans="1:6" x14ac:dyDescent="0.3">
      <c r="A67" s="1">
        <v>15.35</v>
      </c>
      <c r="B67" s="1">
        <v>1.2721</v>
      </c>
      <c r="C67" s="1">
        <f>Tabela7[[#This Row],[Alongamento(mm/mm)]]/$I$2</f>
        <v>2.5441999999999999E-2</v>
      </c>
      <c r="D67" s="1">
        <v>7.6543999999999999</v>
      </c>
      <c r="E67" s="1">
        <f>Tabela7[[#This Row],[Forτa(N)]]/$I$5</f>
        <v>243984.38122559569</v>
      </c>
      <c r="F67" s="1">
        <f>Tabela7[[#This Row],[Tensão(Pa)]]/1000000</f>
        <v>0.24398438122559568</v>
      </c>
    </row>
    <row r="68" spans="1:6" x14ac:dyDescent="0.3">
      <c r="A68" s="1">
        <v>15.483000000000001</v>
      </c>
      <c r="B68" s="1">
        <v>1.2833000000000001</v>
      </c>
      <c r="C68" s="1">
        <f>Tabela7[[#This Row],[Alongamento(mm/mm)]]/$I$2</f>
        <v>2.5666000000000001E-2</v>
      </c>
      <c r="D68" s="1">
        <v>7.6543999999999999</v>
      </c>
      <c r="E68" s="1">
        <f>Tabela7[[#This Row],[Forτa(N)]]/$I$5</f>
        <v>243984.38122559569</v>
      </c>
      <c r="F68" s="1">
        <f>Tabela7[[#This Row],[Tensão(Pa)]]/1000000</f>
        <v>0.24398438122559568</v>
      </c>
    </row>
    <row r="69" spans="1:6" x14ac:dyDescent="0.3">
      <c r="A69" s="1">
        <v>15.617000000000001</v>
      </c>
      <c r="B69" s="1">
        <v>1.2943</v>
      </c>
      <c r="C69" s="1">
        <f>Tabela7[[#This Row],[Alongamento(mm/mm)]]/$I$2</f>
        <v>2.5885999999999999E-2</v>
      </c>
      <c r="D69" s="1">
        <v>7.8244999999999996</v>
      </c>
      <c r="E69" s="1">
        <f>Tabela7[[#This Row],[Forτa(N)]]/$I$5</f>
        <v>249406.32719738624</v>
      </c>
      <c r="F69" s="1">
        <f>Tabela7[[#This Row],[Tensão(Pa)]]/1000000</f>
        <v>0.24940632719738623</v>
      </c>
    </row>
    <row r="70" spans="1:6" x14ac:dyDescent="0.3">
      <c r="A70" s="1">
        <v>15.75</v>
      </c>
      <c r="B70" s="1">
        <v>1.3053999999999999</v>
      </c>
      <c r="C70" s="1">
        <f>Tabela7[[#This Row],[Alongamento(mm/mm)]]/$I$2</f>
        <v>2.6107999999999999E-2</v>
      </c>
      <c r="D70" s="1">
        <v>7.8244999999999996</v>
      </c>
      <c r="E70" s="1">
        <f>Tabela7[[#This Row],[Forτa(N)]]/$I$5</f>
        <v>249406.32719738624</v>
      </c>
      <c r="F70" s="1">
        <f>Tabela7[[#This Row],[Tensão(Pa)]]/1000000</f>
        <v>0.24940632719738623</v>
      </c>
    </row>
    <row r="71" spans="1:6" x14ac:dyDescent="0.3">
      <c r="A71" s="1">
        <v>15.882999999999999</v>
      </c>
      <c r="B71" s="1">
        <v>1.3164</v>
      </c>
      <c r="C71" s="1">
        <f>Tabela7[[#This Row],[Alongamento(mm/mm)]]/$I$2</f>
        <v>2.6328000000000001E-2</v>
      </c>
      <c r="D71" s="1">
        <v>7.8244999999999996</v>
      </c>
      <c r="E71" s="1">
        <f>Tabela7[[#This Row],[Forτa(N)]]/$I$5</f>
        <v>249406.32719738624</v>
      </c>
      <c r="F71" s="1">
        <f>Tabela7[[#This Row],[Tensão(Pa)]]/1000000</f>
        <v>0.24940632719738623</v>
      </c>
    </row>
    <row r="72" spans="1:6" x14ac:dyDescent="0.3">
      <c r="A72" s="1">
        <v>16.016999999999999</v>
      </c>
      <c r="B72" s="1">
        <v>1.3277000000000001</v>
      </c>
      <c r="C72" s="1">
        <f>Tabela7[[#This Row],[Alongamento(mm/mm)]]/$I$2</f>
        <v>2.6554000000000001E-2</v>
      </c>
      <c r="D72" s="1">
        <v>7.9946000000000002</v>
      </c>
      <c r="E72" s="1">
        <f>Tabela7[[#This Row],[Forτa(N)]]/$I$5</f>
        <v>254828.27316917686</v>
      </c>
      <c r="F72" s="1">
        <f>Tabela7[[#This Row],[Tensão(Pa)]]/1000000</f>
        <v>0.25482827316917683</v>
      </c>
    </row>
    <row r="73" spans="1:6" x14ac:dyDescent="0.3">
      <c r="A73" s="1">
        <v>16.149999999999999</v>
      </c>
      <c r="B73" s="1">
        <v>1.3387</v>
      </c>
      <c r="C73" s="1">
        <f>Tabela7[[#This Row],[Alongamento(mm/mm)]]/$I$2</f>
        <v>2.6773999999999999E-2</v>
      </c>
      <c r="D73" s="1">
        <v>8.1646999999999998</v>
      </c>
      <c r="E73" s="1">
        <f>Tabela7[[#This Row],[Forτa(N)]]/$I$5</f>
        <v>260250.21914096741</v>
      </c>
      <c r="F73" s="1">
        <f>Tabela7[[#This Row],[Tensão(Pa)]]/1000000</f>
        <v>0.26025021914096741</v>
      </c>
    </row>
    <row r="74" spans="1:6" x14ac:dyDescent="0.3">
      <c r="A74" s="1">
        <v>16.283000000000001</v>
      </c>
      <c r="B74" s="1">
        <v>1.3499000000000001</v>
      </c>
      <c r="C74" s="1">
        <f>Tabela7[[#This Row],[Alongamento(mm/mm)]]/$I$2</f>
        <v>2.6998000000000001E-2</v>
      </c>
      <c r="D74" s="1">
        <v>8.5048999999999992</v>
      </c>
      <c r="E74" s="1">
        <f>Tabela7[[#This Row],[Forτa(N)]]/$I$5</f>
        <v>271094.11108454858</v>
      </c>
      <c r="F74" s="1">
        <f>Tabela7[[#This Row],[Tensão(Pa)]]/1000000</f>
        <v>0.27109411108454856</v>
      </c>
    </row>
    <row r="75" spans="1:6" x14ac:dyDescent="0.3">
      <c r="A75" s="1">
        <v>16.417000000000002</v>
      </c>
      <c r="B75" s="1">
        <v>1.361</v>
      </c>
      <c r="C75" s="1">
        <f>Tabela7[[#This Row],[Alongamento(mm/mm)]]/$I$2</f>
        <v>2.7220000000000001E-2</v>
      </c>
      <c r="D75" s="1">
        <v>9.0152000000000001</v>
      </c>
      <c r="E75" s="1">
        <f>Tabela7[[#This Row],[Forτa(N)]]/$I$5</f>
        <v>287359.94899992034</v>
      </c>
      <c r="F75" s="1">
        <f>Tabela7[[#This Row],[Tensão(Pa)]]/1000000</f>
        <v>0.28735994899992034</v>
      </c>
    </row>
    <row r="76" spans="1:6" x14ac:dyDescent="0.3">
      <c r="A76" s="1">
        <v>16.533000000000001</v>
      </c>
      <c r="B76" s="1">
        <v>1.3707</v>
      </c>
      <c r="C76" s="1">
        <f>Tabela7[[#This Row],[Alongamento(mm/mm)]]/$I$2</f>
        <v>2.7414000000000001E-2</v>
      </c>
      <c r="D76" s="1">
        <v>9.6956000000000007</v>
      </c>
      <c r="E76" s="1">
        <f>Tabela7[[#This Row],[Forτa(N)]]/$I$5</f>
        <v>309047.73288708268</v>
      </c>
      <c r="F76" s="1">
        <f>Tabela7[[#This Row],[Tensão(Pa)]]/1000000</f>
        <v>0.30904773288708265</v>
      </c>
    </row>
    <row r="77" spans="1:6" x14ac:dyDescent="0.3">
      <c r="A77" s="1">
        <v>16.617000000000001</v>
      </c>
      <c r="B77" s="1">
        <v>1.3775999999999999</v>
      </c>
      <c r="C77" s="1">
        <f>Tabela7[[#This Row],[Alongamento(mm/mm)]]/$I$2</f>
        <v>2.7552E-2</v>
      </c>
      <c r="D77" s="1">
        <v>10.375999999999999</v>
      </c>
      <c r="E77" s="1">
        <f>Tabela7[[#This Row],[Forτa(N)]]/$I$5</f>
        <v>330735.51677424496</v>
      </c>
      <c r="F77" s="1">
        <f>Tabela7[[#This Row],[Tensão(Pa)]]/1000000</f>
        <v>0.33073551677424495</v>
      </c>
    </row>
    <row r="78" spans="1:6" x14ac:dyDescent="0.3">
      <c r="A78" s="1">
        <v>16.716999999999999</v>
      </c>
      <c r="B78" s="1">
        <v>1.3859999999999999</v>
      </c>
      <c r="C78" s="1">
        <f>Tabela7[[#This Row],[Alongamento(mm/mm)]]/$I$2</f>
        <v>2.7719999999999998E-2</v>
      </c>
      <c r="D78" s="1">
        <v>11.055999999999999</v>
      </c>
      <c r="E78" s="1">
        <f>Tabela7[[#This Row],[Forτa(N)]]/$I$5</f>
        <v>352410.55064148537</v>
      </c>
      <c r="F78" s="1">
        <f>Tabela7[[#This Row],[Tensão(Pa)]]/1000000</f>
        <v>0.35241055064148535</v>
      </c>
    </row>
    <row r="79" spans="1:6" x14ac:dyDescent="0.3">
      <c r="A79" s="1">
        <v>16.850000000000001</v>
      </c>
      <c r="B79" s="1">
        <v>1.3971</v>
      </c>
      <c r="C79" s="1">
        <f>Tabela7[[#This Row],[Alongamento(mm/mm)]]/$I$2</f>
        <v>2.7942000000000002E-2</v>
      </c>
      <c r="D79" s="1">
        <v>11.737</v>
      </c>
      <c r="E79" s="1">
        <f>Tabela7[[#This Row],[Forτa(N)]]/$I$5</f>
        <v>374117.45955853059</v>
      </c>
      <c r="F79" s="1">
        <f>Tabela7[[#This Row],[Tensão(Pa)]]/1000000</f>
        <v>0.3741174595585306</v>
      </c>
    </row>
    <row r="80" spans="1:6" x14ac:dyDescent="0.3">
      <c r="A80" s="1">
        <v>16.966999999999999</v>
      </c>
      <c r="B80" s="1">
        <v>1.4069</v>
      </c>
      <c r="C80" s="1">
        <f>Tabela7[[#This Row],[Alongamento(mm/mm)]]/$I$2</f>
        <v>2.8138E-2</v>
      </c>
      <c r="D80" s="1">
        <v>12.417</v>
      </c>
      <c r="E80" s="1">
        <f>Tabela7[[#This Row],[Forτa(N)]]/$I$5</f>
        <v>395792.49342577101</v>
      </c>
      <c r="F80" s="1">
        <f>Tabela7[[#This Row],[Tensão(Pa)]]/1000000</f>
        <v>0.395792493425771</v>
      </c>
    </row>
    <row r="81" spans="1:6" x14ac:dyDescent="0.3">
      <c r="A81" s="1">
        <v>17.067</v>
      </c>
      <c r="B81" s="1">
        <v>1.4151</v>
      </c>
      <c r="C81" s="1">
        <f>Tabela7[[#This Row],[Alongamento(mm/mm)]]/$I$2</f>
        <v>2.8302000000000001E-2</v>
      </c>
      <c r="D81" s="1">
        <v>13.098000000000001</v>
      </c>
      <c r="E81" s="1">
        <f>Tabela7[[#This Row],[Forτa(N)]]/$I$5</f>
        <v>417499.40234281623</v>
      </c>
      <c r="F81" s="1">
        <f>Tabela7[[#This Row],[Tensão(Pa)]]/1000000</f>
        <v>0.41749940234281624</v>
      </c>
    </row>
    <row r="82" spans="1:6" x14ac:dyDescent="0.3">
      <c r="A82" s="1">
        <v>17.2</v>
      </c>
      <c r="B82" s="1">
        <v>1.4261999999999999</v>
      </c>
      <c r="C82" s="1">
        <f>Tabela7[[#This Row],[Alongamento(mm/mm)]]/$I$2</f>
        <v>2.8523999999999997E-2</v>
      </c>
      <c r="D82" s="1">
        <v>13.948</v>
      </c>
      <c r="E82" s="1">
        <f>Tabela7[[#This Row],[Forτa(N)]]/$I$5</f>
        <v>444593.1946768667</v>
      </c>
      <c r="F82" s="1">
        <f>Tabela7[[#This Row],[Tensão(Pa)]]/1000000</f>
        <v>0.4445931946768667</v>
      </c>
    </row>
    <row r="83" spans="1:6" x14ac:dyDescent="0.3">
      <c r="A83" s="1">
        <v>17.332999999999998</v>
      </c>
      <c r="B83" s="1">
        <v>1.4374</v>
      </c>
      <c r="C83" s="1">
        <f>Tabela7[[#This Row],[Alongamento(mm/mm)]]/$I$2</f>
        <v>2.8747999999999999E-2</v>
      </c>
      <c r="D83" s="1">
        <v>14.628</v>
      </c>
      <c r="E83" s="1">
        <f>Tabela7[[#This Row],[Forτa(N)]]/$I$5</f>
        <v>466268.22854410711</v>
      </c>
      <c r="F83" s="1">
        <f>Tabela7[[#This Row],[Tensão(Pa)]]/1000000</f>
        <v>0.4662682285441071</v>
      </c>
    </row>
    <row r="84" spans="1:6" x14ac:dyDescent="0.3">
      <c r="A84" s="1">
        <v>17.433</v>
      </c>
      <c r="B84" s="1">
        <v>1.4457</v>
      </c>
      <c r="C84" s="1">
        <f>Tabela7[[#This Row],[Alongamento(mm/mm)]]/$I$2</f>
        <v>2.8913999999999999E-2</v>
      </c>
      <c r="D84" s="1">
        <v>15.308999999999999</v>
      </c>
      <c r="E84" s="1">
        <f>Tabela7[[#This Row],[Forτa(N)]]/$I$5</f>
        <v>487975.13746115228</v>
      </c>
      <c r="F84" s="1">
        <f>Tabela7[[#This Row],[Tensão(Pa)]]/1000000</f>
        <v>0.48797513746115229</v>
      </c>
    </row>
    <row r="85" spans="1:6" x14ac:dyDescent="0.3">
      <c r="A85" s="1">
        <v>17.582999999999998</v>
      </c>
      <c r="B85" s="1">
        <v>1.4581999999999999</v>
      </c>
      <c r="C85" s="1">
        <f>Tabela7[[#This Row],[Alongamento(mm/mm)]]/$I$2</f>
        <v>2.9163999999999999E-2</v>
      </c>
      <c r="D85" s="1">
        <v>15.989000000000001</v>
      </c>
      <c r="E85" s="1">
        <f>Tabela7[[#This Row],[Forτa(N)]]/$I$5</f>
        <v>509650.17132839275</v>
      </c>
      <c r="F85" s="1">
        <f>Tabela7[[#This Row],[Tensão(Pa)]]/1000000</f>
        <v>0.50965017132839274</v>
      </c>
    </row>
    <row r="86" spans="1:6" x14ac:dyDescent="0.3">
      <c r="A86" s="1">
        <v>17.649999999999999</v>
      </c>
      <c r="B86" s="1">
        <v>1.4638</v>
      </c>
      <c r="C86" s="1">
        <f>Tabela7[[#This Row],[Alongamento(mm/mm)]]/$I$2</f>
        <v>2.9276E-2</v>
      </c>
      <c r="D86" s="1">
        <v>16.670000000000002</v>
      </c>
      <c r="E86" s="1">
        <f>Tabela7[[#This Row],[Forτa(N)]]/$I$5</f>
        <v>531357.08024543792</v>
      </c>
      <c r="F86" s="1">
        <f>Tabela7[[#This Row],[Tensão(Pa)]]/1000000</f>
        <v>0.53135708024543793</v>
      </c>
    </row>
    <row r="87" spans="1:6" x14ac:dyDescent="0.3">
      <c r="A87" s="1">
        <v>17.783000000000001</v>
      </c>
      <c r="B87" s="1">
        <v>1.4749000000000001</v>
      </c>
      <c r="C87" s="1">
        <f>Tabela7[[#This Row],[Alongamento(mm/mm)]]/$I$2</f>
        <v>2.9498000000000003E-2</v>
      </c>
      <c r="D87" s="1">
        <v>17.52</v>
      </c>
      <c r="E87" s="1">
        <f>Tabela7[[#This Row],[Forτa(N)]]/$I$5</f>
        <v>558450.87257948844</v>
      </c>
      <c r="F87" s="1">
        <f>Tabela7[[#This Row],[Tensão(Pa)]]/1000000</f>
        <v>0.55845087257948844</v>
      </c>
    </row>
    <row r="88" spans="1:6" x14ac:dyDescent="0.3">
      <c r="A88" s="1">
        <v>17.899999999999999</v>
      </c>
      <c r="B88" s="1">
        <v>1.4845999999999999</v>
      </c>
      <c r="C88" s="1">
        <f>Tabela7[[#This Row],[Alongamento(mm/mm)]]/$I$2</f>
        <v>2.9692E-2</v>
      </c>
      <c r="D88" s="1">
        <v>18.201000000000001</v>
      </c>
      <c r="E88" s="1">
        <f>Tabela7[[#This Row],[Forτa(N)]]/$I$5</f>
        <v>580157.78149653366</v>
      </c>
      <c r="F88" s="1">
        <f>Tabela7[[#This Row],[Tensão(Pa)]]/1000000</f>
        <v>0.58015778149653363</v>
      </c>
    </row>
    <row r="89" spans="1:6" x14ac:dyDescent="0.3">
      <c r="A89" s="1">
        <v>18</v>
      </c>
      <c r="B89" s="1">
        <v>1.4927999999999999</v>
      </c>
      <c r="C89" s="1">
        <f>Tabela7[[#This Row],[Alongamento(mm/mm)]]/$I$2</f>
        <v>2.9855999999999997E-2</v>
      </c>
      <c r="D89" s="1">
        <v>18.881</v>
      </c>
      <c r="E89" s="1">
        <f>Tabela7[[#This Row],[Forτa(N)]]/$I$5</f>
        <v>601832.81536377408</v>
      </c>
      <c r="F89" s="1">
        <f>Tabela7[[#This Row],[Tensão(Pa)]]/1000000</f>
        <v>0.60183281536377409</v>
      </c>
    </row>
    <row r="90" spans="1:6" x14ac:dyDescent="0.3">
      <c r="A90" s="1">
        <v>18.082999999999998</v>
      </c>
      <c r="B90" s="1">
        <v>1.4999</v>
      </c>
      <c r="C90" s="1">
        <f>Tabela7[[#This Row],[Alongamento(mm/mm)]]/$I$2</f>
        <v>2.9998E-2</v>
      </c>
      <c r="D90" s="1">
        <v>19.561</v>
      </c>
      <c r="E90" s="1">
        <f>Tabela7[[#This Row],[Forτa(N)]]/$I$5</f>
        <v>623507.84923101449</v>
      </c>
      <c r="F90" s="1">
        <f>Tabela7[[#This Row],[Tensão(Pa)]]/1000000</f>
        <v>0.62350784923101454</v>
      </c>
    </row>
    <row r="91" spans="1:6" x14ac:dyDescent="0.3">
      <c r="A91" s="1">
        <v>18.183</v>
      </c>
      <c r="B91" s="1">
        <v>1.5081</v>
      </c>
      <c r="C91" s="1">
        <f>Tabela7[[#This Row],[Alongamento(mm/mm)]]/$I$2</f>
        <v>3.0162000000000001E-2</v>
      </c>
      <c r="D91" s="1">
        <v>20.242000000000001</v>
      </c>
      <c r="E91" s="1">
        <f>Tabela7[[#This Row],[Forτa(N)]]/$I$5</f>
        <v>645214.75814805971</v>
      </c>
      <c r="F91" s="1">
        <f>Tabela7[[#This Row],[Tensão(Pa)]]/1000000</f>
        <v>0.64521475814805973</v>
      </c>
    </row>
    <row r="92" spans="1:6" x14ac:dyDescent="0.3">
      <c r="A92" s="1">
        <v>18.283000000000001</v>
      </c>
      <c r="B92" s="1">
        <v>1.5165999999999999</v>
      </c>
      <c r="C92" s="1">
        <f>Tabela7[[#This Row],[Alongamento(mm/mm)]]/$I$2</f>
        <v>3.0331999999999998E-2</v>
      </c>
      <c r="D92" s="1">
        <v>20.922000000000001</v>
      </c>
      <c r="E92" s="1">
        <f>Tabela7[[#This Row],[Forτa(N)]]/$I$5</f>
        <v>666889.79201530013</v>
      </c>
      <c r="F92" s="1">
        <f>Tabela7[[#This Row],[Tensão(Pa)]]/1000000</f>
        <v>0.66688979201530019</v>
      </c>
    </row>
    <row r="93" spans="1:6" x14ac:dyDescent="0.3">
      <c r="A93" s="1">
        <v>18.367000000000001</v>
      </c>
      <c r="B93" s="1">
        <v>1.5235000000000001</v>
      </c>
      <c r="C93" s="1">
        <f>Tabela7[[#This Row],[Alongamento(mm/mm)]]/$I$2</f>
        <v>3.0470000000000001E-2</v>
      </c>
      <c r="D93" s="1">
        <v>21.603000000000002</v>
      </c>
      <c r="E93" s="1">
        <f>Tabela7[[#This Row],[Forτa(N)]]/$I$5</f>
        <v>688596.70093234535</v>
      </c>
      <c r="F93" s="1">
        <f>Tabela7[[#This Row],[Tensão(Pa)]]/1000000</f>
        <v>0.68859670093234537</v>
      </c>
    </row>
    <row r="94" spans="1:6" x14ac:dyDescent="0.3">
      <c r="A94" s="1">
        <v>18.45</v>
      </c>
      <c r="B94" s="1">
        <v>1.5304</v>
      </c>
      <c r="C94" s="1">
        <f>Tabela7[[#This Row],[Alongamento(mm/mm)]]/$I$2</f>
        <v>3.0608E-2</v>
      </c>
      <c r="D94" s="1">
        <v>22.283000000000001</v>
      </c>
      <c r="E94" s="1">
        <f>Tabela7[[#This Row],[Forτa(N)]]/$I$5</f>
        <v>710271.73479958565</v>
      </c>
      <c r="F94" s="1">
        <f>Tabela7[[#This Row],[Tensão(Pa)]]/1000000</f>
        <v>0.71027173479958561</v>
      </c>
    </row>
    <row r="95" spans="1:6" x14ac:dyDescent="0.3">
      <c r="A95" s="1">
        <v>18.533000000000001</v>
      </c>
      <c r="B95" s="1">
        <v>1.5374000000000001</v>
      </c>
      <c r="C95" s="1">
        <f>Tabela7[[#This Row],[Alongamento(mm/mm)]]/$I$2</f>
        <v>3.0748000000000001E-2</v>
      </c>
      <c r="D95" s="1">
        <v>22.963000000000001</v>
      </c>
      <c r="E95" s="1">
        <f>Tabela7[[#This Row],[Forτa(N)]]/$I$5</f>
        <v>731946.76866682607</v>
      </c>
      <c r="F95" s="1">
        <f>Tabela7[[#This Row],[Tensão(Pa)]]/1000000</f>
        <v>0.73194676866682606</v>
      </c>
    </row>
    <row r="96" spans="1:6" x14ac:dyDescent="0.3">
      <c r="A96" s="1">
        <v>18.632999999999999</v>
      </c>
      <c r="B96" s="1">
        <v>1.5457000000000001</v>
      </c>
      <c r="C96" s="1">
        <f>Tabela7[[#This Row],[Alongamento(mm/mm)]]/$I$2</f>
        <v>3.0914000000000001E-2</v>
      </c>
      <c r="D96" s="1">
        <v>23.643999999999998</v>
      </c>
      <c r="E96" s="1">
        <f>Tabela7[[#This Row],[Forτa(N)]]/$I$5</f>
        <v>753653.67758387118</v>
      </c>
      <c r="F96" s="1">
        <f>Tabela7[[#This Row],[Tensão(Pa)]]/1000000</f>
        <v>0.75365367758387114</v>
      </c>
    </row>
    <row r="97" spans="1:6" x14ac:dyDescent="0.3">
      <c r="A97" s="1">
        <v>18.716999999999999</v>
      </c>
      <c r="B97" s="1">
        <v>1.5527</v>
      </c>
      <c r="C97" s="1">
        <f>Tabela7[[#This Row],[Alongamento(mm/mm)]]/$I$2</f>
        <v>3.1053999999999998E-2</v>
      </c>
      <c r="D97" s="1">
        <v>24.324000000000002</v>
      </c>
      <c r="E97" s="1">
        <f>Tabela7[[#This Row],[Forτa(N)]]/$I$5</f>
        <v>775328.71145111171</v>
      </c>
      <c r="F97" s="1">
        <f>Tabela7[[#This Row],[Tensão(Pa)]]/1000000</f>
        <v>0.77532871145111171</v>
      </c>
    </row>
    <row r="98" spans="1:6" x14ac:dyDescent="0.3">
      <c r="A98" s="1">
        <v>18.8</v>
      </c>
      <c r="B98" s="1">
        <v>1.5596000000000001</v>
      </c>
      <c r="C98" s="1">
        <f>Tabela7[[#This Row],[Alongamento(mm/mm)]]/$I$2</f>
        <v>3.1192000000000001E-2</v>
      </c>
      <c r="D98" s="1">
        <v>25.004999999999999</v>
      </c>
      <c r="E98" s="1">
        <f>Tabela7[[#This Row],[Forτa(N)]]/$I$5</f>
        <v>797035.62036815681</v>
      </c>
      <c r="F98" s="1">
        <f>Tabela7[[#This Row],[Tensão(Pa)]]/1000000</f>
        <v>0.79703562036815678</v>
      </c>
    </row>
    <row r="99" spans="1:6" x14ac:dyDescent="0.3">
      <c r="A99" s="1">
        <v>18.882999999999999</v>
      </c>
      <c r="B99" s="1">
        <v>1.5665</v>
      </c>
      <c r="C99" s="1">
        <f>Tabela7[[#This Row],[Alongamento(mm/mm)]]/$I$2</f>
        <v>3.1329999999999997E-2</v>
      </c>
      <c r="D99" s="1">
        <v>25.684999999999999</v>
      </c>
      <c r="E99" s="1">
        <f>Tabela7[[#This Row],[Forτa(N)]]/$I$5</f>
        <v>818710.65423539723</v>
      </c>
      <c r="F99" s="1">
        <f>Tabela7[[#This Row],[Tensão(Pa)]]/1000000</f>
        <v>0.81871065423539724</v>
      </c>
    </row>
    <row r="100" spans="1:6" x14ac:dyDescent="0.3">
      <c r="A100" s="1">
        <v>18.966999999999999</v>
      </c>
      <c r="B100" s="1">
        <v>1.5733999999999999</v>
      </c>
      <c r="C100" s="1">
        <f>Tabela7[[#This Row],[Alongamento(mm/mm)]]/$I$2</f>
        <v>3.1467999999999996E-2</v>
      </c>
      <c r="D100" s="1">
        <v>26.364999999999998</v>
      </c>
      <c r="E100" s="1">
        <f>Tabela7[[#This Row],[Forτa(N)]]/$I$5</f>
        <v>840385.68810263765</v>
      </c>
      <c r="F100" s="1">
        <f>Tabela7[[#This Row],[Tensão(Pa)]]/1000000</f>
        <v>0.8403856881026377</v>
      </c>
    </row>
    <row r="101" spans="1:6" x14ac:dyDescent="0.3">
      <c r="A101" s="1">
        <v>19.05</v>
      </c>
      <c r="B101" s="1">
        <v>1.5803</v>
      </c>
      <c r="C101" s="1">
        <f>Tabela7[[#This Row],[Alongamento(mm/mm)]]/$I$2</f>
        <v>3.1606000000000002E-2</v>
      </c>
      <c r="D101" s="1">
        <v>27.045999999999999</v>
      </c>
      <c r="E101" s="1">
        <f>Tabela7[[#This Row],[Forτa(N)]]/$I$5</f>
        <v>862092.59701968287</v>
      </c>
      <c r="F101" s="1">
        <f>Tabela7[[#This Row],[Tensão(Pa)]]/1000000</f>
        <v>0.86209259701968288</v>
      </c>
    </row>
    <row r="102" spans="1:6" x14ac:dyDescent="0.3">
      <c r="A102" s="1">
        <v>19.132999999999999</v>
      </c>
      <c r="B102" s="1">
        <v>1.5873999999999999</v>
      </c>
      <c r="C102" s="1">
        <f>Tabela7[[#This Row],[Alongamento(mm/mm)]]/$I$2</f>
        <v>3.1747999999999998E-2</v>
      </c>
      <c r="D102" s="1">
        <v>27.725999999999999</v>
      </c>
      <c r="E102" s="1">
        <f>Tabela7[[#This Row],[Forτa(N)]]/$I$5</f>
        <v>883767.63088692329</v>
      </c>
      <c r="F102" s="1">
        <f>Tabela7[[#This Row],[Tensão(Pa)]]/1000000</f>
        <v>0.88376763088692334</v>
      </c>
    </row>
    <row r="103" spans="1:6" x14ac:dyDescent="0.3">
      <c r="A103" s="1">
        <v>19.2</v>
      </c>
      <c r="B103" s="1">
        <v>1.593</v>
      </c>
      <c r="C103" s="1">
        <f>Tabela7[[#This Row],[Alongamento(mm/mm)]]/$I$2</f>
        <v>3.1859999999999999E-2</v>
      </c>
      <c r="D103" s="1">
        <v>28.407</v>
      </c>
      <c r="E103" s="1">
        <f>Tabela7[[#This Row],[Forτa(N)]]/$I$5</f>
        <v>905474.53980396851</v>
      </c>
      <c r="F103" s="1">
        <f>Tabela7[[#This Row],[Tensão(Pa)]]/1000000</f>
        <v>0.90547453980396853</v>
      </c>
    </row>
    <row r="104" spans="1:6" x14ac:dyDescent="0.3">
      <c r="A104" s="1">
        <v>19.283000000000001</v>
      </c>
      <c r="B104" s="1">
        <v>1.5999000000000001</v>
      </c>
      <c r="C104" s="1">
        <f>Tabela7[[#This Row],[Alongamento(mm/mm)]]/$I$2</f>
        <v>3.1997999999999999E-2</v>
      </c>
      <c r="D104" s="1">
        <v>29.087</v>
      </c>
      <c r="E104" s="1">
        <f>Tabela7[[#This Row],[Forτa(N)]]/$I$5</f>
        <v>927149.57367120893</v>
      </c>
      <c r="F104" s="1">
        <f>Tabela7[[#This Row],[Tensão(Pa)]]/1000000</f>
        <v>0.92714957367120898</v>
      </c>
    </row>
    <row r="105" spans="1:6" x14ac:dyDescent="0.3">
      <c r="A105" s="1">
        <v>19.367000000000001</v>
      </c>
      <c r="B105" s="1">
        <v>1.6068</v>
      </c>
      <c r="C105" s="1">
        <f>Tabela7[[#This Row],[Alongamento(mm/mm)]]/$I$2</f>
        <v>3.2135999999999998E-2</v>
      </c>
      <c r="D105" s="1">
        <v>29.766999999999999</v>
      </c>
      <c r="E105" s="1">
        <f>Tabela7[[#This Row],[Forτa(N)]]/$I$5</f>
        <v>948824.60753844935</v>
      </c>
      <c r="F105" s="1">
        <f>Tabela7[[#This Row],[Tensão(Pa)]]/1000000</f>
        <v>0.94882460753844933</v>
      </c>
    </row>
    <row r="106" spans="1:6" x14ac:dyDescent="0.3">
      <c r="A106" s="1">
        <v>19.45</v>
      </c>
      <c r="B106" s="1">
        <v>1.6137999999999999</v>
      </c>
      <c r="C106" s="1">
        <f>Tabela7[[#This Row],[Alongamento(mm/mm)]]/$I$2</f>
        <v>3.2275999999999999E-2</v>
      </c>
      <c r="D106" s="1">
        <v>30.448</v>
      </c>
      <c r="E106" s="1">
        <f>Tabela7[[#This Row],[Forτa(N)]]/$I$5</f>
        <v>970531.51645549457</v>
      </c>
      <c r="F106" s="1">
        <f>Tabela7[[#This Row],[Tensão(Pa)]]/1000000</f>
        <v>0.97053151645549451</v>
      </c>
    </row>
    <row r="107" spans="1:6" x14ac:dyDescent="0.3">
      <c r="A107" s="1">
        <v>19.516999999999999</v>
      </c>
      <c r="B107" s="1">
        <v>1.6193</v>
      </c>
      <c r="C107" s="1">
        <f>Tabela7[[#This Row],[Alongamento(mm/mm)]]/$I$2</f>
        <v>3.2385999999999998E-2</v>
      </c>
      <c r="D107" s="1">
        <v>31.128</v>
      </c>
      <c r="E107" s="1">
        <f>Tabela7[[#This Row],[Forτa(N)]]/$I$5</f>
        <v>992206.55032273498</v>
      </c>
      <c r="F107" s="1">
        <f>Tabela7[[#This Row],[Tensão(Pa)]]/1000000</f>
        <v>0.99220655032273497</v>
      </c>
    </row>
    <row r="108" spans="1:6" x14ac:dyDescent="0.3">
      <c r="A108" s="1">
        <v>19.600000000000001</v>
      </c>
      <c r="B108" s="1">
        <v>1.6262000000000001</v>
      </c>
      <c r="C108" s="1">
        <f>Tabela7[[#This Row],[Alongamento(mm/mm)]]/$I$2</f>
        <v>3.2524000000000004E-2</v>
      </c>
      <c r="D108" s="1">
        <v>31.808</v>
      </c>
      <c r="E108" s="1">
        <f>Tabela7[[#This Row],[Forτa(N)]]/$I$5</f>
        <v>1013881.5841899754</v>
      </c>
      <c r="F108" s="1">
        <f>Tabela7[[#This Row],[Tensão(Pa)]]/1000000</f>
        <v>1.0138815841899753</v>
      </c>
    </row>
    <row r="109" spans="1:6" x14ac:dyDescent="0.3">
      <c r="A109" s="1">
        <v>19.683</v>
      </c>
      <c r="B109" s="1">
        <v>1.6332</v>
      </c>
      <c r="C109" s="1">
        <f>Tabela7[[#This Row],[Alongamento(mm/mm)]]/$I$2</f>
        <v>3.2663999999999999E-2</v>
      </c>
      <c r="D109" s="1">
        <v>32.488999999999997</v>
      </c>
      <c r="E109" s="1">
        <f>Tabela7[[#This Row],[Forτa(N)]]/$I$5</f>
        <v>1035588.4931070205</v>
      </c>
      <c r="F109" s="1">
        <f>Tabela7[[#This Row],[Tensão(Pa)]]/1000000</f>
        <v>1.0355884931070205</v>
      </c>
    </row>
    <row r="110" spans="1:6" x14ac:dyDescent="0.3">
      <c r="A110" s="1">
        <v>19.766999999999999</v>
      </c>
      <c r="B110" s="1">
        <v>1.6400999999999999</v>
      </c>
      <c r="C110" s="1">
        <f>Tabela7[[#This Row],[Alongamento(mm/mm)]]/$I$2</f>
        <v>3.2801999999999998E-2</v>
      </c>
      <c r="D110" s="1">
        <v>33.168999999999997</v>
      </c>
      <c r="E110" s="1">
        <f>Tabela7[[#This Row],[Forτa(N)]]/$I$5</f>
        <v>1057263.5269742608</v>
      </c>
      <c r="F110" s="1">
        <f>Tabela7[[#This Row],[Tensão(Pa)]]/1000000</f>
        <v>1.0572635269742607</v>
      </c>
    </row>
    <row r="111" spans="1:6" x14ac:dyDescent="0.3">
      <c r="A111" s="1">
        <v>19.850000000000001</v>
      </c>
      <c r="B111" s="1">
        <v>1.6471</v>
      </c>
      <c r="C111" s="1">
        <f>Tabela7[[#This Row],[Alongamento(mm/mm)]]/$I$2</f>
        <v>3.2941999999999999E-2</v>
      </c>
      <c r="D111" s="1">
        <v>33.85</v>
      </c>
      <c r="E111" s="1">
        <f>Tabela7[[#This Row],[Forτa(N)]]/$I$5</f>
        <v>1078970.4358913063</v>
      </c>
      <c r="F111" s="1">
        <f>Tabela7[[#This Row],[Tensão(Pa)]]/1000000</f>
        <v>1.0789704358913064</v>
      </c>
    </row>
    <row r="112" spans="1:6" x14ac:dyDescent="0.3">
      <c r="A112" s="1">
        <v>19.933</v>
      </c>
      <c r="B112" s="1">
        <v>1.6540999999999999</v>
      </c>
      <c r="C112" s="1">
        <f>Tabela7[[#This Row],[Alongamento(mm/mm)]]/$I$2</f>
        <v>3.3082E-2</v>
      </c>
      <c r="D112" s="1">
        <v>34.53</v>
      </c>
      <c r="E112" s="1">
        <f>Tabela7[[#This Row],[Forτa(N)]]/$I$5</f>
        <v>1100645.4697585467</v>
      </c>
      <c r="F112" s="1">
        <f>Tabela7[[#This Row],[Tensão(Pa)]]/1000000</f>
        <v>1.1006454697585466</v>
      </c>
    </row>
    <row r="113" spans="1:6" x14ac:dyDescent="0.3">
      <c r="A113" s="1">
        <v>20.016999999999999</v>
      </c>
      <c r="B113" s="1">
        <v>1.661</v>
      </c>
      <c r="C113" s="1">
        <f>Tabela7[[#This Row],[Alongamento(mm/mm)]]/$I$2</f>
        <v>3.322E-2</v>
      </c>
      <c r="D113" s="1">
        <v>35.21</v>
      </c>
      <c r="E113" s="1">
        <f>Tabela7[[#This Row],[Forτa(N)]]/$I$5</f>
        <v>1122320.5036257871</v>
      </c>
      <c r="F113" s="1">
        <f>Tabela7[[#This Row],[Tensão(Pa)]]/1000000</f>
        <v>1.1223205036257871</v>
      </c>
    </row>
    <row r="114" spans="1:6" x14ac:dyDescent="0.3">
      <c r="A114" s="1">
        <v>20.100000000000001</v>
      </c>
      <c r="B114" s="1">
        <v>1.6678999999999999</v>
      </c>
      <c r="C114" s="1">
        <f>Tabela7[[#This Row],[Alongamento(mm/mm)]]/$I$2</f>
        <v>3.3357999999999999E-2</v>
      </c>
      <c r="D114" s="1">
        <v>35.890999999999998</v>
      </c>
      <c r="E114" s="1">
        <f>Tabela7[[#This Row],[Forτa(N)]]/$I$5</f>
        <v>1144027.4125428321</v>
      </c>
      <c r="F114" s="1">
        <f>Tabela7[[#This Row],[Tensão(Pa)]]/1000000</f>
        <v>1.144027412542832</v>
      </c>
    </row>
    <row r="115" spans="1:6" x14ac:dyDescent="0.3">
      <c r="A115" s="1">
        <v>20.183</v>
      </c>
      <c r="B115" s="1">
        <v>1.6749000000000001</v>
      </c>
      <c r="C115" s="1">
        <f>Tabela7[[#This Row],[Alongamento(mm/mm)]]/$I$2</f>
        <v>3.3498E-2</v>
      </c>
      <c r="D115" s="1">
        <v>36.570999999999998</v>
      </c>
      <c r="E115" s="1">
        <f>Tabela7[[#This Row],[Forτa(N)]]/$I$5</f>
        <v>1165702.4464100725</v>
      </c>
      <c r="F115" s="1">
        <f>Tabela7[[#This Row],[Tensão(Pa)]]/1000000</f>
        <v>1.1657024464100725</v>
      </c>
    </row>
    <row r="116" spans="1:6" x14ac:dyDescent="0.3">
      <c r="A116" s="1">
        <v>20.25</v>
      </c>
      <c r="B116" s="1">
        <v>1.6802999999999999</v>
      </c>
      <c r="C116" s="1">
        <f>Tabela7[[#This Row],[Alongamento(mm/mm)]]/$I$2</f>
        <v>3.3605999999999997E-2</v>
      </c>
      <c r="D116" s="1">
        <v>37.252000000000002</v>
      </c>
      <c r="E116" s="1">
        <f>Tabela7[[#This Row],[Forτa(N)]]/$I$5</f>
        <v>1187409.355327118</v>
      </c>
      <c r="F116" s="1">
        <f>Tabela7[[#This Row],[Tensão(Pa)]]/1000000</f>
        <v>1.1874093553271179</v>
      </c>
    </row>
    <row r="117" spans="1:6" x14ac:dyDescent="0.3">
      <c r="A117" s="1">
        <v>20.332999999999998</v>
      </c>
      <c r="B117" s="1">
        <v>1.6874</v>
      </c>
      <c r="C117" s="1">
        <f>Tabela7[[#This Row],[Alongamento(mm/mm)]]/$I$2</f>
        <v>3.3748E-2</v>
      </c>
      <c r="D117" s="1">
        <v>38.101999999999997</v>
      </c>
      <c r="E117" s="1">
        <f>Tabela7[[#This Row],[Forτa(N)]]/$I$5</f>
        <v>1214503.1476611681</v>
      </c>
      <c r="F117" s="1">
        <f>Tabela7[[#This Row],[Tensão(Pa)]]/1000000</f>
        <v>1.2145031476611681</v>
      </c>
    </row>
    <row r="118" spans="1:6" x14ac:dyDescent="0.3">
      <c r="A118" s="1">
        <v>20.417000000000002</v>
      </c>
      <c r="B118" s="1">
        <v>1.6941999999999999</v>
      </c>
      <c r="C118" s="1">
        <f>Tabela7[[#This Row],[Alongamento(mm/mm)]]/$I$2</f>
        <v>3.3883999999999997E-2</v>
      </c>
      <c r="D118" s="1">
        <v>38.783000000000001</v>
      </c>
      <c r="E118" s="1">
        <f>Tabela7[[#This Row],[Forτa(N)]]/$I$5</f>
        <v>1236210.0565782136</v>
      </c>
      <c r="F118" s="1">
        <f>Tabela7[[#This Row],[Tensão(Pa)]]/1000000</f>
        <v>1.2362100565782135</v>
      </c>
    </row>
    <row r="119" spans="1:6" x14ac:dyDescent="0.3">
      <c r="A119" s="1">
        <v>20.483000000000001</v>
      </c>
      <c r="B119" s="1">
        <v>1.6999</v>
      </c>
      <c r="C119" s="1">
        <f>Tabela7[[#This Row],[Alongamento(mm/mm)]]/$I$2</f>
        <v>3.3998E-2</v>
      </c>
      <c r="D119" s="1">
        <v>39.463000000000001</v>
      </c>
      <c r="E119" s="1">
        <f>Tabela7[[#This Row],[Forτa(N)]]/$I$5</f>
        <v>1257885.090445454</v>
      </c>
      <c r="F119" s="1">
        <f>Tabela7[[#This Row],[Tensão(Pa)]]/1000000</f>
        <v>1.2578850904454539</v>
      </c>
    </row>
    <row r="120" spans="1:6" x14ac:dyDescent="0.3">
      <c r="A120" s="1">
        <v>20.55</v>
      </c>
      <c r="B120" s="1">
        <v>1.7054</v>
      </c>
      <c r="C120" s="1">
        <f>Tabela7[[#This Row],[Alongamento(mm/mm)]]/$I$2</f>
        <v>3.4107999999999999E-2</v>
      </c>
      <c r="D120" s="1">
        <v>40.143000000000001</v>
      </c>
      <c r="E120" s="1">
        <f>Tabela7[[#This Row],[Forτa(N)]]/$I$5</f>
        <v>1279560.1243126944</v>
      </c>
      <c r="F120" s="1">
        <f>Tabela7[[#This Row],[Tensão(Pa)]]/1000000</f>
        <v>1.2795601243126944</v>
      </c>
    </row>
    <row r="121" spans="1:6" x14ac:dyDescent="0.3">
      <c r="A121" s="1">
        <v>20.617000000000001</v>
      </c>
      <c r="B121" s="1">
        <v>1.7110000000000001</v>
      </c>
      <c r="C121" s="1">
        <f>Tabela7[[#This Row],[Alongamento(mm/mm)]]/$I$2</f>
        <v>3.422E-2</v>
      </c>
      <c r="D121" s="1">
        <v>40.823999999999998</v>
      </c>
      <c r="E121" s="1">
        <f>Tabela7[[#This Row],[Forτa(N)]]/$I$5</f>
        <v>1301267.0332297394</v>
      </c>
      <c r="F121" s="1">
        <f>Tabela7[[#This Row],[Tensão(Pa)]]/1000000</f>
        <v>1.3012670332297394</v>
      </c>
    </row>
    <row r="122" spans="1:6" x14ac:dyDescent="0.3">
      <c r="A122" s="1">
        <v>20.683</v>
      </c>
      <c r="B122" s="1">
        <v>1.7164999999999999</v>
      </c>
      <c r="C122" s="1">
        <f>Tabela7[[#This Row],[Alongamento(mm/mm)]]/$I$2</f>
        <v>3.4329999999999999E-2</v>
      </c>
      <c r="D122" s="1">
        <v>41.503999999999998</v>
      </c>
      <c r="E122" s="1">
        <f>Tabela7[[#This Row],[Forτa(N)]]/$I$5</f>
        <v>1322942.0670969798</v>
      </c>
      <c r="F122" s="1">
        <f>Tabela7[[#This Row],[Tensão(Pa)]]/1000000</f>
        <v>1.3229420670969798</v>
      </c>
    </row>
    <row r="123" spans="1:6" x14ac:dyDescent="0.3">
      <c r="A123" s="1">
        <v>20.766999999999999</v>
      </c>
      <c r="B123" s="1">
        <v>1.7235</v>
      </c>
      <c r="C123" s="1">
        <f>Tabela7[[#This Row],[Alongamento(mm/mm)]]/$I$2</f>
        <v>3.4470000000000001E-2</v>
      </c>
      <c r="D123" s="1">
        <v>42.185000000000002</v>
      </c>
      <c r="E123" s="1">
        <f>Tabela7[[#This Row],[Forτa(N)]]/$I$5</f>
        <v>1344648.9760140253</v>
      </c>
      <c r="F123" s="1">
        <f>Tabela7[[#This Row],[Tensão(Pa)]]/1000000</f>
        <v>1.3446489760140252</v>
      </c>
    </row>
    <row r="124" spans="1:6" x14ac:dyDescent="0.3">
      <c r="A124" s="1">
        <v>20.832999999999998</v>
      </c>
      <c r="B124" s="1">
        <v>1.7290000000000001</v>
      </c>
      <c r="C124" s="1">
        <f>Tabela7[[#This Row],[Alongamento(mm/mm)]]/$I$2</f>
        <v>3.458E-2</v>
      </c>
      <c r="D124" s="1">
        <v>42.865000000000002</v>
      </c>
      <c r="E124" s="1">
        <f>Tabela7[[#This Row],[Forτa(N)]]/$I$5</f>
        <v>1366324.0098812657</v>
      </c>
      <c r="F124" s="1">
        <f>Tabela7[[#This Row],[Tensão(Pa)]]/1000000</f>
        <v>1.3663240098812657</v>
      </c>
    </row>
    <row r="125" spans="1:6" x14ac:dyDescent="0.3">
      <c r="A125" s="1">
        <v>20.9</v>
      </c>
      <c r="B125" s="1">
        <v>1.7344999999999999</v>
      </c>
      <c r="C125" s="1">
        <f>Tabela7[[#This Row],[Alongamento(mm/mm)]]/$I$2</f>
        <v>3.4689999999999999E-2</v>
      </c>
      <c r="D125" s="1">
        <v>43.545000000000002</v>
      </c>
      <c r="E125" s="1">
        <f>Tabela7[[#This Row],[Forτa(N)]]/$I$5</f>
        <v>1387999.0437485059</v>
      </c>
      <c r="F125" s="1">
        <f>Tabela7[[#This Row],[Tensão(Pa)]]/1000000</f>
        <v>1.3879990437485059</v>
      </c>
    </row>
    <row r="126" spans="1:6" x14ac:dyDescent="0.3">
      <c r="A126" s="1">
        <v>20.983000000000001</v>
      </c>
      <c r="B126" s="1">
        <v>1.7415</v>
      </c>
      <c r="C126" s="1">
        <f>Tabela7[[#This Row],[Alongamento(mm/mm)]]/$I$2</f>
        <v>3.483E-2</v>
      </c>
      <c r="D126" s="1">
        <v>44.225999999999999</v>
      </c>
      <c r="E126" s="1">
        <f>Tabela7[[#This Row],[Forτa(N)]]/$I$5</f>
        <v>1409705.9526655511</v>
      </c>
      <c r="F126" s="1">
        <f>Tabela7[[#This Row],[Tensão(Pa)]]/1000000</f>
        <v>1.4097059526655511</v>
      </c>
    </row>
    <row r="127" spans="1:6" x14ac:dyDescent="0.3">
      <c r="A127" s="1">
        <v>21.05</v>
      </c>
      <c r="B127" s="1">
        <v>1.7471000000000001</v>
      </c>
      <c r="C127" s="1">
        <f>Tabela7[[#This Row],[Alongamento(mm/mm)]]/$I$2</f>
        <v>3.4942000000000001E-2</v>
      </c>
      <c r="D127" s="1">
        <v>44.905999999999999</v>
      </c>
      <c r="E127" s="1">
        <f>Tabela7[[#This Row],[Forτa(N)]]/$I$5</f>
        <v>1431380.9865327915</v>
      </c>
      <c r="F127" s="1">
        <f>Tabela7[[#This Row],[Tensão(Pa)]]/1000000</f>
        <v>1.4313809865327916</v>
      </c>
    </row>
    <row r="128" spans="1:6" x14ac:dyDescent="0.3">
      <c r="A128" s="1">
        <v>21.117000000000001</v>
      </c>
      <c r="B128" s="1">
        <v>1.7526999999999999</v>
      </c>
      <c r="C128" s="1">
        <f>Tabela7[[#This Row],[Alongamento(mm/mm)]]/$I$2</f>
        <v>3.5054000000000002E-2</v>
      </c>
      <c r="D128" s="1">
        <v>45.585999999999999</v>
      </c>
      <c r="E128" s="1">
        <f>Tabela7[[#This Row],[Forτa(N)]]/$I$5</f>
        <v>1453056.0204000319</v>
      </c>
      <c r="F128" s="1">
        <f>Tabela7[[#This Row],[Tensão(Pa)]]/1000000</f>
        <v>1.453056020400032</v>
      </c>
    </row>
    <row r="129" spans="1:6" x14ac:dyDescent="0.3">
      <c r="A129" s="1">
        <v>21.2</v>
      </c>
      <c r="B129" s="1">
        <v>1.7595000000000001</v>
      </c>
      <c r="C129" s="1">
        <f>Tabela7[[#This Row],[Alongamento(mm/mm)]]/$I$2</f>
        <v>3.5189999999999999E-2</v>
      </c>
      <c r="D129" s="1">
        <v>46.267000000000003</v>
      </c>
      <c r="E129" s="1">
        <f>Tabela7[[#This Row],[Forτa(N)]]/$I$5</f>
        <v>1474762.9293170772</v>
      </c>
      <c r="F129" s="1">
        <f>Tabela7[[#This Row],[Tensão(Pa)]]/1000000</f>
        <v>1.4747629293170772</v>
      </c>
    </row>
    <row r="130" spans="1:6" x14ac:dyDescent="0.3">
      <c r="A130" s="1">
        <v>21.266999999999999</v>
      </c>
      <c r="B130" s="1">
        <v>1.7650999999999999</v>
      </c>
      <c r="C130" s="1">
        <f>Tabela7[[#This Row],[Alongamento(mm/mm)]]/$I$2</f>
        <v>3.5302E-2</v>
      </c>
      <c r="D130" s="1">
        <v>46.947000000000003</v>
      </c>
      <c r="E130" s="1">
        <f>Tabela7[[#This Row],[Forτa(N)]]/$I$5</f>
        <v>1496437.9631843176</v>
      </c>
      <c r="F130" s="1">
        <f>Tabela7[[#This Row],[Tensão(Pa)]]/1000000</f>
        <v>1.4964379631843177</v>
      </c>
    </row>
    <row r="131" spans="1:6" x14ac:dyDescent="0.3">
      <c r="A131" s="1">
        <v>21.332999999999998</v>
      </c>
      <c r="B131" s="1">
        <v>1.7706999999999999</v>
      </c>
      <c r="C131" s="1">
        <f>Tabela7[[#This Row],[Alongamento(mm/mm)]]/$I$2</f>
        <v>3.5414000000000001E-2</v>
      </c>
      <c r="D131" s="1">
        <v>47.628</v>
      </c>
      <c r="E131" s="1">
        <f>Tabela7[[#This Row],[Forτa(N)]]/$I$5</f>
        <v>1518144.8721013628</v>
      </c>
      <c r="F131" s="1">
        <f>Tabela7[[#This Row],[Tensão(Pa)]]/1000000</f>
        <v>1.5181448721013628</v>
      </c>
    </row>
    <row r="132" spans="1:6" x14ac:dyDescent="0.3">
      <c r="A132" s="1">
        <v>21.417000000000002</v>
      </c>
      <c r="B132" s="1">
        <v>1.7776000000000001</v>
      </c>
      <c r="C132" s="1">
        <f>Tabela7[[#This Row],[Alongamento(mm/mm)]]/$I$2</f>
        <v>3.5552E-2</v>
      </c>
      <c r="D132" s="1">
        <v>48.308</v>
      </c>
      <c r="E132" s="1">
        <f>Tabela7[[#This Row],[Forτa(N)]]/$I$5</f>
        <v>1539819.9059686032</v>
      </c>
      <c r="F132" s="1">
        <f>Tabela7[[#This Row],[Tensão(Pa)]]/1000000</f>
        <v>1.5398199059686033</v>
      </c>
    </row>
    <row r="133" spans="1:6" x14ac:dyDescent="0.3">
      <c r="A133" s="1">
        <v>21.5</v>
      </c>
      <c r="B133" s="1">
        <v>1.7846</v>
      </c>
      <c r="C133" s="1">
        <f>Tabela7[[#This Row],[Alongamento(mm/mm)]]/$I$2</f>
        <v>3.5692000000000002E-2</v>
      </c>
      <c r="D133" s="1">
        <v>48.988</v>
      </c>
      <c r="E133" s="1">
        <f>Tabela7[[#This Row],[Forτa(N)]]/$I$5</f>
        <v>1561494.9398358436</v>
      </c>
      <c r="F133" s="1">
        <f>Tabela7[[#This Row],[Tensão(Pa)]]/1000000</f>
        <v>1.5614949398358435</v>
      </c>
    </row>
    <row r="134" spans="1:6" x14ac:dyDescent="0.3">
      <c r="A134" s="1">
        <v>21.567</v>
      </c>
      <c r="B134" s="1">
        <v>1.7902</v>
      </c>
      <c r="C134" s="1">
        <f>Tabela7[[#This Row],[Alongamento(mm/mm)]]/$I$2</f>
        <v>3.5804000000000002E-2</v>
      </c>
      <c r="D134" s="1">
        <v>49.668999999999997</v>
      </c>
      <c r="E134" s="1">
        <f>Tabela7[[#This Row],[Forτa(N)]]/$I$5</f>
        <v>1583201.8487528886</v>
      </c>
      <c r="F134" s="1">
        <f>Tabela7[[#This Row],[Tensão(Pa)]]/1000000</f>
        <v>1.5832018487528887</v>
      </c>
    </row>
    <row r="135" spans="1:6" x14ac:dyDescent="0.3">
      <c r="A135" s="1">
        <v>21.632999999999999</v>
      </c>
      <c r="B135" s="1">
        <v>1.7957000000000001</v>
      </c>
      <c r="C135" s="1">
        <f>Tabela7[[#This Row],[Alongamento(mm/mm)]]/$I$2</f>
        <v>3.5914000000000001E-2</v>
      </c>
      <c r="D135" s="1">
        <v>50.348999999999997</v>
      </c>
      <c r="E135" s="1">
        <f>Tabela7[[#This Row],[Forτa(N)]]/$I$5</f>
        <v>1604876.882620129</v>
      </c>
      <c r="F135" s="1">
        <f>Tabela7[[#This Row],[Tensão(Pa)]]/1000000</f>
        <v>1.604876882620129</v>
      </c>
    </row>
    <row r="136" spans="1:6" x14ac:dyDescent="0.3">
      <c r="A136" s="1">
        <v>21.716999999999999</v>
      </c>
      <c r="B136" s="1">
        <v>1.8026</v>
      </c>
      <c r="C136" s="1">
        <f>Tabela7[[#This Row],[Alongamento(mm/mm)]]/$I$2</f>
        <v>3.6052000000000001E-2</v>
      </c>
      <c r="D136" s="1">
        <v>51.03</v>
      </c>
      <c r="E136" s="1">
        <f>Tabela7[[#This Row],[Forτa(N)]]/$I$5</f>
        <v>1626583.7915371745</v>
      </c>
      <c r="F136" s="1">
        <f>Tabela7[[#This Row],[Tensão(Pa)]]/1000000</f>
        <v>1.6265837915371746</v>
      </c>
    </row>
    <row r="137" spans="1:6" x14ac:dyDescent="0.3">
      <c r="A137" s="1">
        <v>21.783000000000001</v>
      </c>
      <c r="B137" s="1">
        <v>1.8081</v>
      </c>
      <c r="C137" s="1">
        <f>Tabela7[[#This Row],[Alongamento(mm/mm)]]/$I$2</f>
        <v>3.6162E-2</v>
      </c>
      <c r="D137" s="1">
        <v>51.71</v>
      </c>
      <c r="E137" s="1">
        <f>Tabela7[[#This Row],[Forτa(N)]]/$I$5</f>
        <v>1648258.8254044149</v>
      </c>
      <c r="F137" s="1">
        <f>Tabela7[[#This Row],[Tensão(Pa)]]/1000000</f>
        <v>1.6482588254044148</v>
      </c>
    </row>
    <row r="138" spans="1:6" x14ac:dyDescent="0.3">
      <c r="A138" s="1">
        <v>21.85</v>
      </c>
      <c r="B138" s="1">
        <v>1.8137000000000001</v>
      </c>
      <c r="C138" s="1">
        <f>Tabela7[[#This Row],[Alongamento(mm/mm)]]/$I$2</f>
        <v>3.6274000000000001E-2</v>
      </c>
      <c r="D138" s="1">
        <v>52.39</v>
      </c>
      <c r="E138" s="1">
        <f>Tabela7[[#This Row],[Forτa(N)]]/$I$5</f>
        <v>1669933.8592716553</v>
      </c>
      <c r="F138" s="1">
        <f>Tabela7[[#This Row],[Tensão(Pa)]]/1000000</f>
        <v>1.6699338592716553</v>
      </c>
    </row>
    <row r="139" spans="1:6" x14ac:dyDescent="0.3">
      <c r="A139" s="1">
        <v>21.917000000000002</v>
      </c>
      <c r="B139" s="1">
        <v>1.8192999999999999</v>
      </c>
      <c r="C139" s="1">
        <f>Tabela7[[#This Row],[Alongamento(mm/mm)]]/$I$2</f>
        <v>3.6386000000000002E-2</v>
      </c>
      <c r="D139" s="1">
        <v>53.070999999999998</v>
      </c>
      <c r="E139" s="1">
        <f>Tabela7[[#This Row],[Forτa(N)]]/$I$5</f>
        <v>1691640.7681887003</v>
      </c>
      <c r="F139" s="1">
        <f>Tabela7[[#This Row],[Tensão(Pa)]]/1000000</f>
        <v>1.6916407681887002</v>
      </c>
    </row>
    <row r="140" spans="1:6" x14ac:dyDescent="0.3">
      <c r="A140" s="1">
        <v>21.983000000000001</v>
      </c>
      <c r="B140" s="1">
        <v>1.8249</v>
      </c>
      <c r="C140" s="1">
        <f>Tabela7[[#This Row],[Alongamento(mm/mm)]]/$I$2</f>
        <v>3.6498000000000003E-2</v>
      </c>
      <c r="D140" s="1">
        <v>53.750999999999998</v>
      </c>
      <c r="E140" s="1">
        <f>Tabela7[[#This Row],[Forτa(N)]]/$I$5</f>
        <v>1713315.8020559407</v>
      </c>
      <c r="F140" s="1">
        <f>Tabela7[[#This Row],[Tensão(Pa)]]/1000000</f>
        <v>1.7133158020559407</v>
      </c>
    </row>
    <row r="141" spans="1:6" x14ac:dyDescent="0.3">
      <c r="A141" s="1">
        <v>22.05</v>
      </c>
      <c r="B141" s="1">
        <v>1.8305</v>
      </c>
      <c r="C141" s="1">
        <f>Tabela7[[#This Row],[Alongamento(mm/mm)]]/$I$2</f>
        <v>3.6610000000000004E-2</v>
      </c>
      <c r="D141" s="1">
        <v>54.432000000000002</v>
      </c>
      <c r="E141" s="1">
        <f>Tabela7[[#This Row],[Forτa(N)]]/$I$5</f>
        <v>1735022.710972986</v>
      </c>
      <c r="F141" s="1">
        <f>Tabela7[[#This Row],[Tensão(Pa)]]/1000000</f>
        <v>1.7350227109729859</v>
      </c>
    </row>
    <row r="142" spans="1:6" x14ac:dyDescent="0.3">
      <c r="A142" s="1">
        <v>22.117000000000001</v>
      </c>
      <c r="B142" s="1">
        <v>1.8360000000000001</v>
      </c>
      <c r="C142" s="1">
        <f>Tabela7[[#This Row],[Alongamento(mm/mm)]]/$I$2</f>
        <v>3.6720000000000003E-2</v>
      </c>
      <c r="D142" s="1">
        <v>55.112000000000002</v>
      </c>
      <c r="E142" s="1">
        <f>Tabela7[[#This Row],[Forτa(N)]]/$I$5</f>
        <v>1756697.7448402264</v>
      </c>
      <c r="F142" s="1">
        <f>Tabela7[[#This Row],[Tensão(Pa)]]/1000000</f>
        <v>1.7566977448402263</v>
      </c>
    </row>
    <row r="143" spans="1:6" x14ac:dyDescent="0.3">
      <c r="A143" s="1">
        <v>22.183</v>
      </c>
      <c r="B143" s="1">
        <v>1.8415999999999999</v>
      </c>
      <c r="C143" s="1">
        <f>Tabela7[[#This Row],[Alongamento(mm/mm)]]/$I$2</f>
        <v>3.6831999999999997E-2</v>
      </c>
      <c r="D143" s="1">
        <v>55.792000000000002</v>
      </c>
      <c r="E143" s="1">
        <f>Tabela7[[#This Row],[Forτa(N)]]/$I$5</f>
        <v>1778372.7787074668</v>
      </c>
      <c r="F143" s="1">
        <f>Tabela7[[#This Row],[Tensão(Pa)]]/1000000</f>
        <v>1.7783727787074668</v>
      </c>
    </row>
    <row r="144" spans="1:6" x14ac:dyDescent="0.3">
      <c r="A144" s="1">
        <v>22.25</v>
      </c>
      <c r="B144" s="1">
        <v>1.8471</v>
      </c>
      <c r="C144" s="1">
        <f>Tabela7[[#This Row],[Alongamento(mm/mm)]]/$I$2</f>
        <v>3.6942000000000003E-2</v>
      </c>
      <c r="D144" s="1">
        <v>56.472999999999999</v>
      </c>
      <c r="E144" s="1">
        <f>Tabela7[[#This Row],[Forτa(N)]]/$I$5</f>
        <v>1800079.687624512</v>
      </c>
      <c r="F144" s="1">
        <f>Tabela7[[#This Row],[Tensão(Pa)]]/1000000</f>
        <v>1.800079687624512</v>
      </c>
    </row>
    <row r="145" spans="1:6" x14ac:dyDescent="0.3">
      <c r="A145" s="1">
        <v>22.317</v>
      </c>
      <c r="B145" s="1">
        <v>1.8526</v>
      </c>
      <c r="C145" s="1">
        <f>Tabela7[[#This Row],[Alongamento(mm/mm)]]/$I$2</f>
        <v>3.7052000000000002E-2</v>
      </c>
      <c r="D145" s="1">
        <v>57.323</v>
      </c>
      <c r="E145" s="1">
        <f>Tabela7[[#This Row],[Forτa(N)]]/$I$5</f>
        <v>1827173.4799585626</v>
      </c>
      <c r="F145" s="1">
        <f>Tabela7[[#This Row],[Tensão(Pa)]]/1000000</f>
        <v>1.8271734799585626</v>
      </c>
    </row>
    <row r="146" spans="1:6" x14ac:dyDescent="0.3">
      <c r="A146" s="1">
        <v>22.382999999999999</v>
      </c>
      <c r="B146" s="1">
        <v>1.8582000000000001</v>
      </c>
      <c r="C146" s="1">
        <f>Tabela7[[#This Row],[Alongamento(mm/mm)]]/$I$2</f>
        <v>3.7164000000000003E-2</v>
      </c>
      <c r="D146" s="1">
        <v>58.003999999999998</v>
      </c>
      <c r="E146" s="1">
        <f>Tabela7[[#This Row],[Forτa(N)]]/$I$5</f>
        <v>1848880.3888756076</v>
      </c>
      <c r="F146" s="1">
        <f>Tabela7[[#This Row],[Tensão(Pa)]]/1000000</f>
        <v>1.8488803888756076</v>
      </c>
    </row>
    <row r="147" spans="1:6" x14ac:dyDescent="0.3">
      <c r="A147" s="1">
        <v>22.45</v>
      </c>
      <c r="B147" s="1">
        <v>1.8637999999999999</v>
      </c>
      <c r="C147" s="1">
        <f>Tabela7[[#This Row],[Alongamento(mm/mm)]]/$I$2</f>
        <v>3.7275999999999997E-2</v>
      </c>
      <c r="D147" s="1">
        <v>58.683999999999997</v>
      </c>
      <c r="E147" s="1">
        <f>Tabela7[[#This Row],[Forτa(N)]]/$I$5</f>
        <v>1870555.4227428481</v>
      </c>
      <c r="F147" s="1">
        <f>Tabela7[[#This Row],[Tensão(Pa)]]/1000000</f>
        <v>1.870555422742848</v>
      </c>
    </row>
    <row r="148" spans="1:6" x14ac:dyDescent="0.3">
      <c r="A148" s="1">
        <v>22.5</v>
      </c>
      <c r="B148" s="1">
        <v>1.8680000000000001</v>
      </c>
      <c r="C148" s="1">
        <f>Tabela7[[#This Row],[Alongamento(mm/mm)]]/$I$2</f>
        <v>3.7360000000000004E-2</v>
      </c>
      <c r="D148" s="1">
        <v>59.363999999999997</v>
      </c>
      <c r="E148" s="1">
        <f>Tabela7[[#This Row],[Forτa(N)]]/$I$5</f>
        <v>1892230.4566100885</v>
      </c>
      <c r="F148" s="1">
        <f>Tabela7[[#This Row],[Tensão(Pa)]]/1000000</f>
        <v>1.8922304566100885</v>
      </c>
    </row>
    <row r="149" spans="1:6" x14ac:dyDescent="0.3">
      <c r="A149" s="1">
        <v>22.567</v>
      </c>
      <c r="B149" s="1">
        <v>1.8734</v>
      </c>
      <c r="C149" s="1">
        <f>Tabela7[[#This Row],[Alongamento(mm/mm)]]/$I$2</f>
        <v>3.7468000000000001E-2</v>
      </c>
      <c r="D149" s="1">
        <v>60.045000000000002</v>
      </c>
      <c r="E149" s="1">
        <f>Tabela7[[#This Row],[Forτa(N)]]/$I$5</f>
        <v>1913937.3655271337</v>
      </c>
      <c r="F149" s="1">
        <f>Tabela7[[#This Row],[Tensão(Pa)]]/1000000</f>
        <v>1.9139373655271337</v>
      </c>
    </row>
    <row r="150" spans="1:6" x14ac:dyDescent="0.3">
      <c r="A150" s="1">
        <v>22.617000000000001</v>
      </c>
      <c r="B150" s="1">
        <v>1.8775999999999999</v>
      </c>
      <c r="C150" s="1">
        <f>Tabela7[[#This Row],[Alongamento(mm/mm)]]/$I$2</f>
        <v>3.7552000000000002E-2</v>
      </c>
      <c r="D150" s="1">
        <v>60.725000000000001</v>
      </c>
      <c r="E150" s="1">
        <f>Tabela7[[#This Row],[Forτa(N)]]/$I$5</f>
        <v>1935612.3993943741</v>
      </c>
      <c r="F150" s="1">
        <f>Tabela7[[#This Row],[Tensão(Pa)]]/1000000</f>
        <v>1.9356123993943741</v>
      </c>
    </row>
    <row r="151" spans="1:6" x14ac:dyDescent="0.3">
      <c r="A151" s="1">
        <v>22.683</v>
      </c>
      <c r="B151" s="1">
        <v>1.8832</v>
      </c>
      <c r="C151" s="1">
        <f>Tabela7[[#This Row],[Alongamento(mm/mm)]]/$I$2</f>
        <v>3.7664000000000003E-2</v>
      </c>
      <c r="D151" s="1">
        <v>61.576000000000001</v>
      </c>
      <c r="E151" s="1">
        <f>Tabela7[[#This Row],[Forτa(N)]]/$I$5</f>
        <v>1962738.0667782295</v>
      </c>
      <c r="F151" s="1">
        <f>Tabela7[[#This Row],[Tensão(Pa)]]/1000000</f>
        <v>1.9627380667782295</v>
      </c>
    </row>
    <row r="152" spans="1:6" x14ac:dyDescent="0.3">
      <c r="A152" s="1">
        <v>22.75</v>
      </c>
      <c r="B152" s="1">
        <v>1.8888</v>
      </c>
      <c r="C152" s="1">
        <f>Tabela7[[#This Row],[Alongamento(mm/mm)]]/$I$2</f>
        <v>3.7776000000000004E-2</v>
      </c>
      <c r="D152" s="1">
        <v>62.426000000000002</v>
      </c>
      <c r="E152" s="1">
        <f>Tabela7[[#This Row],[Forτa(N)]]/$I$5</f>
        <v>1989831.85911228</v>
      </c>
      <c r="F152" s="1">
        <f>Tabela7[[#This Row],[Tensão(Pa)]]/1000000</f>
        <v>1.9898318591122799</v>
      </c>
    </row>
    <row r="153" spans="1:6" x14ac:dyDescent="0.3">
      <c r="A153" s="1">
        <v>22.817</v>
      </c>
      <c r="B153" s="1">
        <v>1.8943000000000001</v>
      </c>
      <c r="C153" s="1">
        <f>Tabela7[[#This Row],[Alongamento(mm/mm)]]/$I$2</f>
        <v>3.7886000000000003E-2</v>
      </c>
      <c r="D153" s="1">
        <v>63.277000000000001</v>
      </c>
      <c r="E153" s="1">
        <f>Tabela7[[#This Row],[Forτa(N)]]/$I$5</f>
        <v>2016957.5264961354</v>
      </c>
      <c r="F153" s="1">
        <f>Tabela7[[#This Row],[Tensão(Pa)]]/1000000</f>
        <v>2.0169575264961352</v>
      </c>
    </row>
    <row r="154" spans="1:6" x14ac:dyDescent="0.3">
      <c r="A154" s="1">
        <v>22.882999999999999</v>
      </c>
      <c r="B154" s="1">
        <v>1.8998999999999999</v>
      </c>
      <c r="C154" s="1">
        <f>Tabela7[[#This Row],[Alongamento(mm/mm)]]/$I$2</f>
        <v>3.7997999999999997E-2</v>
      </c>
      <c r="D154" s="1">
        <v>63.957000000000001</v>
      </c>
      <c r="E154" s="1">
        <f>Tabela7[[#This Row],[Forτa(N)]]/$I$5</f>
        <v>2038632.5603633758</v>
      </c>
      <c r="F154" s="1">
        <f>Tabela7[[#This Row],[Tensão(Pa)]]/1000000</f>
        <v>2.0386325603633759</v>
      </c>
    </row>
    <row r="155" spans="1:6" x14ac:dyDescent="0.3">
      <c r="A155" s="1">
        <v>22.933</v>
      </c>
      <c r="B155" s="1">
        <v>1.9040999999999999</v>
      </c>
      <c r="C155" s="1">
        <f>Tabela7[[#This Row],[Alongamento(mm/mm)]]/$I$2</f>
        <v>3.8081999999999998E-2</v>
      </c>
      <c r="D155" s="1">
        <v>64.638000000000005</v>
      </c>
      <c r="E155" s="1">
        <f>Tabela7[[#This Row],[Forτa(N)]]/$I$5</f>
        <v>2060339.469280421</v>
      </c>
      <c r="F155" s="1">
        <f>Tabela7[[#This Row],[Tensão(Pa)]]/1000000</f>
        <v>2.0603394692804211</v>
      </c>
    </row>
    <row r="156" spans="1:6" x14ac:dyDescent="0.3">
      <c r="A156" s="1">
        <v>22.983000000000001</v>
      </c>
      <c r="B156" s="1">
        <v>1.9081999999999999</v>
      </c>
      <c r="C156" s="1">
        <f>Tabela7[[#This Row],[Alongamento(mm/mm)]]/$I$2</f>
        <v>3.8163999999999997E-2</v>
      </c>
      <c r="D156" s="1">
        <v>65.317999999999998</v>
      </c>
      <c r="E156" s="1">
        <f>Tabela7[[#This Row],[Forτa(N)]]/$I$5</f>
        <v>2082014.5031476612</v>
      </c>
      <c r="F156" s="1">
        <f>Tabela7[[#This Row],[Tensão(Pa)]]/1000000</f>
        <v>2.0820145031476613</v>
      </c>
    </row>
    <row r="157" spans="1:6" x14ac:dyDescent="0.3">
      <c r="A157" s="1">
        <v>23.033000000000001</v>
      </c>
      <c r="B157" s="1">
        <v>1.9123000000000001</v>
      </c>
      <c r="C157" s="1">
        <f>Tabela7[[#This Row],[Alongamento(mm/mm)]]/$I$2</f>
        <v>3.8246000000000002E-2</v>
      </c>
      <c r="D157" s="1">
        <v>65.998000000000005</v>
      </c>
      <c r="E157" s="1">
        <f>Tabela7[[#This Row],[Forτa(N)]]/$I$5</f>
        <v>2103689.5370149016</v>
      </c>
      <c r="F157" s="1">
        <f>Tabela7[[#This Row],[Tensão(Pa)]]/1000000</f>
        <v>2.1036895370149016</v>
      </c>
    </row>
    <row r="158" spans="1:6" x14ac:dyDescent="0.3">
      <c r="A158" s="1">
        <v>23.082999999999998</v>
      </c>
      <c r="B158" s="1">
        <v>1.9165000000000001</v>
      </c>
      <c r="C158" s="1">
        <f>Tabela7[[#This Row],[Alongamento(mm/mm)]]/$I$2</f>
        <v>3.8330000000000003E-2</v>
      </c>
      <c r="D158" s="1">
        <v>66.679000000000002</v>
      </c>
      <c r="E158" s="1">
        <f>Tabela7[[#This Row],[Forτa(N)]]/$I$5</f>
        <v>2125396.4459319469</v>
      </c>
      <c r="F158" s="1">
        <f>Tabela7[[#This Row],[Tensão(Pa)]]/1000000</f>
        <v>2.1253964459319468</v>
      </c>
    </row>
    <row r="159" spans="1:6" x14ac:dyDescent="0.3">
      <c r="A159" s="1">
        <v>23.132999999999999</v>
      </c>
      <c r="B159" s="1">
        <v>1.9206000000000001</v>
      </c>
      <c r="C159" s="1">
        <f>Tabela7[[#This Row],[Alongamento(mm/mm)]]/$I$2</f>
        <v>3.8412000000000002E-2</v>
      </c>
      <c r="D159" s="1">
        <v>67.358999999999995</v>
      </c>
      <c r="E159" s="1">
        <f>Tabela7[[#This Row],[Forτa(N)]]/$I$5</f>
        <v>2147071.4797991873</v>
      </c>
      <c r="F159" s="1">
        <f>Tabela7[[#This Row],[Tensão(Pa)]]/1000000</f>
        <v>2.1470714797991874</v>
      </c>
    </row>
    <row r="160" spans="1:6" x14ac:dyDescent="0.3">
      <c r="A160" s="1">
        <v>23.183</v>
      </c>
      <c r="B160" s="1">
        <v>1.9249000000000001</v>
      </c>
      <c r="C160" s="1">
        <f>Tabela7[[#This Row],[Alongamento(mm/mm)]]/$I$2</f>
        <v>3.8498000000000004E-2</v>
      </c>
      <c r="D160" s="1">
        <v>68.040000000000006</v>
      </c>
      <c r="E160" s="1">
        <f>Tabela7[[#This Row],[Forτa(N)]]/$I$5</f>
        <v>2168778.3887162325</v>
      </c>
      <c r="F160" s="1">
        <f>Tabela7[[#This Row],[Tensão(Pa)]]/1000000</f>
        <v>2.1687783887162326</v>
      </c>
    </row>
    <row r="161" spans="1:6" x14ac:dyDescent="0.3">
      <c r="A161" s="1">
        <v>23.233000000000001</v>
      </c>
      <c r="B161" s="1">
        <v>1.929</v>
      </c>
      <c r="C161" s="1">
        <f>Tabela7[[#This Row],[Alongamento(mm/mm)]]/$I$2</f>
        <v>3.8580000000000003E-2</v>
      </c>
      <c r="D161" s="1">
        <v>68.72</v>
      </c>
      <c r="E161" s="1">
        <f>Tabela7[[#This Row],[Forτa(N)]]/$I$5</f>
        <v>2190453.4225834729</v>
      </c>
      <c r="F161" s="1">
        <f>Tabela7[[#This Row],[Tensão(Pa)]]/1000000</f>
        <v>2.1904534225834729</v>
      </c>
    </row>
    <row r="162" spans="1:6" x14ac:dyDescent="0.3">
      <c r="A162" s="1">
        <v>23.283000000000001</v>
      </c>
      <c r="B162" s="1">
        <v>1.9332</v>
      </c>
      <c r="C162" s="1">
        <f>Tabela7[[#This Row],[Alongamento(mm/mm)]]/$I$2</f>
        <v>3.8664000000000004E-2</v>
      </c>
      <c r="D162" s="1">
        <v>69.400000000000006</v>
      </c>
      <c r="E162" s="1">
        <f>Tabela7[[#This Row],[Forτa(N)]]/$I$5</f>
        <v>2212128.4564507133</v>
      </c>
      <c r="F162" s="1">
        <f>Tabela7[[#This Row],[Tensão(Pa)]]/1000000</f>
        <v>2.2121284564507135</v>
      </c>
    </row>
    <row r="163" spans="1:6" x14ac:dyDescent="0.3">
      <c r="A163" s="1">
        <v>23.332999999999998</v>
      </c>
      <c r="B163" s="1">
        <v>1.9373</v>
      </c>
      <c r="C163" s="1">
        <f>Tabela7[[#This Row],[Alongamento(mm/mm)]]/$I$2</f>
        <v>3.8746000000000003E-2</v>
      </c>
      <c r="D163" s="1">
        <v>70.081000000000003</v>
      </c>
      <c r="E163" s="1">
        <f>Tabela7[[#This Row],[Forτa(N)]]/$I$5</f>
        <v>2233835.3653677586</v>
      </c>
      <c r="F163" s="1">
        <f>Tabela7[[#This Row],[Tensão(Pa)]]/1000000</f>
        <v>2.2338353653677587</v>
      </c>
    </row>
    <row r="164" spans="1:6" x14ac:dyDescent="0.3">
      <c r="A164" s="1">
        <v>23.382999999999999</v>
      </c>
      <c r="B164" s="1">
        <v>1.9416</v>
      </c>
      <c r="C164" s="1">
        <f>Tabela7[[#This Row],[Alongamento(mm/mm)]]/$I$2</f>
        <v>3.8831999999999998E-2</v>
      </c>
      <c r="D164" s="1">
        <v>70.760999999999996</v>
      </c>
      <c r="E164" s="1">
        <f>Tabela7[[#This Row],[Forτa(N)]]/$I$5</f>
        <v>2255510.399234999</v>
      </c>
      <c r="F164" s="1">
        <f>Tabela7[[#This Row],[Tensão(Pa)]]/1000000</f>
        <v>2.255510399234999</v>
      </c>
    </row>
    <row r="165" spans="1:6" x14ac:dyDescent="0.3">
      <c r="A165" s="1">
        <v>23.433</v>
      </c>
      <c r="B165" s="1">
        <v>1.9457</v>
      </c>
      <c r="C165" s="1">
        <f>Tabela7[[#This Row],[Alongamento(mm/mm)]]/$I$2</f>
        <v>3.8913999999999997E-2</v>
      </c>
      <c r="D165" s="1">
        <v>71.441000000000003</v>
      </c>
      <c r="E165" s="1">
        <f>Tabela7[[#This Row],[Forτa(N)]]/$I$5</f>
        <v>2277185.4331022394</v>
      </c>
      <c r="F165" s="1">
        <f>Tabela7[[#This Row],[Tensão(Pa)]]/1000000</f>
        <v>2.2771854331022392</v>
      </c>
    </row>
    <row r="166" spans="1:6" x14ac:dyDescent="0.3">
      <c r="A166" s="1">
        <v>23.483000000000001</v>
      </c>
      <c r="B166" s="1">
        <v>1.9498</v>
      </c>
      <c r="C166" s="1">
        <f>Tabela7[[#This Row],[Alongamento(mm/mm)]]/$I$2</f>
        <v>3.8996000000000003E-2</v>
      </c>
      <c r="D166" s="1">
        <v>72.292000000000002</v>
      </c>
      <c r="E166" s="1">
        <f>Tabela7[[#This Row],[Forτa(N)]]/$I$5</f>
        <v>2304311.1004860946</v>
      </c>
      <c r="F166" s="1">
        <f>Tabela7[[#This Row],[Tensão(Pa)]]/1000000</f>
        <v>2.3043111004860948</v>
      </c>
    </row>
    <row r="167" spans="1:6" x14ac:dyDescent="0.3">
      <c r="A167" s="1">
        <v>23.533000000000001</v>
      </c>
      <c r="B167" s="1">
        <v>1.954</v>
      </c>
      <c r="C167" s="1">
        <f>Tabela7[[#This Row],[Alongamento(mm/mm)]]/$I$2</f>
        <v>3.9079999999999997E-2</v>
      </c>
      <c r="D167" s="1">
        <v>72.971999999999994</v>
      </c>
      <c r="E167" s="1">
        <f>Tabela7[[#This Row],[Forτa(N)]]/$I$5</f>
        <v>2325986.134353335</v>
      </c>
      <c r="F167" s="1">
        <f>Tabela7[[#This Row],[Tensão(Pa)]]/1000000</f>
        <v>2.325986134353335</v>
      </c>
    </row>
    <row r="168" spans="1:6" x14ac:dyDescent="0.3">
      <c r="A168" s="1">
        <v>23.582999999999998</v>
      </c>
      <c r="B168" s="1">
        <v>1.9581</v>
      </c>
      <c r="C168" s="1">
        <f>Tabela7[[#This Row],[Alongamento(mm/mm)]]/$I$2</f>
        <v>3.9162000000000002E-2</v>
      </c>
      <c r="D168" s="1">
        <v>73.653000000000006</v>
      </c>
      <c r="E168" s="1">
        <f>Tabela7[[#This Row],[Forτa(N)]]/$I$5</f>
        <v>2347693.0432703802</v>
      </c>
      <c r="F168" s="1">
        <f>Tabela7[[#This Row],[Tensão(Pa)]]/1000000</f>
        <v>2.3476930432703802</v>
      </c>
    </row>
    <row r="169" spans="1:6" x14ac:dyDescent="0.3">
      <c r="A169" s="1">
        <v>23.632999999999999</v>
      </c>
      <c r="B169" s="1">
        <v>1.9622999999999999</v>
      </c>
      <c r="C169" s="1">
        <f>Tabela7[[#This Row],[Alongamento(mm/mm)]]/$I$2</f>
        <v>3.9245999999999996E-2</v>
      </c>
      <c r="D169" s="1">
        <v>74.503</v>
      </c>
      <c r="E169" s="1">
        <f>Tabela7[[#This Row],[Forτa(N)]]/$I$5</f>
        <v>2374786.8356044306</v>
      </c>
      <c r="F169" s="1">
        <f>Tabela7[[#This Row],[Tensão(Pa)]]/1000000</f>
        <v>2.3747868356044308</v>
      </c>
    </row>
    <row r="170" spans="1:6" x14ac:dyDescent="0.3">
      <c r="A170" s="1">
        <v>23.683</v>
      </c>
      <c r="B170" s="1">
        <v>1.9664999999999999</v>
      </c>
      <c r="C170" s="1">
        <f>Tabela7[[#This Row],[Alongamento(mm/mm)]]/$I$2</f>
        <v>3.9329999999999997E-2</v>
      </c>
      <c r="D170" s="1">
        <v>75.183999999999997</v>
      </c>
      <c r="E170" s="1">
        <f>Tabela7[[#This Row],[Forτa(N)]]/$I$5</f>
        <v>2396493.7445214759</v>
      </c>
      <c r="F170" s="1">
        <f>Tabela7[[#This Row],[Tensão(Pa)]]/1000000</f>
        <v>2.396493744521476</v>
      </c>
    </row>
    <row r="171" spans="1:6" x14ac:dyDescent="0.3">
      <c r="A171" s="1">
        <v>23.733000000000001</v>
      </c>
      <c r="B171" s="1">
        <v>1.9706999999999999</v>
      </c>
      <c r="C171" s="1">
        <f>Tabela7[[#This Row],[Alongamento(mm/mm)]]/$I$2</f>
        <v>3.9413999999999998E-2</v>
      </c>
      <c r="D171" s="1">
        <v>75.864000000000004</v>
      </c>
      <c r="E171" s="1">
        <f>Tabela7[[#This Row],[Forτa(N)]]/$I$5</f>
        <v>2418168.7783887163</v>
      </c>
      <c r="F171" s="1">
        <f>Tabela7[[#This Row],[Tensão(Pa)]]/1000000</f>
        <v>2.4181687783887162</v>
      </c>
    </row>
    <row r="172" spans="1:6" x14ac:dyDescent="0.3">
      <c r="A172" s="1">
        <v>23.766999999999999</v>
      </c>
      <c r="B172" s="1">
        <v>1.9735</v>
      </c>
      <c r="C172" s="1">
        <f>Tabela7[[#This Row],[Alongamento(mm/mm)]]/$I$2</f>
        <v>3.9469999999999998E-2</v>
      </c>
      <c r="D172" s="1">
        <v>76.543999999999997</v>
      </c>
      <c r="E172" s="1">
        <f>Tabela7[[#This Row],[Forτa(N)]]/$I$5</f>
        <v>2439843.8122559567</v>
      </c>
      <c r="F172" s="1">
        <f>Tabela7[[#This Row],[Tensão(Pa)]]/1000000</f>
        <v>2.4398438122559565</v>
      </c>
    </row>
    <row r="173" spans="1:6" x14ac:dyDescent="0.3">
      <c r="A173" s="1">
        <v>23.817</v>
      </c>
      <c r="B173" s="1">
        <v>1.9777</v>
      </c>
      <c r="C173" s="1">
        <f>Tabela7[[#This Row],[Alongamento(mm/mm)]]/$I$2</f>
        <v>3.9553999999999999E-2</v>
      </c>
      <c r="D173" s="1">
        <v>77.224999999999994</v>
      </c>
      <c r="E173" s="1">
        <f>Tabela7[[#This Row],[Forτa(N)]]/$I$5</f>
        <v>2461550.7211730019</v>
      </c>
      <c r="F173" s="1">
        <f>Tabela7[[#This Row],[Tensão(Pa)]]/1000000</f>
        <v>2.4615507211730021</v>
      </c>
    </row>
    <row r="174" spans="1:6" x14ac:dyDescent="0.3">
      <c r="A174" s="1">
        <v>23.867000000000001</v>
      </c>
      <c r="B174" s="1">
        <v>1.9819</v>
      </c>
      <c r="C174" s="1">
        <f>Tabela7[[#This Row],[Alongamento(mm/mm)]]/$I$2</f>
        <v>3.9638E-2</v>
      </c>
      <c r="D174" s="1">
        <v>78.075000000000003</v>
      </c>
      <c r="E174" s="1">
        <f>Tabela7[[#This Row],[Forτa(N)]]/$I$5</f>
        <v>2488644.5135070528</v>
      </c>
      <c r="F174" s="1">
        <f>Tabela7[[#This Row],[Tensão(Pa)]]/1000000</f>
        <v>2.4886445135070527</v>
      </c>
    </row>
    <row r="175" spans="1:6" x14ac:dyDescent="0.3">
      <c r="A175" s="1">
        <v>23.917000000000002</v>
      </c>
      <c r="B175" s="1">
        <v>1.986</v>
      </c>
      <c r="C175" s="1">
        <f>Tabela7[[#This Row],[Alongamento(mm/mm)]]/$I$2</f>
        <v>3.9719999999999998E-2</v>
      </c>
      <c r="D175" s="1">
        <v>78.756</v>
      </c>
      <c r="E175" s="1">
        <f>Tabela7[[#This Row],[Forτa(N)]]/$I$5</f>
        <v>2510351.4224240975</v>
      </c>
      <c r="F175" s="1">
        <f>Tabela7[[#This Row],[Tensão(Pa)]]/1000000</f>
        <v>2.5103514224240975</v>
      </c>
    </row>
    <row r="176" spans="1:6" x14ac:dyDescent="0.3">
      <c r="A176" s="1">
        <v>23.966999999999999</v>
      </c>
      <c r="B176" s="1">
        <v>1.9901</v>
      </c>
      <c r="C176" s="1">
        <f>Tabela7[[#This Row],[Alongamento(mm/mm)]]/$I$2</f>
        <v>3.9801999999999997E-2</v>
      </c>
      <c r="D176" s="1">
        <v>79.605999999999995</v>
      </c>
      <c r="E176" s="1">
        <f>Tabela7[[#This Row],[Forτa(N)]]/$I$5</f>
        <v>2537445.214758148</v>
      </c>
      <c r="F176" s="1">
        <f>Tabela7[[#This Row],[Tensão(Pa)]]/1000000</f>
        <v>2.5374452147581481</v>
      </c>
    </row>
    <row r="177" spans="1:6" x14ac:dyDescent="0.3">
      <c r="A177" s="1">
        <v>24.016999999999999</v>
      </c>
      <c r="B177" s="1">
        <v>1.9942</v>
      </c>
      <c r="C177" s="1">
        <f>Tabela7[[#This Row],[Alongamento(mm/mm)]]/$I$2</f>
        <v>3.9884000000000003E-2</v>
      </c>
      <c r="D177" s="1">
        <v>80.287000000000006</v>
      </c>
      <c r="E177" s="1">
        <f>Tabela7[[#This Row],[Forτa(N)]]/$I$5</f>
        <v>2559152.1236751936</v>
      </c>
      <c r="F177" s="1">
        <f>Tabela7[[#This Row],[Tensão(Pa)]]/1000000</f>
        <v>2.5591521236751937</v>
      </c>
    </row>
    <row r="178" spans="1:6" x14ac:dyDescent="0.3">
      <c r="A178" s="1">
        <v>24.067</v>
      </c>
      <c r="B178" s="1">
        <v>1.9984</v>
      </c>
      <c r="C178" s="1">
        <f>Tabela7[[#This Row],[Alongamento(mm/mm)]]/$I$2</f>
        <v>3.9967999999999997E-2</v>
      </c>
      <c r="D178" s="1">
        <v>81.137</v>
      </c>
      <c r="E178" s="1">
        <f>Tabela7[[#This Row],[Forτa(N)]]/$I$5</f>
        <v>2586245.916009244</v>
      </c>
      <c r="F178" s="1">
        <f>Tabela7[[#This Row],[Tensão(Pa)]]/1000000</f>
        <v>2.5862459160092439</v>
      </c>
    </row>
    <row r="179" spans="1:6" x14ac:dyDescent="0.3">
      <c r="A179" s="1">
        <v>24.117000000000001</v>
      </c>
      <c r="B179" s="1">
        <v>2.0026999999999999</v>
      </c>
      <c r="C179" s="1">
        <f>Tabela7[[#This Row],[Alongamento(mm/mm)]]/$I$2</f>
        <v>4.0053999999999999E-2</v>
      </c>
      <c r="D179" s="1">
        <v>81.817999999999998</v>
      </c>
      <c r="E179" s="1">
        <f>Tabela7[[#This Row],[Forτa(N)]]/$I$5</f>
        <v>2607952.8249262888</v>
      </c>
      <c r="F179" s="1">
        <f>Tabela7[[#This Row],[Tensão(Pa)]]/1000000</f>
        <v>2.6079528249262887</v>
      </c>
    </row>
    <row r="180" spans="1:6" x14ac:dyDescent="0.3">
      <c r="A180" s="1">
        <v>24.167000000000002</v>
      </c>
      <c r="B180" s="1">
        <v>2.0068000000000001</v>
      </c>
      <c r="C180" s="1">
        <f>Tabela7[[#This Row],[Alongamento(mm/mm)]]/$I$2</f>
        <v>4.0136000000000005E-2</v>
      </c>
      <c r="D180" s="1">
        <v>82.668000000000006</v>
      </c>
      <c r="E180" s="1">
        <f>Tabela7[[#This Row],[Forτa(N)]]/$I$5</f>
        <v>2635046.6172603397</v>
      </c>
      <c r="F180" s="1">
        <f>Tabela7[[#This Row],[Tensão(Pa)]]/1000000</f>
        <v>2.6350466172603397</v>
      </c>
    </row>
    <row r="181" spans="1:6" x14ac:dyDescent="0.3">
      <c r="A181" s="1">
        <v>24.216999999999999</v>
      </c>
      <c r="B181" s="1">
        <v>2.0110000000000001</v>
      </c>
      <c r="C181" s="1">
        <f>Tabela7[[#This Row],[Alongamento(mm/mm)]]/$I$2</f>
        <v>4.0220000000000006E-2</v>
      </c>
      <c r="D181" s="1">
        <v>83.347999999999999</v>
      </c>
      <c r="E181" s="1">
        <f>Tabela7[[#This Row],[Forτa(N)]]/$I$5</f>
        <v>2656721.6511275801</v>
      </c>
      <c r="F181" s="1">
        <f>Tabela7[[#This Row],[Tensão(Pa)]]/1000000</f>
        <v>2.65672165112758</v>
      </c>
    </row>
    <row r="182" spans="1:6" x14ac:dyDescent="0.3">
      <c r="A182" s="1">
        <v>24.266999999999999</v>
      </c>
      <c r="B182" s="1">
        <v>2.0150999999999999</v>
      </c>
      <c r="C182" s="1">
        <f>Tabela7[[#This Row],[Alongamento(mm/mm)]]/$I$2</f>
        <v>4.0301999999999998E-2</v>
      </c>
      <c r="D182" s="1">
        <v>84.198999999999998</v>
      </c>
      <c r="E182" s="1">
        <f>Tabela7[[#This Row],[Forτa(N)]]/$I$5</f>
        <v>2683847.3185114353</v>
      </c>
      <c r="F182" s="1">
        <f>Tabela7[[#This Row],[Tensão(Pa)]]/1000000</f>
        <v>2.6838473185114351</v>
      </c>
    </row>
    <row r="183" spans="1:6" x14ac:dyDescent="0.3">
      <c r="A183" s="1">
        <v>24.317</v>
      </c>
      <c r="B183" s="1">
        <v>2.0194000000000001</v>
      </c>
      <c r="C183" s="1">
        <f>Tabela7[[#This Row],[Alongamento(mm/mm)]]/$I$2</f>
        <v>4.0388E-2</v>
      </c>
      <c r="D183" s="1">
        <v>84.879000000000005</v>
      </c>
      <c r="E183" s="1">
        <f>Tabela7[[#This Row],[Forτa(N)]]/$I$5</f>
        <v>2705522.3523786757</v>
      </c>
      <c r="F183" s="1">
        <f>Tabela7[[#This Row],[Tensão(Pa)]]/1000000</f>
        <v>2.7055223523786758</v>
      </c>
    </row>
    <row r="184" spans="1:6" x14ac:dyDescent="0.3">
      <c r="A184" s="1">
        <v>24.367000000000001</v>
      </c>
      <c r="B184" s="1">
        <v>2.0234999999999999</v>
      </c>
      <c r="C184" s="1">
        <f>Tabela7[[#This Row],[Alongamento(mm/mm)]]/$I$2</f>
        <v>4.0469999999999999E-2</v>
      </c>
      <c r="D184" s="1">
        <v>85.73</v>
      </c>
      <c r="E184" s="1">
        <f>Tabela7[[#This Row],[Forτa(N)]]/$I$5</f>
        <v>2732648.0197625314</v>
      </c>
      <c r="F184" s="1">
        <f>Tabela7[[#This Row],[Tensão(Pa)]]/1000000</f>
        <v>2.7326480197625314</v>
      </c>
    </row>
    <row r="185" spans="1:6" x14ac:dyDescent="0.3">
      <c r="A185" s="1">
        <v>24.417000000000002</v>
      </c>
      <c r="B185" s="1">
        <v>2.0276000000000001</v>
      </c>
      <c r="C185" s="1">
        <f>Tabela7[[#This Row],[Alongamento(mm/mm)]]/$I$2</f>
        <v>4.0552000000000005E-2</v>
      </c>
      <c r="D185" s="1">
        <v>86.41</v>
      </c>
      <c r="E185" s="1">
        <f>Tabela7[[#This Row],[Forτa(N)]]/$I$5</f>
        <v>2754323.0536297713</v>
      </c>
      <c r="F185" s="1">
        <f>Tabela7[[#This Row],[Tensão(Pa)]]/1000000</f>
        <v>2.7543230536297711</v>
      </c>
    </row>
    <row r="186" spans="1:6" x14ac:dyDescent="0.3">
      <c r="A186" s="1">
        <v>24.466999999999999</v>
      </c>
      <c r="B186" s="1">
        <v>2.0318000000000001</v>
      </c>
      <c r="C186" s="1">
        <f>Tabela7[[#This Row],[Alongamento(mm/mm)]]/$I$2</f>
        <v>4.0635999999999999E-2</v>
      </c>
      <c r="D186" s="1">
        <v>87.260999999999996</v>
      </c>
      <c r="E186" s="1">
        <f>Tabela7[[#This Row],[Forτa(N)]]/$I$5</f>
        <v>2781448.7210136265</v>
      </c>
      <c r="F186" s="1">
        <f>Tabela7[[#This Row],[Tensão(Pa)]]/1000000</f>
        <v>2.7814487210136267</v>
      </c>
    </row>
    <row r="187" spans="1:6" x14ac:dyDescent="0.3">
      <c r="A187" s="1">
        <v>24.516999999999999</v>
      </c>
      <c r="B187" s="1">
        <v>2.0358999999999998</v>
      </c>
      <c r="C187" s="1">
        <f>Tabela7[[#This Row],[Alongamento(mm/mm)]]/$I$2</f>
        <v>4.0717999999999997E-2</v>
      </c>
      <c r="D187" s="1">
        <v>87.941000000000003</v>
      </c>
      <c r="E187" s="1">
        <f>Tabela7[[#This Row],[Forτa(N)]]/$I$5</f>
        <v>2803123.7548808674</v>
      </c>
      <c r="F187" s="1">
        <f>Tabela7[[#This Row],[Tensão(Pa)]]/1000000</f>
        <v>2.8031237548808674</v>
      </c>
    </row>
    <row r="188" spans="1:6" x14ac:dyDescent="0.3">
      <c r="A188" s="1">
        <v>24.567</v>
      </c>
      <c r="B188" s="1">
        <v>2.0400999999999998</v>
      </c>
      <c r="C188" s="1">
        <f>Tabela7[[#This Row],[Alongamento(mm/mm)]]/$I$2</f>
        <v>4.0801999999999998E-2</v>
      </c>
      <c r="D188" s="1">
        <v>88.792000000000002</v>
      </c>
      <c r="E188" s="1">
        <f>Tabela7[[#This Row],[Forτa(N)]]/$I$5</f>
        <v>2830249.4222647226</v>
      </c>
      <c r="F188" s="1">
        <f>Tabela7[[#This Row],[Tensão(Pa)]]/1000000</f>
        <v>2.8302494222647225</v>
      </c>
    </row>
    <row r="189" spans="1:6" x14ac:dyDescent="0.3">
      <c r="A189" s="1">
        <v>24.617000000000001</v>
      </c>
      <c r="B189" s="1">
        <v>2.0442999999999998</v>
      </c>
      <c r="C189" s="1">
        <f>Tabela7[[#This Row],[Alongamento(mm/mm)]]/$I$2</f>
        <v>4.0885999999999999E-2</v>
      </c>
      <c r="D189" s="1">
        <v>89.471999999999994</v>
      </c>
      <c r="E189" s="1">
        <f>Tabela7[[#This Row],[Forτa(N)]]/$I$5</f>
        <v>2851924.4561319626</v>
      </c>
      <c r="F189" s="1">
        <f>Tabela7[[#This Row],[Tensão(Pa)]]/1000000</f>
        <v>2.8519244561319628</v>
      </c>
    </row>
    <row r="190" spans="1:6" x14ac:dyDescent="0.3">
      <c r="A190" s="1">
        <v>24.667000000000002</v>
      </c>
      <c r="B190" s="1">
        <v>2.0485000000000002</v>
      </c>
      <c r="C190" s="1">
        <f>Tabela7[[#This Row],[Alongamento(mm/mm)]]/$I$2</f>
        <v>4.0970000000000006E-2</v>
      </c>
      <c r="D190" s="1">
        <v>90.322000000000003</v>
      </c>
      <c r="E190" s="1">
        <f>Tabela7[[#This Row],[Forτa(N)]]/$I$5</f>
        <v>2879018.2484660135</v>
      </c>
      <c r="F190" s="1">
        <f>Tabela7[[#This Row],[Tensão(Pa)]]/1000000</f>
        <v>2.8790182484660134</v>
      </c>
    </row>
    <row r="191" spans="1:6" x14ac:dyDescent="0.3">
      <c r="A191" s="1">
        <v>24.716999999999999</v>
      </c>
      <c r="B191" s="1">
        <v>2.0526</v>
      </c>
      <c r="C191" s="1">
        <f>Tabela7[[#This Row],[Alongamento(mm/mm)]]/$I$2</f>
        <v>4.1051999999999998E-2</v>
      </c>
      <c r="D191" s="1">
        <v>91.003</v>
      </c>
      <c r="E191" s="1">
        <f>Tabela7[[#This Row],[Forτa(N)]]/$I$5</f>
        <v>2900725.1573830587</v>
      </c>
      <c r="F191" s="1">
        <f>Tabela7[[#This Row],[Tensão(Pa)]]/1000000</f>
        <v>2.9007251573830586</v>
      </c>
    </row>
    <row r="192" spans="1:6" x14ac:dyDescent="0.3">
      <c r="A192" s="1">
        <v>24.766999999999999</v>
      </c>
      <c r="B192" s="1">
        <v>2.0568</v>
      </c>
      <c r="C192" s="1">
        <f>Tabela7[[#This Row],[Alongamento(mm/mm)]]/$I$2</f>
        <v>4.1135999999999999E-2</v>
      </c>
      <c r="D192" s="1">
        <v>91.852999999999994</v>
      </c>
      <c r="E192" s="1">
        <f>Tabela7[[#This Row],[Forτa(N)]]/$I$5</f>
        <v>2927818.9497171091</v>
      </c>
      <c r="F192" s="1">
        <f>Tabela7[[#This Row],[Tensão(Pa)]]/1000000</f>
        <v>2.9278189497171092</v>
      </c>
    </row>
    <row r="193" spans="1:6" x14ac:dyDescent="0.3">
      <c r="A193" s="1">
        <v>24.817</v>
      </c>
      <c r="B193" s="1">
        <v>2.0609000000000002</v>
      </c>
      <c r="C193" s="1">
        <f>Tabela7[[#This Row],[Alongamento(mm/mm)]]/$I$2</f>
        <v>4.1218000000000005E-2</v>
      </c>
      <c r="D193" s="1">
        <v>92.703999999999994</v>
      </c>
      <c r="E193" s="1">
        <f>Tabela7[[#This Row],[Forτa(N)]]/$I$5</f>
        <v>2954944.6171009643</v>
      </c>
      <c r="F193" s="1">
        <f>Tabela7[[#This Row],[Tensão(Pa)]]/1000000</f>
        <v>2.9549446171009643</v>
      </c>
    </row>
    <row r="194" spans="1:6" x14ac:dyDescent="0.3">
      <c r="A194" s="1">
        <v>24.867000000000001</v>
      </c>
      <c r="B194" s="1">
        <v>2.0651000000000002</v>
      </c>
      <c r="C194" s="1">
        <f>Tabela7[[#This Row],[Alongamento(mm/mm)]]/$I$2</f>
        <v>4.1302000000000005E-2</v>
      </c>
      <c r="D194" s="1">
        <v>93.384</v>
      </c>
      <c r="E194" s="1">
        <f>Tabela7[[#This Row],[Forτa(N)]]/$I$5</f>
        <v>2976619.6509682047</v>
      </c>
      <c r="F194" s="1">
        <f>Tabela7[[#This Row],[Tensão(Pa)]]/1000000</f>
        <v>2.9766196509682046</v>
      </c>
    </row>
    <row r="195" spans="1:6" x14ac:dyDescent="0.3">
      <c r="A195" s="1">
        <v>24.9</v>
      </c>
      <c r="B195" s="1">
        <v>2.0678999999999998</v>
      </c>
      <c r="C195" s="1">
        <f>Tabela7[[#This Row],[Alongamento(mm/mm)]]/$I$2</f>
        <v>4.1357999999999999E-2</v>
      </c>
      <c r="D195" s="1">
        <v>94.064999999999998</v>
      </c>
      <c r="E195" s="1">
        <f>Tabela7[[#This Row],[Forτa(N)]]/$I$5</f>
        <v>2998326.5598852499</v>
      </c>
      <c r="F195" s="1">
        <f>Tabela7[[#This Row],[Tensão(Pa)]]/1000000</f>
        <v>2.9983265598852498</v>
      </c>
    </row>
    <row r="196" spans="1:6" x14ac:dyDescent="0.3">
      <c r="A196" s="1">
        <v>24.95</v>
      </c>
      <c r="B196" s="1">
        <v>2.0720000000000001</v>
      </c>
      <c r="C196" s="1">
        <f>Tabela7[[#This Row],[Alongamento(mm/mm)]]/$I$2</f>
        <v>4.1440000000000005E-2</v>
      </c>
      <c r="D196" s="1">
        <v>94.745000000000005</v>
      </c>
      <c r="E196" s="1">
        <f>Tabela7[[#This Row],[Forτa(N)]]/$I$5</f>
        <v>3020001.5937524904</v>
      </c>
      <c r="F196" s="1">
        <f>Tabela7[[#This Row],[Tensão(Pa)]]/1000000</f>
        <v>3.0200015937524904</v>
      </c>
    </row>
    <row r="197" spans="1:6" x14ac:dyDescent="0.3">
      <c r="A197" s="1">
        <v>24.983000000000001</v>
      </c>
      <c r="B197" s="1">
        <v>2.0749</v>
      </c>
      <c r="C197" s="1">
        <f>Tabela7[[#This Row],[Alongamento(mm/mm)]]/$I$2</f>
        <v>4.1498E-2</v>
      </c>
      <c r="D197" s="1">
        <v>95.424999999999997</v>
      </c>
      <c r="E197" s="1">
        <f>Tabela7[[#This Row],[Forτa(N)]]/$I$5</f>
        <v>3041676.6276197308</v>
      </c>
      <c r="F197" s="1">
        <f>Tabela7[[#This Row],[Tensão(Pa)]]/1000000</f>
        <v>3.0416766276197307</v>
      </c>
    </row>
    <row r="198" spans="1:6" x14ac:dyDescent="0.3">
      <c r="A198" s="1">
        <v>25.033000000000001</v>
      </c>
      <c r="B198" s="1">
        <v>2.0790000000000002</v>
      </c>
      <c r="C198" s="1">
        <f>Tabela7[[#This Row],[Alongamento(mm/mm)]]/$I$2</f>
        <v>4.1580000000000006E-2</v>
      </c>
      <c r="D198" s="1">
        <v>96.105999999999995</v>
      </c>
      <c r="E198" s="1">
        <f>Tabela7[[#This Row],[Forτa(N)]]/$I$5</f>
        <v>3063383.536536776</v>
      </c>
      <c r="F198" s="1">
        <f>Tabela7[[#This Row],[Tensão(Pa)]]/1000000</f>
        <v>3.0633835365367759</v>
      </c>
    </row>
    <row r="199" spans="1:6" x14ac:dyDescent="0.3">
      <c r="A199" s="1">
        <v>25.082999999999998</v>
      </c>
      <c r="B199" s="1">
        <v>2.0832000000000002</v>
      </c>
      <c r="C199" s="1">
        <f>Tabela7[[#This Row],[Alongamento(mm/mm)]]/$I$2</f>
        <v>4.1664000000000007E-2</v>
      </c>
      <c r="D199" s="1">
        <v>96.956000000000003</v>
      </c>
      <c r="E199" s="1">
        <f>Tabela7[[#This Row],[Forτa(N)]]/$I$5</f>
        <v>3090477.3288708269</v>
      </c>
      <c r="F199" s="1">
        <f>Tabela7[[#This Row],[Tensão(Pa)]]/1000000</f>
        <v>3.0904773288708269</v>
      </c>
    </row>
    <row r="200" spans="1:6" x14ac:dyDescent="0.3">
      <c r="A200" s="1">
        <v>25.132999999999999</v>
      </c>
      <c r="B200" s="1">
        <v>2.0872999999999999</v>
      </c>
      <c r="C200" s="1">
        <f>Tabela7[[#This Row],[Alongamento(mm/mm)]]/$I$2</f>
        <v>4.1745999999999998E-2</v>
      </c>
      <c r="D200" s="1">
        <v>97.807000000000002</v>
      </c>
      <c r="E200" s="1">
        <f>Tabela7[[#This Row],[Forτa(N)]]/$I$5</f>
        <v>3117602.9962546821</v>
      </c>
      <c r="F200" s="1">
        <f>Tabela7[[#This Row],[Tensão(Pa)]]/1000000</f>
        <v>3.1176029962546821</v>
      </c>
    </row>
    <row r="201" spans="1:6" x14ac:dyDescent="0.3">
      <c r="A201" s="1">
        <v>25.183</v>
      </c>
      <c r="B201" s="1">
        <v>2.0914999999999999</v>
      </c>
      <c r="C201" s="1">
        <f>Tabela7[[#This Row],[Alongamento(mm/mm)]]/$I$2</f>
        <v>4.1829999999999999E-2</v>
      </c>
      <c r="D201" s="1">
        <v>98.486999999999995</v>
      </c>
      <c r="E201" s="1">
        <f>Tabela7[[#This Row],[Forτa(N)]]/$I$5</f>
        <v>3139278.030121922</v>
      </c>
      <c r="F201" s="1">
        <f>Tabela7[[#This Row],[Tensão(Pa)]]/1000000</f>
        <v>3.1392780301219219</v>
      </c>
    </row>
    <row r="202" spans="1:6" x14ac:dyDescent="0.3">
      <c r="A202" s="1">
        <v>25.216999999999999</v>
      </c>
      <c r="B202" s="1">
        <v>2.0943999999999998</v>
      </c>
      <c r="C202" s="1">
        <f>Tabela7[[#This Row],[Alongamento(mm/mm)]]/$I$2</f>
        <v>4.1887999999999995E-2</v>
      </c>
      <c r="D202" s="1">
        <v>99.168000000000006</v>
      </c>
      <c r="E202" s="1">
        <f>Tabela7[[#This Row],[Forτa(N)]]/$I$5</f>
        <v>3160984.9390389677</v>
      </c>
      <c r="F202" s="1">
        <f>Tabela7[[#This Row],[Tensão(Pa)]]/1000000</f>
        <v>3.1609849390389679</v>
      </c>
    </row>
    <row r="203" spans="1:6" x14ac:dyDescent="0.3">
      <c r="A203" s="1">
        <v>25.266999999999999</v>
      </c>
      <c r="B203" s="1">
        <v>2.0985</v>
      </c>
      <c r="C203" s="1">
        <f>Tabela7[[#This Row],[Alongamento(mm/mm)]]/$I$2</f>
        <v>4.197E-2</v>
      </c>
      <c r="D203" s="1">
        <v>100.02</v>
      </c>
      <c r="E203" s="1">
        <f>Tabela7[[#This Row],[Forτa(N)]]/$I$5</f>
        <v>3188142.4814726273</v>
      </c>
      <c r="F203" s="1">
        <f>Tabela7[[#This Row],[Tensão(Pa)]]/1000000</f>
        <v>3.1881424814726271</v>
      </c>
    </row>
    <row r="204" spans="1:6" x14ac:dyDescent="0.3">
      <c r="A204" s="1">
        <v>25.317</v>
      </c>
      <c r="B204" s="1">
        <v>2.1025999999999998</v>
      </c>
      <c r="C204" s="1">
        <f>Tabela7[[#This Row],[Alongamento(mm/mm)]]/$I$2</f>
        <v>4.2051999999999999E-2</v>
      </c>
      <c r="D204" s="1">
        <v>100.87</v>
      </c>
      <c r="E204" s="1">
        <f>Tabela7[[#This Row],[Forτa(N)]]/$I$5</f>
        <v>3215236.2738066781</v>
      </c>
      <c r="F204" s="1">
        <f>Tabela7[[#This Row],[Tensão(Pa)]]/1000000</f>
        <v>3.2152362738066782</v>
      </c>
    </row>
    <row r="205" spans="1:6" x14ac:dyDescent="0.3">
      <c r="A205" s="1">
        <v>25.367000000000001</v>
      </c>
      <c r="B205" s="1">
        <v>2.1067</v>
      </c>
      <c r="C205" s="1">
        <f>Tabela7[[#This Row],[Alongamento(mm/mm)]]/$I$2</f>
        <v>4.2133999999999998E-2</v>
      </c>
      <c r="D205" s="1">
        <v>101.55</v>
      </c>
      <c r="E205" s="1">
        <f>Tabela7[[#This Row],[Forτa(N)]]/$I$5</f>
        <v>3236911.3076739185</v>
      </c>
      <c r="F205" s="1">
        <f>Tabela7[[#This Row],[Tensão(Pa)]]/1000000</f>
        <v>3.2369113076739184</v>
      </c>
    </row>
    <row r="206" spans="1:6" x14ac:dyDescent="0.3">
      <c r="A206" s="1">
        <v>25.4</v>
      </c>
      <c r="B206" s="1">
        <v>2.1095000000000002</v>
      </c>
      <c r="C206" s="1">
        <f>Tabela7[[#This Row],[Alongamento(mm/mm)]]/$I$2</f>
        <v>4.2190000000000005E-2</v>
      </c>
      <c r="D206" s="1">
        <v>102.23</v>
      </c>
      <c r="E206" s="1">
        <f>Tabela7[[#This Row],[Forτa(N)]]/$I$5</f>
        <v>3258586.341541159</v>
      </c>
      <c r="F206" s="1">
        <f>Tabela7[[#This Row],[Tensão(Pa)]]/1000000</f>
        <v>3.2585863415411591</v>
      </c>
    </row>
    <row r="207" spans="1:6" x14ac:dyDescent="0.3">
      <c r="A207" s="1">
        <v>25.45</v>
      </c>
      <c r="B207" s="1">
        <v>2.1137000000000001</v>
      </c>
      <c r="C207" s="1">
        <f>Tabela7[[#This Row],[Alongamento(mm/mm)]]/$I$2</f>
        <v>4.2274000000000006E-2</v>
      </c>
      <c r="D207" s="1">
        <v>102.91</v>
      </c>
      <c r="E207" s="1">
        <f>Tabela7[[#This Row],[Forτa(N)]]/$I$5</f>
        <v>3280261.3754083994</v>
      </c>
      <c r="F207" s="1">
        <f>Tabela7[[#This Row],[Tensão(Pa)]]/1000000</f>
        <v>3.2802613754083993</v>
      </c>
    </row>
    <row r="208" spans="1:6" x14ac:dyDescent="0.3">
      <c r="A208" s="1">
        <v>25.483000000000001</v>
      </c>
      <c r="B208" s="1">
        <v>2.1164999999999998</v>
      </c>
      <c r="C208" s="1">
        <f>Tabela7[[#This Row],[Alongamento(mm/mm)]]/$I$2</f>
        <v>4.233E-2</v>
      </c>
      <c r="D208" s="1">
        <v>103.59</v>
      </c>
      <c r="E208" s="1">
        <f>Tabela7[[#This Row],[Forτa(N)]]/$I$5</f>
        <v>3301936.4092756398</v>
      </c>
      <c r="F208" s="1">
        <f>Tabela7[[#This Row],[Tensão(Pa)]]/1000000</f>
        <v>3.3019364092756396</v>
      </c>
    </row>
    <row r="209" spans="1:6" x14ac:dyDescent="0.3">
      <c r="A209" s="1">
        <v>25.533000000000001</v>
      </c>
      <c r="B209" s="1">
        <v>2.1206999999999998</v>
      </c>
      <c r="C209" s="1">
        <f>Tabela7[[#This Row],[Alongamento(mm/mm)]]/$I$2</f>
        <v>4.2413999999999993E-2</v>
      </c>
      <c r="D209" s="1">
        <v>104.27</v>
      </c>
      <c r="E209" s="1">
        <f>Tabela7[[#This Row],[Forτa(N)]]/$I$5</f>
        <v>3323611.4431428798</v>
      </c>
      <c r="F209" s="1">
        <f>Tabela7[[#This Row],[Tensão(Pa)]]/1000000</f>
        <v>3.3236114431428798</v>
      </c>
    </row>
    <row r="210" spans="1:6" x14ac:dyDescent="0.3">
      <c r="A210" s="1">
        <v>25.567</v>
      </c>
      <c r="B210" s="1">
        <v>2.1234000000000002</v>
      </c>
      <c r="C210" s="1">
        <f>Tabela7[[#This Row],[Alongamento(mm/mm)]]/$I$2</f>
        <v>4.2468000000000006E-2</v>
      </c>
      <c r="D210" s="1">
        <v>104.95</v>
      </c>
      <c r="E210" s="1">
        <f>Tabela7[[#This Row],[Forτa(N)]]/$I$5</f>
        <v>3345286.4770101206</v>
      </c>
      <c r="F210" s="1">
        <f>Tabela7[[#This Row],[Tensão(Pa)]]/1000000</f>
        <v>3.3452864770101205</v>
      </c>
    </row>
    <row r="211" spans="1:6" x14ac:dyDescent="0.3">
      <c r="A211" s="1">
        <v>25.617000000000001</v>
      </c>
      <c r="B211" s="1">
        <v>2.1276000000000002</v>
      </c>
      <c r="C211" s="1">
        <f>Tabela7[[#This Row],[Alongamento(mm/mm)]]/$I$2</f>
        <v>4.2552000000000006E-2</v>
      </c>
      <c r="D211" s="1">
        <v>105.8</v>
      </c>
      <c r="E211" s="1">
        <f>Tabela7[[#This Row],[Forτa(N)]]/$I$5</f>
        <v>3372380.269344171</v>
      </c>
      <c r="F211" s="1">
        <f>Tabela7[[#This Row],[Tensão(Pa)]]/1000000</f>
        <v>3.3723802693441711</v>
      </c>
    </row>
    <row r="212" spans="1:6" x14ac:dyDescent="0.3">
      <c r="A212" s="1">
        <v>25.667000000000002</v>
      </c>
      <c r="B212" s="1">
        <v>2.1318000000000001</v>
      </c>
      <c r="C212" s="1">
        <f>Tabela7[[#This Row],[Alongamento(mm/mm)]]/$I$2</f>
        <v>4.2636E-2</v>
      </c>
      <c r="D212" s="1">
        <v>106.65</v>
      </c>
      <c r="E212" s="1">
        <f>Tabela7[[#This Row],[Forτa(N)]]/$I$5</f>
        <v>3399474.0616782219</v>
      </c>
      <c r="F212" s="1">
        <f>Tabela7[[#This Row],[Tensão(Pa)]]/1000000</f>
        <v>3.3994740616782217</v>
      </c>
    </row>
    <row r="213" spans="1:6" x14ac:dyDescent="0.3">
      <c r="A213" s="1">
        <v>25.716999999999999</v>
      </c>
      <c r="B213" s="1">
        <v>2.1360000000000001</v>
      </c>
      <c r="C213" s="1">
        <f>Tabela7[[#This Row],[Alongamento(mm/mm)]]/$I$2</f>
        <v>4.2720000000000001E-2</v>
      </c>
      <c r="D213" s="1">
        <v>107.5</v>
      </c>
      <c r="E213" s="1">
        <f>Tabela7[[#This Row],[Forτa(N)]]/$I$5</f>
        <v>3426567.8540122723</v>
      </c>
      <c r="F213" s="1">
        <f>Tabela7[[#This Row],[Tensão(Pa)]]/1000000</f>
        <v>3.4265678540122724</v>
      </c>
    </row>
    <row r="214" spans="1:6" x14ac:dyDescent="0.3">
      <c r="A214" s="1">
        <v>25.766999999999999</v>
      </c>
      <c r="B214" s="1">
        <v>2.1400999999999999</v>
      </c>
      <c r="C214" s="1">
        <f>Tabela7[[#This Row],[Alongamento(mm/mm)]]/$I$2</f>
        <v>4.2802E-2</v>
      </c>
      <c r="D214" s="1">
        <v>108.35</v>
      </c>
      <c r="E214" s="1">
        <f>Tabela7[[#This Row],[Forτa(N)]]/$I$5</f>
        <v>3453661.6463463223</v>
      </c>
      <c r="F214" s="1">
        <f>Tabela7[[#This Row],[Tensão(Pa)]]/1000000</f>
        <v>3.4536616463463221</v>
      </c>
    </row>
    <row r="215" spans="1:6" x14ac:dyDescent="0.3">
      <c r="A215" s="1">
        <v>25.817</v>
      </c>
      <c r="B215" s="1">
        <v>2.1442000000000001</v>
      </c>
      <c r="C215" s="1">
        <f>Tabela7[[#This Row],[Alongamento(mm/mm)]]/$I$2</f>
        <v>4.2884000000000005E-2</v>
      </c>
      <c r="D215" s="1">
        <v>109.2</v>
      </c>
      <c r="E215" s="1">
        <f>Tabela7[[#This Row],[Forτa(N)]]/$I$5</f>
        <v>3480755.4386803731</v>
      </c>
      <c r="F215" s="1">
        <f>Tabela7[[#This Row],[Tensão(Pa)]]/1000000</f>
        <v>3.4807554386803732</v>
      </c>
    </row>
    <row r="216" spans="1:6" x14ac:dyDescent="0.3">
      <c r="A216" s="1">
        <v>25.867000000000001</v>
      </c>
      <c r="B216" s="1">
        <v>2.1484000000000001</v>
      </c>
      <c r="C216" s="1">
        <f>Tabela7[[#This Row],[Alongamento(mm/mm)]]/$I$2</f>
        <v>4.2967999999999999E-2</v>
      </c>
      <c r="D216" s="1">
        <v>110.05</v>
      </c>
      <c r="E216" s="1">
        <f>Tabela7[[#This Row],[Forτa(N)]]/$I$5</f>
        <v>3507849.2310144235</v>
      </c>
      <c r="F216" s="1">
        <f>Tabela7[[#This Row],[Tensão(Pa)]]/1000000</f>
        <v>3.5078492310144234</v>
      </c>
    </row>
    <row r="217" spans="1:6" x14ac:dyDescent="0.3">
      <c r="A217" s="1">
        <v>25.917000000000002</v>
      </c>
      <c r="B217" s="1">
        <v>2.1526000000000001</v>
      </c>
      <c r="C217" s="1">
        <f>Tabela7[[#This Row],[Alongamento(mm/mm)]]/$I$2</f>
        <v>4.3052E-2</v>
      </c>
      <c r="D217" s="1">
        <v>110.9</v>
      </c>
      <c r="E217" s="1">
        <f>Tabela7[[#This Row],[Forτa(N)]]/$I$5</f>
        <v>3534943.0233484744</v>
      </c>
      <c r="F217" s="1">
        <f>Tabela7[[#This Row],[Tensão(Pa)]]/1000000</f>
        <v>3.5349430233484744</v>
      </c>
    </row>
    <row r="218" spans="1:6" x14ac:dyDescent="0.3">
      <c r="A218" s="1">
        <v>25.966999999999999</v>
      </c>
      <c r="B218" s="1">
        <v>2.1568000000000001</v>
      </c>
      <c r="C218" s="1">
        <f>Tabela7[[#This Row],[Alongamento(mm/mm)]]/$I$2</f>
        <v>4.3136000000000001E-2</v>
      </c>
      <c r="D218" s="1">
        <v>111.75</v>
      </c>
      <c r="E218" s="1">
        <f>Tabela7[[#This Row],[Forτa(N)]]/$I$5</f>
        <v>3562036.8156825248</v>
      </c>
      <c r="F218" s="1">
        <f>Tabela7[[#This Row],[Tensão(Pa)]]/1000000</f>
        <v>3.5620368156825246</v>
      </c>
    </row>
    <row r="219" spans="1:6" x14ac:dyDescent="0.3">
      <c r="A219" s="1">
        <v>26.016999999999999</v>
      </c>
      <c r="B219" s="1">
        <v>2.161</v>
      </c>
      <c r="C219" s="1">
        <f>Tabela7[[#This Row],[Alongamento(mm/mm)]]/$I$2</f>
        <v>4.3220000000000001E-2</v>
      </c>
      <c r="D219" s="1">
        <v>112.61</v>
      </c>
      <c r="E219" s="1">
        <f>Tabela7[[#This Row],[Forτa(N)]]/$I$5</f>
        <v>3589449.3585146228</v>
      </c>
      <c r="F219" s="1">
        <f>Tabela7[[#This Row],[Tensão(Pa)]]/1000000</f>
        <v>3.589449358514623</v>
      </c>
    </row>
    <row r="220" spans="1:6" x14ac:dyDescent="0.3">
      <c r="A220" s="1">
        <v>26.067</v>
      </c>
      <c r="B220" s="1">
        <v>2.1650999999999998</v>
      </c>
      <c r="C220" s="1">
        <f>Tabela7[[#This Row],[Alongamento(mm/mm)]]/$I$2</f>
        <v>4.3301999999999993E-2</v>
      </c>
      <c r="D220" s="1">
        <v>113.46</v>
      </c>
      <c r="E220" s="1">
        <f>Tabela7[[#This Row],[Forτa(N)]]/$I$5</f>
        <v>3616543.1508486732</v>
      </c>
      <c r="F220" s="1">
        <f>Tabela7[[#This Row],[Tensão(Pa)]]/1000000</f>
        <v>3.6165431508486732</v>
      </c>
    </row>
    <row r="221" spans="1:6" x14ac:dyDescent="0.3">
      <c r="A221" s="1">
        <v>26.1</v>
      </c>
      <c r="B221" s="1">
        <v>2.1680000000000001</v>
      </c>
      <c r="C221" s="1">
        <f>Tabela7[[#This Row],[Alongamento(mm/mm)]]/$I$2</f>
        <v>4.3360000000000003E-2</v>
      </c>
      <c r="D221" s="1">
        <v>114.14</v>
      </c>
      <c r="E221" s="1">
        <f>Tabela7[[#This Row],[Forτa(N)]]/$I$5</f>
        <v>3638218.1847159141</v>
      </c>
      <c r="F221" s="1">
        <f>Tabela7[[#This Row],[Tensão(Pa)]]/1000000</f>
        <v>3.6382181847159143</v>
      </c>
    </row>
    <row r="222" spans="1:6" x14ac:dyDescent="0.3">
      <c r="A222" s="1">
        <v>26.15</v>
      </c>
      <c r="B222" s="1">
        <v>2.1720999999999999</v>
      </c>
      <c r="C222" s="1">
        <f>Tabela7[[#This Row],[Alongamento(mm/mm)]]/$I$2</f>
        <v>4.3442000000000001E-2</v>
      </c>
      <c r="D222" s="1">
        <v>114.99</v>
      </c>
      <c r="E222" s="1">
        <f>Tabela7[[#This Row],[Forτa(N)]]/$I$5</f>
        <v>3665311.977049964</v>
      </c>
      <c r="F222" s="1">
        <f>Tabela7[[#This Row],[Tensão(Pa)]]/1000000</f>
        <v>3.665311977049964</v>
      </c>
    </row>
    <row r="223" spans="1:6" x14ac:dyDescent="0.3">
      <c r="A223" s="1">
        <v>26.2</v>
      </c>
      <c r="B223" s="1">
        <v>2.1762999999999999</v>
      </c>
      <c r="C223" s="1">
        <f>Tabela7[[#This Row],[Alongamento(mm/mm)]]/$I$2</f>
        <v>4.3525999999999995E-2</v>
      </c>
      <c r="D223" s="1">
        <v>115.84</v>
      </c>
      <c r="E223" s="1">
        <f>Tabela7[[#This Row],[Forτa(N)]]/$I$5</f>
        <v>3692405.7693840149</v>
      </c>
      <c r="F223" s="1">
        <f>Tabela7[[#This Row],[Tensão(Pa)]]/1000000</f>
        <v>3.6924057693840151</v>
      </c>
    </row>
    <row r="224" spans="1:6" x14ac:dyDescent="0.3">
      <c r="A224" s="1">
        <v>26.233000000000001</v>
      </c>
      <c r="B224" s="1">
        <v>2.1789999999999998</v>
      </c>
      <c r="C224" s="1">
        <f>Tabela7[[#This Row],[Alongamento(mm/mm)]]/$I$2</f>
        <v>4.3579999999999994E-2</v>
      </c>
      <c r="D224" s="1">
        <v>116.52</v>
      </c>
      <c r="E224" s="1">
        <f>Tabela7[[#This Row],[Forτa(N)]]/$I$5</f>
        <v>3714080.8032512553</v>
      </c>
      <c r="F224" s="1">
        <f>Tabela7[[#This Row],[Tensão(Pa)]]/1000000</f>
        <v>3.7140808032512553</v>
      </c>
    </row>
    <row r="225" spans="1:6" x14ac:dyDescent="0.3">
      <c r="A225" s="1">
        <v>26.283000000000001</v>
      </c>
      <c r="B225" s="1">
        <v>2.1831999999999998</v>
      </c>
      <c r="C225" s="1">
        <f>Tabela7[[#This Row],[Alongamento(mm/mm)]]/$I$2</f>
        <v>4.3663999999999994E-2</v>
      </c>
      <c r="D225" s="1">
        <v>117.37</v>
      </c>
      <c r="E225" s="1">
        <f>Tabela7[[#This Row],[Forτa(N)]]/$I$5</f>
        <v>3741174.5955853062</v>
      </c>
      <c r="F225" s="1">
        <f>Tabela7[[#This Row],[Tensão(Pa)]]/1000000</f>
        <v>3.741174595585306</v>
      </c>
    </row>
    <row r="226" spans="1:6" x14ac:dyDescent="0.3">
      <c r="A226" s="1">
        <v>26.332999999999998</v>
      </c>
      <c r="B226" s="1">
        <v>2.1873999999999998</v>
      </c>
      <c r="C226" s="1">
        <f>Tabela7[[#This Row],[Alongamento(mm/mm)]]/$I$2</f>
        <v>4.3747999999999995E-2</v>
      </c>
      <c r="D226" s="1">
        <v>118.22</v>
      </c>
      <c r="E226" s="1">
        <f>Tabela7[[#This Row],[Forτa(N)]]/$I$5</f>
        <v>3768268.3879193561</v>
      </c>
      <c r="F226" s="1">
        <f>Tabela7[[#This Row],[Tensão(Pa)]]/1000000</f>
        <v>3.7682683879193561</v>
      </c>
    </row>
    <row r="227" spans="1:6" x14ac:dyDescent="0.3">
      <c r="A227" s="1">
        <v>26.382999999999999</v>
      </c>
      <c r="B227" s="1">
        <v>2.1915</v>
      </c>
      <c r="C227" s="1">
        <f>Tabela7[[#This Row],[Alongamento(mm/mm)]]/$I$2</f>
        <v>4.3830000000000001E-2</v>
      </c>
      <c r="D227" s="1">
        <v>119.07</v>
      </c>
      <c r="E227" s="1">
        <f>Tabela7[[#This Row],[Forτa(N)]]/$I$5</f>
        <v>3795362.1802534065</v>
      </c>
      <c r="F227" s="1">
        <f>Tabela7[[#This Row],[Tensão(Pa)]]/1000000</f>
        <v>3.7953621802534063</v>
      </c>
    </row>
    <row r="228" spans="1:6" x14ac:dyDescent="0.3">
      <c r="A228" s="1">
        <v>26.417000000000002</v>
      </c>
      <c r="B228" s="1">
        <v>2.1943000000000001</v>
      </c>
      <c r="C228" s="1">
        <f>Tabela7[[#This Row],[Alongamento(mm/mm)]]/$I$2</f>
        <v>4.3886000000000001E-2</v>
      </c>
      <c r="D228" s="1">
        <v>119.75</v>
      </c>
      <c r="E228" s="1">
        <f>Tabela7[[#This Row],[Forτa(N)]]/$I$5</f>
        <v>3817037.2141206474</v>
      </c>
      <c r="F228" s="1">
        <f>Tabela7[[#This Row],[Tensão(Pa)]]/1000000</f>
        <v>3.8170372141206474</v>
      </c>
    </row>
    <row r="229" spans="1:6" x14ac:dyDescent="0.3">
      <c r="A229" s="1">
        <v>26.466999999999999</v>
      </c>
      <c r="B229" s="1">
        <v>2.1985000000000001</v>
      </c>
      <c r="C229" s="1">
        <f>Tabela7[[#This Row],[Alongamento(mm/mm)]]/$I$2</f>
        <v>4.3970000000000002E-2</v>
      </c>
      <c r="D229" s="1">
        <v>120.6</v>
      </c>
      <c r="E229" s="1">
        <f>Tabela7[[#This Row],[Forτa(N)]]/$I$5</f>
        <v>3844131.0064546978</v>
      </c>
      <c r="F229" s="1">
        <f>Tabela7[[#This Row],[Tensão(Pa)]]/1000000</f>
        <v>3.8441310064546976</v>
      </c>
    </row>
    <row r="230" spans="1:6" x14ac:dyDescent="0.3">
      <c r="A230" s="1">
        <v>26.516999999999999</v>
      </c>
      <c r="B230" s="1">
        <v>2.2025999999999999</v>
      </c>
      <c r="C230" s="1">
        <f>Tabela7[[#This Row],[Alongamento(mm/mm)]]/$I$2</f>
        <v>4.4052000000000001E-2</v>
      </c>
      <c r="D230" s="1">
        <v>121.45</v>
      </c>
      <c r="E230" s="1">
        <f>Tabela7[[#This Row],[Forτa(N)]]/$I$5</f>
        <v>3871224.7987887482</v>
      </c>
      <c r="F230" s="1">
        <f>Tabela7[[#This Row],[Tensão(Pa)]]/1000000</f>
        <v>3.8712247987887483</v>
      </c>
    </row>
    <row r="231" spans="1:6" x14ac:dyDescent="0.3">
      <c r="A231" s="1">
        <v>26.55</v>
      </c>
      <c r="B231" s="1">
        <v>2.2054999999999998</v>
      </c>
      <c r="C231" s="1">
        <f>Tabela7[[#This Row],[Alongamento(mm/mm)]]/$I$2</f>
        <v>4.4109999999999996E-2</v>
      </c>
      <c r="D231" s="1">
        <v>122.13</v>
      </c>
      <c r="E231" s="1">
        <f>Tabela7[[#This Row],[Forτa(N)]]/$I$5</f>
        <v>3892899.8326559886</v>
      </c>
      <c r="F231" s="1">
        <f>Tabela7[[#This Row],[Tensão(Pa)]]/1000000</f>
        <v>3.8928998326559885</v>
      </c>
    </row>
    <row r="232" spans="1:6" x14ac:dyDescent="0.3">
      <c r="A232" s="1">
        <v>26.6</v>
      </c>
      <c r="B232" s="1">
        <v>2.2097000000000002</v>
      </c>
      <c r="C232" s="1">
        <f>Tabela7[[#This Row],[Alongamento(mm/mm)]]/$I$2</f>
        <v>4.4194000000000004E-2</v>
      </c>
      <c r="D232" s="1">
        <v>122.98</v>
      </c>
      <c r="E232" s="1">
        <f>Tabela7[[#This Row],[Forτa(N)]]/$I$5</f>
        <v>3919993.6249900395</v>
      </c>
      <c r="F232" s="1">
        <f>Tabela7[[#This Row],[Tensão(Pa)]]/1000000</f>
        <v>3.9199936249900396</v>
      </c>
    </row>
    <row r="233" spans="1:6" x14ac:dyDescent="0.3">
      <c r="A233" s="1">
        <v>26.65</v>
      </c>
      <c r="B233" s="1">
        <v>2.2138</v>
      </c>
      <c r="C233" s="1">
        <f>Tabela7[[#This Row],[Alongamento(mm/mm)]]/$I$2</f>
        <v>4.4276000000000003E-2</v>
      </c>
      <c r="D233" s="1">
        <v>123.83</v>
      </c>
      <c r="E233" s="1">
        <f>Tabela7[[#This Row],[Forτa(N)]]/$I$5</f>
        <v>3947087.4173240899</v>
      </c>
      <c r="F233" s="1">
        <f>Tabela7[[#This Row],[Tensão(Pa)]]/1000000</f>
        <v>3.9470874173240897</v>
      </c>
    </row>
    <row r="234" spans="1:6" x14ac:dyDescent="0.3">
      <c r="A234" s="1">
        <v>26.683</v>
      </c>
      <c r="B234" s="1">
        <v>2.2164999999999999</v>
      </c>
      <c r="C234" s="1">
        <f>Tabela7[[#This Row],[Alongamento(mm/mm)]]/$I$2</f>
        <v>4.4330000000000001E-2</v>
      </c>
      <c r="D234" s="1">
        <v>124.51</v>
      </c>
      <c r="E234" s="1">
        <f>Tabela7[[#This Row],[Forτa(N)]]/$I$5</f>
        <v>3968762.4511913303</v>
      </c>
      <c r="F234" s="1">
        <f>Tabela7[[#This Row],[Tensão(Pa)]]/1000000</f>
        <v>3.9687624511913304</v>
      </c>
    </row>
    <row r="235" spans="1:6" x14ac:dyDescent="0.3">
      <c r="A235" s="1">
        <v>26.733000000000001</v>
      </c>
      <c r="B235" s="1">
        <v>2.2206999999999999</v>
      </c>
      <c r="C235" s="1">
        <f>Tabela7[[#This Row],[Alongamento(mm/mm)]]/$I$2</f>
        <v>4.4413999999999995E-2</v>
      </c>
      <c r="D235" s="1">
        <v>125.36</v>
      </c>
      <c r="E235" s="1">
        <f>Tabela7[[#This Row],[Forτa(N)]]/$I$5</f>
        <v>3995856.2435253807</v>
      </c>
      <c r="F235" s="1">
        <f>Tabela7[[#This Row],[Tensão(Pa)]]/1000000</f>
        <v>3.9958562435253806</v>
      </c>
    </row>
    <row r="236" spans="1:6" x14ac:dyDescent="0.3">
      <c r="A236" s="1">
        <v>26.766999999999999</v>
      </c>
      <c r="B236" s="1">
        <v>2.2233999999999998</v>
      </c>
      <c r="C236" s="1">
        <f>Tabela7[[#This Row],[Alongamento(mm/mm)]]/$I$2</f>
        <v>4.4467999999999994E-2</v>
      </c>
      <c r="D236" s="1">
        <v>126.04</v>
      </c>
      <c r="E236" s="1">
        <f>Tabela7[[#This Row],[Forτa(N)]]/$I$5</f>
        <v>4017531.2773926212</v>
      </c>
      <c r="F236" s="1">
        <f>Tabela7[[#This Row],[Tensão(Pa)]]/1000000</f>
        <v>4.0175312773926208</v>
      </c>
    </row>
    <row r="237" spans="1:6" x14ac:dyDescent="0.3">
      <c r="A237" s="1">
        <v>26.817</v>
      </c>
      <c r="B237" s="1">
        <v>2.2275999999999998</v>
      </c>
      <c r="C237" s="1">
        <f>Tabela7[[#This Row],[Alongamento(mm/mm)]]/$I$2</f>
        <v>4.4551999999999994E-2</v>
      </c>
      <c r="D237" s="1">
        <v>126.89</v>
      </c>
      <c r="E237" s="1">
        <f>Tabela7[[#This Row],[Forτa(N)]]/$I$5</f>
        <v>4044625.0697266716</v>
      </c>
      <c r="F237" s="1">
        <f>Tabela7[[#This Row],[Tensão(Pa)]]/1000000</f>
        <v>4.0446250697266715</v>
      </c>
    </row>
    <row r="238" spans="1:6" x14ac:dyDescent="0.3">
      <c r="A238" s="1">
        <v>26.85</v>
      </c>
      <c r="B238" s="1">
        <v>2.2303999999999999</v>
      </c>
      <c r="C238" s="1">
        <f>Tabela7[[#This Row],[Alongamento(mm/mm)]]/$I$2</f>
        <v>4.4608000000000002E-2</v>
      </c>
      <c r="D238" s="1">
        <v>127.57</v>
      </c>
      <c r="E238" s="1">
        <f>Tabela7[[#This Row],[Forτa(N)]]/$I$5</f>
        <v>4066300.103593912</v>
      </c>
      <c r="F238" s="1">
        <f>Tabela7[[#This Row],[Tensão(Pa)]]/1000000</f>
        <v>4.0663001035939121</v>
      </c>
    </row>
    <row r="239" spans="1:6" x14ac:dyDescent="0.3">
      <c r="A239" s="1">
        <v>26.882999999999999</v>
      </c>
      <c r="B239" s="1">
        <v>2.2332000000000001</v>
      </c>
      <c r="C239" s="1">
        <f>Tabela7[[#This Row],[Alongamento(mm/mm)]]/$I$2</f>
        <v>4.4664000000000002E-2</v>
      </c>
      <c r="D239" s="1">
        <v>128.25</v>
      </c>
      <c r="E239" s="1">
        <f>Tabela7[[#This Row],[Forτa(N)]]/$I$5</f>
        <v>4087975.1374611524</v>
      </c>
      <c r="F239" s="1">
        <f>Tabela7[[#This Row],[Tensão(Pa)]]/1000000</f>
        <v>4.0879751374611528</v>
      </c>
    </row>
    <row r="240" spans="1:6" x14ac:dyDescent="0.3">
      <c r="A240" s="1">
        <v>26.933</v>
      </c>
      <c r="B240" s="1">
        <v>2.2372999999999998</v>
      </c>
      <c r="C240" s="1">
        <f>Tabela7[[#This Row],[Alongamento(mm/mm)]]/$I$2</f>
        <v>4.4745999999999994E-2</v>
      </c>
      <c r="D240" s="1">
        <v>129.1</v>
      </c>
      <c r="E240" s="1">
        <f>Tabela7[[#This Row],[Forτa(N)]]/$I$5</f>
        <v>4115068.9297952028</v>
      </c>
      <c r="F240" s="1">
        <f>Tabela7[[#This Row],[Tensão(Pa)]]/1000000</f>
        <v>4.1150689297952026</v>
      </c>
    </row>
    <row r="241" spans="1:6" x14ac:dyDescent="0.3">
      <c r="A241" s="1">
        <v>26.966999999999999</v>
      </c>
      <c r="B241" s="1">
        <v>2.2402000000000002</v>
      </c>
      <c r="C241" s="1">
        <f>Tabela7[[#This Row],[Alongamento(mm/mm)]]/$I$2</f>
        <v>4.4804000000000004E-2</v>
      </c>
      <c r="D241" s="1">
        <v>129.79</v>
      </c>
      <c r="E241" s="1">
        <f>Tabela7[[#This Row],[Forτa(N)]]/$I$5</f>
        <v>4137062.7141604908</v>
      </c>
      <c r="F241" s="1">
        <f>Tabela7[[#This Row],[Tensão(Pa)]]/1000000</f>
        <v>4.137062714160491</v>
      </c>
    </row>
    <row r="242" spans="1:6" x14ac:dyDescent="0.3">
      <c r="A242" s="1">
        <v>27</v>
      </c>
      <c r="B242" s="1">
        <v>2.2429000000000001</v>
      </c>
      <c r="C242" s="1">
        <f>Tabela7[[#This Row],[Alongamento(mm/mm)]]/$I$2</f>
        <v>4.4858000000000002E-2</v>
      </c>
      <c r="D242" s="1">
        <v>130.47</v>
      </c>
      <c r="E242" s="1">
        <f>Tabela7[[#This Row],[Forτa(N)]]/$I$5</f>
        <v>4158737.7480277317</v>
      </c>
      <c r="F242" s="1">
        <f>Tabela7[[#This Row],[Tensão(Pa)]]/1000000</f>
        <v>4.1587377480277317</v>
      </c>
    </row>
    <row r="243" spans="1:6" x14ac:dyDescent="0.3">
      <c r="A243" s="1">
        <v>27.05</v>
      </c>
      <c r="B243" s="1">
        <v>2.2469999999999999</v>
      </c>
      <c r="C243" s="1">
        <f>Tabela7[[#This Row],[Alongamento(mm/mm)]]/$I$2</f>
        <v>4.4940000000000001E-2</v>
      </c>
      <c r="D243" s="1">
        <v>131.32</v>
      </c>
      <c r="E243" s="1">
        <f>Tabela7[[#This Row],[Forτa(N)]]/$I$5</f>
        <v>4185831.5403617816</v>
      </c>
      <c r="F243" s="1">
        <f>Tabela7[[#This Row],[Tensão(Pa)]]/1000000</f>
        <v>4.1858315403617814</v>
      </c>
    </row>
    <row r="244" spans="1:6" x14ac:dyDescent="0.3">
      <c r="A244" s="1">
        <v>27.1</v>
      </c>
      <c r="B244" s="1">
        <v>2.2513000000000001</v>
      </c>
      <c r="C244" s="1">
        <f>Tabela7[[#This Row],[Alongamento(mm/mm)]]/$I$2</f>
        <v>4.5026000000000004E-2</v>
      </c>
      <c r="D244" s="1">
        <v>132.34</v>
      </c>
      <c r="E244" s="1">
        <f>Tabela7[[#This Row],[Forτa(N)]]/$I$5</f>
        <v>4218344.0911626425</v>
      </c>
      <c r="F244" s="1">
        <f>Tabela7[[#This Row],[Tensão(Pa)]]/1000000</f>
        <v>4.2183440911626429</v>
      </c>
    </row>
    <row r="245" spans="1:6" x14ac:dyDescent="0.3">
      <c r="A245" s="1">
        <v>27.15</v>
      </c>
      <c r="B245" s="1">
        <v>2.2553999999999998</v>
      </c>
      <c r="C245" s="1">
        <f>Tabela7[[#This Row],[Alongamento(mm/mm)]]/$I$2</f>
        <v>4.5107999999999995E-2</v>
      </c>
      <c r="D245" s="1">
        <v>133.36000000000001</v>
      </c>
      <c r="E245" s="1">
        <f>Tabela7[[#This Row],[Forτa(N)]]/$I$5</f>
        <v>4250856.6419635033</v>
      </c>
      <c r="F245" s="1">
        <f>Tabela7[[#This Row],[Tensão(Pa)]]/1000000</f>
        <v>4.2508566419635034</v>
      </c>
    </row>
    <row r="246" spans="1:6" x14ac:dyDescent="0.3">
      <c r="A246" s="1">
        <v>27.216999999999999</v>
      </c>
      <c r="B246" s="1">
        <v>2.2610000000000001</v>
      </c>
      <c r="C246" s="1">
        <f>Tabela7[[#This Row],[Alongamento(mm/mm)]]/$I$2</f>
        <v>4.5220000000000003E-2</v>
      </c>
      <c r="D246" s="1">
        <v>134.55000000000001</v>
      </c>
      <c r="E246" s="1">
        <f>Tabela7[[#This Row],[Forτa(N)]]/$I$5</f>
        <v>4288787.9512311742</v>
      </c>
      <c r="F246" s="1">
        <f>Tabela7[[#This Row],[Tensão(Pa)]]/1000000</f>
        <v>4.288787951231174</v>
      </c>
    </row>
    <row r="247" spans="1:6" x14ac:dyDescent="0.3">
      <c r="A247" s="1">
        <v>27.266999999999999</v>
      </c>
      <c r="B247" s="1">
        <v>2.2650999999999999</v>
      </c>
      <c r="C247" s="1">
        <f>Tabela7[[#This Row],[Alongamento(mm/mm)]]/$I$2</f>
        <v>4.5301999999999995E-2</v>
      </c>
      <c r="D247" s="1">
        <v>135.57</v>
      </c>
      <c r="E247" s="1">
        <f>Tabela7[[#This Row],[Forτa(N)]]/$I$5</f>
        <v>4321300.5020320341</v>
      </c>
      <c r="F247" s="1">
        <f>Tabela7[[#This Row],[Tensão(Pa)]]/1000000</f>
        <v>4.3213005020320345</v>
      </c>
    </row>
    <row r="248" spans="1:6" x14ac:dyDescent="0.3">
      <c r="A248" s="1">
        <v>27.332999999999998</v>
      </c>
      <c r="B248" s="1">
        <v>2.2707000000000002</v>
      </c>
      <c r="C248" s="1">
        <f>Tabela7[[#This Row],[Alongamento(mm/mm)]]/$I$2</f>
        <v>4.5414000000000003E-2</v>
      </c>
      <c r="D248" s="1">
        <v>136.76</v>
      </c>
      <c r="E248" s="1">
        <f>Tabela7[[#This Row],[Forτa(N)]]/$I$5</f>
        <v>4359231.8112997049</v>
      </c>
      <c r="F248" s="1">
        <f>Tabela7[[#This Row],[Tensão(Pa)]]/1000000</f>
        <v>4.3592318112997051</v>
      </c>
    </row>
    <row r="249" spans="1:6" x14ac:dyDescent="0.3">
      <c r="A249" s="1">
        <v>27.382999999999999</v>
      </c>
      <c r="B249" s="1">
        <v>2.2747999999999999</v>
      </c>
      <c r="C249" s="1">
        <f>Tabela7[[#This Row],[Alongamento(mm/mm)]]/$I$2</f>
        <v>4.5496000000000002E-2</v>
      </c>
      <c r="D249" s="1">
        <v>137.78</v>
      </c>
      <c r="E249" s="1">
        <f>Tabela7[[#This Row],[Forτa(N)]]/$I$5</f>
        <v>4391744.3621005658</v>
      </c>
      <c r="F249" s="1">
        <f>Tabela7[[#This Row],[Tensão(Pa)]]/1000000</f>
        <v>4.3917443621005656</v>
      </c>
    </row>
    <row r="250" spans="1:6" x14ac:dyDescent="0.3">
      <c r="A250" s="1">
        <v>27.433</v>
      </c>
      <c r="B250" s="1">
        <v>2.2789999999999999</v>
      </c>
      <c r="C250" s="1">
        <f>Tabela7[[#This Row],[Alongamento(mm/mm)]]/$I$2</f>
        <v>4.5579999999999996E-2</v>
      </c>
      <c r="D250" s="1">
        <v>138.80000000000001</v>
      </c>
      <c r="E250" s="1">
        <f>Tabela7[[#This Row],[Forτa(N)]]/$I$5</f>
        <v>4424256.9129014267</v>
      </c>
      <c r="F250" s="1">
        <f>Tabela7[[#This Row],[Tensão(Pa)]]/1000000</f>
        <v>4.4242569129014271</v>
      </c>
    </row>
    <row r="251" spans="1:6" x14ac:dyDescent="0.3">
      <c r="A251" s="1">
        <v>27.483000000000001</v>
      </c>
      <c r="B251" s="1">
        <v>2.2831999999999999</v>
      </c>
      <c r="C251" s="1">
        <f>Tabela7[[#This Row],[Alongamento(mm/mm)]]/$I$2</f>
        <v>4.5663999999999996E-2</v>
      </c>
      <c r="D251" s="1">
        <v>139.82</v>
      </c>
      <c r="E251" s="1">
        <f>Tabela7[[#This Row],[Forτa(N)]]/$I$5</f>
        <v>4456769.4637022875</v>
      </c>
      <c r="F251" s="1">
        <f>Tabela7[[#This Row],[Tensão(Pa)]]/1000000</f>
        <v>4.4567694637022877</v>
      </c>
    </row>
    <row r="252" spans="1:6" x14ac:dyDescent="0.3">
      <c r="A252" s="1">
        <v>27.55</v>
      </c>
      <c r="B252" s="1">
        <v>2.2887</v>
      </c>
      <c r="C252" s="1">
        <f>Tabela7[[#This Row],[Alongamento(mm/mm)]]/$I$2</f>
        <v>4.5774000000000002E-2</v>
      </c>
      <c r="D252" s="1">
        <v>141.01</v>
      </c>
      <c r="E252" s="1">
        <f>Tabela7[[#This Row],[Forτa(N)]]/$I$5</f>
        <v>4494700.7729699574</v>
      </c>
      <c r="F252" s="1">
        <f>Tabela7[[#This Row],[Tensão(Pa)]]/1000000</f>
        <v>4.4947007729699573</v>
      </c>
    </row>
    <row r="253" spans="1:6" x14ac:dyDescent="0.3">
      <c r="A253" s="1">
        <v>27.6</v>
      </c>
      <c r="B253" s="1">
        <v>2.2928999999999999</v>
      </c>
      <c r="C253" s="1">
        <f>Tabela7[[#This Row],[Alongamento(mm/mm)]]/$I$2</f>
        <v>4.5857999999999996E-2</v>
      </c>
      <c r="D253" s="1">
        <v>142.03</v>
      </c>
      <c r="E253" s="1">
        <f>Tabela7[[#This Row],[Forτa(N)]]/$I$5</f>
        <v>4527213.3237708183</v>
      </c>
      <c r="F253" s="1">
        <f>Tabela7[[#This Row],[Tensão(Pa)]]/1000000</f>
        <v>4.5272133237708179</v>
      </c>
    </row>
    <row r="254" spans="1:6" x14ac:dyDescent="0.3">
      <c r="A254" s="1">
        <v>27.65</v>
      </c>
      <c r="B254" s="1">
        <v>2.2970999999999999</v>
      </c>
      <c r="C254" s="1">
        <f>Tabela7[[#This Row],[Alongamento(mm/mm)]]/$I$2</f>
        <v>4.5941999999999997E-2</v>
      </c>
      <c r="D254" s="1">
        <v>143.05000000000001</v>
      </c>
      <c r="E254" s="1">
        <f>Tabela7[[#This Row],[Forτa(N)]]/$I$5</f>
        <v>4559725.8745716801</v>
      </c>
      <c r="F254" s="1">
        <f>Tabela7[[#This Row],[Tensão(Pa)]]/1000000</f>
        <v>4.5597258745716802</v>
      </c>
    </row>
    <row r="255" spans="1:6" x14ac:dyDescent="0.3">
      <c r="A255" s="1">
        <v>27.716999999999999</v>
      </c>
      <c r="B255" s="1">
        <v>2.3026</v>
      </c>
      <c r="C255" s="1">
        <f>Tabela7[[#This Row],[Alongamento(mm/mm)]]/$I$2</f>
        <v>4.6052000000000003E-2</v>
      </c>
      <c r="D255" s="1">
        <v>144.24</v>
      </c>
      <c r="E255" s="1">
        <f>Tabela7[[#This Row],[Forτa(N)]]/$I$5</f>
        <v>4597657.18383935</v>
      </c>
      <c r="F255" s="1">
        <f>Tabela7[[#This Row],[Tensão(Pa)]]/1000000</f>
        <v>4.5976571838393498</v>
      </c>
    </row>
    <row r="256" spans="1:6" x14ac:dyDescent="0.3">
      <c r="A256" s="1">
        <v>27.766999999999999</v>
      </c>
      <c r="B256" s="1">
        <v>2.3068</v>
      </c>
      <c r="C256" s="1">
        <f>Tabela7[[#This Row],[Alongamento(mm/mm)]]/$I$2</f>
        <v>4.6135999999999996E-2</v>
      </c>
      <c r="D256" s="1">
        <v>145.26</v>
      </c>
      <c r="E256" s="1">
        <f>Tabela7[[#This Row],[Forτa(N)]]/$I$5</f>
        <v>4630169.7346402099</v>
      </c>
      <c r="F256" s="1">
        <f>Tabela7[[#This Row],[Tensão(Pa)]]/1000000</f>
        <v>4.6301697346402095</v>
      </c>
    </row>
    <row r="257" spans="1:6" x14ac:dyDescent="0.3">
      <c r="A257" s="1">
        <v>27.817</v>
      </c>
      <c r="B257" s="1">
        <v>2.3109999999999999</v>
      </c>
      <c r="C257" s="1">
        <f>Tabela7[[#This Row],[Alongamento(mm/mm)]]/$I$2</f>
        <v>4.6219999999999997E-2</v>
      </c>
      <c r="D257" s="1">
        <v>146.28</v>
      </c>
      <c r="E257" s="1">
        <f>Tabela7[[#This Row],[Forτa(N)]]/$I$5</f>
        <v>4662682.2854410717</v>
      </c>
      <c r="F257" s="1">
        <f>Tabela7[[#This Row],[Tensão(Pa)]]/1000000</f>
        <v>4.6626822854410719</v>
      </c>
    </row>
    <row r="258" spans="1:6" x14ac:dyDescent="0.3">
      <c r="A258" s="1">
        <v>27.867000000000001</v>
      </c>
      <c r="B258" s="1">
        <v>2.3151000000000002</v>
      </c>
      <c r="C258" s="1">
        <f>Tabela7[[#This Row],[Alongamento(mm/mm)]]/$I$2</f>
        <v>4.6302000000000003E-2</v>
      </c>
      <c r="D258" s="1">
        <v>147.31</v>
      </c>
      <c r="E258" s="1">
        <f>Tabela7[[#This Row],[Forτa(N)]]/$I$5</f>
        <v>4695513.5867399797</v>
      </c>
      <c r="F258" s="1">
        <f>Tabela7[[#This Row],[Tensão(Pa)]]/1000000</f>
        <v>4.6955135867399793</v>
      </c>
    </row>
    <row r="259" spans="1:6" x14ac:dyDescent="0.3">
      <c r="A259" s="1">
        <v>27.917000000000002</v>
      </c>
      <c r="B259" s="1">
        <v>2.3193000000000001</v>
      </c>
      <c r="C259" s="1">
        <f>Tabela7[[#This Row],[Alongamento(mm/mm)]]/$I$2</f>
        <v>4.6386000000000004E-2</v>
      </c>
      <c r="D259" s="1">
        <v>148.33000000000001</v>
      </c>
      <c r="E259" s="1">
        <f>Tabela7[[#This Row],[Forτa(N)]]/$I$5</f>
        <v>4728026.1375408405</v>
      </c>
      <c r="F259" s="1">
        <f>Tabela7[[#This Row],[Tensão(Pa)]]/1000000</f>
        <v>4.7280261375408408</v>
      </c>
    </row>
    <row r="260" spans="1:6" x14ac:dyDescent="0.3">
      <c r="A260" s="1">
        <v>27.966999999999999</v>
      </c>
      <c r="B260" s="1">
        <v>2.3235000000000001</v>
      </c>
      <c r="C260" s="1">
        <f>Tabela7[[#This Row],[Alongamento(mm/mm)]]/$I$2</f>
        <v>4.6470000000000004E-2</v>
      </c>
      <c r="D260" s="1">
        <v>149.35</v>
      </c>
      <c r="E260" s="1">
        <f>Tabela7[[#This Row],[Forτa(N)]]/$I$5</f>
        <v>4760538.6883417005</v>
      </c>
      <c r="F260" s="1">
        <f>Tabela7[[#This Row],[Tensão(Pa)]]/1000000</f>
        <v>4.7605386883417005</v>
      </c>
    </row>
    <row r="261" spans="1:6" x14ac:dyDescent="0.3">
      <c r="A261" s="1">
        <v>28.016999999999999</v>
      </c>
      <c r="B261" s="1">
        <v>2.3277000000000001</v>
      </c>
      <c r="C261" s="1">
        <f>Tabela7[[#This Row],[Alongamento(mm/mm)]]/$I$2</f>
        <v>4.6554000000000005E-2</v>
      </c>
      <c r="D261" s="1">
        <v>150.37</v>
      </c>
      <c r="E261" s="1">
        <f>Tabela7[[#This Row],[Forτa(N)]]/$I$5</f>
        <v>4793051.2391425613</v>
      </c>
      <c r="F261" s="1">
        <f>Tabela7[[#This Row],[Tensão(Pa)]]/1000000</f>
        <v>4.793051239142561</v>
      </c>
    </row>
    <row r="262" spans="1:6" x14ac:dyDescent="0.3">
      <c r="A262" s="1">
        <v>28.067</v>
      </c>
      <c r="B262" s="1">
        <v>2.3317999999999999</v>
      </c>
      <c r="C262" s="1">
        <f>Tabela7[[#This Row],[Alongamento(mm/mm)]]/$I$2</f>
        <v>4.6635999999999997E-2</v>
      </c>
      <c r="D262" s="1">
        <v>151.38999999999999</v>
      </c>
      <c r="E262" s="1">
        <f>Tabela7[[#This Row],[Forτa(N)]]/$I$5</f>
        <v>4825563.7899434213</v>
      </c>
      <c r="F262" s="1">
        <f>Tabela7[[#This Row],[Tensão(Pa)]]/1000000</f>
        <v>4.8255637899434216</v>
      </c>
    </row>
    <row r="263" spans="1:6" x14ac:dyDescent="0.3">
      <c r="A263" s="1">
        <v>28.117000000000001</v>
      </c>
      <c r="B263" s="1">
        <v>2.3359000000000001</v>
      </c>
      <c r="C263" s="1">
        <f>Tabela7[[#This Row],[Alongamento(mm/mm)]]/$I$2</f>
        <v>4.6718000000000003E-2</v>
      </c>
      <c r="D263" s="1">
        <v>152.41</v>
      </c>
      <c r="E263" s="1">
        <f>Tabela7[[#This Row],[Forτa(N)]]/$I$5</f>
        <v>4858076.3407442821</v>
      </c>
      <c r="F263" s="1">
        <f>Tabela7[[#This Row],[Tensão(Pa)]]/1000000</f>
        <v>4.8580763407442822</v>
      </c>
    </row>
    <row r="264" spans="1:6" x14ac:dyDescent="0.3">
      <c r="A264" s="1">
        <v>28.167000000000002</v>
      </c>
      <c r="B264" s="1">
        <v>2.34</v>
      </c>
      <c r="C264" s="1">
        <f>Tabela7[[#This Row],[Alongamento(mm/mm)]]/$I$2</f>
        <v>4.6799999999999994E-2</v>
      </c>
      <c r="D264" s="1">
        <v>153.43</v>
      </c>
      <c r="E264" s="1">
        <f>Tabela7[[#This Row],[Forτa(N)]]/$I$5</f>
        <v>4890588.8915451439</v>
      </c>
      <c r="F264" s="1">
        <f>Tabela7[[#This Row],[Tensão(Pa)]]/1000000</f>
        <v>4.8905888915451436</v>
      </c>
    </row>
    <row r="265" spans="1:6" x14ac:dyDescent="0.3">
      <c r="A265" s="1">
        <v>28.216999999999999</v>
      </c>
      <c r="B265" s="1">
        <v>2.3443000000000001</v>
      </c>
      <c r="C265" s="1">
        <f>Tabela7[[#This Row],[Alongamento(mm/mm)]]/$I$2</f>
        <v>4.6886000000000004E-2</v>
      </c>
      <c r="D265" s="1">
        <v>154.44999999999999</v>
      </c>
      <c r="E265" s="1">
        <f>Tabela7[[#This Row],[Forτa(N)]]/$I$5</f>
        <v>4923101.4423460038</v>
      </c>
      <c r="F265" s="1">
        <f>Tabela7[[#This Row],[Tensão(Pa)]]/1000000</f>
        <v>4.9231014423460042</v>
      </c>
    </row>
    <row r="266" spans="1:6" x14ac:dyDescent="0.3">
      <c r="A266" s="1">
        <v>28.266999999999999</v>
      </c>
      <c r="B266" s="1">
        <v>2.3485</v>
      </c>
      <c r="C266" s="1">
        <f>Tabela7[[#This Row],[Alongamento(mm/mm)]]/$I$2</f>
        <v>4.6969999999999998E-2</v>
      </c>
      <c r="D266" s="1">
        <v>155.47</v>
      </c>
      <c r="E266" s="1">
        <f>Tabela7[[#This Row],[Forτa(N)]]/$I$5</f>
        <v>4955613.9931468647</v>
      </c>
      <c r="F266" s="1">
        <f>Tabela7[[#This Row],[Tensão(Pa)]]/1000000</f>
        <v>4.9556139931468648</v>
      </c>
    </row>
    <row r="267" spans="1:6" x14ac:dyDescent="0.3">
      <c r="A267" s="1">
        <v>28.317</v>
      </c>
      <c r="B267" s="1">
        <v>2.3527</v>
      </c>
      <c r="C267" s="1">
        <f>Tabela7[[#This Row],[Alongamento(mm/mm)]]/$I$2</f>
        <v>4.7053999999999999E-2</v>
      </c>
      <c r="D267" s="1">
        <v>156.49</v>
      </c>
      <c r="E267" s="1">
        <f>Tabela7[[#This Row],[Forτa(N)]]/$I$5</f>
        <v>4988126.5439477256</v>
      </c>
      <c r="F267" s="1">
        <f>Tabela7[[#This Row],[Tensão(Pa)]]/1000000</f>
        <v>4.9881265439477254</v>
      </c>
    </row>
    <row r="268" spans="1:6" x14ac:dyDescent="0.3">
      <c r="A268" s="1">
        <v>28.367000000000001</v>
      </c>
      <c r="B268" s="1">
        <v>2.3567999999999998</v>
      </c>
      <c r="C268" s="1">
        <f>Tabela7[[#This Row],[Alongamento(mm/mm)]]/$I$2</f>
        <v>4.7135999999999997E-2</v>
      </c>
      <c r="D268" s="1">
        <v>157.51</v>
      </c>
      <c r="E268" s="1">
        <f>Tabela7[[#This Row],[Forτa(N)]]/$I$5</f>
        <v>5020639.0947485855</v>
      </c>
      <c r="F268" s="1">
        <f>Tabela7[[#This Row],[Tensão(Pa)]]/1000000</f>
        <v>5.0206390947485851</v>
      </c>
    </row>
    <row r="269" spans="1:6" x14ac:dyDescent="0.3">
      <c r="A269" s="1">
        <v>28.417000000000002</v>
      </c>
      <c r="B269" s="1">
        <v>2.3610000000000002</v>
      </c>
      <c r="C269" s="1">
        <f>Tabela7[[#This Row],[Alongamento(mm/mm)]]/$I$2</f>
        <v>4.7220000000000005E-2</v>
      </c>
      <c r="D269" s="1">
        <v>158.69999999999999</v>
      </c>
      <c r="E269" s="1">
        <f>Tabela7[[#This Row],[Forτa(N)]]/$I$5</f>
        <v>5058570.4040162563</v>
      </c>
      <c r="F269" s="1">
        <f>Tabela7[[#This Row],[Tensão(Pa)]]/1000000</f>
        <v>5.0585704040162565</v>
      </c>
    </row>
    <row r="270" spans="1:6" x14ac:dyDescent="0.3">
      <c r="A270" s="1">
        <v>28.466999999999999</v>
      </c>
      <c r="B270" s="1">
        <v>2.3652000000000002</v>
      </c>
      <c r="C270" s="1">
        <f>Tabela7[[#This Row],[Alongamento(mm/mm)]]/$I$2</f>
        <v>4.7304000000000006E-2</v>
      </c>
      <c r="D270" s="1">
        <v>159.72</v>
      </c>
      <c r="E270" s="1">
        <f>Tabela7[[#This Row],[Forτa(N)]]/$I$5</f>
        <v>5091082.9548171172</v>
      </c>
      <c r="F270" s="1">
        <f>Tabela7[[#This Row],[Tensão(Pa)]]/1000000</f>
        <v>5.091082954817117</v>
      </c>
    </row>
    <row r="271" spans="1:6" x14ac:dyDescent="0.3">
      <c r="A271" s="1">
        <v>28.516999999999999</v>
      </c>
      <c r="B271" s="1">
        <v>2.3693</v>
      </c>
      <c r="C271" s="1">
        <f>Tabela7[[#This Row],[Alongamento(mm/mm)]]/$I$2</f>
        <v>4.7385999999999998E-2</v>
      </c>
      <c r="D271" s="1">
        <v>160.74</v>
      </c>
      <c r="E271" s="1">
        <f>Tabela7[[#This Row],[Forτa(N)]]/$I$5</f>
        <v>5123595.5056179781</v>
      </c>
      <c r="F271" s="1">
        <f>Tabela7[[#This Row],[Tensão(Pa)]]/1000000</f>
        <v>5.1235955056179776</v>
      </c>
    </row>
    <row r="272" spans="1:6" x14ac:dyDescent="0.3">
      <c r="A272" s="1">
        <v>28.567</v>
      </c>
      <c r="B272" s="1">
        <v>2.3734000000000002</v>
      </c>
      <c r="C272" s="1">
        <f>Tabela7[[#This Row],[Alongamento(mm/mm)]]/$I$2</f>
        <v>4.7468000000000003E-2</v>
      </c>
      <c r="D272" s="1">
        <v>161.93</v>
      </c>
      <c r="E272" s="1">
        <f>Tabela7[[#This Row],[Forτa(N)]]/$I$5</f>
        <v>5161526.8148856489</v>
      </c>
      <c r="F272" s="1">
        <f>Tabela7[[#This Row],[Tensão(Pa)]]/1000000</f>
        <v>5.161526814885649</v>
      </c>
    </row>
    <row r="273" spans="1:6" x14ac:dyDescent="0.3">
      <c r="A273" s="1">
        <v>28.617000000000001</v>
      </c>
      <c r="B273" s="1">
        <v>2.3776000000000002</v>
      </c>
      <c r="C273" s="1">
        <f>Tabela7[[#This Row],[Alongamento(mm/mm)]]/$I$2</f>
        <v>4.7552000000000004E-2</v>
      </c>
      <c r="D273" s="1">
        <v>162.94999999999999</v>
      </c>
      <c r="E273" s="1">
        <f>Tabela7[[#This Row],[Forτa(N)]]/$I$5</f>
        <v>5194039.3656865088</v>
      </c>
      <c r="F273" s="1">
        <f>Tabela7[[#This Row],[Tensão(Pa)]]/1000000</f>
        <v>5.1940393656865087</v>
      </c>
    </row>
    <row r="274" spans="1:6" x14ac:dyDescent="0.3">
      <c r="A274" s="1">
        <v>28.667000000000002</v>
      </c>
      <c r="B274" s="1">
        <v>2.3816999999999999</v>
      </c>
      <c r="C274" s="1">
        <f>Tabela7[[#This Row],[Alongamento(mm/mm)]]/$I$2</f>
        <v>4.7633999999999996E-2</v>
      </c>
      <c r="D274" s="1">
        <v>164.15</v>
      </c>
      <c r="E274" s="1">
        <f>Tabela7[[#This Row],[Forτa(N)]]/$I$5</f>
        <v>5232289.4254522277</v>
      </c>
      <c r="F274" s="1">
        <f>Tabela7[[#This Row],[Tensão(Pa)]]/1000000</f>
        <v>5.2322894254522279</v>
      </c>
    </row>
    <row r="275" spans="1:6" x14ac:dyDescent="0.3">
      <c r="A275" s="1">
        <v>28.716999999999999</v>
      </c>
      <c r="B275" s="1">
        <v>2.3858999999999999</v>
      </c>
      <c r="C275" s="1">
        <f>Tabela7[[#This Row],[Alongamento(mm/mm)]]/$I$2</f>
        <v>4.7717999999999997E-2</v>
      </c>
      <c r="D275" s="1">
        <v>165.17</v>
      </c>
      <c r="E275" s="1">
        <f>Tabela7[[#This Row],[Forτa(N)]]/$I$5</f>
        <v>5264801.9762530876</v>
      </c>
      <c r="F275" s="1">
        <f>Tabela7[[#This Row],[Tensão(Pa)]]/1000000</f>
        <v>5.2648019762530875</v>
      </c>
    </row>
    <row r="276" spans="1:6" x14ac:dyDescent="0.3">
      <c r="A276" s="1">
        <v>28.766999999999999</v>
      </c>
      <c r="B276" s="1">
        <v>2.3902000000000001</v>
      </c>
      <c r="C276" s="1">
        <f>Tabela7[[#This Row],[Alongamento(mm/mm)]]/$I$2</f>
        <v>4.7803999999999999E-2</v>
      </c>
      <c r="D276" s="1">
        <v>166.36</v>
      </c>
      <c r="E276" s="1">
        <f>Tabela7[[#This Row],[Forτa(N)]]/$I$5</f>
        <v>5302733.2855207594</v>
      </c>
      <c r="F276" s="1">
        <f>Tabela7[[#This Row],[Tensão(Pa)]]/1000000</f>
        <v>5.3027332855207598</v>
      </c>
    </row>
    <row r="277" spans="1:6" x14ac:dyDescent="0.3">
      <c r="A277" s="1">
        <v>28.817</v>
      </c>
      <c r="B277" s="1">
        <v>2.3944000000000001</v>
      </c>
      <c r="C277" s="1">
        <f>Tabela7[[#This Row],[Alongamento(mm/mm)]]/$I$2</f>
        <v>4.7888E-2</v>
      </c>
      <c r="D277" s="1">
        <v>167.55</v>
      </c>
      <c r="E277" s="1">
        <f>Tabela7[[#This Row],[Forτa(N)]]/$I$5</f>
        <v>5340664.5947884303</v>
      </c>
      <c r="F277" s="1">
        <f>Tabela7[[#This Row],[Tensão(Pa)]]/1000000</f>
        <v>5.3406645947884304</v>
      </c>
    </row>
    <row r="278" spans="1:6" x14ac:dyDescent="0.3">
      <c r="A278" s="1">
        <v>28.867000000000001</v>
      </c>
      <c r="B278" s="1">
        <v>2.3984999999999999</v>
      </c>
      <c r="C278" s="1">
        <f>Tabela7[[#This Row],[Alongamento(mm/mm)]]/$I$2</f>
        <v>4.7969999999999999E-2</v>
      </c>
      <c r="D278" s="1">
        <v>168.57</v>
      </c>
      <c r="E278" s="1">
        <f>Tabela7[[#This Row],[Forτa(N)]]/$I$5</f>
        <v>5373177.1455892902</v>
      </c>
      <c r="F278" s="1">
        <f>Tabela7[[#This Row],[Tensão(Pa)]]/1000000</f>
        <v>5.37317714558929</v>
      </c>
    </row>
    <row r="279" spans="1:6" x14ac:dyDescent="0.3">
      <c r="A279" s="1">
        <v>28.917000000000002</v>
      </c>
      <c r="B279" s="1">
        <v>2.4026000000000001</v>
      </c>
      <c r="C279" s="1">
        <f>Tabela7[[#This Row],[Alongamento(mm/mm)]]/$I$2</f>
        <v>4.8052000000000004E-2</v>
      </c>
      <c r="D279" s="1">
        <v>169.59</v>
      </c>
      <c r="E279" s="1">
        <f>Tabela7[[#This Row],[Forτa(N)]]/$I$5</f>
        <v>5405689.696390151</v>
      </c>
      <c r="F279" s="1">
        <f>Tabela7[[#This Row],[Tensão(Pa)]]/1000000</f>
        <v>5.4056896963901506</v>
      </c>
    </row>
    <row r="280" spans="1:6" x14ac:dyDescent="0.3">
      <c r="A280" s="1">
        <v>28.966999999999999</v>
      </c>
      <c r="B280" s="1">
        <v>2.4068999999999998</v>
      </c>
      <c r="C280" s="1">
        <f>Tabela7[[#This Row],[Alongamento(mm/mm)]]/$I$2</f>
        <v>4.8137999999999993E-2</v>
      </c>
      <c r="D280" s="1">
        <v>170.78</v>
      </c>
      <c r="E280" s="1">
        <f>Tabela7[[#This Row],[Forτa(N)]]/$I$5</f>
        <v>5443621.0056578219</v>
      </c>
      <c r="F280" s="1">
        <f>Tabela7[[#This Row],[Tensão(Pa)]]/1000000</f>
        <v>5.443621005657822</v>
      </c>
    </row>
    <row r="281" spans="1:6" x14ac:dyDescent="0.3">
      <c r="A281" s="1">
        <v>29.016999999999999</v>
      </c>
      <c r="B281" s="1">
        <v>2.4108999999999998</v>
      </c>
      <c r="C281" s="1">
        <f>Tabela7[[#This Row],[Alongamento(mm/mm)]]/$I$2</f>
        <v>4.8217999999999997E-2</v>
      </c>
      <c r="D281" s="1">
        <v>171.8</v>
      </c>
      <c r="E281" s="1">
        <f>Tabela7[[#This Row],[Forτa(N)]]/$I$5</f>
        <v>5476133.5564586828</v>
      </c>
      <c r="F281" s="1">
        <f>Tabela7[[#This Row],[Tensão(Pa)]]/1000000</f>
        <v>5.4761335564586826</v>
      </c>
    </row>
    <row r="282" spans="1:6" x14ac:dyDescent="0.3">
      <c r="A282" s="1">
        <v>29.067</v>
      </c>
      <c r="B282" s="1">
        <v>2.4150999999999998</v>
      </c>
      <c r="C282" s="1">
        <f>Tabela7[[#This Row],[Alongamento(mm/mm)]]/$I$2</f>
        <v>4.8301999999999998E-2</v>
      </c>
      <c r="D282" s="1">
        <v>172.99</v>
      </c>
      <c r="E282" s="1">
        <f>Tabela7[[#This Row],[Forτa(N)]]/$I$5</f>
        <v>5514064.8657263536</v>
      </c>
      <c r="F282" s="1">
        <f>Tabela7[[#This Row],[Tensão(Pa)]]/1000000</f>
        <v>5.514064865726354</v>
      </c>
    </row>
    <row r="283" spans="1:6" x14ac:dyDescent="0.3">
      <c r="A283" s="1">
        <v>29.117000000000001</v>
      </c>
      <c r="B283" s="1">
        <v>2.4192999999999998</v>
      </c>
      <c r="C283" s="1">
        <f>Tabela7[[#This Row],[Alongamento(mm/mm)]]/$I$2</f>
        <v>4.8385999999999998E-2</v>
      </c>
      <c r="D283" s="1">
        <v>174.18</v>
      </c>
      <c r="E283" s="1">
        <f>Tabela7[[#This Row],[Forτa(N)]]/$I$5</f>
        <v>5551996.1749940235</v>
      </c>
      <c r="F283" s="1">
        <f>Tabela7[[#This Row],[Tensão(Pa)]]/1000000</f>
        <v>5.5519961749940236</v>
      </c>
    </row>
    <row r="284" spans="1:6" x14ac:dyDescent="0.3">
      <c r="A284" s="1">
        <v>29.183</v>
      </c>
      <c r="B284" s="1">
        <v>2.4247999999999998</v>
      </c>
      <c r="C284" s="1">
        <f>Tabela7[[#This Row],[Alongamento(mm/mm)]]/$I$2</f>
        <v>4.8495999999999997E-2</v>
      </c>
      <c r="D284" s="1">
        <v>175.71</v>
      </c>
      <c r="E284" s="1">
        <f>Tabela7[[#This Row],[Forτa(N)]]/$I$5</f>
        <v>5600765.0011953153</v>
      </c>
      <c r="F284" s="1">
        <f>Tabela7[[#This Row],[Tensão(Pa)]]/1000000</f>
        <v>5.600765001195315</v>
      </c>
    </row>
    <row r="285" spans="1:6" x14ac:dyDescent="0.3">
      <c r="A285" s="1">
        <v>29.25</v>
      </c>
      <c r="B285" s="1">
        <v>2.4304000000000001</v>
      </c>
      <c r="C285" s="1">
        <f>Tabela7[[#This Row],[Alongamento(mm/mm)]]/$I$2</f>
        <v>4.8608000000000005E-2</v>
      </c>
      <c r="D285" s="1">
        <v>177.24</v>
      </c>
      <c r="E285" s="1">
        <f>Tabela7[[#This Row],[Forτa(N)]]/$I$5</f>
        <v>5649533.8273966061</v>
      </c>
      <c r="F285" s="1">
        <f>Tabela7[[#This Row],[Tensão(Pa)]]/1000000</f>
        <v>5.6495338273966063</v>
      </c>
    </row>
    <row r="286" spans="1:6" x14ac:dyDescent="0.3">
      <c r="A286" s="1">
        <v>29.317</v>
      </c>
      <c r="B286" s="1">
        <v>2.4359999999999999</v>
      </c>
      <c r="C286" s="1">
        <f>Tabela7[[#This Row],[Alongamento(mm/mm)]]/$I$2</f>
        <v>4.8719999999999999E-2</v>
      </c>
      <c r="D286" s="1">
        <v>178.77</v>
      </c>
      <c r="E286" s="1">
        <f>Tabela7[[#This Row],[Forτa(N)]]/$I$5</f>
        <v>5698302.6535978969</v>
      </c>
      <c r="F286" s="1">
        <f>Tabela7[[#This Row],[Tensão(Pa)]]/1000000</f>
        <v>5.6983026535978967</v>
      </c>
    </row>
    <row r="287" spans="1:6" x14ac:dyDescent="0.3">
      <c r="A287" s="1">
        <v>29.382999999999999</v>
      </c>
      <c r="B287" s="1">
        <v>2.4416000000000002</v>
      </c>
      <c r="C287" s="1">
        <f>Tabela7[[#This Row],[Alongamento(mm/mm)]]/$I$2</f>
        <v>4.8832000000000007E-2</v>
      </c>
      <c r="D287" s="1">
        <v>180.3</v>
      </c>
      <c r="E287" s="1">
        <f>Tabela7[[#This Row],[Forτa(N)]]/$I$5</f>
        <v>5747071.4797991877</v>
      </c>
      <c r="F287" s="1">
        <f>Tabela7[[#This Row],[Tensão(Pa)]]/1000000</f>
        <v>5.747071479799188</v>
      </c>
    </row>
    <row r="288" spans="1:6" x14ac:dyDescent="0.3">
      <c r="A288" s="1">
        <v>29.45</v>
      </c>
      <c r="B288" s="1">
        <v>2.4470999999999998</v>
      </c>
      <c r="C288" s="1">
        <f>Tabela7[[#This Row],[Alongamento(mm/mm)]]/$I$2</f>
        <v>4.8941999999999999E-2</v>
      </c>
      <c r="D288" s="1">
        <v>181.84</v>
      </c>
      <c r="E288" s="1">
        <f>Tabela7[[#This Row],[Forτa(N)]]/$I$5</f>
        <v>5796159.0564985266</v>
      </c>
      <c r="F288" s="1">
        <f>Tabela7[[#This Row],[Tensão(Pa)]]/1000000</f>
        <v>5.796159056498527</v>
      </c>
    </row>
    <row r="289" spans="1:6" x14ac:dyDescent="0.3">
      <c r="A289" s="1">
        <v>29.516999999999999</v>
      </c>
      <c r="B289" s="1">
        <v>2.4525999999999999</v>
      </c>
      <c r="C289" s="1">
        <f>Tabela7[[#This Row],[Alongamento(mm/mm)]]/$I$2</f>
        <v>4.9051999999999998E-2</v>
      </c>
      <c r="D289" s="1">
        <v>183.37</v>
      </c>
      <c r="E289" s="1">
        <f>Tabela7[[#This Row],[Forτa(N)]]/$I$5</f>
        <v>5844927.8826998174</v>
      </c>
      <c r="F289" s="1">
        <f>Tabela7[[#This Row],[Tensão(Pa)]]/1000000</f>
        <v>5.8449278826998174</v>
      </c>
    </row>
    <row r="290" spans="1:6" x14ac:dyDescent="0.3">
      <c r="A290" s="1">
        <v>29.582999999999998</v>
      </c>
      <c r="B290" s="1">
        <v>2.4581</v>
      </c>
      <c r="C290" s="1">
        <f>Tabela7[[#This Row],[Alongamento(mm/mm)]]/$I$2</f>
        <v>4.9161999999999997E-2</v>
      </c>
      <c r="D290" s="1">
        <v>185.07</v>
      </c>
      <c r="E290" s="1">
        <f>Tabela7[[#This Row],[Forτa(N)]]/$I$5</f>
        <v>5899115.4673679182</v>
      </c>
      <c r="F290" s="1">
        <f>Tabela7[[#This Row],[Tensão(Pa)]]/1000000</f>
        <v>5.8991154673679178</v>
      </c>
    </row>
    <row r="291" spans="1:6" x14ac:dyDescent="0.3">
      <c r="A291" s="1">
        <v>29.65</v>
      </c>
      <c r="B291" s="1">
        <v>2.4636999999999998</v>
      </c>
      <c r="C291" s="1">
        <f>Tabela7[[#This Row],[Alongamento(mm/mm)]]/$I$2</f>
        <v>4.9273999999999998E-2</v>
      </c>
      <c r="D291" s="1">
        <v>186.6</v>
      </c>
      <c r="E291" s="1">
        <f>Tabela7[[#This Row],[Forτa(N)]]/$I$5</f>
        <v>5947884.2935692091</v>
      </c>
      <c r="F291" s="1">
        <f>Tabela7[[#This Row],[Tensão(Pa)]]/1000000</f>
        <v>5.9478842935692091</v>
      </c>
    </row>
    <row r="292" spans="1:6" x14ac:dyDescent="0.3">
      <c r="A292" s="1">
        <v>29.716999999999999</v>
      </c>
      <c r="B292" s="1">
        <v>2.4693000000000001</v>
      </c>
      <c r="C292" s="1">
        <f>Tabela7[[#This Row],[Alongamento(mm/mm)]]/$I$2</f>
        <v>4.9385999999999999E-2</v>
      </c>
      <c r="D292" s="1">
        <v>188.13</v>
      </c>
      <c r="E292" s="1">
        <f>Tabela7[[#This Row],[Forτa(N)]]/$I$5</f>
        <v>5996653.1197704999</v>
      </c>
      <c r="F292" s="1">
        <f>Tabela7[[#This Row],[Tensão(Pa)]]/1000000</f>
        <v>5.9966531197704995</v>
      </c>
    </row>
    <row r="293" spans="1:6" x14ac:dyDescent="0.3">
      <c r="A293" s="1">
        <v>29.783000000000001</v>
      </c>
      <c r="B293" s="1">
        <v>2.4748000000000001</v>
      </c>
      <c r="C293" s="1">
        <f>Tabela7[[#This Row],[Alongamento(mm/mm)]]/$I$2</f>
        <v>4.9496000000000005E-2</v>
      </c>
      <c r="D293" s="1">
        <v>189.66</v>
      </c>
      <c r="E293" s="1">
        <f>Tabela7[[#This Row],[Forτa(N)]]/$I$5</f>
        <v>6045421.9459717907</v>
      </c>
      <c r="F293" s="1">
        <f>Tabela7[[#This Row],[Tensão(Pa)]]/1000000</f>
        <v>6.0454219459717908</v>
      </c>
    </row>
    <row r="294" spans="1:6" x14ac:dyDescent="0.3">
      <c r="A294" s="1">
        <v>29.85</v>
      </c>
      <c r="B294" s="1">
        <v>2.4803999999999999</v>
      </c>
      <c r="C294" s="1">
        <f>Tabela7[[#This Row],[Alongamento(mm/mm)]]/$I$2</f>
        <v>4.9607999999999999E-2</v>
      </c>
      <c r="D294" s="1">
        <v>191.36</v>
      </c>
      <c r="E294" s="1">
        <f>Tabela7[[#This Row],[Forτa(N)]]/$I$5</f>
        <v>6099609.5306398924</v>
      </c>
      <c r="F294" s="1">
        <f>Tabela7[[#This Row],[Tensão(Pa)]]/1000000</f>
        <v>6.0996095306398921</v>
      </c>
    </row>
    <row r="295" spans="1:6" x14ac:dyDescent="0.3">
      <c r="A295" s="1">
        <v>29.917000000000002</v>
      </c>
      <c r="B295" s="1">
        <v>2.4860000000000002</v>
      </c>
      <c r="C295" s="1">
        <f>Tabela7[[#This Row],[Alongamento(mm/mm)]]/$I$2</f>
        <v>4.9720000000000007E-2</v>
      </c>
      <c r="D295" s="1">
        <v>192.89</v>
      </c>
      <c r="E295" s="1">
        <f>Tabela7[[#This Row],[Forτa(N)]]/$I$5</f>
        <v>6148378.3568411823</v>
      </c>
      <c r="F295" s="1">
        <f>Tabela7[[#This Row],[Tensão(Pa)]]/1000000</f>
        <v>6.1483783568411825</v>
      </c>
    </row>
    <row r="296" spans="1:6" x14ac:dyDescent="0.3">
      <c r="A296" s="1">
        <v>29.983000000000001</v>
      </c>
      <c r="B296" s="1">
        <v>2.4914999999999998</v>
      </c>
      <c r="C296" s="1">
        <f>Tabela7[[#This Row],[Alongamento(mm/mm)]]/$I$2</f>
        <v>4.9829999999999999E-2</v>
      </c>
      <c r="D296" s="1">
        <v>194.42</v>
      </c>
      <c r="E296" s="1">
        <f>Tabela7[[#This Row],[Forτa(N)]]/$I$5</f>
        <v>6197147.1830424732</v>
      </c>
      <c r="F296" s="1">
        <f>Tabela7[[#This Row],[Tensão(Pa)]]/1000000</f>
        <v>6.1971471830424729</v>
      </c>
    </row>
    <row r="297" spans="1:6" x14ac:dyDescent="0.3">
      <c r="A297" s="1">
        <v>30.033000000000001</v>
      </c>
      <c r="B297" s="1">
        <v>2.4956</v>
      </c>
      <c r="C297" s="1">
        <f>Tabela7[[#This Row],[Alongamento(mm/mm)]]/$I$2</f>
        <v>4.9911999999999998E-2</v>
      </c>
      <c r="D297" s="1">
        <v>195.78</v>
      </c>
      <c r="E297" s="1">
        <f>Tabela7[[#This Row],[Forτa(N)]]/$I$5</f>
        <v>6240497.2507769549</v>
      </c>
      <c r="F297" s="1">
        <f>Tabela7[[#This Row],[Tensão(Pa)]]/1000000</f>
        <v>6.2404972507769552</v>
      </c>
    </row>
    <row r="298" spans="1:6" x14ac:dyDescent="0.3">
      <c r="A298" s="1">
        <v>30.1</v>
      </c>
      <c r="B298" s="1">
        <v>2.5011999999999999</v>
      </c>
      <c r="C298" s="1">
        <f>Tabela7[[#This Row],[Alongamento(mm/mm)]]/$I$2</f>
        <v>5.0023999999999999E-2</v>
      </c>
      <c r="D298" s="1">
        <v>197.31</v>
      </c>
      <c r="E298" s="1">
        <f>Tabela7[[#This Row],[Forτa(N)]]/$I$5</f>
        <v>6289266.0769782458</v>
      </c>
      <c r="F298" s="1">
        <f>Tabela7[[#This Row],[Tensão(Pa)]]/1000000</f>
        <v>6.2892660769782456</v>
      </c>
    </row>
    <row r="299" spans="1:6" x14ac:dyDescent="0.3">
      <c r="A299" s="1">
        <v>30.167000000000002</v>
      </c>
      <c r="B299" s="1">
        <v>2.5068000000000001</v>
      </c>
      <c r="C299" s="1">
        <f>Tabela7[[#This Row],[Alongamento(mm/mm)]]/$I$2</f>
        <v>5.0136E-2</v>
      </c>
      <c r="D299" s="1">
        <v>199.02</v>
      </c>
      <c r="E299" s="1">
        <f>Tabela7[[#This Row],[Forτa(N)]]/$I$5</f>
        <v>6343772.4121443946</v>
      </c>
      <c r="F299" s="1">
        <f>Tabela7[[#This Row],[Tensão(Pa)]]/1000000</f>
        <v>6.3437724121443946</v>
      </c>
    </row>
    <row r="300" spans="1:6" x14ac:dyDescent="0.3">
      <c r="A300" s="1">
        <v>30.233000000000001</v>
      </c>
      <c r="B300" s="1">
        <v>2.5124</v>
      </c>
      <c r="C300" s="1">
        <f>Tabela7[[#This Row],[Alongamento(mm/mm)]]/$I$2</f>
        <v>5.0248000000000001E-2</v>
      </c>
      <c r="D300" s="1">
        <v>200.55</v>
      </c>
      <c r="E300" s="1">
        <f>Tabela7[[#This Row],[Forτa(N)]]/$I$5</f>
        <v>6392541.2383456854</v>
      </c>
      <c r="F300" s="1">
        <f>Tabela7[[#This Row],[Tensão(Pa)]]/1000000</f>
        <v>6.392541238345685</v>
      </c>
    </row>
    <row r="301" spans="1:6" x14ac:dyDescent="0.3">
      <c r="A301" s="1">
        <v>30.3</v>
      </c>
      <c r="B301" s="1">
        <v>2.5179</v>
      </c>
      <c r="C301" s="1">
        <f>Tabela7[[#This Row],[Alongamento(mm/mm)]]/$I$2</f>
        <v>5.0358E-2</v>
      </c>
      <c r="D301" s="1">
        <v>202.25</v>
      </c>
      <c r="E301" s="1">
        <f>Tabela7[[#This Row],[Forτa(N)]]/$I$5</f>
        <v>6446728.8230137862</v>
      </c>
      <c r="F301" s="1">
        <f>Tabela7[[#This Row],[Tensão(Pa)]]/1000000</f>
        <v>6.4467288230137862</v>
      </c>
    </row>
    <row r="302" spans="1:6" x14ac:dyDescent="0.3">
      <c r="A302" s="1">
        <v>30.367000000000001</v>
      </c>
      <c r="B302" s="1">
        <v>2.5234999999999999</v>
      </c>
      <c r="C302" s="1">
        <f>Tabela7[[#This Row],[Alongamento(mm/mm)]]/$I$2</f>
        <v>5.0469999999999994E-2</v>
      </c>
      <c r="D302" s="1">
        <v>203.78</v>
      </c>
      <c r="E302" s="1">
        <f>Tabela7[[#This Row],[Forτa(N)]]/$I$5</f>
        <v>6495497.6492150771</v>
      </c>
      <c r="F302" s="1">
        <f>Tabela7[[#This Row],[Tensão(Pa)]]/1000000</f>
        <v>6.4954976492150767</v>
      </c>
    </row>
    <row r="303" spans="1:6" x14ac:dyDescent="0.3">
      <c r="A303" s="1">
        <v>30.417000000000002</v>
      </c>
      <c r="B303" s="1">
        <v>2.5274999999999999</v>
      </c>
      <c r="C303" s="1">
        <f>Tabela7[[#This Row],[Alongamento(mm/mm)]]/$I$2</f>
        <v>5.0549999999999998E-2</v>
      </c>
      <c r="D303" s="1">
        <v>205.14</v>
      </c>
      <c r="E303" s="1">
        <f>Tabela7[[#This Row],[Forτa(N)]]/$I$5</f>
        <v>6538847.7169495579</v>
      </c>
      <c r="F303" s="1">
        <f>Tabela7[[#This Row],[Tensão(Pa)]]/1000000</f>
        <v>6.538847716949558</v>
      </c>
    </row>
    <row r="304" spans="1:6" x14ac:dyDescent="0.3">
      <c r="A304" s="1">
        <v>30.483000000000001</v>
      </c>
      <c r="B304" s="1">
        <v>2.5331999999999999</v>
      </c>
      <c r="C304" s="1">
        <f>Tabela7[[#This Row],[Alongamento(mm/mm)]]/$I$2</f>
        <v>5.0664000000000001E-2</v>
      </c>
      <c r="D304" s="1">
        <v>206.84</v>
      </c>
      <c r="E304" s="1">
        <f>Tabela7[[#This Row],[Forτa(N)]]/$I$5</f>
        <v>6593035.3016176596</v>
      </c>
      <c r="F304" s="1">
        <f>Tabela7[[#This Row],[Tensão(Pa)]]/1000000</f>
        <v>6.5930353016176593</v>
      </c>
    </row>
    <row r="305" spans="1:6" x14ac:dyDescent="0.3">
      <c r="A305" s="1">
        <v>30.55</v>
      </c>
      <c r="B305" s="1">
        <v>2.5388000000000002</v>
      </c>
      <c r="C305" s="1">
        <f>Tabela7[[#This Row],[Alongamento(mm/mm)]]/$I$2</f>
        <v>5.0776000000000002E-2</v>
      </c>
      <c r="D305" s="1">
        <v>208.54</v>
      </c>
      <c r="E305" s="1">
        <f>Tabela7[[#This Row],[Forτa(N)]]/$I$5</f>
        <v>6647222.8862857595</v>
      </c>
      <c r="F305" s="1">
        <f>Tabela7[[#This Row],[Tensão(Pa)]]/1000000</f>
        <v>6.6472228862857596</v>
      </c>
    </row>
    <row r="306" spans="1:6" x14ac:dyDescent="0.3">
      <c r="A306" s="1">
        <v>30.617000000000001</v>
      </c>
      <c r="B306" s="1">
        <v>2.5442999999999998</v>
      </c>
      <c r="C306" s="1">
        <f>Tabela7[[#This Row],[Alongamento(mm/mm)]]/$I$2</f>
        <v>5.0885999999999994E-2</v>
      </c>
      <c r="D306" s="1">
        <v>210.24</v>
      </c>
      <c r="E306" s="1">
        <f>Tabela7[[#This Row],[Forτa(N)]]/$I$5</f>
        <v>6701410.4709538613</v>
      </c>
      <c r="F306" s="1">
        <f>Tabela7[[#This Row],[Tensão(Pa)]]/1000000</f>
        <v>6.7014104709538609</v>
      </c>
    </row>
    <row r="307" spans="1:6" x14ac:dyDescent="0.3">
      <c r="A307" s="1">
        <v>30.667000000000002</v>
      </c>
      <c r="B307" s="1">
        <v>2.5485000000000002</v>
      </c>
      <c r="C307" s="1">
        <f>Tabela7[[#This Row],[Alongamento(mm/mm)]]/$I$2</f>
        <v>5.0970000000000001E-2</v>
      </c>
      <c r="D307" s="1">
        <v>211.6</v>
      </c>
      <c r="E307" s="1">
        <f>Tabela7[[#This Row],[Forτa(N)]]/$I$5</f>
        <v>6744760.5386883421</v>
      </c>
      <c r="F307" s="1">
        <f>Tabela7[[#This Row],[Tensão(Pa)]]/1000000</f>
        <v>6.7447605386883422</v>
      </c>
    </row>
    <row r="308" spans="1:6" x14ac:dyDescent="0.3">
      <c r="A308" s="1">
        <v>30.733000000000001</v>
      </c>
      <c r="B308" s="1">
        <v>2.5541</v>
      </c>
      <c r="C308" s="1">
        <f>Tabela7[[#This Row],[Alongamento(mm/mm)]]/$I$2</f>
        <v>5.1082000000000002E-2</v>
      </c>
      <c r="D308" s="1">
        <v>213.3</v>
      </c>
      <c r="E308" s="1">
        <f>Tabela7[[#This Row],[Forτa(N)]]/$I$5</f>
        <v>6798948.1233564438</v>
      </c>
      <c r="F308" s="1">
        <f>Tabela7[[#This Row],[Tensão(Pa)]]/1000000</f>
        <v>6.7989481233564435</v>
      </c>
    </row>
    <row r="309" spans="1:6" x14ac:dyDescent="0.3">
      <c r="A309" s="1">
        <v>30.8</v>
      </c>
      <c r="B309" s="1">
        <v>2.5596000000000001</v>
      </c>
      <c r="C309" s="1">
        <f>Tabela7[[#This Row],[Alongamento(mm/mm)]]/$I$2</f>
        <v>5.1192000000000001E-2</v>
      </c>
      <c r="D309" s="1">
        <v>214.83</v>
      </c>
      <c r="E309" s="1">
        <f>Tabela7[[#This Row],[Forτa(N)]]/$I$5</f>
        <v>6847716.9495577347</v>
      </c>
      <c r="F309" s="1">
        <f>Tabela7[[#This Row],[Tensão(Pa)]]/1000000</f>
        <v>6.8477169495577348</v>
      </c>
    </row>
    <row r="310" spans="1:6" x14ac:dyDescent="0.3">
      <c r="A310" s="1">
        <v>30.85</v>
      </c>
      <c r="B310" s="1">
        <v>2.5636999999999999</v>
      </c>
      <c r="C310" s="1">
        <f>Tabela7[[#This Row],[Alongamento(mm/mm)]]/$I$2</f>
        <v>5.1274E-2</v>
      </c>
      <c r="D310" s="1">
        <v>216.2</v>
      </c>
      <c r="E310" s="1">
        <f>Tabela7[[#This Row],[Forτa(N)]]/$I$5</f>
        <v>6891385.7677902626</v>
      </c>
      <c r="F310" s="1">
        <f>Tabela7[[#This Row],[Tensão(Pa)]]/1000000</f>
        <v>6.891385767790263</v>
      </c>
    </row>
    <row r="311" spans="1:6" x14ac:dyDescent="0.3">
      <c r="A311" s="1">
        <v>30.917000000000002</v>
      </c>
      <c r="B311" s="1">
        <v>2.5693000000000001</v>
      </c>
      <c r="C311" s="1">
        <f>Tabela7[[#This Row],[Alongamento(mm/mm)]]/$I$2</f>
        <v>5.1386000000000001E-2</v>
      </c>
      <c r="D311" s="1">
        <v>217.9</v>
      </c>
      <c r="E311" s="1">
        <f>Tabela7[[#This Row],[Forτa(N)]]/$I$5</f>
        <v>6945573.3524583634</v>
      </c>
      <c r="F311" s="1">
        <f>Tabela7[[#This Row],[Tensão(Pa)]]/1000000</f>
        <v>6.9455733524583634</v>
      </c>
    </row>
    <row r="312" spans="1:6" x14ac:dyDescent="0.3">
      <c r="A312" s="1">
        <v>30.983000000000001</v>
      </c>
      <c r="B312" s="1">
        <v>2.5748000000000002</v>
      </c>
      <c r="C312" s="1">
        <f>Tabela7[[#This Row],[Alongamento(mm/mm)]]/$I$2</f>
        <v>5.1496000000000007E-2</v>
      </c>
      <c r="D312" s="1">
        <v>219.6</v>
      </c>
      <c r="E312" s="1">
        <f>Tabela7[[#This Row],[Forτa(N)]]/$I$5</f>
        <v>6999760.9371264642</v>
      </c>
      <c r="F312" s="1">
        <f>Tabela7[[#This Row],[Tensão(Pa)]]/1000000</f>
        <v>6.9997609371264646</v>
      </c>
    </row>
    <row r="313" spans="1:6" x14ac:dyDescent="0.3">
      <c r="A313" s="1">
        <v>31.05</v>
      </c>
      <c r="B313" s="1">
        <v>2.5804999999999998</v>
      </c>
      <c r="C313" s="1">
        <f>Tabela7[[#This Row],[Alongamento(mm/mm)]]/$I$2</f>
        <v>5.1609999999999996E-2</v>
      </c>
      <c r="D313" s="1">
        <v>221.3</v>
      </c>
      <c r="E313" s="1">
        <f>Tabela7[[#This Row],[Forτa(N)]]/$I$5</f>
        <v>7053948.521794566</v>
      </c>
      <c r="F313" s="1">
        <f>Tabela7[[#This Row],[Tensão(Pa)]]/1000000</f>
        <v>7.0539485217945659</v>
      </c>
    </row>
    <row r="314" spans="1:6" x14ac:dyDescent="0.3">
      <c r="A314" s="1">
        <v>31.117000000000001</v>
      </c>
      <c r="B314" s="1">
        <v>2.5859999999999999</v>
      </c>
      <c r="C314" s="1">
        <f>Tabela7[[#This Row],[Alongamento(mm/mm)]]/$I$2</f>
        <v>5.1719999999999995E-2</v>
      </c>
      <c r="D314" s="1">
        <v>223</v>
      </c>
      <c r="E314" s="1">
        <f>Tabela7[[#This Row],[Forτa(N)]]/$I$5</f>
        <v>7108136.1064626668</v>
      </c>
      <c r="F314" s="1">
        <f>Tabela7[[#This Row],[Tensão(Pa)]]/1000000</f>
        <v>7.1081361064626671</v>
      </c>
    </row>
    <row r="315" spans="1:6" x14ac:dyDescent="0.3">
      <c r="A315" s="1">
        <v>31.183</v>
      </c>
      <c r="B315" s="1">
        <v>2.5916000000000001</v>
      </c>
      <c r="C315" s="1">
        <f>Tabela7[[#This Row],[Alongamento(mm/mm)]]/$I$2</f>
        <v>5.1832000000000003E-2</v>
      </c>
      <c r="D315" s="1">
        <v>224.7</v>
      </c>
      <c r="E315" s="1">
        <f>Tabela7[[#This Row],[Forτa(N)]]/$I$5</f>
        <v>7162323.6911307676</v>
      </c>
      <c r="F315" s="1">
        <f>Tabela7[[#This Row],[Tensão(Pa)]]/1000000</f>
        <v>7.1623236911307675</v>
      </c>
    </row>
    <row r="316" spans="1:6" x14ac:dyDescent="0.3">
      <c r="A316" s="1">
        <v>31.25</v>
      </c>
      <c r="B316" s="1">
        <v>2.5971000000000002</v>
      </c>
      <c r="C316" s="1">
        <f>Tabela7[[#This Row],[Alongamento(mm/mm)]]/$I$2</f>
        <v>5.1942000000000002E-2</v>
      </c>
      <c r="D316" s="1">
        <v>226.4</v>
      </c>
      <c r="E316" s="1">
        <f>Tabela7[[#This Row],[Forτa(N)]]/$I$5</f>
        <v>7216511.2757988693</v>
      </c>
      <c r="F316" s="1">
        <f>Tabela7[[#This Row],[Tensão(Pa)]]/1000000</f>
        <v>7.2165112757988696</v>
      </c>
    </row>
    <row r="317" spans="1:6" x14ac:dyDescent="0.3">
      <c r="A317" s="1">
        <v>31.317</v>
      </c>
      <c r="B317" s="1">
        <v>2.6025999999999998</v>
      </c>
      <c r="C317" s="1">
        <f>Tabela7[[#This Row],[Alongamento(mm/mm)]]/$I$2</f>
        <v>5.2051999999999994E-2</v>
      </c>
      <c r="D317" s="1">
        <v>228.1</v>
      </c>
      <c r="E317" s="1">
        <f>Tabela7[[#This Row],[Forτa(N)]]/$I$5</f>
        <v>7270698.8604669701</v>
      </c>
      <c r="F317" s="1">
        <f>Tabela7[[#This Row],[Tensão(Pa)]]/1000000</f>
        <v>7.27069886046697</v>
      </c>
    </row>
    <row r="318" spans="1:6" x14ac:dyDescent="0.3">
      <c r="A318" s="1">
        <v>31.382999999999999</v>
      </c>
      <c r="B318" s="1">
        <v>2.6082000000000001</v>
      </c>
      <c r="C318" s="1">
        <f>Tabela7[[#This Row],[Alongamento(mm/mm)]]/$I$2</f>
        <v>5.2164000000000002E-2</v>
      </c>
      <c r="D318" s="1">
        <v>229.8</v>
      </c>
      <c r="E318" s="1">
        <f>Tabela7[[#This Row],[Forτa(N)]]/$I$5</f>
        <v>7324886.4451350709</v>
      </c>
      <c r="F318" s="1">
        <f>Tabela7[[#This Row],[Tensão(Pa)]]/1000000</f>
        <v>7.3248864451350713</v>
      </c>
    </row>
    <row r="319" spans="1:6" x14ac:dyDescent="0.3">
      <c r="A319" s="1">
        <v>31.45</v>
      </c>
      <c r="B319" s="1">
        <v>2.6137000000000001</v>
      </c>
      <c r="C319" s="1">
        <f>Tabela7[[#This Row],[Alongamento(mm/mm)]]/$I$2</f>
        <v>5.2274000000000001E-2</v>
      </c>
      <c r="D319" s="1">
        <v>231.5</v>
      </c>
      <c r="E319" s="1">
        <f>Tabela7[[#This Row],[Forτa(N)]]/$I$5</f>
        <v>7379074.0298031718</v>
      </c>
      <c r="F319" s="1">
        <f>Tabela7[[#This Row],[Tensão(Pa)]]/1000000</f>
        <v>7.3790740298031716</v>
      </c>
    </row>
    <row r="320" spans="1:6" x14ac:dyDescent="0.3">
      <c r="A320" s="1">
        <v>31.516999999999999</v>
      </c>
      <c r="B320" s="1">
        <v>2.6192000000000002</v>
      </c>
      <c r="C320" s="1">
        <f>Tabela7[[#This Row],[Alongamento(mm/mm)]]/$I$2</f>
        <v>5.2384000000000007E-2</v>
      </c>
      <c r="D320" s="1">
        <v>233.38</v>
      </c>
      <c r="E320" s="1">
        <f>Tabela7[[#This Row],[Forτa(N)]]/$I$5</f>
        <v>7438999.1234361306</v>
      </c>
      <c r="F320" s="1">
        <f>Tabela7[[#This Row],[Tensão(Pa)]]/1000000</f>
        <v>7.4389991234361306</v>
      </c>
    </row>
    <row r="321" spans="1:6" x14ac:dyDescent="0.3">
      <c r="A321" s="1">
        <v>31.582999999999998</v>
      </c>
      <c r="B321" s="1">
        <v>2.6248</v>
      </c>
      <c r="C321" s="1">
        <f>Tabela7[[#This Row],[Alongamento(mm/mm)]]/$I$2</f>
        <v>5.2496000000000001E-2</v>
      </c>
      <c r="D321" s="1">
        <v>235.08</v>
      </c>
      <c r="E321" s="1">
        <f>Tabela7[[#This Row],[Forτa(N)]]/$I$5</f>
        <v>7493186.7081042323</v>
      </c>
      <c r="F321" s="1">
        <f>Tabela7[[#This Row],[Tensão(Pa)]]/1000000</f>
        <v>7.4931867081042327</v>
      </c>
    </row>
    <row r="322" spans="1:6" x14ac:dyDescent="0.3">
      <c r="A322" s="1">
        <v>31.65</v>
      </c>
      <c r="B322" s="1">
        <v>2.6303999999999998</v>
      </c>
      <c r="C322" s="1">
        <f>Tabela7[[#This Row],[Alongamento(mm/mm)]]/$I$2</f>
        <v>5.2607999999999995E-2</v>
      </c>
      <c r="D322" s="1">
        <v>236.78</v>
      </c>
      <c r="E322" s="1">
        <f>Tabela7[[#This Row],[Forτa(N)]]/$I$5</f>
        <v>7547374.2927723331</v>
      </c>
      <c r="F322" s="1">
        <f>Tabela7[[#This Row],[Tensão(Pa)]]/1000000</f>
        <v>7.5473742927723331</v>
      </c>
    </row>
    <row r="323" spans="1:6" x14ac:dyDescent="0.3">
      <c r="A323" s="1">
        <v>31.716999999999999</v>
      </c>
      <c r="B323" s="1">
        <v>2.6360000000000001</v>
      </c>
      <c r="C323" s="1">
        <f>Tabela7[[#This Row],[Alongamento(mm/mm)]]/$I$2</f>
        <v>5.2720000000000003E-2</v>
      </c>
      <c r="D323" s="1">
        <v>238.65</v>
      </c>
      <c r="E323" s="1">
        <f>Tabela7[[#This Row],[Forτa(N)]]/$I$5</f>
        <v>7606980.6359072439</v>
      </c>
      <c r="F323" s="1">
        <f>Tabela7[[#This Row],[Tensão(Pa)]]/1000000</f>
        <v>7.6069806359072443</v>
      </c>
    </row>
    <row r="324" spans="1:6" x14ac:dyDescent="0.3">
      <c r="A324" s="1">
        <v>31.783000000000001</v>
      </c>
      <c r="B324" s="1">
        <v>2.6415000000000002</v>
      </c>
      <c r="C324" s="1">
        <f>Tabela7[[#This Row],[Alongamento(mm/mm)]]/$I$2</f>
        <v>5.2830000000000002E-2</v>
      </c>
      <c r="D324" s="1">
        <v>240.35</v>
      </c>
      <c r="E324" s="1">
        <f>Tabela7[[#This Row],[Forτa(N)]]/$I$5</f>
        <v>7661168.2205753447</v>
      </c>
      <c r="F324" s="1">
        <f>Tabela7[[#This Row],[Tensão(Pa)]]/1000000</f>
        <v>7.6611682205753446</v>
      </c>
    </row>
    <row r="325" spans="1:6" x14ac:dyDescent="0.3">
      <c r="A325" s="1">
        <v>31.85</v>
      </c>
      <c r="B325" s="1">
        <v>2.6469999999999998</v>
      </c>
      <c r="C325" s="1">
        <f>Tabela7[[#This Row],[Alongamento(mm/mm)]]/$I$2</f>
        <v>5.2939999999999994E-2</v>
      </c>
      <c r="D325" s="1">
        <v>242.05</v>
      </c>
      <c r="E325" s="1">
        <f>Tabela7[[#This Row],[Forτa(N)]]/$I$5</f>
        <v>7715355.8052434465</v>
      </c>
      <c r="F325" s="1">
        <f>Tabela7[[#This Row],[Tensão(Pa)]]/1000000</f>
        <v>7.7153558052434468</v>
      </c>
    </row>
    <row r="326" spans="1:6" x14ac:dyDescent="0.3">
      <c r="A326" s="1">
        <v>31.917000000000002</v>
      </c>
      <c r="B326" s="1">
        <v>2.6526000000000001</v>
      </c>
      <c r="C326" s="1">
        <f>Tabela7[[#This Row],[Alongamento(mm/mm)]]/$I$2</f>
        <v>5.3052000000000002E-2</v>
      </c>
      <c r="D326" s="1">
        <v>243.92</v>
      </c>
      <c r="E326" s="1">
        <f>Tabela7[[#This Row],[Forτa(N)]]/$I$5</f>
        <v>7774962.1483783573</v>
      </c>
      <c r="F326" s="1">
        <f>Tabela7[[#This Row],[Tensão(Pa)]]/1000000</f>
        <v>7.7749621483783571</v>
      </c>
    </row>
    <row r="327" spans="1:6" x14ac:dyDescent="0.3">
      <c r="A327" s="1">
        <v>31.983000000000001</v>
      </c>
      <c r="B327" s="1">
        <v>2.6581999999999999</v>
      </c>
      <c r="C327" s="1">
        <f>Tabela7[[#This Row],[Alongamento(mm/mm)]]/$I$2</f>
        <v>5.3163999999999996E-2</v>
      </c>
      <c r="D327" s="1">
        <v>245.62</v>
      </c>
      <c r="E327" s="1">
        <f>Tabela7[[#This Row],[Forτa(N)]]/$I$5</f>
        <v>7829149.7330464581</v>
      </c>
      <c r="F327" s="1">
        <f>Tabela7[[#This Row],[Tensão(Pa)]]/1000000</f>
        <v>7.8291497330464583</v>
      </c>
    </row>
    <row r="328" spans="1:6" x14ac:dyDescent="0.3">
      <c r="A328" s="1">
        <v>32.049999999999997</v>
      </c>
      <c r="B328" s="1">
        <v>2.6638000000000002</v>
      </c>
      <c r="C328" s="1">
        <f>Tabela7[[#This Row],[Alongamento(mm/mm)]]/$I$2</f>
        <v>5.3276000000000004E-2</v>
      </c>
      <c r="D328" s="1">
        <v>247.49</v>
      </c>
      <c r="E328" s="1">
        <f>Tabela7[[#This Row],[Forτa(N)]]/$I$5</f>
        <v>7888756.0761813698</v>
      </c>
      <c r="F328" s="1">
        <f>Tabela7[[#This Row],[Tensão(Pa)]]/1000000</f>
        <v>7.8887560761813695</v>
      </c>
    </row>
    <row r="329" spans="1:6" x14ac:dyDescent="0.3">
      <c r="A329" s="1">
        <v>32.116999999999997</v>
      </c>
      <c r="B329" s="1">
        <v>2.6692999999999998</v>
      </c>
      <c r="C329" s="1">
        <f>Tabela7[[#This Row],[Alongamento(mm/mm)]]/$I$2</f>
        <v>5.3385999999999996E-2</v>
      </c>
      <c r="D329" s="1">
        <v>249.19</v>
      </c>
      <c r="E329" s="1">
        <f>Tabela7[[#This Row],[Forτa(N)]]/$I$5</f>
        <v>7942943.6608494706</v>
      </c>
      <c r="F329" s="1">
        <f>Tabela7[[#This Row],[Tensão(Pa)]]/1000000</f>
        <v>7.9429436608494708</v>
      </c>
    </row>
    <row r="330" spans="1:6" x14ac:dyDescent="0.3">
      <c r="A330" s="1">
        <v>32.183</v>
      </c>
      <c r="B330" s="1">
        <v>2.6749000000000001</v>
      </c>
      <c r="C330" s="1">
        <f>Tabela7[[#This Row],[Alongamento(mm/mm)]]/$I$2</f>
        <v>5.3498000000000004E-2</v>
      </c>
      <c r="D330" s="1">
        <v>251.07</v>
      </c>
      <c r="E330" s="1">
        <f>Tabela7[[#This Row],[Forτa(N)]]/$I$5</f>
        <v>8002868.7544824295</v>
      </c>
      <c r="F330" s="1">
        <f>Tabela7[[#This Row],[Tensão(Pa)]]/1000000</f>
        <v>8.0028687544824297</v>
      </c>
    </row>
    <row r="331" spans="1:6" x14ac:dyDescent="0.3">
      <c r="A331" s="1">
        <v>32.25</v>
      </c>
      <c r="B331" s="1">
        <v>2.6804000000000001</v>
      </c>
      <c r="C331" s="1">
        <f>Tabela7[[#This Row],[Alongamento(mm/mm)]]/$I$2</f>
        <v>5.3608000000000003E-2</v>
      </c>
      <c r="D331" s="1">
        <v>252.77</v>
      </c>
      <c r="E331" s="1">
        <f>Tabela7[[#This Row],[Forτa(N)]]/$I$5</f>
        <v>8057056.3391505303</v>
      </c>
      <c r="F331" s="1">
        <f>Tabela7[[#This Row],[Tensão(Pa)]]/1000000</f>
        <v>8.057056339150531</v>
      </c>
    </row>
    <row r="332" spans="1:6" x14ac:dyDescent="0.3">
      <c r="A332" s="1">
        <v>32.317</v>
      </c>
      <c r="B332" s="1">
        <v>2.6859000000000002</v>
      </c>
      <c r="C332" s="1">
        <f>Tabela7[[#This Row],[Alongamento(mm/mm)]]/$I$2</f>
        <v>5.3718000000000002E-2</v>
      </c>
      <c r="D332" s="1">
        <v>254.64</v>
      </c>
      <c r="E332" s="1">
        <f>Tabela7[[#This Row],[Forτa(N)]]/$I$5</f>
        <v>8116662.6822854411</v>
      </c>
      <c r="F332" s="1">
        <f>Tabela7[[#This Row],[Tensão(Pa)]]/1000000</f>
        <v>8.1166626822854404</v>
      </c>
    </row>
    <row r="333" spans="1:6" x14ac:dyDescent="0.3">
      <c r="A333" s="1">
        <v>32.383000000000003</v>
      </c>
      <c r="B333" s="1">
        <v>2.6915</v>
      </c>
      <c r="C333" s="1">
        <f>Tabela7[[#This Row],[Alongamento(mm/mm)]]/$I$2</f>
        <v>5.3830000000000003E-2</v>
      </c>
      <c r="D333" s="1">
        <v>256.33999999999997</v>
      </c>
      <c r="E333" s="1">
        <f>Tabela7[[#This Row],[Forτa(N)]]/$I$5</f>
        <v>8170850.2669535419</v>
      </c>
      <c r="F333" s="1">
        <f>Tabela7[[#This Row],[Tensão(Pa)]]/1000000</f>
        <v>8.1708502669535417</v>
      </c>
    </row>
    <row r="334" spans="1:6" x14ac:dyDescent="0.3">
      <c r="A334" s="1">
        <v>32.450000000000003</v>
      </c>
      <c r="B334" s="1">
        <v>2.6970000000000001</v>
      </c>
      <c r="C334" s="1">
        <f>Tabela7[[#This Row],[Alongamento(mm/mm)]]/$I$2</f>
        <v>5.3940000000000002E-2</v>
      </c>
      <c r="D334" s="1">
        <v>258.20999999999998</v>
      </c>
      <c r="E334" s="1">
        <f>Tabela7[[#This Row],[Forτa(N)]]/$I$5</f>
        <v>8230456.6100884527</v>
      </c>
      <c r="F334" s="1">
        <f>Tabela7[[#This Row],[Tensão(Pa)]]/1000000</f>
        <v>8.2304566100884529</v>
      </c>
    </row>
    <row r="335" spans="1:6" x14ac:dyDescent="0.3">
      <c r="A335" s="1">
        <v>32.517000000000003</v>
      </c>
      <c r="B335" s="1">
        <v>2.7025999999999999</v>
      </c>
      <c r="C335" s="1">
        <f>Tabela7[[#This Row],[Alongamento(mm/mm)]]/$I$2</f>
        <v>5.4051999999999996E-2</v>
      </c>
      <c r="D335" s="1">
        <v>259.91000000000003</v>
      </c>
      <c r="E335" s="1">
        <f>Tabela7[[#This Row],[Forτa(N)]]/$I$5</f>
        <v>8284644.1947565554</v>
      </c>
      <c r="F335" s="1">
        <f>Tabela7[[#This Row],[Tensão(Pa)]]/1000000</f>
        <v>8.2846441947565559</v>
      </c>
    </row>
    <row r="336" spans="1:6" x14ac:dyDescent="0.3">
      <c r="A336" s="1">
        <v>32.582999999999998</v>
      </c>
      <c r="B336" s="1">
        <v>2.7082000000000002</v>
      </c>
      <c r="C336" s="1">
        <f>Tabela7[[#This Row],[Alongamento(mm/mm)]]/$I$2</f>
        <v>5.4164000000000004E-2</v>
      </c>
      <c r="D336" s="1">
        <v>261.77999999999997</v>
      </c>
      <c r="E336" s="1">
        <f>Tabela7[[#This Row],[Forτa(N)]]/$I$5</f>
        <v>8344250.5378914652</v>
      </c>
      <c r="F336" s="1">
        <f>Tabela7[[#This Row],[Tensão(Pa)]]/1000000</f>
        <v>8.3442505378914653</v>
      </c>
    </row>
    <row r="337" spans="1:6" x14ac:dyDescent="0.3">
      <c r="A337" s="1">
        <v>32.667000000000002</v>
      </c>
      <c r="B337" s="1">
        <v>2.7151999999999998</v>
      </c>
      <c r="C337" s="1">
        <f>Tabela7[[#This Row],[Alongamento(mm/mm)]]/$I$2</f>
        <v>5.4303999999999998E-2</v>
      </c>
      <c r="D337" s="1">
        <v>263.99</v>
      </c>
      <c r="E337" s="1">
        <f>Tabela7[[#This Row],[Forτa(N)]]/$I$5</f>
        <v>8414694.3979599979</v>
      </c>
      <c r="F337" s="1">
        <f>Tabela7[[#This Row],[Tensão(Pa)]]/1000000</f>
        <v>8.4146943979599982</v>
      </c>
    </row>
    <row r="338" spans="1:6" x14ac:dyDescent="0.3">
      <c r="A338" s="1">
        <v>32.75</v>
      </c>
      <c r="B338" s="1">
        <v>2.722</v>
      </c>
      <c r="C338" s="1">
        <f>Tabela7[[#This Row],[Alongamento(mm/mm)]]/$I$2</f>
        <v>5.4440000000000002E-2</v>
      </c>
      <c r="D338" s="1">
        <v>266.2</v>
      </c>
      <c r="E338" s="1">
        <f>Tabela7[[#This Row],[Forτa(N)]]/$I$5</f>
        <v>8485138.2580285277</v>
      </c>
      <c r="F338" s="1">
        <f>Tabela7[[#This Row],[Tensão(Pa)]]/1000000</f>
        <v>8.4851382580285275</v>
      </c>
    </row>
    <row r="339" spans="1:6" x14ac:dyDescent="0.3">
      <c r="A339" s="1">
        <v>32.832999999999998</v>
      </c>
      <c r="B339" s="1">
        <v>2.7290000000000001</v>
      </c>
      <c r="C339" s="1">
        <f>Tabela7[[#This Row],[Alongamento(mm/mm)]]/$I$2</f>
        <v>5.4580000000000004E-2</v>
      </c>
      <c r="D339" s="1">
        <v>268.58999999999997</v>
      </c>
      <c r="E339" s="1">
        <f>Tabela7[[#This Row],[Forτa(N)]]/$I$5</f>
        <v>8561319.6270619165</v>
      </c>
      <c r="F339" s="1">
        <f>Tabela7[[#This Row],[Tensão(Pa)]]/1000000</f>
        <v>8.5613196270619163</v>
      </c>
    </row>
    <row r="340" spans="1:6" x14ac:dyDescent="0.3">
      <c r="A340" s="1">
        <v>32.917000000000002</v>
      </c>
      <c r="B340" s="1">
        <v>2.7360000000000002</v>
      </c>
      <c r="C340" s="1">
        <f>Tabela7[[#This Row],[Alongamento(mm/mm)]]/$I$2</f>
        <v>5.4720000000000005E-2</v>
      </c>
      <c r="D340" s="1">
        <v>270.8</v>
      </c>
      <c r="E340" s="1">
        <f>Tabela7[[#This Row],[Forτa(N)]]/$I$5</f>
        <v>8631763.4871304501</v>
      </c>
      <c r="F340" s="1">
        <f>Tabela7[[#This Row],[Tensão(Pa)]]/1000000</f>
        <v>8.6317634871304509</v>
      </c>
    </row>
    <row r="341" spans="1:6" x14ac:dyDescent="0.3">
      <c r="A341" s="1">
        <v>33</v>
      </c>
      <c r="B341" s="1">
        <v>2.7429000000000001</v>
      </c>
      <c r="C341" s="1">
        <f>Tabela7[[#This Row],[Alongamento(mm/mm)]]/$I$2</f>
        <v>5.4858000000000004E-2</v>
      </c>
      <c r="D341" s="1">
        <v>273.18</v>
      </c>
      <c r="E341" s="1">
        <f>Tabela7[[#This Row],[Forτa(N)]]/$I$5</f>
        <v>8707626.1056657899</v>
      </c>
      <c r="F341" s="1">
        <f>Tabela7[[#This Row],[Tensão(Pa)]]/1000000</f>
        <v>8.7076261056657902</v>
      </c>
    </row>
    <row r="342" spans="1:6" x14ac:dyDescent="0.3">
      <c r="A342" s="1">
        <v>33.082999999999998</v>
      </c>
      <c r="B342" s="1">
        <v>2.7498999999999998</v>
      </c>
      <c r="C342" s="1">
        <f>Tabela7[[#This Row],[Alongamento(mm/mm)]]/$I$2</f>
        <v>5.4997999999999998E-2</v>
      </c>
      <c r="D342" s="1">
        <v>275.39</v>
      </c>
      <c r="E342" s="1">
        <f>Tabela7[[#This Row],[Forτa(N)]]/$I$5</f>
        <v>8778069.9657343216</v>
      </c>
      <c r="F342" s="1">
        <f>Tabela7[[#This Row],[Tensão(Pa)]]/1000000</f>
        <v>8.7780699657343213</v>
      </c>
    </row>
    <row r="343" spans="1:6" x14ac:dyDescent="0.3">
      <c r="A343" s="1">
        <v>33.167000000000002</v>
      </c>
      <c r="B343" s="1">
        <v>2.7568000000000001</v>
      </c>
      <c r="C343" s="1">
        <f>Tabela7[[#This Row],[Alongamento(mm/mm)]]/$I$2</f>
        <v>5.5136000000000004E-2</v>
      </c>
      <c r="D343" s="1">
        <v>277.77</v>
      </c>
      <c r="E343" s="1">
        <f>Tabela7[[#This Row],[Forτa(N)]]/$I$5</f>
        <v>8853932.5842696633</v>
      </c>
      <c r="F343" s="1">
        <f>Tabela7[[#This Row],[Tensão(Pa)]]/1000000</f>
        <v>8.8539325842696641</v>
      </c>
    </row>
    <row r="344" spans="1:6" x14ac:dyDescent="0.3">
      <c r="A344" s="1">
        <v>33.25</v>
      </c>
      <c r="B344" s="1">
        <v>2.7637</v>
      </c>
      <c r="C344" s="1">
        <f>Tabela7[[#This Row],[Alongamento(mm/mm)]]/$I$2</f>
        <v>5.5274000000000004E-2</v>
      </c>
      <c r="D344" s="1">
        <v>279.98</v>
      </c>
      <c r="E344" s="1">
        <f>Tabela7[[#This Row],[Forτa(N)]]/$I$5</f>
        <v>8924376.444338195</v>
      </c>
      <c r="F344" s="1">
        <f>Tabela7[[#This Row],[Tensão(Pa)]]/1000000</f>
        <v>8.9243764443381952</v>
      </c>
    </row>
    <row r="345" spans="1:6" x14ac:dyDescent="0.3">
      <c r="A345" s="1">
        <v>33.332999999999998</v>
      </c>
      <c r="B345" s="1">
        <v>2.7707000000000002</v>
      </c>
      <c r="C345" s="1">
        <f>Tabela7[[#This Row],[Alongamento(mm/mm)]]/$I$2</f>
        <v>5.5414000000000005E-2</v>
      </c>
      <c r="D345" s="1">
        <v>282.36</v>
      </c>
      <c r="E345" s="1">
        <f>Tabela7[[#This Row],[Forτa(N)]]/$I$5</f>
        <v>9000239.0628735367</v>
      </c>
      <c r="F345" s="1">
        <f>Tabela7[[#This Row],[Tensão(Pa)]]/1000000</f>
        <v>9.0002390628735363</v>
      </c>
    </row>
    <row r="346" spans="1:6" x14ac:dyDescent="0.3">
      <c r="A346" s="1">
        <v>33.417000000000002</v>
      </c>
      <c r="B346" s="1">
        <v>2.7776999999999998</v>
      </c>
      <c r="C346" s="1">
        <f>Tabela7[[#This Row],[Alongamento(mm/mm)]]/$I$2</f>
        <v>5.5553999999999999E-2</v>
      </c>
      <c r="D346" s="1">
        <v>284.58</v>
      </c>
      <c r="E346" s="1">
        <f>Tabela7[[#This Row],[Forτa(N)]]/$I$5</f>
        <v>9071001.6734401155</v>
      </c>
      <c r="F346" s="1">
        <f>Tabela7[[#This Row],[Tensão(Pa)]]/1000000</f>
        <v>9.0710016734401151</v>
      </c>
    </row>
    <row r="347" spans="1:6" x14ac:dyDescent="0.3">
      <c r="A347" s="1">
        <v>33.5</v>
      </c>
      <c r="B347" s="1">
        <v>2.7846000000000002</v>
      </c>
      <c r="C347" s="1">
        <f>Tabela7[[#This Row],[Alongamento(mm/mm)]]/$I$2</f>
        <v>5.5692000000000005E-2</v>
      </c>
      <c r="D347" s="1">
        <v>286.95999999999998</v>
      </c>
      <c r="E347" s="1">
        <f>Tabela7[[#This Row],[Forτa(N)]]/$I$5</f>
        <v>9146864.2919754554</v>
      </c>
      <c r="F347" s="1">
        <f>Tabela7[[#This Row],[Tensão(Pa)]]/1000000</f>
        <v>9.1468642919754561</v>
      </c>
    </row>
    <row r="348" spans="1:6" x14ac:dyDescent="0.3">
      <c r="A348" s="1">
        <v>33.582999999999998</v>
      </c>
      <c r="B348" s="1">
        <v>2.7915000000000001</v>
      </c>
      <c r="C348" s="1">
        <f>Tabela7[[#This Row],[Alongamento(mm/mm)]]/$I$2</f>
        <v>5.5830000000000005E-2</v>
      </c>
      <c r="D348" s="1">
        <v>289.33999999999997</v>
      </c>
      <c r="E348" s="1">
        <f>Tabela7[[#This Row],[Forτa(N)]]/$I$5</f>
        <v>9222726.9105107971</v>
      </c>
      <c r="F348" s="1">
        <f>Tabela7[[#This Row],[Tensão(Pa)]]/1000000</f>
        <v>9.2227269105107972</v>
      </c>
    </row>
    <row r="349" spans="1:6" x14ac:dyDescent="0.3">
      <c r="A349" s="1">
        <v>33.667000000000002</v>
      </c>
      <c r="B349" s="1">
        <v>2.7984</v>
      </c>
      <c r="C349" s="1">
        <f>Tabela7[[#This Row],[Alongamento(mm/mm)]]/$I$2</f>
        <v>5.5967999999999997E-2</v>
      </c>
      <c r="D349" s="1">
        <v>291.72000000000003</v>
      </c>
      <c r="E349" s="1">
        <f>Tabela7[[#This Row],[Forτa(N)]]/$I$5</f>
        <v>9298589.5290461406</v>
      </c>
      <c r="F349" s="1">
        <f>Tabela7[[#This Row],[Tensão(Pa)]]/1000000</f>
        <v>9.29858952904614</v>
      </c>
    </row>
    <row r="350" spans="1:6" x14ac:dyDescent="0.3">
      <c r="A350" s="1">
        <v>33.75</v>
      </c>
      <c r="B350" s="1">
        <v>2.8052999999999999</v>
      </c>
      <c r="C350" s="1">
        <f>Tabela7[[#This Row],[Alongamento(mm/mm)]]/$I$2</f>
        <v>5.6105999999999996E-2</v>
      </c>
      <c r="D350" s="1">
        <v>294.10000000000002</v>
      </c>
      <c r="E350" s="1">
        <f>Tabela7[[#This Row],[Forτa(N)]]/$I$5</f>
        <v>9374452.1475814823</v>
      </c>
      <c r="F350" s="1">
        <f>Tabela7[[#This Row],[Tensão(Pa)]]/1000000</f>
        <v>9.3744521475814828</v>
      </c>
    </row>
    <row r="351" spans="1:6" x14ac:dyDescent="0.3">
      <c r="A351" s="1">
        <v>33.832999999999998</v>
      </c>
      <c r="B351" s="1">
        <v>2.8123999999999998</v>
      </c>
      <c r="C351" s="1">
        <f>Tabela7[[#This Row],[Alongamento(mm/mm)]]/$I$2</f>
        <v>5.6247999999999992E-2</v>
      </c>
      <c r="D351" s="1">
        <v>296.48</v>
      </c>
      <c r="E351" s="1">
        <f>Tabela7[[#This Row],[Forτa(N)]]/$I$5</f>
        <v>9450314.766116824</v>
      </c>
      <c r="F351" s="1">
        <f>Tabela7[[#This Row],[Tensão(Pa)]]/1000000</f>
        <v>9.4503147661168239</v>
      </c>
    </row>
    <row r="352" spans="1:6" x14ac:dyDescent="0.3">
      <c r="A352" s="1">
        <v>33.917000000000002</v>
      </c>
      <c r="B352" s="1">
        <v>2.8193000000000001</v>
      </c>
      <c r="C352" s="1">
        <f>Tabela7[[#This Row],[Alongamento(mm/mm)]]/$I$2</f>
        <v>5.6386000000000006E-2</v>
      </c>
      <c r="D352" s="1">
        <v>298.86</v>
      </c>
      <c r="E352" s="1">
        <f>Tabela7[[#This Row],[Forτa(N)]]/$I$5</f>
        <v>9526177.3846521638</v>
      </c>
      <c r="F352" s="1">
        <f>Tabela7[[#This Row],[Tensão(Pa)]]/1000000</f>
        <v>9.5261773846521631</v>
      </c>
    </row>
    <row r="353" spans="1:6" x14ac:dyDescent="0.3">
      <c r="A353" s="1">
        <v>34</v>
      </c>
      <c r="B353" s="1">
        <v>2.8262</v>
      </c>
      <c r="C353" s="1">
        <f>Tabela7[[#This Row],[Alongamento(mm/mm)]]/$I$2</f>
        <v>5.6523999999999998E-2</v>
      </c>
      <c r="D353" s="1">
        <v>301.24</v>
      </c>
      <c r="E353" s="1">
        <f>Tabela7[[#This Row],[Forτa(N)]]/$I$5</f>
        <v>9602040.0031875055</v>
      </c>
      <c r="F353" s="1">
        <f>Tabela7[[#This Row],[Tensão(Pa)]]/1000000</f>
        <v>9.6020400031875059</v>
      </c>
    </row>
    <row r="354" spans="1:6" x14ac:dyDescent="0.3">
      <c r="A354" s="1">
        <v>34.067</v>
      </c>
      <c r="B354" s="1">
        <v>2.8317999999999999</v>
      </c>
      <c r="C354" s="1">
        <f>Tabela7[[#This Row],[Alongamento(mm/mm)]]/$I$2</f>
        <v>5.6635999999999999E-2</v>
      </c>
      <c r="D354" s="1">
        <v>303.29000000000002</v>
      </c>
      <c r="E354" s="1">
        <f>Tabela7[[#This Row],[Forτa(N)]]/$I$5</f>
        <v>9667383.8552872743</v>
      </c>
      <c r="F354" s="1">
        <f>Tabela7[[#This Row],[Tensão(Pa)]]/1000000</f>
        <v>9.6673838552872748</v>
      </c>
    </row>
    <row r="355" spans="1:6" x14ac:dyDescent="0.3">
      <c r="A355" s="1">
        <v>34.15</v>
      </c>
      <c r="B355" s="1">
        <v>2.8386999999999998</v>
      </c>
      <c r="C355" s="1">
        <f>Tabela7[[#This Row],[Alongamento(mm/mm)]]/$I$2</f>
        <v>5.6773999999999998E-2</v>
      </c>
      <c r="D355" s="1">
        <v>305.67</v>
      </c>
      <c r="E355" s="1">
        <f>Tabela7[[#This Row],[Forτa(N)]]/$I$5</f>
        <v>9743246.473822616</v>
      </c>
      <c r="F355" s="1">
        <f>Tabela7[[#This Row],[Tensão(Pa)]]/1000000</f>
        <v>9.7432464738226159</v>
      </c>
    </row>
    <row r="356" spans="1:6" x14ac:dyDescent="0.3">
      <c r="A356" s="1">
        <v>34.232999999999997</v>
      </c>
      <c r="B356" s="1">
        <v>2.8456999999999999</v>
      </c>
      <c r="C356" s="1">
        <f>Tabela7[[#This Row],[Alongamento(mm/mm)]]/$I$2</f>
        <v>5.6913999999999999E-2</v>
      </c>
      <c r="D356" s="1">
        <v>308.22000000000003</v>
      </c>
      <c r="E356" s="1">
        <f>Tabela7[[#This Row],[Forτa(N)]]/$I$5</f>
        <v>9824527.8508247677</v>
      </c>
      <c r="F356" s="1">
        <f>Tabela7[[#This Row],[Tensão(Pa)]]/1000000</f>
        <v>9.8245278508247669</v>
      </c>
    </row>
    <row r="357" spans="1:6" x14ac:dyDescent="0.3">
      <c r="A357" s="1">
        <v>34.317</v>
      </c>
      <c r="B357" s="1">
        <v>2.8525999999999998</v>
      </c>
      <c r="C357" s="1">
        <f>Tabela7[[#This Row],[Alongamento(mm/mm)]]/$I$2</f>
        <v>5.7051999999999999E-2</v>
      </c>
      <c r="D357" s="1">
        <v>310.77</v>
      </c>
      <c r="E357" s="1">
        <f>Tabela7[[#This Row],[Forτa(N)]]/$I$5</f>
        <v>9905809.2278269175</v>
      </c>
      <c r="F357" s="1">
        <f>Tabela7[[#This Row],[Tensão(Pa)]]/1000000</f>
        <v>9.9058092278269179</v>
      </c>
    </row>
    <row r="358" spans="1:6" x14ac:dyDescent="0.3">
      <c r="A358" s="1">
        <v>34.4</v>
      </c>
      <c r="B358" s="1">
        <v>2.8595999999999999</v>
      </c>
      <c r="C358" s="1">
        <f>Tabela7[[#This Row],[Alongamento(mm/mm)]]/$I$2</f>
        <v>5.7192E-2</v>
      </c>
      <c r="D358" s="1">
        <v>313.14999999999998</v>
      </c>
      <c r="E358" s="1">
        <f>Tabela7[[#This Row],[Forτa(N)]]/$I$5</f>
        <v>9981671.8463622592</v>
      </c>
      <c r="F358" s="1">
        <f>Tabela7[[#This Row],[Tensão(Pa)]]/1000000</f>
        <v>9.9816718463622589</v>
      </c>
    </row>
    <row r="359" spans="1:6" x14ac:dyDescent="0.3">
      <c r="A359" s="1">
        <v>34.482999999999997</v>
      </c>
      <c r="B359" s="1">
        <v>2.8666</v>
      </c>
      <c r="C359" s="1">
        <f>Tabela7[[#This Row],[Alongamento(mm/mm)]]/$I$2</f>
        <v>5.7332000000000001E-2</v>
      </c>
      <c r="D359" s="1">
        <v>315.7</v>
      </c>
      <c r="E359" s="1">
        <f>Tabela7[[#This Row],[Forτa(N)]]/$I$5</f>
        <v>10062953.223364411</v>
      </c>
      <c r="F359" s="1">
        <f>Tabela7[[#This Row],[Tensão(Pa)]]/1000000</f>
        <v>10.062953223364412</v>
      </c>
    </row>
    <row r="360" spans="1:6" x14ac:dyDescent="0.3">
      <c r="A360" s="1">
        <v>34.567</v>
      </c>
      <c r="B360" s="1">
        <v>2.8734000000000002</v>
      </c>
      <c r="C360" s="1">
        <f>Tabela7[[#This Row],[Alongamento(mm/mm)]]/$I$2</f>
        <v>5.7468000000000005E-2</v>
      </c>
      <c r="D360" s="1">
        <v>318.25</v>
      </c>
      <c r="E360" s="1">
        <f>Tabela7[[#This Row],[Forτa(N)]]/$I$5</f>
        <v>10144234.600366564</v>
      </c>
      <c r="F360" s="1">
        <f>Tabela7[[#This Row],[Tensão(Pa)]]/1000000</f>
        <v>10.144234600366564</v>
      </c>
    </row>
    <row r="361" spans="1:6" x14ac:dyDescent="0.3">
      <c r="A361" s="1">
        <v>34.65</v>
      </c>
      <c r="B361" s="1">
        <v>2.8803999999999998</v>
      </c>
      <c r="C361" s="1">
        <f>Tabela7[[#This Row],[Alongamento(mm/mm)]]/$I$2</f>
        <v>5.7607999999999999E-2</v>
      </c>
      <c r="D361" s="1">
        <v>320.81</v>
      </c>
      <c r="E361" s="1">
        <f>Tabela7[[#This Row],[Forτa(N)]]/$I$5</f>
        <v>10225834.727866763</v>
      </c>
      <c r="F361" s="1">
        <f>Tabela7[[#This Row],[Tensão(Pa)]]/1000000</f>
        <v>10.225834727866763</v>
      </c>
    </row>
    <row r="362" spans="1:6" x14ac:dyDescent="0.3">
      <c r="A362" s="1">
        <v>34.732999999999997</v>
      </c>
      <c r="B362" s="1">
        <v>2.8874</v>
      </c>
      <c r="C362" s="1">
        <f>Tabela7[[#This Row],[Alongamento(mm/mm)]]/$I$2</f>
        <v>5.7748000000000001E-2</v>
      </c>
      <c r="D362" s="1">
        <v>323.36</v>
      </c>
      <c r="E362" s="1">
        <f>Tabela7[[#This Row],[Forτa(N)]]/$I$5</f>
        <v>10307116.104868915</v>
      </c>
      <c r="F362" s="1">
        <f>Tabela7[[#This Row],[Tensão(Pa)]]/1000000</f>
        <v>10.307116104868914</v>
      </c>
    </row>
    <row r="363" spans="1:6" x14ac:dyDescent="0.3">
      <c r="A363" s="1">
        <v>34.817</v>
      </c>
      <c r="B363" s="1">
        <v>2.8942999999999999</v>
      </c>
      <c r="C363" s="1">
        <f>Tabela7[[#This Row],[Alongamento(mm/mm)]]/$I$2</f>
        <v>5.7886E-2</v>
      </c>
      <c r="D363" s="1">
        <v>325.91000000000003</v>
      </c>
      <c r="E363" s="1">
        <f>Tabela7[[#This Row],[Forτa(N)]]/$I$5</f>
        <v>10388397.481871067</v>
      </c>
      <c r="F363" s="1">
        <f>Tabela7[[#This Row],[Tensão(Pa)]]/1000000</f>
        <v>10.388397481871067</v>
      </c>
    </row>
    <row r="364" spans="1:6" x14ac:dyDescent="0.3">
      <c r="A364" s="1">
        <v>34.9</v>
      </c>
      <c r="B364" s="1">
        <v>2.9013</v>
      </c>
      <c r="C364" s="1">
        <f>Tabela7[[#This Row],[Alongamento(mm/mm)]]/$I$2</f>
        <v>5.8026000000000001E-2</v>
      </c>
      <c r="D364" s="1">
        <v>328.46</v>
      </c>
      <c r="E364" s="1">
        <f>Tabela7[[#This Row],[Forτa(N)]]/$I$5</f>
        <v>10469678.858873216</v>
      </c>
      <c r="F364" s="1">
        <f>Tabela7[[#This Row],[Tensão(Pa)]]/1000000</f>
        <v>10.469678858873216</v>
      </c>
    </row>
    <row r="365" spans="1:6" x14ac:dyDescent="0.3">
      <c r="A365" s="1">
        <v>34.982999999999997</v>
      </c>
      <c r="B365" s="1">
        <v>2.9081999999999999</v>
      </c>
      <c r="C365" s="1">
        <f>Tabela7[[#This Row],[Alongamento(mm/mm)]]/$I$2</f>
        <v>5.8164E-2</v>
      </c>
      <c r="D365" s="1">
        <v>331.18</v>
      </c>
      <c r="E365" s="1">
        <f>Tabela7[[#This Row],[Forτa(N)]]/$I$5</f>
        <v>10556378.99434218</v>
      </c>
      <c r="F365" s="1">
        <f>Tabela7[[#This Row],[Tensão(Pa)]]/1000000</f>
        <v>10.556378994342181</v>
      </c>
    </row>
    <row r="366" spans="1:6" x14ac:dyDescent="0.3">
      <c r="A366" s="1">
        <v>35.067</v>
      </c>
      <c r="B366" s="1">
        <v>2.9150999999999998</v>
      </c>
      <c r="C366" s="1">
        <f>Tabela7[[#This Row],[Alongamento(mm/mm)]]/$I$2</f>
        <v>5.8301999999999993E-2</v>
      </c>
      <c r="D366" s="1">
        <v>333.73</v>
      </c>
      <c r="E366" s="1">
        <f>Tabela7[[#This Row],[Forτa(N)]]/$I$5</f>
        <v>10637660.371344332</v>
      </c>
      <c r="F366" s="1">
        <f>Tabela7[[#This Row],[Tensão(Pa)]]/1000000</f>
        <v>10.637660371344332</v>
      </c>
    </row>
    <row r="367" spans="1:6" x14ac:dyDescent="0.3">
      <c r="A367" s="1">
        <v>35.15</v>
      </c>
      <c r="B367" s="1">
        <v>2.9220999999999999</v>
      </c>
      <c r="C367" s="1">
        <f>Tabela7[[#This Row],[Alongamento(mm/mm)]]/$I$2</f>
        <v>5.8442000000000001E-2</v>
      </c>
      <c r="D367" s="1">
        <v>336.29</v>
      </c>
      <c r="E367" s="1">
        <f>Tabela7[[#This Row],[Forτa(N)]]/$I$5</f>
        <v>10719260.49884453</v>
      </c>
      <c r="F367" s="1">
        <f>Tabela7[[#This Row],[Tensão(Pa)]]/1000000</f>
        <v>10.71926049884453</v>
      </c>
    </row>
    <row r="368" spans="1:6" x14ac:dyDescent="0.3">
      <c r="A368" s="1">
        <v>35.232999999999997</v>
      </c>
      <c r="B368" s="1">
        <v>2.9289999999999998</v>
      </c>
      <c r="C368" s="1">
        <f>Tabela7[[#This Row],[Alongamento(mm/mm)]]/$I$2</f>
        <v>5.8579999999999993E-2</v>
      </c>
      <c r="D368" s="1">
        <v>339.01</v>
      </c>
      <c r="E368" s="1">
        <f>Tabela7[[#This Row],[Forτa(N)]]/$I$5</f>
        <v>10805960.634313492</v>
      </c>
      <c r="F368" s="1">
        <f>Tabela7[[#This Row],[Tensão(Pa)]]/1000000</f>
        <v>10.805960634313491</v>
      </c>
    </row>
    <row r="369" spans="1:6" x14ac:dyDescent="0.3">
      <c r="A369" s="1">
        <v>35.317</v>
      </c>
      <c r="B369" s="1">
        <v>2.9359999999999999</v>
      </c>
      <c r="C369" s="1">
        <f>Tabela7[[#This Row],[Alongamento(mm/mm)]]/$I$2</f>
        <v>5.8720000000000001E-2</v>
      </c>
      <c r="D369" s="1">
        <v>341.56</v>
      </c>
      <c r="E369" s="1">
        <f>Tabela7[[#This Row],[Forτa(N)]]/$I$5</f>
        <v>10887242.011315644</v>
      </c>
      <c r="F369" s="1">
        <f>Tabela7[[#This Row],[Tensão(Pa)]]/1000000</f>
        <v>10.887242011315644</v>
      </c>
    </row>
    <row r="370" spans="1:6" x14ac:dyDescent="0.3">
      <c r="A370" s="1">
        <v>35.4</v>
      </c>
      <c r="B370" s="1">
        <v>2.9430000000000001</v>
      </c>
      <c r="C370" s="1">
        <f>Tabela7[[#This Row],[Alongamento(mm/mm)]]/$I$2</f>
        <v>5.8860000000000003E-2</v>
      </c>
      <c r="D370" s="1">
        <v>344.11</v>
      </c>
      <c r="E370" s="1">
        <f>Tabela7[[#This Row],[Forτa(N)]]/$I$5</f>
        <v>10968523.388317795</v>
      </c>
      <c r="F370" s="1">
        <f>Tabela7[[#This Row],[Tensão(Pa)]]/1000000</f>
        <v>10.968523388317795</v>
      </c>
    </row>
    <row r="371" spans="1:6" x14ac:dyDescent="0.3">
      <c r="A371" s="1">
        <v>35.482999999999997</v>
      </c>
      <c r="B371" s="1">
        <v>2.9498000000000002</v>
      </c>
      <c r="C371" s="1">
        <f>Tabela7[[#This Row],[Alongamento(mm/mm)]]/$I$2</f>
        <v>5.8996000000000007E-2</v>
      </c>
      <c r="D371" s="1">
        <v>346.83</v>
      </c>
      <c r="E371" s="1">
        <f>Tabela7[[#This Row],[Forτa(N)]]/$I$5</f>
        <v>11055223.523786755</v>
      </c>
      <c r="F371" s="1">
        <f>Tabela7[[#This Row],[Tensão(Pa)]]/1000000</f>
        <v>11.055223523786756</v>
      </c>
    </row>
    <row r="372" spans="1:6" x14ac:dyDescent="0.3">
      <c r="A372" s="1">
        <v>35.567</v>
      </c>
      <c r="B372" s="1">
        <v>2.9567999999999999</v>
      </c>
      <c r="C372" s="1">
        <f>Tabela7[[#This Row],[Alongamento(mm/mm)]]/$I$2</f>
        <v>5.9135999999999994E-2</v>
      </c>
      <c r="D372" s="1">
        <v>349.38</v>
      </c>
      <c r="E372" s="1">
        <f>Tabela7[[#This Row],[Forτa(N)]]/$I$5</f>
        <v>11136504.900788909</v>
      </c>
      <c r="F372" s="1">
        <f>Tabela7[[#This Row],[Tensão(Pa)]]/1000000</f>
        <v>11.136504900788909</v>
      </c>
    </row>
    <row r="373" spans="1:6" x14ac:dyDescent="0.3">
      <c r="A373" s="1">
        <v>35.65</v>
      </c>
      <c r="B373" s="1">
        <v>2.9638</v>
      </c>
      <c r="C373" s="1">
        <f>Tabela7[[#This Row],[Alongamento(mm/mm)]]/$I$2</f>
        <v>5.9276000000000002E-2</v>
      </c>
      <c r="D373" s="1">
        <v>352.1</v>
      </c>
      <c r="E373" s="1">
        <f>Tabela7[[#This Row],[Forτa(N)]]/$I$5</f>
        <v>11223205.03625787</v>
      </c>
      <c r="F373" s="1">
        <f>Tabela7[[#This Row],[Tensão(Pa)]]/1000000</f>
        <v>11.22320503625787</v>
      </c>
    </row>
    <row r="374" spans="1:6" x14ac:dyDescent="0.3">
      <c r="A374" s="1">
        <v>35.75</v>
      </c>
      <c r="B374" s="1">
        <v>2.9721000000000002</v>
      </c>
      <c r="C374" s="1">
        <f>Tabela7[[#This Row],[Alongamento(mm/mm)]]/$I$2</f>
        <v>5.9442000000000002E-2</v>
      </c>
      <c r="D374" s="1">
        <v>355.17</v>
      </c>
      <c r="E374" s="1">
        <f>Tabela7[[#This Row],[Forτa(N)]]/$I$5</f>
        <v>11321061.439158499</v>
      </c>
      <c r="F374" s="1">
        <f>Tabela7[[#This Row],[Tensão(Pa)]]/1000000</f>
        <v>11.3210614391585</v>
      </c>
    </row>
    <row r="375" spans="1:6" x14ac:dyDescent="0.3">
      <c r="A375" s="1">
        <v>35.832999999999998</v>
      </c>
      <c r="B375" s="1">
        <v>2.9790999999999999</v>
      </c>
      <c r="C375" s="1">
        <f>Tabela7[[#This Row],[Alongamento(mm/mm)]]/$I$2</f>
        <v>5.9581999999999996E-2</v>
      </c>
      <c r="D375" s="1">
        <v>357.89</v>
      </c>
      <c r="E375" s="1">
        <f>Tabela7[[#This Row],[Forτa(N)]]/$I$5</f>
        <v>11407761.574627461</v>
      </c>
      <c r="F375" s="1">
        <f>Tabela7[[#This Row],[Tensão(Pa)]]/1000000</f>
        <v>11.407761574627461</v>
      </c>
    </row>
    <row r="376" spans="1:6" x14ac:dyDescent="0.3">
      <c r="A376" s="1">
        <v>35.933</v>
      </c>
      <c r="B376" s="1">
        <v>2.9872999999999998</v>
      </c>
      <c r="C376" s="1">
        <f>Tabela7[[#This Row],[Alongamento(mm/mm)]]/$I$2</f>
        <v>5.9745999999999994E-2</v>
      </c>
      <c r="D376" s="1">
        <v>360.95</v>
      </c>
      <c r="E376" s="1">
        <f>Tabela7[[#This Row],[Forτa(N)]]/$I$5</f>
        <v>11505299.227030043</v>
      </c>
      <c r="F376" s="1">
        <f>Tabela7[[#This Row],[Tensão(Pa)]]/1000000</f>
        <v>11.505299227030042</v>
      </c>
    </row>
    <row r="377" spans="1:6" x14ac:dyDescent="0.3">
      <c r="A377" s="1">
        <v>36.017000000000003</v>
      </c>
      <c r="B377" s="1">
        <v>2.9943</v>
      </c>
      <c r="C377" s="1">
        <f>Tabela7[[#This Row],[Alongamento(mm/mm)]]/$I$2</f>
        <v>5.9886000000000002E-2</v>
      </c>
      <c r="D377" s="1">
        <v>363.67</v>
      </c>
      <c r="E377" s="1">
        <f>Tabela7[[#This Row],[Forτa(N)]]/$I$5</f>
        <v>11591999.362499004</v>
      </c>
      <c r="F377" s="1">
        <f>Tabela7[[#This Row],[Tensão(Pa)]]/1000000</f>
        <v>11.591999362499005</v>
      </c>
    </row>
    <row r="378" spans="1:6" x14ac:dyDescent="0.3">
      <c r="A378" s="1">
        <v>36.1</v>
      </c>
      <c r="B378" s="1">
        <v>3.0011999999999999</v>
      </c>
      <c r="C378" s="1">
        <f>Tabela7[[#This Row],[Alongamento(mm/mm)]]/$I$2</f>
        <v>6.0023999999999994E-2</v>
      </c>
      <c r="D378" s="1">
        <v>366.39</v>
      </c>
      <c r="E378" s="1">
        <f>Tabela7[[#This Row],[Forτa(N)]]/$I$5</f>
        <v>11678699.497967966</v>
      </c>
      <c r="F378" s="1">
        <f>Tabela7[[#This Row],[Tensão(Pa)]]/1000000</f>
        <v>11.678699497967965</v>
      </c>
    </row>
    <row r="379" spans="1:6" x14ac:dyDescent="0.3">
      <c r="A379" s="1">
        <v>36.183</v>
      </c>
      <c r="B379" s="1">
        <v>3.0082</v>
      </c>
      <c r="C379" s="1">
        <f>Tabela7[[#This Row],[Alongamento(mm/mm)]]/$I$2</f>
        <v>6.0164000000000002E-2</v>
      </c>
      <c r="D379" s="1">
        <v>369.11</v>
      </c>
      <c r="E379" s="1">
        <f>Tabela7[[#This Row],[Forτa(N)]]/$I$5</f>
        <v>11765399.633436928</v>
      </c>
      <c r="F379" s="1">
        <f>Tabela7[[#This Row],[Tensão(Pa)]]/1000000</f>
        <v>11.765399633436928</v>
      </c>
    </row>
    <row r="380" spans="1:6" x14ac:dyDescent="0.3">
      <c r="A380" s="1">
        <v>36.283000000000001</v>
      </c>
      <c r="B380" s="1">
        <v>3.0165000000000002</v>
      </c>
      <c r="C380" s="1">
        <f>Tabela7[[#This Row],[Alongamento(mm/mm)]]/$I$2</f>
        <v>6.0330000000000002E-2</v>
      </c>
      <c r="D380" s="1">
        <v>372.18</v>
      </c>
      <c r="E380" s="1">
        <f>Tabela7[[#This Row],[Forτa(N)]]/$I$5</f>
        <v>11863256.036337558</v>
      </c>
      <c r="F380" s="1">
        <f>Tabela7[[#This Row],[Tensão(Pa)]]/1000000</f>
        <v>11.863256036337559</v>
      </c>
    </row>
    <row r="381" spans="1:6" x14ac:dyDescent="0.3">
      <c r="A381" s="1">
        <v>36.366999999999997</v>
      </c>
      <c r="B381" s="1">
        <v>3.0234999999999999</v>
      </c>
      <c r="C381" s="1">
        <f>Tabela7[[#This Row],[Alongamento(mm/mm)]]/$I$2</f>
        <v>6.0469999999999996E-2</v>
      </c>
      <c r="D381" s="1">
        <v>374.9</v>
      </c>
      <c r="E381" s="1">
        <f>Tabela7[[#This Row],[Forτa(N)]]/$I$5</f>
        <v>11949956.171806518</v>
      </c>
      <c r="F381" s="1">
        <f>Tabela7[[#This Row],[Tensão(Pa)]]/1000000</f>
        <v>11.949956171806518</v>
      </c>
    </row>
    <row r="382" spans="1:6" x14ac:dyDescent="0.3">
      <c r="A382" s="1">
        <v>36.466999999999999</v>
      </c>
      <c r="B382" s="1">
        <v>3.0318000000000001</v>
      </c>
      <c r="C382" s="1">
        <f>Tabela7[[#This Row],[Alongamento(mm/mm)]]/$I$2</f>
        <v>6.0636000000000002E-2</v>
      </c>
      <c r="D382" s="1">
        <v>377.96</v>
      </c>
      <c r="E382" s="1">
        <f>Tabela7[[#This Row],[Forτa(N)]]/$I$5</f>
        <v>12047493.8242091</v>
      </c>
      <c r="F382" s="1">
        <f>Tabela7[[#This Row],[Tensão(Pa)]]/1000000</f>
        <v>12.0474938242091</v>
      </c>
    </row>
    <row r="383" spans="1:6" x14ac:dyDescent="0.3">
      <c r="A383" s="1">
        <v>36.567</v>
      </c>
      <c r="B383" s="1">
        <v>3.0400999999999998</v>
      </c>
      <c r="C383" s="1">
        <f>Tabela7[[#This Row],[Alongamento(mm/mm)]]/$I$2</f>
        <v>6.0801999999999995E-2</v>
      </c>
      <c r="D383" s="1">
        <v>381.02</v>
      </c>
      <c r="E383" s="1">
        <f>Tabela7[[#This Row],[Forτa(N)]]/$I$5</f>
        <v>12145031.476611683</v>
      </c>
      <c r="F383" s="1">
        <f>Tabela7[[#This Row],[Tensão(Pa)]]/1000000</f>
        <v>12.145031476611683</v>
      </c>
    </row>
    <row r="384" spans="1:6" x14ac:dyDescent="0.3">
      <c r="A384" s="1">
        <v>36.65</v>
      </c>
      <c r="B384" s="1">
        <v>3.0470999999999999</v>
      </c>
      <c r="C384" s="1">
        <f>Tabela7[[#This Row],[Alongamento(mm/mm)]]/$I$2</f>
        <v>6.0941999999999996E-2</v>
      </c>
      <c r="D384" s="1">
        <v>383.74</v>
      </c>
      <c r="E384" s="1">
        <f>Tabela7[[#This Row],[Forτa(N)]]/$I$5</f>
        <v>12231731.612080645</v>
      </c>
      <c r="F384" s="1">
        <f>Tabela7[[#This Row],[Tensão(Pa)]]/1000000</f>
        <v>12.231731612080646</v>
      </c>
    </row>
    <row r="385" spans="1:6" x14ac:dyDescent="0.3">
      <c r="A385" s="1">
        <v>36.75</v>
      </c>
      <c r="B385" s="1">
        <v>3.0554999999999999</v>
      </c>
      <c r="C385" s="1">
        <f>Tabela7[[#This Row],[Alongamento(mm/mm)]]/$I$2</f>
        <v>6.1109999999999998E-2</v>
      </c>
      <c r="D385" s="1">
        <v>386.8</v>
      </c>
      <c r="E385" s="1">
        <f>Tabela7[[#This Row],[Forτa(N)]]/$I$5</f>
        <v>12329269.264483226</v>
      </c>
      <c r="F385" s="1">
        <f>Tabela7[[#This Row],[Tensão(Pa)]]/1000000</f>
        <v>12.329269264483226</v>
      </c>
    </row>
    <row r="386" spans="1:6" x14ac:dyDescent="0.3">
      <c r="A386" s="1">
        <v>36.85</v>
      </c>
      <c r="B386" s="1">
        <v>3.0636999999999999</v>
      </c>
      <c r="C386" s="1">
        <f>Tabela7[[#This Row],[Alongamento(mm/mm)]]/$I$2</f>
        <v>6.1273999999999995E-2</v>
      </c>
      <c r="D386" s="1">
        <v>389.87</v>
      </c>
      <c r="E386" s="1">
        <f>Tabela7[[#This Row],[Forτa(N)]]/$I$5</f>
        <v>12427125.667383857</v>
      </c>
      <c r="F386" s="1">
        <f>Tabela7[[#This Row],[Tensão(Pa)]]/1000000</f>
        <v>12.427125667383857</v>
      </c>
    </row>
    <row r="387" spans="1:6" x14ac:dyDescent="0.3">
      <c r="A387" s="1">
        <v>36.933</v>
      </c>
      <c r="B387" s="1">
        <v>3.0706000000000002</v>
      </c>
      <c r="C387" s="1">
        <f>Tabela7[[#This Row],[Alongamento(mm/mm)]]/$I$2</f>
        <v>6.1412000000000001E-2</v>
      </c>
      <c r="D387" s="1">
        <v>392.59</v>
      </c>
      <c r="E387" s="1">
        <f>Tabela7[[#This Row],[Forτa(N)]]/$I$5</f>
        <v>12513825.802852817</v>
      </c>
      <c r="F387" s="1">
        <f>Tabela7[[#This Row],[Tensão(Pa)]]/1000000</f>
        <v>12.513825802852818</v>
      </c>
    </row>
    <row r="388" spans="1:6" x14ac:dyDescent="0.3">
      <c r="A388" s="1">
        <v>37.033000000000001</v>
      </c>
      <c r="B388" s="1">
        <v>3.0790000000000002</v>
      </c>
      <c r="C388" s="1">
        <f>Tabela7[[#This Row],[Alongamento(mm/mm)]]/$I$2</f>
        <v>6.1580000000000003E-2</v>
      </c>
      <c r="D388" s="1">
        <v>395.65</v>
      </c>
      <c r="E388" s="1">
        <f>Tabela7[[#This Row],[Forτa(N)]]/$I$5</f>
        <v>12611363.455255399</v>
      </c>
      <c r="F388" s="1">
        <f>Tabela7[[#This Row],[Tensão(Pa)]]/1000000</f>
        <v>12.611363455255399</v>
      </c>
    </row>
    <row r="389" spans="1:6" x14ac:dyDescent="0.3">
      <c r="A389" s="1">
        <v>37.133000000000003</v>
      </c>
      <c r="B389" s="1">
        <v>3.0874000000000001</v>
      </c>
      <c r="C389" s="1">
        <f>Tabela7[[#This Row],[Alongamento(mm/mm)]]/$I$2</f>
        <v>6.1748000000000004E-2</v>
      </c>
      <c r="D389" s="1">
        <v>398.71</v>
      </c>
      <c r="E389" s="1">
        <f>Tabela7[[#This Row],[Forτa(N)]]/$I$5</f>
        <v>12708901.10765798</v>
      </c>
      <c r="F389" s="1">
        <f>Tabela7[[#This Row],[Tensão(Pa)]]/1000000</f>
        <v>12.708901107657979</v>
      </c>
    </row>
    <row r="390" spans="1:6" x14ac:dyDescent="0.3">
      <c r="A390" s="1">
        <v>37.232999999999997</v>
      </c>
      <c r="B390" s="1">
        <v>3.0956999999999999</v>
      </c>
      <c r="C390" s="1">
        <f>Tabela7[[#This Row],[Alongamento(mm/mm)]]/$I$2</f>
        <v>6.1913999999999997E-2</v>
      </c>
      <c r="D390" s="1">
        <v>401.94</v>
      </c>
      <c r="E390" s="1">
        <f>Tabela7[[#This Row],[Forτa(N)]]/$I$5</f>
        <v>12811857.518527374</v>
      </c>
      <c r="F390" s="1">
        <f>Tabela7[[#This Row],[Tensão(Pa)]]/1000000</f>
        <v>12.811857518527374</v>
      </c>
    </row>
    <row r="391" spans="1:6" x14ac:dyDescent="0.3">
      <c r="A391" s="1">
        <v>37.332999999999998</v>
      </c>
      <c r="B391" s="1">
        <v>3.1040000000000001</v>
      </c>
      <c r="C391" s="1">
        <f>Tabela7[[#This Row],[Alongamento(mm/mm)]]/$I$2</f>
        <v>6.2080000000000003E-2</v>
      </c>
      <c r="D391" s="1">
        <v>405.01</v>
      </c>
      <c r="E391" s="1">
        <f>Tabela7[[#This Row],[Forτa(N)]]/$I$5</f>
        <v>12909713.921428002</v>
      </c>
      <c r="F391" s="1">
        <f>Tabela7[[#This Row],[Tensão(Pa)]]/1000000</f>
        <v>12.909713921428002</v>
      </c>
    </row>
    <row r="392" spans="1:6" x14ac:dyDescent="0.3">
      <c r="A392" s="1">
        <v>37.433</v>
      </c>
      <c r="B392" s="1">
        <v>3.1124000000000001</v>
      </c>
      <c r="C392" s="1">
        <f>Tabela7[[#This Row],[Alongamento(mm/mm)]]/$I$2</f>
        <v>6.2247999999999998E-2</v>
      </c>
      <c r="D392" s="1">
        <v>408.07</v>
      </c>
      <c r="E392" s="1">
        <f>Tabela7[[#This Row],[Forτa(N)]]/$I$5</f>
        <v>13007251.573830584</v>
      </c>
      <c r="F392" s="1">
        <f>Tabela7[[#This Row],[Tensão(Pa)]]/1000000</f>
        <v>13.007251573830585</v>
      </c>
    </row>
    <row r="393" spans="1:6" x14ac:dyDescent="0.3">
      <c r="A393" s="1">
        <v>37.533000000000001</v>
      </c>
      <c r="B393" s="1">
        <v>3.1206999999999998</v>
      </c>
      <c r="C393" s="1">
        <f>Tabela7[[#This Row],[Alongamento(mm/mm)]]/$I$2</f>
        <v>6.2413999999999997E-2</v>
      </c>
      <c r="D393" s="1">
        <v>411.3</v>
      </c>
      <c r="E393" s="1">
        <f>Tabela7[[#This Row],[Forτa(N)]]/$I$5</f>
        <v>13110207.984699978</v>
      </c>
      <c r="F393" s="1">
        <f>Tabela7[[#This Row],[Tensão(Pa)]]/1000000</f>
        <v>13.110207984699978</v>
      </c>
    </row>
    <row r="394" spans="1:6" x14ac:dyDescent="0.3">
      <c r="A394" s="1">
        <v>37.633000000000003</v>
      </c>
      <c r="B394" s="1">
        <v>3.1291000000000002</v>
      </c>
      <c r="C394" s="1">
        <f>Tabela7[[#This Row],[Alongamento(mm/mm)]]/$I$2</f>
        <v>6.2581999999999999E-2</v>
      </c>
      <c r="D394" s="1">
        <v>414.36</v>
      </c>
      <c r="E394" s="1">
        <f>Tabela7[[#This Row],[Forτa(N)]]/$I$5</f>
        <v>13207745.637102559</v>
      </c>
      <c r="F394" s="1">
        <f>Tabela7[[#This Row],[Tensão(Pa)]]/1000000</f>
        <v>13.207745637102558</v>
      </c>
    </row>
    <row r="395" spans="1:6" x14ac:dyDescent="0.3">
      <c r="A395" s="1">
        <v>37.732999999999997</v>
      </c>
      <c r="B395" s="1">
        <v>3.1374</v>
      </c>
      <c r="C395" s="1">
        <f>Tabela7[[#This Row],[Alongamento(mm/mm)]]/$I$2</f>
        <v>6.2747999999999998E-2</v>
      </c>
      <c r="D395" s="1">
        <v>417.59</v>
      </c>
      <c r="E395" s="1">
        <f>Tabela7[[#This Row],[Forτa(N)]]/$I$5</f>
        <v>13310702.047971951</v>
      </c>
      <c r="F395" s="1">
        <f>Tabela7[[#This Row],[Tensão(Pa)]]/1000000</f>
        <v>13.310702047971951</v>
      </c>
    </row>
    <row r="396" spans="1:6" x14ac:dyDescent="0.3">
      <c r="A396" s="1">
        <v>37.832999999999998</v>
      </c>
      <c r="B396" s="1">
        <v>3.1457000000000002</v>
      </c>
      <c r="C396" s="1">
        <f>Tabela7[[#This Row],[Alongamento(mm/mm)]]/$I$2</f>
        <v>6.2913999999999998E-2</v>
      </c>
      <c r="D396" s="1">
        <v>420.65</v>
      </c>
      <c r="E396" s="1">
        <f>Tabela7[[#This Row],[Forτa(N)]]/$I$5</f>
        <v>13408239.700374532</v>
      </c>
      <c r="F396" s="1">
        <f>Tabela7[[#This Row],[Tensão(Pa)]]/1000000</f>
        <v>13.408239700374532</v>
      </c>
    </row>
    <row r="397" spans="1:6" x14ac:dyDescent="0.3">
      <c r="A397" s="1">
        <v>37.933</v>
      </c>
      <c r="B397" s="1">
        <v>3.1539999999999999</v>
      </c>
      <c r="C397" s="1">
        <f>Tabela7[[#This Row],[Alongamento(mm/mm)]]/$I$2</f>
        <v>6.3079999999999997E-2</v>
      </c>
      <c r="D397" s="1">
        <v>423.72</v>
      </c>
      <c r="E397" s="1">
        <f>Tabela7[[#This Row],[Forτa(N)]]/$I$5</f>
        <v>13506096.103275163</v>
      </c>
      <c r="F397" s="1">
        <f>Tabela7[[#This Row],[Tensão(Pa)]]/1000000</f>
        <v>13.506096103275164</v>
      </c>
    </row>
    <row r="398" spans="1:6" x14ac:dyDescent="0.3">
      <c r="A398" s="1">
        <v>38.033000000000001</v>
      </c>
      <c r="B398" s="1">
        <v>3.1623000000000001</v>
      </c>
      <c r="C398" s="1">
        <f>Tabela7[[#This Row],[Alongamento(mm/mm)]]/$I$2</f>
        <v>6.3245999999999997E-2</v>
      </c>
      <c r="D398" s="1">
        <v>426.95</v>
      </c>
      <c r="E398" s="1">
        <f>Tabela7[[#This Row],[Forτa(N)]]/$I$5</f>
        <v>13609052.514144553</v>
      </c>
      <c r="F398" s="1">
        <f>Tabela7[[#This Row],[Tensão(Pa)]]/1000000</f>
        <v>13.609052514144553</v>
      </c>
    </row>
    <row r="399" spans="1:6" x14ac:dyDescent="0.3">
      <c r="A399" s="1">
        <v>38.133000000000003</v>
      </c>
      <c r="B399" s="1">
        <v>3.1707000000000001</v>
      </c>
      <c r="C399" s="1">
        <f>Tabela7[[#This Row],[Alongamento(mm/mm)]]/$I$2</f>
        <v>6.3413999999999998E-2</v>
      </c>
      <c r="D399" s="1">
        <v>430.18</v>
      </c>
      <c r="E399" s="1">
        <f>Tabela7[[#This Row],[Forτa(N)]]/$I$5</f>
        <v>13712008.925013946</v>
      </c>
      <c r="F399" s="1">
        <f>Tabela7[[#This Row],[Tensão(Pa)]]/1000000</f>
        <v>13.712008925013947</v>
      </c>
    </row>
    <row r="400" spans="1:6" x14ac:dyDescent="0.3">
      <c r="A400" s="1">
        <v>38.232999999999997</v>
      </c>
      <c r="B400" s="1">
        <v>3.1789999999999998</v>
      </c>
      <c r="C400" s="1">
        <f>Tabela7[[#This Row],[Alongamento(mm/mm)]]/$I$2</f>
        <v>6.3579999999999998E-2</v>
      </c>
      <c r="D400" s="1">
        <v>433.41</v>
      </c>
      <c r="E400" s="1">
        <f>Tabela7[[#This Row],[Forτa(N)]]/$I$5</f>
        <v>13814965.335883338</v>
      </c>
      <c r="F400" s="1">
        <f>Tabela7[[#This Row],[Tensão(Pa)]]/1000000</f>
        <v>13.814965335883338</v>
      </c>
    </row>
    <row r="401" spans="1:6" x14ac:dyDescent="0.3">
      <c r="A401" s="1">
        <v>38.332999999999998</v>
      </c>
      <c r="B401" s="1">
        <v>3.1873</v>
      </c>
      <c r="C401" s="1">
        <f>Tabela7[[#This Row],[Alongamento(mm/mm)]]/$I$2</f>
        <v>6.3745999999999997E-2</v>
      </c>
      <c r="D401" s="1">
        <v>436.64</v>
      </c>
      <c r="E401" s="1">
        <f>Tabela7[[#This Row],[Forτa(N)]]/$I$5</f>
        <v>13917921.74675273</v>
      </c>
      <c r="F401" s="1">
        <f>Tabela7[[#This Row],[Tensão(Pa)]]/1000000</f>
        <v>13.917921746752729</v>
      </c>
    </row>
    <row r="402" spans="1:6" x14ac:dyDescent="0.3">
      <c r="A402" s="1">
        <v>38.450000000000003</v>
      </c>
      <c r="B402" s="1">
        <v>3.1970999999999998</v>
      </c>
      <c r="C402" s="1">
        <f>Tabela7[[#This Row],[Alongamento(mm/mm)]]/$I$2</f>
        <v>6.3941999999999999E-2</v>
      </c>
      <c r="D402" s="1">
        <v>440.39</v>
      </c>
      <c r="E402" s="1">
        <f>Tabela7[[#This Row],[Forτa(N)]]/$I$5</f>
        <v>14037453.1835206</v>
      </c>
      <c r="F402" s="1">
        <f>Tabela7[[#This Row],[Tensão(Pa)]]/1000000</f>
        <v>14.037453183520601</v>
      </c>
    </row>
    <row r="403" spans="1:6" x14ac:dyDescent="0.3">
      <c r="A403" s="1">
        <v>38.567</v>
      </c>
      <c r="B403" s="1">
        <v>3.2067999999999999</v>
      </c>
      <c r="C403" s="1">
        <f>Tabela7[[#This Row],[Alongamento(mm/mm)]]/$I$2</f>
        <v>6.4135999999999999E-2</v>
      </c>
      <c r="D403" s="1">
        <v>444.13</v>
      </c>
      <c r="E403" s="1">
        <f>Tabela7[[#This Row],[Forτa(N)]]/$I$5</f>
        <v>14156665.869790422</v>
      </c>
      <c r="F403" s="1">
        <f>Tabela7[[#This Row],[Tensão(Pa)]]/1000000</f>
        <v>14.156665869790421</v>
      </c>
    </row>
    <row r="404" spans="1:6" x14ac:dyDescent="0.3">
      <c r="A404" s="1">
        <v>38.683</v>
      </c>
      <c r="B404" s="1">
        <v>3.2164999999999999</v>
      </c>
      <c r="C404" s="1">
        <f>Tabela7[[#This Row],[Alongamento(mm/mm)]]/$I$2</f>
        <v>6.4329999999999998E-2</v>
      </c>
      <c r="D404" s="1">
        <v>447.87</v>
      </c>
      <c r="E404" s="1">
        <f>Tabela7[[#This Row],[Forτa(N)]]/$I$5</f>
        <v>14275878.556060245</v>
      </c>
      <c r="F404" s="1">
        <f>Tabela7[[#This Row],[Tensão(Pa)]]/1000000</f>
        <v>14.275878556060245</v>
      </c>
    </row>
    <row r="405" spans="1:6" x14ac:dyDescent="0.3">
      <c r="A405" s="1">
        <v>38.783000000000001</v>
      </c>
      <c r="B405" s="1">
        <v>3.2248000000000001</v>
      </c>
      <c r="C405" s="1">
        <f>Tabela7[[#This Row],[Alongamento(mm/mm)]]/$I$2</f>
        <v>6.4495999999999998E-2</v>
      </c>
      <c r="D405" s="1">
        <v>451.27</v>
      </c>
      <c r="E405" s="1">
        <f>Tabela7[[#This Row],[Forτa(N)]]/$I$5</f>
        <v>14384253.725396447</v>
      </c>
      <c r="F405" s="1">
        <f>Tabela7[[#This Row],[Tensão(Pa)]]/1000000</f>
        <v>14.384253725396446</v>
      </c>
    </row>
    <row r="406" spans="1:6" x14ac:dyDescent="0.3">
      <c r="A406" s="1">
        <v>38.9</v>
      </c>
      <c r="B406" s="1">
        <v>3.2345000000000002</v>
      </c>
      <c r="C406" s="1">
        <f>Tabela7[[#This Row],[Alongamento(mm/mm)]]/$I$2</f>
        <v>6.4689999999999998E-2</v>
      </c>
      <c r="D406" s="1">
        <v>455.18</v>
      </c>
      <c r="E406" s="1">
        <f>Tabela7[[#This Row],[Forτa(N)]]/$I$5</f>
        <v>14508885.170133078</v>
      </c>
      <c r="F406" s="1">
        <f>Tabela7[[#This Row],[Tensão(Pa)]]/1000000</f>
        <v>14.508885170133079</v>
      </c>
    </row>
    <row r="407" spans="1:6" x14ac:dyDescent="0.3">
      <c r="A407" s="1">
        <v>39.017000000000003</v>
      </c>
      <c r="B407" s="1">
        <v>3.2443</v>
      </c>
      <c r="C407" s="1">
        <f>Tabela7[[#This Row],[Alongamento(mm/mm)]]/$I$2</f>
        <v>6.4885999999999999E-2</v>
      </c>
      <c r="D407" s="1">
        <v>458.93</v>
      </c>
      <c r="E407" s="1">
        <f>Tabela7[[#This Row],[Forτa(N)]]/$I$5</f>
        <v>14628416.606900949</v>
      </c>
      <c r="F407" s="1">
        <f>Tabela7[[#This Row],[Tensão(Pa)]]/1000000</f>
        <v>14.628416606900949</v>
      </c>
    </row>
    <row r="408" spans="1:6" x14ac:dyDescent="0.3">
      <c r="A408" s="1">
        <v>39.116999999999997</v>
      </c>
      <c r="B408" s="1">
        <v>3.2526999999999999</v>
      </c>
      <c r="C408" s="1">
        <f>Tabela7[[#This Row],[Alongamento(mm/mm)]]/$I$2</f>
        <v>6.5054000000000001E-2</v>
      </c>
      <c r="D408" s="1">
        <v>462.33</v>
      </c>
      <c r="E408" s="1">
        <f>Tabela7[[#This Row],[Forτa(N)]]/$I$5</f>
        <v>14736791.776237151</v>
      </c>
      <c r="F408" s="1">
        <f>Tabela7[[#This Row],[Tensão(Pa)]]/1000000</f>
        <v>14.736791776237151</v>
      </c>
    </row>
    <row r="409" spans="1:6" x14ac:dyDescent="0.3">
      <c r="A409" s="1">
        <v>39.216999999999999</v>
      </c>
      <c r="B409" s="1">
        <v>3.2608999999999999</v>
      </c>
      <c r="C409" s="1">
        <f>Tabela7[[#This Row],[Alongamento(mm/mm)]]/$I$2</f>
        <v>6.5217999999999998E-2</v>
      </c>
      <c r="D409" s="1">
        <v>465.73</v>
      </c>
      <c r="E409" s="1">
        <f>Tabela7[[#This Row],[Forτa(N)]]/$I$5</f>
        <v>14845166.945573354</v>
      </c>
      <c r="F409" s="1">
        <f>Tabela7[[#This Row],[Tensão(Pa)]]/1000000</f>
        <v>14.845166945573354</v>
      </c>
    </row>
    <row r="410" spans="1:6" x14ac:dyDescent="0.3">
      <c r="A410" s="1">
        <v>39.317</v>
      </c>
      <c r="B410" s="1">
        <v>3.2692999999999999</v>
      </c>
      <c r="C410" s="1">
        <f>Tabela7[[#This Row],[Alongamento(mm/mm)]]/$I$2</f>
        <v>6.5386E-2</v>
      </c>
      <c r="D410" s="1">
        <v>469.13</v>
      </c>
      <c r="E410" s="1">
        <f>Tabela7[[#This Row],[Forτa(N)]]/$I$5</f>
        <v>14953542.114909556</v>
      </c>
      <c r="F410" s="1">
        <f>Tabela7[[#This Row],[Tensão(Pa)]]/1000000</f>
        <v>14.953542114909556</v>
      </c>
    </row>
    <row r="411" spans="1:6" x14ac:dyDescent="0.3">
      <c r="A411" s="1">
        <v>39.433</v>
      </c>
      <c r="B411" s="1">
        <v>3.2789999999999999</v>
      </c>
      <c r="C411" s="1">
        <f>Tabela7[[#This Row],[Alongamento(mm/mm)]]/$I$2</f>
        <v>6.5579999999999999E-2</v>
      </c>
      <c r="D411" s="1">
        <v>473.04</v>
      </c>
      <c r="E411" s="1">
        <f>Tabela7[[#This Row],[Forτa(N)]]/$I$5</f>
        <v>15078173.559646189</v>
      </c>
      <c r="F411" s="1">
        <f>Tabela7[[#This Row],[Tensão(Pa)]]/1000000</f>
        <v>15.078173559646189</v>
      </c>
    </row>
    <row r="412" spans="1:6" x14ac:dyDescent="0.3">
      <c r="A412" s="1">
        <v>39.533000000000001</v>
      </c>
      <c r="B412" s="1">
        <v>3.2873999999999999</v>
      </c>
      <c r="C412" s="1">
        <f>Tabela7[[#This Row],[Alongamento(mm/mm)]]/$I$2</f>
        <v>6.5748000000000001E-2</v>
      </c>
      <c r="D412" s="1">
        <v>476.45</v>
      </c>
      <c r="E412" s="1">
        <f>Tabela7[[#This Row],[Forτa(N)]]/$I$5</f>
        <v>15186867.479480438</v>
      </c>
      <c r="F412" s="1">
        <f>Tabela7[[#This Row],[Tensão(Pa)]]/1000000</f>
        <v>15.186867479480439</v>
      </c>
    </row>
    <row r="413" spans="1:6" x14ac:dyDescent="0.3">
      <c r="A413" s="1">
        <v>39.633000000000003</v>
      </c>
      <c r="B413" s="1">
        <v>3.2955999999999999</v>
      </c>
      <c r="C413" s="1">
        <f>Tabela7[[#This Row],[Alongamento(mm/mm)]]/$I$2</f>
        <v>6.5911999999999998E-2</v>
      </c>
      <c r="D413" s="1">
        <v>479.85</v>
      </c>
      <c r="E413" s="1">
        <f>Tabela7[[#This Row],[Forτa(N)]]/$I$5</f>
        <v>15295242.64881664</v>
      </c>
      <c r="F413" s="1">
        <f>Tabela7[[#This Row],[Tensão(Pa)]]/1000000</f>
        <v>15.29524264881664</v>
      </c>
    </row>
    <row r="414" spans="1:6" x14ac:dyDescent="0.3">
      <c r="A414" s="1">
        <v>39.75</v>
      </c>
      <c r="B414" s="1">
        <v>3.3054000000000001</v>
      </c>
      <c r="C414" s="1">
        <f>Tabela7[[#This Row],[Alongamento(mm/mm)]]/$I$2</f>
        <v>6.6108E-2</v>
      </c>
      <c r="D414" s="1">
        <v>483.93</v>
      </c>
      <c r="E414" s="1">
        <f>Tabela7[[#This Row],[Forτa(N)]]/$I$5</f>
        <v>15425292.852020083</v>
      </c>
      <c r="F414" s="1">
        <f>Tabela7[[#This Row],[Tensão(Pa)]]/1000000</f>
        <v>15.425292852020084</v>
      </c>
    </row>
    <row r="415" spans="1:6" x14ac:dyDescent="0.3">
      <c r="A415" s="1">
        <v>39.866999999999997</v>
      </c>
      <c r="B415" s="1">
        <v>3.3151999999999999</v>
      </c>
      <c r="C415" s="1">
        <f>Tabela7[[#This Row],[Alongamento(mm/mm)]]/$I$2</f>
        <v>6.6304000000000002E-2</v>
      </c>
      <c r="D415" s="1">
        <v>487.84</v>
      </c>
      <c r="E415" s="1">
        <f>Tabela7[[#This Row],[Forτa(N)]]/$I$5</f>
        <v>15549924.296756715</v>
      </c>
      <c r="F415" s="1">
        <f>Tabela7[[#This Row],[Tensão(Pa)]]/1000000</f>
        <v>15.549924296756714</v>
      </c>
    </row>
    <row r="416" spans="1:6" x14ac:dyDescent="0.3">
      <c r="A416" s="1">
        <v>39.982999999999997</v>
      </c>
      <c r="B416" s="1">
        <v>3.3249</v>
      </c>
      <c r="C416" s="1">
        <f>Tabela7[[#This Row],[Alongamento(mm/mm)]]/$I$2</f>
        <v>6.6498000000000002E-2</v>
      </c>
      <c r="D416" s="1">
        <v>491.93</v>
      </c>
      <c r="E416" s="1">
        <f>Tabela7[[#This Row],[Forτa(N)]]/$I$5</f>
        <v>15680293.250458205</v>
      </c>
      <c r="F416" s="1">
        <f>Tabela7[[#This Row],[Tensão(Pa)]]/1000000</f>
        <v>15.680293250458206</v>
      </c>
    </row>
    <row r="417" spans="1:6" x14ac:dyDescent="0.3">
      <c r="A417" s="1">
        <v>40.1</v>
      </c>
      <c r="B417" s="1">
        <v>3.3346</v>
      </c>
      <c r="C417" s="1">
        <f>Tabela7[[#This Row],[Alongamento(mm/mm)]]/$I$2</f>
        <v>6.6692000000000001E-2</v>
      </c>
      <c r="D417" s="1">
        <v>495.84</v>
      </c>
      <c r="E417" s="1">
        <f>Tabela7[[#This Row],[Forτa(N)]]/$I$5</f>
        <v>15804924.695194837</v>
      </c>
      <c r="F417" s="1">
        <f>Tabela7[[#This Row],[Tensão(Pa)]]/1000000</f>
        <v>15.804924695194837</v>
      </c>
    </row>
    <row r="418" spans="1:6" x14ac:dyDescent="0.3">
      <c r="A418" s="1">
        <v>40.216999999999999</v>
      </c>
      <c r="B418" s="1">
        <v>3.3443000000000001</v>
      </c>
      <c r="C418" s="1">
        <f>Tabela7[[#This Row],[Alongamento(mm/mm)]]/$I$2</f>
        <v>6.6886000000000001E-2</v>
      </c>
      <c r="D418" s="1">
        <v>499.92</v>
      </c>
      <c r="E418" s="1">
        <f>Tabela7[[#This Row],[Forτa(N)]]/$I$5</f>
        <v>15934974.89839828</v>
      </c>
      <c r="F418" s="1">
        <f>Tabela7[[#This Row],[Tensão(Pa)]]/1000000</f>
        <v>15.934974898398281</v>
      </c>
    </row>
    <row r="419" spans="1:6" x14ac:dyDescent="0.3">
      <c r="A419" s="1">
        <v>40.332999999999998</v>
      </c>
      <c r="B419" s="1">
        <v>3.3540000000000001</v>
      </c>
      <c r="C419" s="1">
        <f>Tabela7[[#This Row],[Alongamento(mm/mm)]]/$I$2</f>
        <v>6.7080000000000001E-2</v>
      </c>
      <c r="D419" s="1">
        <v>503.83</v>
      </c>
      <c r="E419" s="1">
        <f>Tabela7[[#This Row],[Forτa(N)]]/$I$5</f>
        <v>16059606.343134912</v>
      </c>
      <c r="F419" s="1">
        <f>Tabela7[[#This Row],[Tensão(Pa)]]/1000000</f>
        <v>16.059606343134913</v>
      </c>
    </row>
    <row r="420" spans="1:6" x14ac:dyDescent="0.3">
      <c r="A420" s="1">
        <v>40.450000000000003</v>
      </c>
      <c r="B420" s="1">
        <v>3.3637000000000001</v>
      </c>
      <c r="C420" s="1">
        <f>Tabela7[[#This Row],[Alongamento(mm/mm)]]/$I$2</f>
        <v>6.7274E-2</v>
      </c>
      <c r="D420" s="1">
        <v>507.92</v>
      </c>
      <c r="E420" s="1">
        <f>Tabela7[[#This Row],[Forτa(N)]]/$I$5</f>
        <v>16189975.296836402</v>
      </c>
      <c r="F420" s="1">
        <f>Tabela7[[#This Row],[Tensão(Pa)]]/1000000</f>
        <v>16.189975296836401</v>
      </c>
    </row>
    <row r="421" spans="1:6" x14ac:dyDescent="0.3">
      <c r="A421" s="1">
        <v>40.567</v>
      </c>
      <c r="B421" s="1">
        <v>3.3734000000000002</v>
      </c>
      <c r="C421" s="1">
        <f>Tabela7[[#This Row],[Alongamento(mm/mm)]]/$I$2</f>
        <v>6.7468E-2</v>
      </c>
      <c r="D421" s="1">
        <v>512.16999999999996</v>
      </c>
      <c r="E421" s="1">
        <f>Tabela7[[#This Row],[Forτa(N)]]/$I$5</f>
        <v>16325444.258506654</v>
      </c>
      <c r="F421" s="1">
        <f>Tabela7[[#This Row],[Tensão(Pa)]]/1000000</f>
        <v>16.325444258506653</v>
      </c>
    </row>
    <row r="422" spans="1:6" x14ac:dyDescent="0.3">
      <c r="A422" s="1">
        <v>40.683</v>
      </c>
      <c r="B422" s="1">
        <v>3.3832</v>
      </c>
      <c r="C422" s="1">
        <f>Tabela7[[#This Row],[Alongamento(mm/mm)]]/$I$2</f>
        <v>6.7664000000000002E-2</v>
      </c>
      <c r="D422" s="1">
        <v>516.41999999999996</v>
      </c>
      <c r="E422" s="1">
        <f>Tabela7[[#This Row],[Forτa(N)]]/$I$5</f>
        <v>16460913.220176905</v>
      </c>
      <c r="F422" s="1">
        <f>Tabela7[[#This Row],[Tensão(Pa)]]/1000000</f>
        <v>16.460913220176906</v>
      </c>
    </row>
    <row r="423" spans="1:6" x14ac:dyDescent="0.3">
      <c r="A423" s="1">
        <v>40.783000000000001</v>
      </c>
      <c r="B423" s="1">
        <v>3.3915000000000002</v>
      </c>
      <c r="C423" s="1">
        <f>Tabela7[[#This Row],[Alongamento(mm/mm)]]/$I$2</f>
        <v>6.7830000000000001E-2</v>
      </c>
      <c r="D423" s="1">
        <v>520.33000000000004</v>
      </c>
      <c r="E423" s="1">
        <f>Tabela7[[#This Row],[Forτa(N)]]/$I$5</f>
        <v>16585544.664913541</v>
      </c>
      <c r="F423" s="1">
        <f>Tabela7[[#This Row],[Tensão(Pa)]]/1000000</f>
        <v>16.585544664913542</v>
      </c>
    </row>
    <row r="424" spans="1:6" x14ac:dyDescent="0.3">
      <c r="A424" s="1">
        <v>40.9</v>
      </c>
      <c r="B424" s="1">
        <v>3.4013</v>
      </c>
      <c r="C424" s="1">
        <f>Tabela7[[#This Row],[Alongamento(mm/mm)]]/$I$2</f>
        <v>6.8026000000000003E-2</v>
      </c>
      <c r="D424" s="1">
        <v>524.58000000000004</v>
      </c>
      <c r="E424" s="1">
        <f>Tabela7[[#This Row],[Forτa(N)]]/$I$5</f>
        <v>16721013.626583794</v>
      </c>
      <c r="F424" s="1">
        <f>Tabela7[[#This Row],[Tensão(Pa)]]/1000000</f>
        <v>16.721013626583794</v>
      </c>
    </row>
    <row r="425" spans="1:6" x14ac:dyDescent="0.3">
      <c r="A425" s="1">
        <v>41.017000000000003</v>
      </c>
      <c r="B425" s="1">
        <v>3.4108999999999998</v>
      </c>
      <c r="C425" s="1">
        <f>Tabela7[[#This Row],[Alongamento(mm/mm)]]/$I$2</f>
        <v>6.8218000000000001E-2</v>
      </c>
      <c r="D425" s="1">
        <v>528.84</v>
      </c>
      <c r="E425" s="1">
        <f>Tabela7[[#This Row],[Forτa(N)]]/$I$5</f>
        <v>16856801.338752095</v>
      </c>
      <c r="F425" s="1">
        <f>Tabela7[[#This Row],[Tensão(Pa)]]/1000000</f>
        <v>16.856801338752096</v>
      </c>
    </row>
    <row r="426" spans="1:6" x14ac:dyDescent="0.3">
      <c r="A426" s="1">
        <v>41.133000000000003</v>
      </c>
      <c r="B426" s="1">
        <v>3.4205999999999999</v>
      </c>
      <c r="C426" s="1">
        <f>Tabela7[[#This Row],[Alongamento(mm/mm)]]/$I$2</f>
        <v>6.8412000000000001E-2</v>
      </c>
      <c r="D426" s="1">
        <v>533.26</v>
      </c>
      <c r="E426" s="1">
        <f>Tabela7[[#This Row],[Forτa(N)]]/$I$5</f>
        <v>16997689.058889154</v>
      </c>
      <c r="F426" s="1">
        <f>Tabela7[[#This Row],[Tensão(Pa)]]/1000000</f>
        <v>16.997689058889154</v>
      </c>
    </row>
    <row r="427" spans="1:6" x14ac:dyDescent="0.3">
      <c r="A427" s="1">
        <v>41.25</v>
      </c>
      <c r="B427" s="1">
        <v>3.4304000000000001</v>
      </c>
      <c r="C427" s="1">
        <f>Tabela7[[#This Row],[Alongamento(mm/mm)]]/$I$2</f>
        <v>6.8608000000000002E-2</v>
      </c>
      <c r="D427" s="1">
        <v>537.51</v>
      </c>
      <c r="E427" s="1">
        <f>Tabela7[[#This Row],[Forτa(N)]]/$I$5</f>
        <v>17133158.020559408</v>
      </c>
      <c r="F427" s="1">
        <f>Tabela7[[#This Row],[Tensão(Pa)]]/1000000</f>
        <v>17.133158020559407</v>
      </c>
    </row>
    <row r="428" spans="1:6" x14ac:dyDescent="0.3">
      <c r="A428" s="1">
        <v>41.366999999999997</v>
      </c>
      <c r="B428" s="1">
        <v>3.4401999999999999</v>
      </c>
      <c r="C428" s="1">
        <f>Tabela7[[#This Row],[Alongamento(mm/mm)]]/$I$2</f>
        <v>6.8804000000000004E-2</v>
      </c>
      <c r="D428" s="1">
        <v>541.92999999999995</v>
      </c>
      <c r="E428" s="1">
        <f>Tabela7[[#This Row],[Forτa(N)]]/$I$5</f>
        <v>17274045.740696467</v>
      </c>
      <c r="F428" s="1">
        <f>Tabela7[[#This Row],[Tensão(Pa)]]/1000000</f>
        <v>17.274045740696469</v>
      </c>
    </row>
    <row r="429" spans="1:6" x14ac:dyDescent="0.3">
      <c r="A429" s="1">
        <v>41.482999999999997</v>
      </c>
      <c r="B429" s="1">
        <v>3.4498000000000002</v>
      </c>
      <c r="C429" s="1">
        <f>Tabela7[[#This Row],[Alongamento(mm/mm)]]/$I$2</f>
        <v>6.8996000000000002E-2</v>
      </c>
      <c r="D429" s="1">
        <v>546.19000000000005</v>
      </c>
      <c r="E429" s="1">
        <f>Tabela7[[#This Row],[Forτa(N)]]/$I$5</f>
        <v>17409833.452864774</v>
      </c>
      <c r="F429" s="1">
        <f>Tabela7[[#This Row],[Tensão(Pa)]]/1000000</f>
        <v>17.409833452864774</v>
      </c>
    </row>
    <row r="430" spans="1:6" x14ac:dyDescent="0.3">
      <c r="A430" s="1">
        <v>41.6</v>
      </c>
      <c r="B430" s="1">
        <v>3.4596</v>
      </c>
      <c r="C430" s="1">
        <f>Tabela7[[#This Row],[Alongamento(mm/mm)]]/$I$2</f>
        <v>6.9192000000000004E-2</v>
      </c>
      <c r="D430" s="1">
        <v>550.61</v>
      </c>
      <c r="E430" s="1">
        <f>Tabela7[[#This Row],[Forτa(N)]]/$I$5</f>
        <v>17550721.173001833</v>
      </c>
      <c r="F430" s="1">
        <f>Tabela7[[#This Row],[Tensão(Pa)]]/1000000</f>
        <v>17.550721173001833</v>
      </c>
    </row>
    <row r="431" spans="1:6" x14ac:dyDescent="0.3">
      <c r="A431" s="1">
        <v>41.716999999999999</v>
      </c>
      <c r="B431" s="1">
        <v>3.4693000000000001</v>
      </c>
      <c r="C431" s="1">
        <f>Tabela7[[#This Row],[Alongamento(mm/mm)]]/$I$2</f>
        <v>6.9386000000000003E-2</v>
      </c>
      <c r="D431" s="1">
        <v>554.86</v>
      </c>
      <c r="E431" s="1">
        <f>Tabela7[[#This Row],[Forτa(N)]]/$I$5</f>
        <v>17686190.134672087</v>
      </c>
      <c r="F431" s="1">
        <f>Tabela7[[#This Row],[Tensão(Pa)]]/1000000</f>
        <v>17.686190134672088</v>
      </c>
    </row>
    <row r="432" spans="1:6" x14ac:dyDescent="0.3">
      <c r="A432" s="1">
        <v>41.832999999999998</v>
      </c>
      <c r="B432" s="1">
        <v>3.4790000000000001</v>
      </c>
      <c r="C432" s="1">
        <f>Tabela7[[#This Row],[Alongamento(mm/mm)]]/$I$2</f>
        <v>6.9580000000000003E-2</v>
      </c>
      <c r="D432" s="1">
        <v>559.28</v>
      </c>
      <c r="E432" s="1">
        <f>Tabela7[[#This Row],[Forτa(N)]]/$I$5</f>
        <v>17827077.85480915</v>
      </c>
      <c r="F432" s="1">
        <f>Tabela7[[#This Row],[Tensão(Pa)]]/1000000</f>
        <v>17.827077854809151</v>
      </c>
    </row>
    <row r="433" spans="1:6" x14ac:dyDescent="0.3">
      <c r="A433" s="1">
        <v>41.95</v>
      </c>
      <c r="B433" s="1">
        <v>3.4887000000000001</v>
      </c>
      <c r="C433" s="1">
        <f>Tabela7[[#This Row],[Alongamento(mm/mm)]]/$I$2</f>
        <v>6.9774000000000003E-2</v>
      </c>
      <c r="D433" s="1">
        <v>563.71</v>
      </c>
      <c r="E433" s="1">
        <f>Tabela7[[#This Row],[Forτa(N)]]/$I$5</f>
        <v>17968284.325444262</v>
      </c>
      <c r="F433" s="1">
        <f>Tabela7[[#This Row],[Tensão(Pa)]]/1000000</f>
        <v>17.968284325444262</v>
      </c>
    </row>
    <row r="434" spans="1:6" x14ac:dyDescent="0.3">
      <c r="A434" s="1">
        <v>42.067</v>
      </c>
      <c r="B434" s="1">
        <v>3.4984000000000002</v>
      </c>
      <c r="C434" s="1">
        <f>Tabela7[[#This Row],[Alongamento(mm/mm)]]/$I$2</f>
        <v>6.9968000000000002E-2</v>
      </c>
      <c r="D434" s="1">
        <v>568.13</v>
      </c>
      <c r="E434" s="1">
        <f>Tabela7[[#This Row],[Forτa(N)]]/$I$5</f>
        <v>18109172.045581322</v>
      </c>
      <c r="F434" s="1">
        <f>Tabela7[[#This Row],[Tensão(Pa)]]/1000000</f>
        <v>18.109172045581321</v>
      </c>
    </row>
    <row r="435" spans="1:6" x14ac:dyDescent="0.3">
      <c r="A435" s="1">
        <v>42.2</v>
      </c>
      <c r="B435" s="1">
        <v>3.5095999999999998</v>
      </c>
      <c r="C435" s="1">
        <f>Tabela7[[#This Row],[Alongamento(mm/mm)]]/$I$2</f>
        <v>7.0191999999999991E-2</v>
      </c>
      <c r="D435" s="1">
        <v>573.05999999999995</v>
      </c>
      <c r="E435" s="1">
        <f>Tabela7[[#This Row],[Forτa(N)]]/$I$5</f>
        <v>18266316.041118812</v>
      </c>
      <c r="F435" s="1">
        <f>Tabela7[[#This Row],[Tensão(Pa)]]/1000000</f>
        <v>18.266316041118813</v>
      </c>
    </row>
    <row r="436" spans="1:6" x14ac:dyDescent="0.3">
      <c r="A436" s="1">
        <v>42.317</v>
      </c>
      <c r="B436" s="1">
        <v>3.5192999999999999</v>
      </c>
      <c r="C436" s="1">
        <f>Tabela7[[#This Row],[Alongamento(mm/mm)]]/$I$2</f>
        <v>7.0386000000000004E-2</v>
      </c>
      <c r="D436" s="1">
        <v>577.49</v>
      </c>
      <c r="E436" s="1">
        <f>Tabela7[[#This Row],[Forτa(N)]]/$I$5</f>
        <v>18407522.511753924</v>
      </c>
      <c r="F436" s="1">
        <f>Tabela7[[#This Row],[Tensão(Pa)]]/1000000</f>
        <v>18.407522511753925</v>
      </c>
    </row>
    <row r="437" spans="1:6" x14ac:dyDescent="0.3">
      <c r="A437" s="1">
        <v>42.45</v>
      </c>
      <c r="B437" s="1">
        <v>3.5304000000000002</v>
      </c>
      <c r="C437" s="1">
        <f>Tabela7[[#This Row],[Alongamento(mm/mm)]]/$I$2</f>
        <v>7.0608000000000004E-2</v>
      </c>
      <c r="D437" s="1">
        <v>582.41999999999996</v>
      </c>
      <c r="E437" s="1">
        <f>Tabela7[[#This Row],[Forτa(N)]]/$I$5</f>
        <v>18564666.507291418</v>
      </c>
      <c r="F437" s="1">
        <f>Tabela7[[#This Row],[Tensão(Pa)]]/1000000</f>
        <v>18.564666507291417</v>
      </c>
    </row>
    <row r="438" spans="1:6" x14ac:dyDescent="0.3">
      <c r="A438" s="1">
        <v>42.567</v>
      </c>
      <c r="B438" s="1">
        <v>3.5400999999999998</v>
      </c>
      <c r="C438" s="1">
        <f>Tabela7[[#This Row],[Alongamento(mm/mm)]]/$I$2</f>
        <v>7.080199999999999E-2</v>
      </c>
      <c r="D438" s="1">
        <v>586.84</v>
      </c>
      <c r="E438" s="1">
        <f>Tabela7[[#This Row],[Forτa(N)]]/$I$5</f>
        <v>18705554.227428481</v>
      </c>
      <c r="F438" s="1">
        <f>Tabela7[[#This Row],[Tensão(Pa)]]/1000000</f>
        <v>18.705554227428483</v>
      </c>
    </row>
    <row r="439" spans="1:6" x14ac:dyDescent="0.3">
      <c r="A439" s="1">
        <v>42.683</v>
      </c>
      <c r="B439" s="1">
        <v>3.5497999999999998</v>
      </c>
      <c r="C439" s="1">
        <f>Tabela7[[#This Row],[Alongamento(mm/mm)]]/$I$2</f>
        <v>7.0996000000000004E-2</v>
      </c>
      <c r="D439" s="1">
        <v>591.26</v>
      </c>
      <c r="E439" s="1">
        <f>Tabela7[[#This Row],[Forτa(N)]]/$I$5</f>
        <v>18846441.947565544</v>
      </c>
      <c r="F439" s="1">
        <f>Tabela7[[#This Row],[Tensão(Pa)]]/1000000</f>
        <v>18.846441947565545</v>
      </c>
    </row>
    <row r="440" spans="1:6" x14ac:dyDescent="0.3">
      <c r="A440" s="1">
        <v>42.8</v>
      </c>
      <c r="B440" s="1">
        <v>3.5596000000000001</v>
      </c>
      <c r="C440" s="1">
        <f>Tabela7[[#This Row],[Alongamento(mm/mm)]]/$I$2</f>
        <v>7.1192000000000005E-2</v>
      </c>
      <c r="D440" s="1">
        <v>595.69000000000005</v>
      </c>
      <c r="E440" s="1">
        <f>Tabela7[[#This Row],[Forτa(N)]]/$I$5</f>
        <v>18987648.418200657</v>
      </c>
      <c r="F440" s="1">
        <f>Tabela7[[#This Row],[Tensão(Pa)]]/1000000</f>
        <v>18.987648418200656</v>
      </c>
    </row>
    <row r="441" spans="1:6" x14ac:dyDescent="0.3">
      <c r="A441" s="1">
        <v>42.917000000000002</v>
      </c>
      <c r="B441" s="1">
        <v>3.5693000000000001</v>
      </c>
      <c r="C441" s="1">
        <f>Tabela7[[#This Row],[Alongamento(mm/mm)]]/$I$2</f>
        <v>7.1386000000000005E-2</v>
      </c>
      <c r="D441" s="1">
        <v>600.28</v>
      </c>
      <c r="E441" s="1">
        <f>Tabela7[[#This Row],[Forτa(N)]]/$I$5</f>
        <v>19133954.896804526</v>
      </c>
      <c r="F441" s="1">
        <f>Tabela7[[#This Row],[Tensão(Pa)]]/1000000</f>
        <v>19.133954896804525</v>
      </c>
    </row>
    <row r="442" spans="1:6" x14ac:dyDescent="0.3">
      <c r="A442" s="1">
        <v>43.033000000000001</v>
      </c>
      <c r="B442" s="1">
        <v>3.5790000000000002</v>
      </c>
      <c r="C442" s="1">
        <f>Tabela7[[#This Row],[Alongamento(mm/mm)]]/$I$2</f>
        <v>7.1580000000000005E-2</v>
      </c>
      <c r="D442" s="1">
        <v>604.70000000000005</v>
      </c>
      <c r="E442" s="1">
        <f>Tabela7[[#This Row],[Forτa(N)]]/$I$5</f>
        <v>19274842.61694159</v>
      </c>
      <c r="F442" s="1">
        <f>Tabela7[[#This Row],[Tensão(Pa)]]/1000000</f>
        <v>19.274842616941591</v>
      </c>
    </row>
    <row r="443" spans="1:6" x14ac:dyDescent="0.3">
      <c r="A443" s="1">
        <v>43.167000000000002</v>
      </c>
      <c r="B443" s="1">
        <v>3.5901999999999998</v>
      </c>
      <c r="C443" s="1">
        <f>Tabela7[[#This Row],[Alongamento(mm/mm)]]/$I$2</f>
        <v>7.1803999999999993E-2</v>
      </c>
      <c r="D443" s="1">
        <v>609.63</v>
      </c>
      <c r="E443" s="1">
        <f>Tabela7[[#This Row],[Forτa(N)]]/$I$5</f>
        <v>19431986.612479083</v>
      </c>
      <c r="F443" s="1">
        <f>Tabela7[[#This Row],[Tensão(Pa)]]/1000000</f>
        <v>19.431986612479083</v>
      </c>
    </row>
    <row r="444" spans="1:6" x14ac:dyDescent="0.3">
      <c r="A444" s="1">
        <v>43.3</v>
      </c>
      <c r="B444" s="1">
        <v>3.6013000000000002</v>
      </c>
      <c r="C444" s="1">
        <f>Tabela7[[#This Row],[Alongamento(mm/mm)]]/$I$2</f>
        <v>7.2026000000000007E-2</v>
      </c>
      <c r="D444" s="1">
        <v>614.57000000000005</v>
      </c>
      <c r="E444" s="1">
        <f>Tabela7[[#This Row],[Forτa(N)]]/$I$5</f>
        <v>19589449.358514626</v>
      </c>
      <c r="F444" s="1">
        <f>Tabela7[[#This Row],[Tensão(Pa)]]/1000000</f>
        <v>19.589449358514624</v>
      </c>
    </row>
    <row r="445" spans="1:6" x14ac:dyDescent="0.3">
      <c r="A445" s="1">
        <v>43.433</v>
      </c>
      <c r="B445" s="1">
        <v>3.6122999999999998</v>
      </c>
      <c r="C445" s="1">
        <f>Tabela7[[#This Row],[Alongamento(mm/mm)]]/$I$2</f>
        <v>7.2245999999999991E-2</v>
      </c>
      <c r="D445" s="1">
        <v>619.66999999999996</v>
      </c>
      <c r="E445" s="1">
        <f>Tabela7[[#This Row],[Forτa(N)]]/$I$5</f>
        <v>19752012.112518925</v>
      </c>
      <c r="F445" s="1">
        <f>Tabela7[[#This Row],[Tensão(Pa)]]/1000000</f>
        <v>19.752012112518926</v>
      </c>
    </row>
    <row r="446" spans="1:6" x14ac:dyDescent="0.3">
      <c r="A446" s="1">
        <v>43.567</v>
      </c>
      <c r="B446" s="1">
        <v>3.6234999999999999</v>
      </c>
      <c r="C446" s="1">
        <f>Tabela7[[#This Row],[Alongamento(mm/mm)]]/$I$2</f>
        <v>7.2469999999999993E-2</v>
      </c>
      <c r="D446" s="1">
        <v>624.77</v>
      </c>
      <c r="E446" s="1">
        <f>Tabela7[[#This Row],[Forτa(N)]]/$I$5</f>
        <v>19914574.866523229</v>
      </c>
      <c r="F446" s="1">
        <f>Tabela7[[#This Row],[Tensão(Pa)]]/1000000</f>
        <v>19.914574866523228</v>
      </c>
    </row>
    <row r="447" spans="1:6" x14ac:dyDescent="0.3">
      <c r="A447" s="1">
        <v>43.7</v>
      </c>
      <c r="B447" s="1">
        <v>3.6345999999999998</v>
      </c>
      <c r="C447" s="1">
        <f>Tabela7[[#This Row],[Alongamento(mm/mm)]]/$I$2</f>
        <v>7.2691999999999993E-2</v>
      </c>
      <c r="D447" s="1">
        <v>629.88</v>
      </c>
      <c r="E447" s="1">
        <f>Tabela7[[#This Row],[Forτa(N)]]/$I$5</f>
        <v>20077456.371025581</v>
      </c>
      <c r="F447" s="1">
        <f>Tabela7[[#This Row],[Tensão(Pa)]]/1000000</f>
        <v>20.07745637102558</v>
      </c>
    </row>
    <row r="448" spans="1:6" x14ac:dyDescent="0.3">
      <c r="A448" s="1">
        <v>43.832999999999998</v>
      </c>
      <c r="B448" s="1">
        <v>3.6457000000000002</v>
      </c>
      <c r="C448" s="1">
        <f>Tabela7[[#This Row],[Alongamento(mm/mm)]]/$I$2</f>
        <v>7.2914000000000007E-2</v>
      </c>
      <c r="D448" s="1">
        <v>634.80999999999995</v>
      </c>
      <c r="E448" s="1">
        <f>Tabela7[[#This Row],[Forτa(N)]]/$I$5</f>
        <v>20234600.366563071</v>
      </c>
      <c r="F448" s="1">
        <f>Tabela7[[#This Row],[Tensão(Pa)]]/1000000</f>
        <v>20.234600366563072</v>
      </c>
    </row>
    <row r="449" spans="1:6" x14ac:dyDescent="0.3">
      <c r="A449" s="1">
        <v>43.966999999999999</v>
      </c>
      <c r="B449" s="1">
        <v>3.6568000000000001</v>
      </c>
      <c r="C449" s="1">
        <f>Tabela7[[#This Row],[Alongamento(mm/mm)]]/$I$2</f>
        <v>7.3136000000000007E-2</v>
      </c>
      <c r="D449" s="1">
        <v>639.91</v>
      </c>
      <c r="E449" s="1">
        <f>Tabela7[[#This Row],[Forτa(N)]]/$I$5</f>
        <v>20397163.120567378</v>
      </c>
      <c r="F449" s="1">
        <f>Tabela7[[#This Row],[Tensão(Pa)]]/1000000</f>
        <v>20.397163120567377</v>
      </c>
    </row>
    <row r="450" spans="1:6" x14ac:dyDescent="0.3">
      <c r="A450" s="1">
        <v>44.1</v>
      </c>
      <c r="B450" s="1">
        <v>3.6678999999999999</v>
      </c>
      <c r="C450" s="1">
        <f>Tabela7[[#This Row],[Alongamento(mm/mm)]]/$I$2</f>
        <v>7.3357999999999993E-2</v>
      </c>
      <c r="D450" s="1">
        <v>645.01</v>
      </c>
      <c r="E450" s="1">
        <f>Tabela7[[#This Row],[Forτa(N)]]/$I$5</f>
        <v>20559725.874571681</v>
      </c>
      <c r="F450" s="1">
        <f>Tabela7[[#This Row],[Tensão(Pa)]]/1000000</f>
        <v>20.559725874571679</v>
      </c>
    </row>
    <row r="451" spans="1:6" x14ac:dyDescent="0.3">
      <c r="A451" s="1">
        <v>44.232999999999997</v>
      </c>
      <c r="B451" s="1">
        <v>3.6789999999999998</v>
      </c>
      <c r="C451" s="1">
        <f>Tabela7[[#This Row],[Alongamento(mm/mm)]]/$I$2</f>
        <v>7.3579999999999993E-2</v>
      </c>
      <c r="D451" s="1">
        <v>650.12</v>
      </c>
      <c r="E451" s="1">
        <f>Tabela7[[#This Row],[Forτa(N)]]/$I$5</f>
        <v>20722607.37907403</v>
      </c>
      <c r="F451" s="1">
        <f>Tabela7[[#This Row],[Tensão(Pa)]]/1000000</f>
        <v>20.722607379074031</v>
      </c>
    </row>
    <row r="452" spans="1:6" x14ac:dyDescent="0.3">
      <c r="A452" s="1">
        <v>44.366999999999997</v>
      </c>
      <c r="B452" s="1">
        <v>3.69</v>
      </c>
      <c r="C452" s="1">
        <f>Tabela7[[#This Row],[Alongamento(mm/mm)]]/$I$2</f>
        <v>7.3800000000000004E-2</v>
      </c>
      <c r="D452" s="1">
        <v>655.39</v>
      </c>
      <c r="E452" s="1">
        <f>Tabela7[[#This Row],[Forτa(N)]]/$I$5</f>
        <v>20890588.891545143</v>
      </c>
      <c r="F452" s="1">
        <f>Tabela7[[#This Row],[Tensão(Pa)]]/1000000</f>
        <v>20.890588891545143</v>
      </c>
    </row>
    <row r="453" spans="1:6" x14ac:dyDescent="0.3">
      <c r="A453" s="1">
        <v>44.5</v>
      </c>
      <c r="B453" s="1">
        <v>3.7012999999999998</v>
      </c>
      <c r="C453" s="1">
        <f>Tabela7[[#This Row],[Alongamento(mm/mm)]]/$I$2</f>
        <v>7.4025999999999995E-2</v>
      </c>
      <c r="D453" s="1">
        <v>660.49</v>
      </c>
      <c r="E453" s="1">
        <f>Tabela7[[#This Row],[Forτa(N)]]/$I$5</f>
        <v>21053151.645549446</v>
      </c>
      <c r="F453" s="1">
        <f>Tabela7[[#This Row],[Tensão(Pa)]]/1000000</f>
        <v>21.053151645549445</v>
      </c>
    </row>
    <row r="454" spans="1:6" x14ac:dyDescent="0.3">
      <c r="A454" s="1">
        <v>44.633000000000003</v>
      </c>
      <c r="B454" s="1">
        <v>3.7124000000000001</v>
      </c>
      <c r="C454" s="1">
        <f>Tabela7[[#This Row],[Alongamento(mm/mm)]]/$I$2</f>
        <v>7.4248000000000008E-2</v>
      </c>
      <c r="D454" s="1">
        <v>665.6</v>
      </c>
      <c r="E454" s="1">
        <f>Tabela7[[#This Row],[Forτa(N)]]/$I$5</f>
        <v>21216033.150051799</v>
      </c>
      <c r="F454" s="1">
        <f>Tabela7[[#This Row],[Tensão(Pa)]]/1000000</f>
        <v>21.2160331500518</v>
      </c>
    </row>
    <row r="455" spans="1:6" x14ac:dyDescent="0.3">
      <c r="A455" s="1">
        <v>44.767000000000003</v>
      </c>
      <c r="B455" s="1">
        <v>3.7235</v>
      </c>
      <c r="C455" s="1">
        <f>Tabela7[[#This Row],[Alongamento(mm/mm)]]/$I$2</f>
        <v>7.4469999999999995E-2</v>
      </c>
      <c r="D455" s="1">
        <v>670.87</v>
      </c>
      <c r="E455" s="1">
        <f>Tabela7[[#This Row],[Forτa(N)]]/$I$5</f>
        <v>21384014.662522912</v>
      </c>
      <c r="F455" s="1">
        <f>Tabela7[[#This Row],[Tensão(Pa)]]/1000000</f>
        <v>21.384014662522912</v>
      </c>
    </row>
    <row r="456" spans="1:6" x14ac:dyDescent="0.3">
      <c r="A456" s="1">
        <v>44.9</v>
      </c>
      <c r="B456" s="1">
        <v>3.7345999999999999</v>
      </c>
      <c r="C456" s="1">
        <f>Tabela7[[#This Row],[Alongamento(mm/mm)]]/$I$2</f>
        <v>7.4691999999999995E-2</v>
      </c>
      <c r="D456" s="1">
        <v>675.97</v>
      </c>
      <c r="E456" s="1">
        <f>Tabela7[[#This Row],[Forτa(N)]]/$I$5</f>
        <v>21546577.416527215</v>
      </c>
      <c r="F456" s="1">
        <f>Tabela7[[#This Row],[Tensão(Pa)]]/1000000</f>
        <v>21.546577416527214</v>
      </c>
    </row>
    <row r="457" spans="1:6" x14ac:dyDescent="0.3">
      <c r="A457" s="1">
        <v>45.033000000000001</v>
      </c>
      <c r="B457" s="1">
        <v>3.7456999999999998</v>
      </c>
      <c r="C457" s="1">
        <f>Tabela7[[#This Row],[Alongamento(mm/mm)]]/$I$2</f>
        <v>7.4913999999999994E-2</v>
      </c>
      <c r="D457" s="1">
        <v>681.25</v>
      </c>
      <c r="E457" s="1">
        <f>Tabela7[[#This Row],[Forτa(N)]]/$I$5</f>
        <v>21714877.679496374</v>
      </c>
      <c r="F457" s="1">
        <f>Tabela7[[#This Row],[Tensão(Pa)]]/1000000</f>
        <v>21.714877679496375</v>
      </c>
    </row>
    <row r="458" spans="1:6" x14ac:dyDescent="0.3">
      <c r="A458" s="1">
        <v>45.167000000000002</v>
      </c>
      <c r="B458" s="1">
        <v>3.7568000000000001</v>
      </c>
      <c r="C458" s="1">
        <f>Tabela7[[#This Row],[Alongamento(mm/mm)]]/$I$2</f>
        <v>7.5136000000000008E-2</v>
      </c>
      <c r="D458" s="1">
        <v>686.35</v>
      </c>
      <c r="E458" s="1">
        <f>Tabela7[[#This Row],[Forτa(N)]]/$I$5</f>
        <v>21877440.433500681</v>
      </c>
      <c r="F458" s="1">
        <f>Tabela7[[#This Row],[Tensão(Pa)]]/1000000</f>
        <v>21.877440433500681</v>
      </c>
    </row>
    <row r="459" spans="1:6" x14ac:dyDescent="0.3">
      <c r="A459" s="1">
        <v>45.3</v>
      </c>
      <c r="B459" s="1">
        <v>3.7677999999999998</v>
      </c>
      <c r="C459" s="1">
        <f>Tabela7[[#This Row],[Alongamento(mm/mm)]]/$I$2</f>
        <v>7.5355999999999992E-2</v>
      </c>
      <c r="D459" s="1">
        <v>691.62</v>
      </c>
      <c r="E459" s="1">
        <f>Tabela7[[#This Row],[Forτa(N)]]/$I$5</f>
        <v>22045421.945971791</v>
      </c>
      <c r="F459" s="1">
        <f>Tabela7[[#This Row],[Tensão(Pa)]]/1000000</f>
        <v>22.045421945971789</v>
      </c>
    </row>
    <row r="460" spans="1:6" x14ac:dyDescent="0.3">
      <c r="A460" s="1">
        <v>45.433</v>
      </c>
      <c r="B460" s="1">
        <v>3.7789999999999999</v>
      </c>
      <c r="C460" s="1">
        <f>Tabela7[[#This Row],[Alongamento(mm/mm)]]/$I$2</f>
        <v>7.5579999999999994E-2</v>
      </c>
      <c r="D460" s="1">
        <v>696.72</v>
      </c>
      <c r="E460" s="1">
        <f>Tabela7[[#This Row],[Forτa(N)]]/$I$5</f>
        <v>22207984.699976094</v>
      </c>
      <c r="F460" s="1">
        <f>Tabela7[[#This Row],[Tensão(Pa)]]/1000000</f>
        <v>22.207984699976095</v>
      </c>
    </row>
    <row r="461" spans="1:6" x14ac:dyDescent="0.3">
      <c r="A461" s="1">
        <v>45.582999999999998</v>
      </c>
      <c r="B461" s="1">
        <v>3.7915999999999999</v>
      </c>
      <c r="C461" s="1">
        <f>Tabela7[[#This Row],[Alongamento(mm/mm)]]/$I$2</f>
        <v>7.5831999999999997E-2</v>
      </c>
      <c r="D461" s="1">
        <v>702.68</v>
      </c>
      <c r="E461" s="1">
        <f>Tabela7[[#This Row],[Forτa(N)]]/$I$5</f>
        <v>22397959.996812496</v>
      </c>
      <c r="F461" s="1">
        <f>Tabela7[[#This Row],[Tensão(Pa)]]/1000000</f>
        <v>22.397959996812496</v>
      </c>
    </row>
    <row r="462" spans="1:6" x14ac:dyDescent="0.3">
      <c r="A462" s="1">
        <v>45.732999999999997</v>
      </c>
      <c r="B462" s="1">
        <v>3.8039999999999998</v>
      </c>
      <c r="C462" s="1">
        <f>Tabela7[[#This Row],[Alongamento(mm/mm)]]/$I$2</f>
        <v>7.6079999999999995E-2</v>
      </c>
      <c r="D462" s="1">
        <v>708.46</v>
      </c>
      <c r="E462" s="1">
        <f>Tabela7[[#This Row],[Forτa(N)]]/$I$5</f>
        <v>22582197.78468404</v>
      </c>
      <c r="F462" s="1">
        <f>Tabela7[[#This Row],[Tensão(Pa)]]/1000000</f>
        <v>22.582197784684041</v>
      </c>
    </row>
    <row r="463" spans="1:6" x14ac:dyDescent="0.3">
      <c r="A463" s="1">
        <v>45.883000000000003</v>
      </c>
      <c r="B463" s="1">
        <v>3.8166000000000002</v>
      </c>
      <c r="C463" s="1">
        <f>Tabela7[[#This Row],[Alongamento(mm/mm)]]/$I$2</f>
        <v>7.6332000000000011E-2</v>
      </c>
      <c r="D463" s="1">
        <v>714.41</v>
      </c>
      <c r="E463" s="1">
        <f>Tabela7[[#This Row],[Forτa(N)]]/$I$5</f>
        <v>22771854.331022393</v>
      </c>
      <c r="F463" s="1">
        <f>Tabela7[[#This Row],[Tensão(Pa)]]/1000000</f>
        <v>22.771854331022393</v>
      </c>
    </row>
    <row r="464" spans="1:6" x14ac:dyDescent="0.3">
      <c r="A464" s="1">
        <v>46.033000000000001</v>
      </c>
      <c r="B464" s="1">
        <v>3.8290000000000002</v>
      </c>
      <c r="C464" s="1">
        <f>Tabela7[[#This Row],[Alongamento(mm/mm)]]/$I$2</f>
        <v>7.6580000000000009E-2</v>
      </c>
      <c r="D464" s="1">
        <v>720.2</v>
      </c>
      <c r="E464" s="1">
        <f>Tabela7[[#This Row],[Forτa(N)]]/$I$5</f>
        <v>22956410.869391985</v>
      </c>
      <c r="F464" s="1">
        <f>Tabela7[[#This Row],[Tensão(Pa)]]/1000000</f>
        <v>22.956410869391984</v>
      </c>
    </row>
    <row r="465" spans="1:6" x14ac:dyDescent="0.3">
      <c r="A465" s="1">
        <v>46.167000000000002</v>
      </c>
      <c r="B465" s="1">
        <v>3.8401000000000001</v>
      </c>
      <c r="C465" s="1">
        <f>Tabela7[[#This Row],[Alongamento(mm/mm)]]/$I$2</f>
        <v>7.6801999999999995E-2</v>
      </c>
      <c r="D465" s="1">
        <v>725.64</v>
      </c>
      <c r="E465" s="1">
        <f>Tabela7[[#This Row],[Forτa(N)]]/$I$5</f>
        <v>23129811.140329909</v>
      </c>
      <c r="F465" s="1">
        <f>Tabela7[[#This Row],[Tensão(Pa)]]/1000000</f>
        <v>23.12981114032991</v>
      </c>
    </row>
    <row r="466" spans="1:6" x14ac:dyDescent="0.3">
      <c r="A466" s="1">
        <v>46.317</v>
      </c>
      <c r="B466" s="1">
        <v>3.8525999999999998</v>
      </c>
      <c r="C466" s="1">
        <f>Tabela7[[#This Row],[Alongamento(mm/mm)]]/$I$2</f>
        <v>7.7051999999999995E-2</v>
      </c>
      <c r="D466" s="1">
        <v>731.59</v>
      </c>
      <c r="E466" s="1">
        <f>Tabela7[[#This Row],[Forτa(N)]]/$I$5</f>
        <v>23319467.686668262</v>
      </c>
      <c r="F466" s="1">
        <f>Tabela7[[#This Row],[Tensão(Pa)]]/1000000</f>
        <v>23.319467686668261</v>
      </c>
    </row>
    <row r="467" spans="1:6" x14ac:dyDescent="0.3">
      <c r="A467" s="1">
        <v>46.45</v>
      </c>
      <c r="B467" s="1">
        <v>3.8637999999999999</v>
      </c>
      <c r="C467" s="1">
        <f>Tabela7[[#This Row],[Alongamento(mm/mm)]]/$I$2</f>
        <v>7.7275999999999997E-2</v>
      </c>
      <c r="D467" s="1">
        <v>737.04</v>
      </c>
      <c r="E467" s="1">
        <f>Tabela7[[#This Row],[Forτa(N)]]/$I$5</f>
        <v>23493186.70810423</v>
      </c>
      <c r="F467" s="1">
        <f>Tabela7[[#This Row],[Tensão(Pa)]]/1000000</f>
        <v>23.493186708104229</v>
      </c>
    </row>
    <row r="468" spans="1:6" x14ac:dyDescent="0.3">
      <c r="A468" s="1">
        <v>46.6</v>
      </c>
      <c r="B468" s="1">
        <v>3.8761000000000001</v>
      </c>
      <c r="C468" s="1">
        <f>Tabela7[[#This Row],[Alongamento(mm/mm)]]/$I$2</f>
        <v>7.7522000000000008E-2</v>
      </c>
      <c r="D468" s="1">
        <v>742.99</v>
      </c>
      <c r="E468" s="1">
        <f>Tabela7[[#This Row],[Forτa(N)]]/$I$5</f>
        <v>23682843.254442587</v>
      </c>
      <c r="F468" s="1">
        <f>Tabela7[[#This Row],[Tensão(Pa)]]/1000000</f>
        <v>23.682843254442588</v>
      </c>
    </row>
    <row r="469" spans="1:6" x14ac:dyDescent="0.3">
      <c r="A469" s="1">
        <v>46.75</v>
      </c>
      <c r="B469" s="1">
        <v>3.8887999999999998</v>
      </c>
      <c r="C469" s="1">
        <f>Tabela7[[#This Row],[Alongamento(mm/mm)]]/$I$2</f>
        <v>7.7775999999999998E-2</v>
      </c>
      <c r="D469" s="1">
        <v>749.12</v>
      </c>
      <c r="E469" s="1">
        <f>Tabela7[[#This Row],[Forτa(N)]]/$I$5</f>
        <v>23878237.3097458</v>
      </c>
      <c r="F469" s="1">
        <f>Tabela7[[#This Row],[Tensão(Pa)]]/1000000</f>
        <v>23.878237309745799</v>
      </c>
    </row>
    <row r="470" spans="1:6" x14ac:dyDescent="0.3">
      <c r="A470" s="1">
        <v>46.9</v>
      </c>
      <c r="B470" s="1">
        <v>3.9011999999999998</v>
      </c>
      <c r="C470" s="1">
        <f>Tabela7[[#This Row],[Alongamento(mm/mm)]]/$I$2</f>
        <v>7.8023999999999996E-2</v>
      </c>
      <c r="D470" s="1">
        <v>755.24</v>
      </c>
      <c r="E470" s="1">
        <f>Tabela7[[#This Row],[Forτa(N)]]/$I$5</f>
        <v>24073312.614550963</v>
      </c>
      <c r="F470" s="1">
        <f>Tabela7[[#This Row],[Tensão(Pa)]]/1000000</f>
        <v>24.073312614550964</v>
      </c>
    </row>
    <row r="471" spans="1:6" x14ac:dyDescent="0.3">
      <c r="A471" s="1">
        <v>47.05</v>
      </c>
      <c r="B471" s="1">
        <v>3.9137</v>
      </c>
      <c r="C471" s="1">
        <f>Tabela7[[#This Row],[Alongamento(mm/mm)]]/$I$2</f>
        <v>7.8273999999999996E-2</v>
      </c>
      <c r="D471" s="1">
        <v>761.53</v>
      </c>
      <c r="E471" s="1">
        <f>Tabela7[[#This Row],[Forτa(N)]]/$I$5</f>
        <v>24273806.677822936</v>
      </c>
      <c r="F471" s="1">
        <f>Tabela7[[#This Row],[Tensão(Pa)]]/1000000</f>
        <v>24.273806677822936</v>
      </c>
    </row>
    <row r="472" spans="1:6" x14ac:dyDescent="0.3">
      <c r="A472" s="1">
        <v>47.2</v>
      </c>
      <c r="B472" s="1">
        <v>3.9262999999999999</v>
      </c>
      <c r="C472" s="1">
        <f>Tabela7[[#This Row],[Alongamento(mm/mm)]]/$I$2</f>
        <v>7.8525999999999999E-2</v>
      </c>
      <c r="D472" s="1">
        <v>767.83</v>
      </c>
      <c r="E472" s="1">
        <f>Tabela7[[#This Row],[Forτa(N)]]/$I$5</f>
        <v>24474619.491592959</v>
      </c>
      <c r="F472" s="1">
        <f>Tabela7[[#This Row],[Tensão(Pa)]]/1000000</f>
        <v>24.474619491592957</v>
      </c>
    </row>
    <row r="473" spans="1:6" x14ac:dyDescent="0.3">
      <c r="A473" s="1">
        <v>47.35</v>
      </c>
      <c r="B473" s="1">
        <v>3.9388000000000001</v>
      </c>
      <c r="C473" s="1">
        <f>Tabela7[[#This Row],[Alongamento(mm/mm)]]/$I$2</f>
        <v>7.8775999999999999E-2</v>
      </c>
      <c r="D473" s="1">
        <v>774.12</v>
      </c>
      <c r="E473" s="1">
        <f>Tabela7[[#This Row],[Forτa(N)]]/$I$5</f>
        <v>24675113.554864932</v>
      </c>
      <c r="F473" s="1">
        <f>Tabela7[[#This Row],[Tensão(Pa)]]/1000000</f>
        <v>24.675113554864932</v>
      </c>
    </row>
    <row r="474" spans="1:6" x14ac:dyDescent="0.3">
      <c r="A474" s="1">
        <v>47.5</v>
      </c>
      <c r="B474" s="1">
        <v>3.9512</v>
      </c>
      <c r="C474" s="1">
        <f>Tabela7[[#This Row],[Alongamento(mm/mm)]]/$I$2</f>
        <v>7.9023999999999997E-2</v>
      </c>
      <c r="D474" s="1">
        <v>780.24</v>
      </c>
      <c r="E474" s="1">
        <f>Tabela7[[#This Row],[Forτa(N)]]/$I$5</f>
        <v>24870188.859670095</v>
      </c>
      <c r="F474" s="1">
        <f>Tabela7[[#This Row],[Tensão(Pa)]]/1000000</f>
        <v>24.870188859670094</v>
      </c>
    </row>
    <row r="475" spans="1:6" x14ac:dyDescent="0.3">
      <c r="A475" s="1">
        <v>47.65</v>
      </c>
      <c r="B475" s="1">
        <v>3.9636999999999998</v>
      </c>
      <c r="C475" s="1">
        <f>Tabela7[[#This Row],[Alongamento(mm/mm)]]/$I$2</f>
        <v>7.9273999999999997E-2</v>
      </c>
      <c r="D475" s="1">
        <v>786.71</v>
      </c>
      <c r="E475" s="1">
        <f>Tabela7[[#This Row],[Forτa(N)]]/$I$5</f>
        <v>25076420.431906927</v>
      </c>
      <c r="F475" s="1">
        <f>Tabela7[[#This Row],[Tensão(Pa)]]/1000000</f>
        <v>25.076420431906929</v>
      </c>
    </row>
    <row r="476" spans="1:6" x14ac:dyDescent="0.3">
      <c r="A476" s="1">
        <v>47.8</v>
      </c>
      <c r="B476" s="1">
        <v>3.9763000000000002</v>
      </c>
      <c r="C476" s="1">
        <f>Tabela7[[#This Row],[Alongamento(mm/mm)]]/$I$2</f>
        <v>7.9525999999999999E-2</v>
      </c>
      <c r="D476" s="1">
        <v>793</v>
      </c>
      <c r="E476" s="1">
        <f>Tabela7[[#This Row],[Forτa(N)]]/$I$5</f>
        <v>25276914.495178901</v>
      </c>
      <c r="F476" s="1">
        <f>Tabela7[[#This Row],[Tensão(Pa)]]/1000000</f>
        <v>25.2769144951789</v>
      </c>
    </row>
    <row r="477" spans="1:6" x14ac:dyDescent="0.3">
      <c r="A477" s="1">
        <v>47.95</v>
      </c>
      <c r="B477" s="1">
        <v>3.9887000000000001</v>
      </c>
      <c r="C477" s="1">
        <f>Tabela7[[#This Row],[Alongamento(mm/mm)]]/$I$2</f>
        <v>7.9773999999999998E-2</v>
      </c>
      <c r="D477" s="1">
        <v>799.12</v>
      </c>
      <c r="E477" s="1">
        <f>Tabela7[[#This Row],[Forτa(N)]]/$I$5</f>
        <v>25471989.799984064</v>
      </c>
      <c r="F477" s="1">
        <f>Tabela7[[#This Row],[Tensão(Pa)]]/1000000</f>
        <v>25.471989799984065</v>
      </c>
    </row>
    <row r="478" spans="1:6" x14ac:dyDescent="0.3">
      <c r="A478" s="1">
        <v>48.1</v>
      </c>
      <c r="B478" s="1">
        <v>4.0011999999999999</v>
      </c>
      <c r="C478" s="1">
        <f>Tabela7[[#This Row],[Alongamento(mm/mm)]]/$I$2</f>
        <v>8.0023999999999998E-2</v>
      </c>
      <c r="D478" s="1">
        <v>805.59</v>
      </c>
      <c r="E478" s="1">
        <f>Tabela7[[#This Row],[Forτa(N)]]/$I$5</f>
        <v>25678221.372220896</v>
      </c>
      <c r="F478" s="1">
        <f>Tabela7[[#This Row],[Tensão(Pa)]]/1000000</f>
        <v>25.678221372220897</v>
      </c>
    </row>
    <row r="479" spans="1:6" x14ac:dyDescent="0.3">
      <c r="A479" s="1">
        <v>48.25</v>
      </c>
      <c r="B479" s="1">
        <v>4.0137999999999998</v>
      </c>
      <c r="C479" s="1">
        <f>Tabela7[[#This Row],[Alongamento(mm/mm)]]/$I$2</f>
        <v>8.0276E-2</v>
      </c>
      <c r="D479" s="1">
        <v>811.88</v>
      </c>
      <c r="E479" s="1">
        <f>Tabela7[[#This Row],[Forτa(N)]]/$I$5</f>
        <v>25878715.435492869</v>
      </c>
      <c r="F479" s="1">
        <f>Tabela7[[#This Row],[Tensão(Pa)]]/1000000</f>
        <v>25.878715435492868</v>
      </c>
    </row>
    <row r="480" spans="1:6" x14ac:dyDescent="0.3">
      <c r="A480" s="1">
        <v>48.4</v>
      </c>
      <c r="B480" s="1">
        <v>4.0262000000000002</v>
      </c>
      <c r="C480" s="1">
        <f>Tabela7[[#This Row],[Alongamento(mm/mm)]]/$I$2</f>
        <v>8.0523999999999998E-2</v>
      </c>
      <c r="D480" s="1">
        <v>818.18</v>
      </c>
      <c r="E480" s="1">
        <f>Tabela7[[#This Row],[Forτa(N)]]/$I$5</f>
        <v>26079528.249262888</v>
      </c>
      <c r="F480" s="1">
        <f>Tabela7[[#This Row],[Tensão(Pa)]]/1000000</f>
        <v>26.079528249262889</v>
      </c>
    </row>
    <row r="481" spans="1:6" x14ac:dyDescent="0.3">
      <c r="A481" s="1">
        <v>48.55</v>
      </c>
      <c r="B481" s="1">
        <v>4.0387000000000004</v>
      </c>
      <c r="C481" s="1">
        <f>Tabela7[[#This Row],[Alongamento(mm/mm)]]/$I$2</f>
        <v>8.0774000000000012E-2</v>
      </c>
      <c r="D481" s="1">
        <v>824.47</v>
      </c>
      <c r="E481" s="1">
        <f>Tabela7[[#This Row],[Forτa(N)]]/$I$5</f>
        <v>26280022.312534865</v>
      </c>
      <c r="F481" s="1">
        <f>Tabela7[[#This Row],[Tensão(Pa)]]/1000000</f>
        <v>26.280022312534864</v>
      </c>
    </row>
    <row r="482" spans="1:6" x14ac:dyDescent="0.3">
      <c r="A482" s="1">
        <v>48.7</v>
      </c>
      <c r="B482" s="1">
        <v>4.0511999999999997</v>
      </c>
      <c r="C482" s="1">
        <f>Tabela7[[#This Row],[Alongamento(mm/mm)]]/$I$2</f>
        <v>8.1023999999999999E-2</v>
      </c>
      <c r="D482" s="1">
        <v>830.76</v>
      </c>
      <c r="E482" s="1">
        <f>Tabela7[[#This Row],[Forτa(N)]]/$I$5</f>
        <v>26480516.375806838</v>
      </c>
      <c r="F482" s="1">
        <f>Tabela7[[#This Row],[Tensão(Pa)]]/1000000</f>
        <v>26.48051637580684</v>
      </c>
    </row>
    <row r="483" spans="1:6" x14ac:dyDescent="0.3">
      <c r="A483" s="1">
        <v>48.866999999999997</v>
      </c>
      <c r="B483" s="1">
        <v>4.0651000000000002</v>
      </c>
      <c r="C483" s="1">
        <f>Tabela7[[#This Row],[Alongamento(mm/mm)]]/$I$2</f>
        <v>8.1301999999999999E-2</v>
      </c>
      <c r="D483" s="1">
        <v>837.57</v>
      </c>
      <c r="E483" s="1">
        <f>Tabela7[[#This Row],[Forτa(N)]]/$I$5</f>
        <v>26697585.46497729</v>
      </c>
      <c r="F483" s="1">
        <f>Tabela7[[#This Row],[Tensão(Pa)]]/1000000</f>
        <v>26.697585464977291</v>
      </c>
    </row>
    <row r="484" spans="1:6" x14ac:dyDescent="0.3">
      <c r="A484" s="1">
        <v>49.033000000000001</v>
      </c>
      <c r="B484" s="1">
        <v>4.0789999999999997</v>
      </c>
      <c r="C484" s="1">
        <f>Tabela7[[#This Row],[Alongamento(mm/mm)]]/$I$2</f>
        <v>8.158E-2</v>
      </c>
      <c r="D484" s="1">
        <v>844.54</v>
      </c>
      <c r="E484" s="1">
        <f>Tabela7[[#This Row],[Forτa(N)]]/$I$5</f>
        <v>26919754.562116504</v>
      </c>
      <c r="F484" s="1">
        <f>Tabela7[[#This Row],[Tensão(Pa)]]/1000000</f>
        <v>26.919754562116502</v>
      </c>
    </row>
    <row r="485" spans="1:6" x14ac:dyDescent="0.3">
      <c r="A485" s="1">
        <v>49.2</v>
      </c>
      <c r="B485" s="1">
        <v>4.0929000000000002</v>
      </c>
      <c r="C485" s="1">
        <f>Tabela7[[#This Row],[Alongamento(mm/mm)]]/$I$2</f>
        <v>8.1858E-2</v>
      </c>
      <c r="D485" s="1">
        <v>851.34</v>
      </c>
      <c r="E485" s="1">
        <f>Tabela7[[#This Row],[Forτa(N)]]/$I$5</f>
        <v>27136504.900788911</v>
      </c>
      <c r="F485" s="1">
        <f>Tabela7[[#This Row],[Tensão(Pa)]]/1000000</f>
        <v>27.136504900788911</v>
      </c>
    </row>
    <row r="486" spans="1:6" x14ac:dyDescent="0.3">
      <c r="A486" s="1">
        <v>49.366999999999997</v>
      </c>
      <c r="B486" s="1">
        <v>4.1067999999999998</v>
      </c>
      <c r="C486" s="1">
        <f>Tabela7[[#This Row],[Alongamento(mm/mm)]]/$I$2</f>
        <v>8.2136000000000001E-2</v>
      </c>
      <c r="D486" s="1">
        <v>858.32</v>
      </c>
      <c r="E486" s="1">
        <f>Tabela7[[#This Row],[Forτa(N)]]/$I$5</f>
        <v>27358992.748426173</v>
      </c>
      <c r="F486" s="1">
        <f>Tabela7[[#This Row],[Tensão(Pa)]]/1000000</f>
        <v>27.358992748426171</v>
      </c>
    </row>
    <row r="487" spans="1:6" x14ac:dyDescent="0.3">
      <c r="A487" s="1">
        <v>49.533000000000001</v>
      </c>
      <c r="B487" s="1">
        <v>4.1207000000000003</v>
      </c>
      <c r="C487" s="1">
        <f>Tabela7[[#This Row],[Alongamento(mm/mm)]]/$I$2</f>
        <v>8.2414000000000001E-2</v>
      </c>
      <c r="D487" s="1">
        <v>865.29</v>
      </c>
      <c r="E487" s="1">
        <f>Tabela7[[#This Row],[Forτa(N)]]/$I$5</f>
        <v>27581161.845565382</v>
      </c>
      <c r="F487" s="1">
        <f>Tabela7[[#This Row],[Tensão(Pa)]]/1000000</f>
        <v>27.581161845565383</v>
      </c>
    </row>
    <row r="488" spans="1:6" x14ac:dyDescent="0.3">
      <c r="A488" s="1">
        <v>49.7</v>
      </c>
      <c r="B488" s="1">
        <v>4.1345999999999998</v>
      </c>
      <c r="C488" s="1">
        <f>Tabela7[[#This Row],[Alongamento(mm/mm)]]/$I$2</f>
        <v>8.2692000000000002E-2</v>
      </c>
      <c r="D488" s="1">
        <v>872.27</v>
      </c>
      <c r="E488" s="1">
        <f>Tabela7[[#This Row],[Forτa(N)]]/$I$5</f>
        <v>27803649.693202648</v>
      </c>
      <c r="F488" s="1">
        <f>Tabela7[[#This Row],[Tensão(Pa)]]/1000000</f>
        <v>27.803649693202647</v>
      </c>
    </row>
    <row r="489" spans="1:6" x14ac:dyDescent="0.3">
      <c r="A489" s="1">
        <v>49.866999999999997</v>
      </c>
      <c r="B489" s="1">
        <v>4.1483999999999996</v>
      </c>
      <c r="C489" s="1">
        <f>Tabela7[[#This Row],[Alongamento(mm/mm)]]/$I$2</f>
        <v>8.2967999999999986E-2</v>
      </c>
      <c r="D489" s="1">
        <v>879.24</v>
      </c>
      <c r="E489" s="1">
        <f>Tabela7[[#This Row],[Forτa(N)]]/$I$5</f>
        <v>28025818.790341862</v>
      </c>
      <c r="F489" s="1">
        <f>Tabela7[[#This Row],[Tensão(Pa)]]/1000000</f>
        <v>28.025818790341862</v>
      </c>
    </row>
    <row r="490" spans="1:6" x14ac:dyDescent="0.3">
      <c r="A490" s="1">
        <v>50.033000000000001</v>
      </c>
      <c r="B490" s="1">
        <v>4.1623999999999999</v>
      </c>
      <c r="C490" s="1">
        <f>Tabela7[[#This Row],[Alongamento(mm/mm)]]/$I$2</f>
        <v>8.3248000000000003E-2</v>
      </c>
      <c r="D490" s="1">
        <v>886.21</v>
      </c>
      <c r="E490" s="1">
        <f>Tabela7[[#This Row],[Forτa(N)]]/$I$5</f>
        <v>28247987.887481079</v>
      </c>
      <c r="F490" s="1">
        <f>Tabela7[[#This Row],[Tensão(Pa)]]/1000000</f>
        <v>28.247987887481077</v>
      </c>
    </row>
    <row r="491" spans="1:6" x14ac:dyDescent="0.3">
      <c r="A491" s="1">
        <v>50.2</v>
      </c>
      <c r="B491" s="1">
        <v>4.1761999999999997</v>
      </c>
      <c r="C491" s="1">
        <f>Tabela7[[#This Row],[Alongamento(mm/mm)]]/$I$2</f>
        <v>8.3523999999999987E-2</v>
      </c>
      <c r="D491" s="1">
        <v>893.36</v>
      </c>
      <c r="E491" s="1">
        <f>Tabela7[[#This Row],[Forτa(N)]]/$I$5</f>
        <v>28475894.493585147</v>
      </c>
      <c r="F491" s="1">
        <f>Tabela7[[#This Row],[Tensão(Pa)]]/1000000</f>
        <v>28.475894493585148</v>
      </c>
    </row>
    <row r="492" spans="1:6" x14ac:dyDescent="0.3">
      <c r="A492" s="1">
        <v>50.366999999999997</v>
      </c>
      <c r="B492" s="1">
        <v>4.1901000000000002</v>
      </c>
      <c r="C492" s="1">
        <f>Tabela7[[#This Row],[Alongamento(mm/mm)]]/$I$2</f>
        <v>8.3802000000000001E-2</v>
      </c>
      <c r="D492" s="1">
        <v>900.33</v>
      </c>
      <c r="E492" s="1">
        <f>Tabela7[[#This Row],[Forτa(N)]]/$I$5</f>
        <v>28698063.590724364</v>
      </c>
      <c r="F492" s="1">
        <f>Tabela7[[#This Row],[Tensão(Pa)]]/1000000</f>
        <v>28.698063590724363</v>
      </c>
    </row>
    <row r="493" spans="1:6" x14ac:dyDescent="0.3">
      <c r="A493" s="1">
        <v>50.533000000000001</v>
      </c>
      <c r="B493" s="1">
        <v>4.2039999999999997</v>
      </c>
      <c r="C493" s="1">
        <f>Tabela7[[#This Row],[Alongamento(mm/mm)]]/$I$2</f>
        <v>8.4079999999999988E-2</v>
      </c>
      <c r="D493" s="1">
        <v>907.48</v>
      </c>
      <c r="E493" s="1">
        <f>Tabela7[[#This Row],[Forτa(N)]]/$I$5</f>
        <v>28925970.196828436</v>
      </c>
      <c r="F493" s="1">
        <f>Tabela7[[#This Row],[Tensão(Pa)]]/1000000</f>
        <v>28.925970196828438</v>
      </c>
    </row>
    <row r="494" spans="1:6" x14ac:dyDescent="0.3">
      <c r="A494" s="1">
        <v>50.7</v>
      </c>
      <c r="B494" s="1">
        <v>4.2179000000000002</v>
      </c>
      <c r="C494" s="1">
        <f>Tabela7[[#This Row],[Alongamento(mm/mm)]]/$I$2</f>
        <v>8.4358000000000002E-2</v>
      </c>
      <c r="D494" s="1">
        <v>914.62</v>
      </c>
      <c r="E494" s="1">
        <f>Tabela7[[#This Row],[Forτa(N)]]/$I$5</f>
        <v>29153558.052434459</v>
      </c>
      <c r="F494" s="1">
        <f>Tabela7[[#This Row],[Tensão(Pa)]]/1000000</f>
        <v>29.153558052434459</v>
      </c>
    </row>
    <row r="495" spans="1:6" x14ac:dyDescent="0.3">
      <c r="A495" s="1">
        <v>50.883000000000003</v>
      </c>
      <c r="B495" s="1">
        <v>4.2331000000000003</v>
      </c>
      <c r="C495" s="1">
        <f>Tabela7[[#This Row],[Alongamento(mm/mm)]]/$I$2</f>
        <v>8.4662000000000001E-2</v>
      </c>
      <c r="D495" s="1">
        <v>922.28</v>
      </c>
      <c r="E495" s="1">
        <f>Tabela7[[#This Row],[Forτa(N)]]/$I$5</f>
        <v>29397720.933938961</v>
      </c>
      <c r="F495" s="1">
        <f>Tabela7[[#This Row],[Tensão(Pa)]]/1000000</f>
        <v>29.397720933938963</v>
      </c>
    </row>
    <row r="496" spans="1:6" x14ac:dyDescent="0.3">
      <c r="A496" s="1">
        <v>51.05</v>
      </c>
      <c r="B496" s="1">
        <v>4.2470999999999997</v>
      </c>
      <c r="C496" s="1">
        <f>Tabela7[[#This Row],[Alongamento(mm/mm)]]/$I$2</f>
        <v>8.494199999999999E-2</v>
      </c>
      <c r="D496" s="1">
        <v>929.42</v>
      </c>
      <c r="E496" s="1">
        <f>Tabela7[[#This Row],[Forτa(N)]]/$I$5</f>
        <v>29625308.789544985</v>
      </c>
      <c r="F496" s="1">
        <f>Tabela7[[#This Row],[Tensão(Pa)]]/1000000</f>
        <v>29.625308789544984</v>
      </c>
    </row>
    <row r="497" spans="1:6" x14ac:dyDescent="0.3">
      <c r="A497" s="1">
        <v>51.232999999999997</v>
      </c>
      <c r="B497" s="1">
        <v>4.2622999999999998</v>
      </c>
      <c r="C497" s="1">
        <f>Tabela7[[#This Row],[Alongamento(mm/mm)]]/$I$2</f>
        <v>8.5245999999999988E-2</v>
      </c>
      <c r="D497" s="1">
        <v>936.9</v>
      </c>
      <c r="E497" s="1">
        <f>Tabela7[[#This Row],[Forτa(N)]]/$I$5</f>
        <v>29863734.162084628</v>
      </c>
      <c r="F497" s="1">
        <f>Tabela7[[#This Row],[Tensão(Pa)]]/1000000</f>
        <v>29.863734162084629</v>
      </c>
    </row>
    <row r="498" spans="1:6" x14ac:dyDescent="0.3">
      <c r="A498" s="1">
        <v>51.417000000000002</v>
      </c>
      <c r="B498" s="1">
        <v>4.2775999999999996</v>
      </c>
      <c r="C498" s="1">
        <f>Tabela7[[#This Row],[Alongamento(mm/mm)]]/$I$2</f>
        <v>8.5551999999999989E-2</v>
      </c>
      <c r="D498" s="1">
        <v>944.56</v>
      </c>
      <c r="E498" s="1">
        <f>Tabela7[[#This Row],[Forτa(N)]]/$I$5</f>
        <v>30107897.04358913</v>
      </c>
      <c r="F498" s="1">
        <f>Tabela7[[#This Row],[Tensão(Pa)]]/1000000</f>
        <v>30.10789704358913</v>
      </c>
    </row>
    <row r="499" spans="1:6" x14ac:dyDescent="0.3">
      <c r="A499" s="1">
        <v>51.6</v>
      </c>
      <c r="B499" s="1">
        <v>4.2930000000000001</v>
      </c>
      <c r="C499" s="1">
        <f>Tabela7[[#This Row],[Alongamento(mm/mm)]]/$I$2</f>
        <v>8.5860000000000006E-2</v>
      </c>
      <c r="D499" s="1">
        <v>952.38</v>
      </c>
      <c r="E499" s="1">
        <f>Tabela7[[#This Row],[Forτa(N)]]/$I$5</f>
        <v>30357159.933062397</v>
      </c>
      <c r="F499" s="1">
        <f>Tabela7[[#This Row],[Tensão(Pa)]]/1000000</f>
        <v>30.357159933062398</v>
      </c>
    </row>
    <row r="500" spans="1:6" x14ac:dyDescent="0.3">
      <c r="A500" s="1">
        <v>51.767000000000003</v>
      </c>
      <c r="B500" s="1">
        <v>4.3068</v>
      </c>
      <c r="C500" s="1">
        <f>Tabela7[[#This Row],[Alongamento(mm/mm)]]/$I$2</f>
        <v>8.6136000000000004E-2</v>
      </c>
      <c r="D500" s="1">
        <v>959.53</v>
      </c>
      <c r="E500" s="1">
        <f>Tabela7[[#This Row],[Forτa(N)]]/$I$5</f>
        <v>30585066.539166469</v>
      </c>
      <c r="F500" s="1">
        <f>Tabela7[[#This Row],[Tensão(Pa)]]/1000000</f>
        <v>30.585066539166469</v>
      </c>
    </row>
    <row r="501" spans="1:6" x14ac:dyDescent="0.3">
      <c r="A501" s="1">
        <v>51.95</v>
      </c>
      <c r="B501" s="1">
        <v>4.3220999999999998</v>
      </c>
      <c r="C501" s="1">
        <f>Tabela7[[#This Row],[Alongamento(mm/mm)]]/$I$2</f>
        <v>8.6441999999999991E-2</v>
      </c>
      <c r="D501" s="1">
        <v>967.52</v>
      </c>
      <c r="E501" s="1">
        <f>Tabela7[[#This Row],[Forτa(N)]]/$I$5</f>
        <v>30839748.187106542</v>
      </c>
      <c r="F501" s="1">
        <f>Tabela7[[#This Row],[Tensão(Pa)]]/1000000</f>
        <v>30.839748187106544</v>
      </c>
    </row>
    <row r="502" spans="1:6" x14ac:dyDescent="0.3">
      <c r="A502" s="1">
        <v>52.133000000000003</v>
      </c>
      <c r="B502" s="1">
        <v>4.3372999999999999</v>
      </c>
      <c r="C502" s="1">
        <f>Tabela7[[#This Row],[Alongamento(mm/mm)]]/$I$2</f>
        <v>8.6746000000000004E-2</v>
      </c>
      <c r="D502" s="1">
        <v>975.35</v>
      </c>
      <c r="E502" s="1">
        <f>Tabela7[[#This Row],[Forτa(N)]]/$I$5</f>
        <v>31089329.827077858</v>
      </c>
      <c r="F502" s="1">
        <f>Tabela7[[#This Row],[Tensão(Pa)]]/1000000</f>
        <v>31.089329827077858</v>
      </c>
    </row>
    <row r="503" spans="1:6" x14ac:dyDescent="0.3">
      <c r="A503" s="1">
        <v>52.317</v>
      </c>
      <c r="B503" s="1">
        <v>4.3525999999999998</v>
      </c>
      <c r="C503" s="1">
        <f>Tabela7[[#This Row],[Alongamento(mm/mm)]]/$I$2</f>
        <v>8.705199999999999E-2</v>
      </c>
      <c r="D503" s="1">
        <v>983.34</v>
      </c>
      <c r="E503" s="1">
        <f>Tabela7[[#This Row],[Forτa(N)]]/$I$5</f>
        <v>31344011.475017931</v>
      </c>
      <c r="F503" s="1">
        <f>Tabela7[[#This Row],[Tensão(Pa)]]/1000000</f>
        <v>31.344011475017933</v>
      </c>
    </row>
    <row r="504" spans="1:6" x14ac:dyDescent="0.3">
      <c r="A504" s="1">
        <v>52.5</v>
      </c>
      <c r="B504" s="1">
        <v>4.3678999999999997</v>
      </c>
      <c r="C504" s="1">
        <f>Tabela7[[#This Row],[Alongamento(mm/mm)]]/$I$2</f>
        <v>8.7357999999999991E-2</v>
      </c>
      <c r="D504" s="1">
        <v>991.17</v>
      </c>
      <c r="E504" s="1">
        <f>Tabela7[[#This Row],[Forτa(N)]]/$I$5</f>
        <v>31593593.114989243</v>
      </c>
      <c r="F504" s="1">
        <f>Tabela7[[#This Row],[Tensão(Pa)]]/1000000</f>
        <v>31.593593114989243</v>
      </c>
    </row>
    <row r="505" spans="1:6" x14ac:dyDescent="0.3">
      <c r="A505" s="1">
        <v>52.683</v>
      </c>
      <c r="B505" s="1">
        <v>4.3830999999999998</v>
      </c>
      <c r="C505" s="1">
        <f>Tabela7[[#This Row],[Alongamento(mm/mm)]]/$I$2</f>
        <v>8.766199999999999E-2</v>
      </c>
      <c r="D505" s="1">
        <v>999.16</v>
      </c>
      <c r="E505" s="1">
        <f>Tabela7[[#This Row],[Forτa(N)]]/$I$5</f>
        <v>31848274.762929317</v>
      </c>
      <c r="F505" s="1">
        <f>Tabela7[[#This Row],[Tensão(Pa)]]/1000000</f>
        <v>31.848274762929318</v>
      </c>
    </row>
    <row r="506" spans="1:6" x14ac:dyDescent="0.3">
      <c r="A506" s="1">
        <v>52.85</v>
      </c>
      <c r="B506" s="1">
        <v>4.3971</v>
      </c>
      <c r="C506" s="1">
        <f>Tabela7[[#This Row],[Alongamento(mm/mm)]]/$I$2</f>
        <v>8.7942000000000006E-2</v>
      </c>
      <c r="D506" s="1">
        <v>1006.6</v>
      </c>
      <c r="E506" s="1">
        <f>Tabela7[[#This Row],[Forτa(N)]]/$I$5</f>
        <v>32085425.133476775</v>
      </c>
      <c r="F506" s="1">
        <f>Tabela7[[#This Row],[Tensão(Pa)]]/1000000</f>
        <v>32.085425133476775</v>
      </c>
    </row>
    <row r="507" spans="1:6" x14ac:dyDescent="0.3">
      <c r="A507" s="1">
        <v>53.033000000000001</v>
      </c>
      <c r="B507" s="1">
        <v>4.4123000000000001</v>
      </c>
      <c r="C507" s="1">
        <f>Tabela7[[#This Row],[Alongamento(mm/mm)]]/$I$2</f>
        <v>8.8246000000000005E-2</v>
      </c>
      <c r="D507" s="1">
        <v>1014.6</v>
      </c>
      <c r="E507" s="1">
        <f>Tabela7[[#This Row],[Forτa(N)]]/$I$5</f>
        <v>32340425.531914897</v>
      </c>
      <c r="F507" s="1">
        <f>Tabela7[[#This Row],[Tensão(Pa)]]/1000000</f>
        <v>32.340425531914896</v>
      </c>
    </row>
    <row r="508" spans="1:6" x14ac:dyDescent="0.3">
      <c r="A508" s="1">
        <v>53.216999999999999</v>
      </c>
      <c r="B508" s="1">
        <v>4.4276</v>
      </c>
      <c r="C508" s="1">
        <f>Tabela7[[#This Row],[Alongamento(mm/mm)]]/$I$2</f>
        <v>8.8552000000000006E-2</v>
      </c>
      <c r="D508" s="1">
        <v>1022.8</v>
      </c>
      <c r="E508" s="1">
        <f>Tabela7[[#This Row],[Forτa(N)]]/$I$5</f>
        <v>32601800.940313969</v>
      </c>
      <c r="F508" s="1">
        <f>Tabela7[[#This Row],[Tensão(Pa)]]/1000000</f>
        <v>32.601800940313971</v>
      </c>
    </row>
    <row r="509" spans="1:6" x14ac:dyDescent="0.3">
      <c r="A509" s="1">
        <v>53.4</v>
      </c>
      <c r="B509" s="1">
        <v>4.4429999999999996</v>
      </c>
      <c r="C509" s="1">
        <f>Tabela7[[#This Row],[Alongamento(mm/mm)]]/$I$2</f>
        <v>8.8859999999999995E-2</v>
      </c>
      <c r="D509" s="1">
        <v>1030.8</v>
      </c>
      <c r="E509" s="1">
        <f>Tabela7[[#This Row],[Forτa(N)]]/$I$5</f>
        <v>32856801.338752091</v>
      </c>
      <c r="F509" s="1">
        <f>Tabela7[[#This Row],[Tensão(Pa)]]/1000000</f>
        <v>32.856801338752092</v>
      </c>
    </row>
    <row r="510" spans="1:6" x14ac:dyDescent="0.3">
      <c r="A510" s="1">
        <v>53.582999999999998</v>
      </c>
      <c r="B510" s="1">
        <v>4.4581999999999997</v>
      </c>
      <c r="C510" s="1">
        <f>Tabela7[[#This Row],[Alongamento(mm/mm)]]/$I$2</f>
        <v>8.9163999999999993E-2</v>
      </c>
      <c r="D510" s="1">
        <v>1038.8</v>
      </c>
      <c r="E510" s="1">
        <f>Tabela7[[#This Row],[Forτa(N)]]/$I$5</f>
        <v>33111801.737190213</v>
      </c>
      <c r="F510" s="1">
        <f>Tabela7[[#This Row],[Tensão(Pa)]]/1000000</f>
        <v>33.111801737190213</v>
      </c>
    </row>
    <row r="511" spans="1:6" x14ac:dyDescent="0.3">
      <c r="A511" s="1">
        <v>53.767000000000003</v>
      </c>
      <c r="B511" s="1">
        <v>4.4734999999999996</v>
      </c>
      <c r="C511" s="1">
        <f>Tabela7[[#This Row],[Alongamento(mm/mm)]]/$I$2</f>
        <v>8.9469999999999994E-2</v>
      </c>
      <c r="D511" s="1">
        <v>1046.8</v>
      </c>
      <c r="E511" s="1">
        <f>Tabela7[[#This Row],[Forτa(N)]]/$I$5</f>
        <v>33366802.135628339</v>
      </c>
      <c r="F511" s="1">
        <f>Tabela7[[#This Row],[Tensão(Pa)]]/1000000</f>
        <v>33.36680213562834</v>
      </c>
    </row>
    <row r="512" spans="1:6" x14ac:dyDescent="0.3">
      <c r="A512" s="1">
        <v>53.966999999999999</v>
      </c>
      <c r="B512" s="1">
        <v>4.4901</v>
      </c>
      <c r="C512" s="1">
        <f>Tabela7[[#This Row],[Alongamento(mm/mm)]]/$I$2</f>
        <v>8.9801999999999993E-2</v>
      </c>
      <c r="D512" s="1">
        <v>1055.5</v>
      </c>
      <c r="E512" s="1">
        <f>Tabela7[[#This Row],[Forτa(N)]]/$I$5</f>
        <v>33644115.068929799</v>
      </c>
      <c r="F512" s="1">
        <f>Tabela7[[#This Row],[Tensão(Pa)]]/1000000</f>
        <v>33.6441150689298</v>
      </c>
    </row>
    <row r="513" spans="1:6" x14ac:dyDescent="0.3">
      <c r="A513" s="1">
        <v>54.15</v>
      </c>
      <c r="B513" s="1">
        <v>4.5053999999999998</v>
      </c>
      <c r="C513" s="1">
        <f>Tabela7[[#This Row],[Alongamento(mm/mm)]]/$I$2</f>
        <v>9.0107999999999994E-2</v>
      </c>
      <c r="D513" s="1">
        <v>1063.5999999999999</v>
      </c>
      <c r="E513" s="1">
        <f>Tabela7[[#This Row],[Forτa(N)]]/$I$5</f>
        <v>33902302.972348392</v>
      </c>
      <c r="F513" s="1">
        <f>Tabela7[[#This Row],[Tensão(Pa)]]/1000000</f>
        <v>33.902302972348394</v>
      </c>
    </row>
    <row r="514" spans="1:6" x14ac:dyDescent="0.3">
      <c r="A514" s="1">
        <v>54.35</v>
      </c>
      <c r="B514" s="1">
        <v>4.5221</v>
      </c>
      <c r="C514" s="1">
        <f>Tabela7[[#This Row],[Alongamento(mm/mm)]]/$I$2</f>
        <v>9.0441999999999995E-2</v>
      </c>
      <c r="D514" s="1">
        <v>1072.3</v>
      </c>
      <c r="E514" s="1">
        <f>Tabela7[[#This Row],[Forτa(N)]]/$I$5</f>
        <v>34179615.905649856</v>
      </c>
      <c r="F514" s="1">
        <f>Tabela7[[#This Row],[Tensão(Pa)]]/1000000</f>
        <v>34.179615905649854</v>
      </c>
    </row>
    <row r="515" spans="1:6" x14ac:dyDescent="0.3">
      <c r="A515" s="1">
        <v>54.533000000000001</v>
      </c>
      <c r="B515" s="1">
        <v>4.5373000000000001</v>
      </c>
      <c r="C515" s="1">
        <f>Tabela7[[#This Row],[Alongamento(mm/mm)]]/$I$2</f>
        <v>9.0746000000000007E-2</v>
      </c>
      <c r="D515" s="1">
        <v>1080.5</v>
      </c>
      <c r="E515" s="1">
        <f>Tabela7[[#This Row],[Forτa(N)]]/$I$5</f>
        <v>34440991.314048931</v>
      </c>
      <c r="F515" s="1">
        <f>Tabela7[[#This Row],[Tensão(Pa)]]/1000000</f>
        <v>34.440991314048929</v>
      </c>
    </row>
    <row r="516" spans="1:6" x14ac:dyDescent="0.3">
      <c r="A516" s="1">
        <v>54.732999999999997</v>
      </c>
      <c r="B516" s="1">
        <v>4.5540000000000003</v>
      </c>
      <c r="C516" s="1">
        <f>Tabela7[[#This Row],[Alongamento(mm/mm)]]/$I$2</f>
        <v>9.1080000000000008E-2</v>
      </c>
      <c r="D516" s="1">
        <v>1089.0999999999999</v>
      </c>
      <c r="E516" s="1">
        <f>Tabela7[[#This Row],[Forτa(N)]]/$I$5</f>
        <v>34715116.742369913</v>
      </c>
      <c r="F516" s="1">
        <f>Tabela7[[#This Row],[Tensão(Pa)]]/1000000</f>
        <v>34.715116742369915</v>
      </c>
    </row>
    <row r="517" spans="1:6" x14ac:dyDescent="0.3">
      <c r="A517" s="1">
        <v>54.933</v>
      </c>
      <c r="B517" s="1">
        <v>4.5707000000000004</v>
      </c>
      <c r="C517" s="1">
        <f>Tabela7[[#This Row],[Alongamento(mm/mm)]]/$I$2</f>
        <v>9.1414000000000009E-2</v>
      </c>
      <c r="D517" s="1">
        <v>1098</v>
      </c>
      <c r="E517" s="1">
        <f>Tabela7[[#This Row],[Forτa(N)]]/$I$5</f>
        <v>34998804.685632326</v>
      </c>
      <c r="F517" s="1">
        <f>Tabela7[[#This Row],[Tensão(Pa)]]/1000000</f>
        <v>34.998804685632322</v>
      </c>
    </row>
    <row r="518" spans="1:6" x14ac:dyDescent="0.3">
      <c r="A518" s="1">
        <v>55.133000000000003</v>
      </c>
      <c r="B518" s="1">
        <v>4.5873999999999997</v>
      </c>
      <c r="C518" s="1">
        <f>Tabela7[[#This Row],[Alongamento(mm/mm)]]/$I$2</f>
        <v>9.1747999999999996E-2</v>
      </c>
      <c r="D518" s="1">
        <v>1106.8</v>
      </c>
      <c r="E518" s="1">
        <f>Tabela7[[#This Row],[Forτa(N)]]/$I$5</f>
        <v>35279305.123914257</v>
      </c>
      <c r="F518" s="1">
        <f>Tabela7[[#This Row],[Tensão(Pa)]]/1000000</f>
        <v>35.279305123914256</v>
      </c>
    </row>
    <row r="519" spans="1:6" x14ac:dyDescent="0.3">
      <c r="A519" s="1">
        <v>55.332999999999998</v>
      </c>
      <c r="B519" s="1">
        <v>4.6040000000000001</v>
      </c>
      <c r="C519" s="1">
        <f>Tabela7[[#This Row],[Alongamento(mm/mm)]]/$I$2</f>
        <v>9.2079999999999995E-2</v>
      </c>
      <c r="D519" s="1">
        <v>1115.5</v>
      </c>
      <c r="E519" s="1">
        <f>Tabela7[[#This Row],[Forτa(N)]]/$I$5</f>
        <v>35556618.057215713</v>
      </c>
      <c r="F519" s="1">
        <f>Tabela7[[#This Row],[Tensão(Pa)]]/1000000</f>
        <v>35.556618057215715</v>
      </c>
    </row>
    <row r="520" spans="1:6" x14ac:dyDescent="0.3">
      <c r="A520" s="1">
        <v>55.533000000000001</v>
      </c>
      <c r="B520" s="1">
        <v>4.6205999999999996</v>
      </c>
      <c r="C520" s="1">
        <f>Tabela7[[#This Row],[Alongamento(mm/mm)]]/$I$2</f>
        <v>9.2411999999999994E-2</v>
      </c>
      <c r="D520" s="1">
        <v>1124.5</v>
      </c>
      <c r="E520" s="1">
        <f>Tabela7[[#This Row],[Forτa(N)]]/$I$5</f>
        <v>35843493.505458601</v>
      </c>
      <c r="F520" s="1">
        <f>Tabela7[[#This Row],[Tensão(Pa)]]/1000000</f>
        <v>35.843493505458603</v>
      </c>
    </row>
    <row r="521" spans="1:6" x14ac:dyDescent="0.3">
      <c r="A521" s="1">
        <v>55.732999999999997</v>
      </c>
      <c r="B521" s="1">
        <v>4.6374000000000004</v>
      </c>
      <c r="C521" s="1">
        <f>Tabela7[[#This Row],[Alongamento(mm/mm)]]/$I$2</f>
        <v>9.2748000000000011E-2</v>
      </c>
      <c r="D521" s="1">
        <v>1133.2</v>
      </c>
      <c r="E521" s="1">
        <f>Tabela7[[#This Row],[Forτa(N)]]/$I$5</f>
        <v>36120806.438760065</v>
      </c>
      <c r="F521" s="1">
        <f>Tabela7[[#This Row],[Tensão(Pa)]]/1000000</f>
        <v>36.120806438760063</v>
      </c>
    </row>
    <row r="522" spans="1:6" x14ac:dyDescent="0.3">
      <c r="A522" s="1">
        <v>55.933</v>
      </c>
      <c r="B522" s="1">
        <v>4.6539999999999999</v>
      </c>
      <c r="C522" s="1">
        <f>Tabela7[[#This Row],[Alongamento(mm/mm)]]/$I$2</f>
        <v>9.3079999999999996E-2</v>
      </c>
      <c r="D522" s="1">
        <v>1142</v>
      </c>
      <c r="E522" s="1">
        <f>Tabela7[[#This Row],[Forτa(N)]]/$I$5</f>
        <v>36401306.877041996</v>
      </c>
      <c r="F522" s="1">
        <f>Tabela7[[#This Row],[Tensão(Pa)]]/1000000</f>
        <v>36.401306877041996</v>
      </c>
    </row>
    <row r="523" spans="1:6" x14ac:dyDescent="0.3">
      <c r="A523" s="1">
        <v>56.133000000000003</v>
      </c>
      <c r="B523" s="1">
        <v>4.6707000000000001</v>
      </c>
      <c r="C523" s="1">
        <f>Tabela7[[#This Row],[Alongamento(mm/mm)]]/$I$2</f>
        <v>9.3413999999999997E-2</v>
      </c>
      <c r="D523" s="1">
        <v>1150.9000000000001</v>
      </c>
      <c r="E523" s="1">
        <f>Tabela7[[#This Row],[Forτa(N)]]/$I$5</f>
        <v>36684994.820304409</v>
      </c>
      <c r="F523" s="1">
        <f>Tabela7[[#This Row],[Tensão(Pa)]]/1000000</f>
        <v>36.684994820304411</v>
      </c>
    </row>
    <row r="524" spans="1:6" x14ac:dyDescent="0.3">
      <c r="A524" s="1">
        <v>56.35</v>
      </c>
      <c r="B524" s="1">
        <v>4.6886999999999999</v>
      </c>
      <c r="C524" s="1">
        <f>Tabela7[[#This Row],[Alongamento(mm/mm)]]/$I$2</f>
        <v>9.3773999999999996E-2</v>
      </c>
      <c r="D524" s="1">
        <v>1160.4000000000001</v>
      </c>
      <c r="E524" s="1">
        <f>Tabela7[[#This Row],[Forτa(N)]]/$I$5</f>
        <v>36987807.793449685</v>
      </c>
      <c r="F524" s="1">
        <f>Tabela7[[#This Row],[Tensão(Pa)]]/1000000</f>
        <v>36.987807793449683</v>
      </c>
    </row>
    <row r="525" spans="1:6" x14ac:dyDescent="0.3">
      <c r="A525" s="1">
        <v>56.55</v>
      </c>
      <c r="B525" s="1">
        <v>4.7054</v>
      </c>
      <c r="C525" s="1">
        <f>Tabela7[[#This Row],[Alongamento(mm/mm)]]/$I$2</f>
        <v>9.4107999999999997E-2</v>
      </c>
      <c r="D525" s="1">
        <v>1169.3</v>
      </c>
      <c r="E525" s="1">
        <f>Tabela7[[#This Row],[Forτa(N)]]/$I$5</f>
        <v>37271495.736712091</v>
      </c>
      <c r="F525" s="1">
        <f>Tabela7[[#This Row],[Tensão(Pa)]]/1000000</f>
        <v>37.27149573671209</v>
      </c>
    </row>
    <row r="526" spans="1:6" x14ac:dyDescent="0.3">
      <c r="A526" s="1">
        <v>56.767000000000003</v>
      </c>
      <c r="B526" s="1">
        <v>4.7233999999999998</v>
      </c>
      <c r="C526" s="1">
        <f>Tabela7[[#This Row],[Alongamento(mm/mm)]]/$I$2</f>
        <v>9.4467999999999996E-2</v>
      </c>
      <c r="D526" s="1">
        <v>1178.8</v>
      </c>
      <c r="E526" s="1">
        <f>Tabela7[[#This Row],[Forτa(N)]]/$I$5</f>
        <v>37574308.70985736</v>
      </c>
      <c r="F526" s="1">
        <f>Tabela7[[#This Row],[Tensão(Pa)]]/1000000</f>
        <v>37.574308709857362</v>
      </c>
    </row>
    <row r="527" spans="1:6" x14ac:dyDescent="0.3">
      <c r="A527" s="1">
        <v>56.982999999999997</v>
      </c>
      <c r="B527" s="1">
        <v>4.7415000000000003</v>
      </c>
      <c r="C527" s="1">
        <f>Tabela7[[#This Row],[Alongamento(mm/mm)]]/$I$2</f>
        <v>9.4830000000000012E-2</v>
      </c>
      <c r="D527" s="1">
        <v>1188.0999999999999</v>
      </c>
      <c r="E527" s="1">
        <f>Tabela7[[#This Row],[Forτa(N)]]/$I$5</f>
        <v>37870746.673041679</v>
      </c>
      <c r="F527" s="1">
        <f>Tabela7[[#This Row],[Tensão(Pa)]]/1000000</f>
        <v>37.87074667304168</v>
      </c>
    </row>
    <row r="528" spans="1:6" x14ac:dyDescent="0.3">
      <c r="A528" s="1">
        <v>57.2</v>
      </c>
      <c r="B528" s="1">
        <v>4.7595000000000001</v>
      </c>
      <c r="C528" s="1">
        <f>Tabela7[[#This Row],[Alongamento(mm/mm)]]/$I$2</f>
        <v>9.5189999999999997E-2</v>
      </c>
      <c r="D528" s="1">
        <v>1197.7</v>
      </c>
      <c r="E528" s="1">
        <f>Tabela7[[#This Row],[Forτa(N)]]/$I$5</f>
        <v>38176747.15116743</v>
      </c>
      <c r="F528" s="1">
        <f>Tabela7[[#This Row],[Tensão(Pa)]]/1000000</f>
        <v>38.176747151167433</v>
      </c>
    </row>
    <row r="529" spans="1:6" x14ac:dyDescent="0.3">
      <c r="A529" s="1">
        <v>57.417000000000002</v>
      </c>
      <c r="B529" s="1">
        <v>4.7777000000000003</v>
      </c>
      <c r="C529" s="1">
        <f>Tabela7[[#This Row],[Alongamento(mm/mm)]]/$I$2</f>
        <v>9.5554E-2</v>
      </c>
      <c r="D529" s="1">
        <v>1207</v>
      </c>
      <c r="E529" s="1">
        <f>Tabela7[[#This Row],[Forτa(N)]]/$I$5</f>
        <v>38473185.114351742</v>
      </c>
      <c r="F529" s="1">
        <f>Tabela7[[#This Row],[Tensão(Pa)]]/1000000</f>
        <v>38.473185114351743</v>
      </c>
    </row>
    <row r="530" spans="1:6" x14ac:dyDescent="0.3">
      <c r="A530" s="1">
        <v>57.633000000000003</v>
      </c>
      <c r="B530" s="1">
        <v>4.7957000000000001</v>
      </c>
      <c r="C530" s="1">
        <f>Tabela7[[#This Row],[Alongamento(mm/mm)]]/$I$2</f>
        <v>9.5913999999999999E-2</v>
      </c>
      <c r="D530" s="1">
        <v>1216.5</v>
      </c>
      <c r="E530" s="1">
        <f>Tabela7[[#This Row],[Forτa(N)]]/$I$5</f>
        <v>38775998.087497011</v>
      </c>
      <c r="F530" s="1">
        <f>Tabela7[[#This Row],[Tensão(Pa)]]/1000000</f>
        <v>38.775998087497008</v>
      </c>
    </row>
    <row r="531" spans="1:6" x14ac:dyDescent="0.3">
      <c r="A531" s="1">
        <v>57.85</v>
      </c>
      <c r="B531" s="1">
        <v>4.8137999999999996</v>
      </c>
      <c r="C531" s="1">
        <f>Tabela7[[#This Row],[Alongamento(mm/mm)]]/$I$2</f>
        <v>9.6275999999999987E-2</v>
      </c>
      <c r="D531" s="1">
        <v>1226.2</v>
      </c>
      <c r="E531" s="1">
        <f>Tabela7[[#This Row],[Forτa(N)]]/$I$5</f>
        <v>39085186.070603237</v>
      </c>
      <c r="F531" s="1">
        <f>Tabela7[[#This Row],[Tensão(Pa)]]/1000000</f>
        <v>39.085186070603235</v>
      </c>
    </row>
    <row r="532" spans="1:6" x14ac:dyDescent="0.3">
      <c r="A532" s="1">
        <v>58.067</v>
      </c>
      <c r="B532" s="1">
        <v>4.8318000000000003</v>
      </c>
      <c r="C532" s="1">
        <f>Tabela7[[#This Row],[Alongamento(mm/mm)]]/$I$2</f>
        <v>9.6636E-2</v>
      </c>
      <c r="D532" s="1">
        <v>1235.9000000000001</v>
      </c>
      <c r="E532" s="1">
        <f>Tabela7[[#This Row],[Forτa(N)]]/$I$5</f>
        <v>39394374.053709462</v>
      </c>
      <c r="F532" s="1">
        <f>Tabela7[[#This Row],[Tensão(Pa)]]/1000000</f>
        <v>39.394374053709463</v>
      </c>
    </row>
    <row r="533" spans="1:6" x14ac:dyDescent="0.3">
      <c r="A533" s="1">
        <v>58.283000000000001</v>
      </c>
      <c r="B533" s="1">
        <v>4.8498999999999999</v>
      </c>
      <c r="C533" s="1">
        <f>Tabela7[[#This Row],[Alongamento(mm/mm)]]/$I$2</f>
        <v>9.6998000000000001E-2</v>
      </c>
      <c r="D533" s="1">
        <v>1245.5999999999999</v>
      </c>
      <c r="E533" s="1">
        <f>Tabela7[[#This Row],[Forτa(N)]]/$I$5</f>
        <v>39703562.036815681</v>
      </c>
      <c r="F533" s="1">
        <f>Tabela7[[#This Row],[Tensão(Pa)]]/1000000</f>
        <v>39.703562036815683</v>
      </c>
    </row>
    <row r="534" spans="1:6" x14ac:dyDescent="0.3">
      <c r="A534" s="1">
        <v>58.5</v>
      </c>
      <c r="B534" s="1">
        <v>4.8678999999999997</v>
      </c>
      <c r="C534" s="1">
        <f>Tabela7[[#This Row],[Alongamento(mm/mm)]]/$I$2</f>
        <v>9.7358E-2</v>
      </c>
      <c r="D534" s="1">
        <v>1255.5</v>
      </c>
      <c r="E534" s="1">
        <f>Tabela7[[#This Row],[Forτa(N)]]/$I$5</f>
        <v>40019125.029882863</v>
      </c>
      <c r="F534" s="1">
        <f>Tabela7[[#This Row],[Tensão(Pa)]]/1000000</f>
        <v>40.019125029882865</v>
      </c>
    </row>
    <row r="535" spans="1:6" x14ac:dyDescent="0.3">
      <c r="A535" s="1">
        <v>58.716999999999999</v>
      </c>
      <c r="B535" s="1">
        <v>4.8860000000000001</v>
      </c>
      <c r="C535" s="1">
        <f>Tabela7[[#This Row],[Alongamento(mm/mm)]]/$I$2</f>
        <v>9.7720000000000001E-2</v>
      </c>
      <c r="D535" s="1">
        <v>1265.4000000000001</v>
      </c>
      <c r="E535" s="1">
        <f>Tabela7[[#This Row],[Forτa(N)]]/$I$5</f>
        <v>40334688.022950038</v>
      </c>
      <c r="F535" s="1">
        <f>Tabela7[[#This Row],[Tensão(Pa)]]/1000000</f>
        <v>40.33468802295004</v>
      </c>
    </row>
    <row r="536" spans="1:6" x14ac:dyDescent="0.3">
      <c r="A536" s="1">
        <v>58.933</v>
      </c>
      <c r="B536" s="1">
        <v>4.9039999999999999</v>
      </c>
      <c r="C536" s="1">
        <f>Tabela7[[#This Row],[Alongamento(mm/mm)]]/$I$2</f>
        <v>9.8080000000000001E-2</v>
      </c>
      <c r="D536" s="1">
        <v>1275.2</v>
      </c>
      <c r="E536" s="1">
        <f>Tabela7[[#This Row],[Forτa(N)]]/$I$5</f>
        <v>40647063.511036739</v>
      </c>
      <c r="F536" s="1">
        <f>Tabela7[[#This Row],[Tensão(Pa)]]/1000000</f>
        <v>40.647063511036741</v>
      </c>
    </row>
    <row r="537" spans="1:6" x14ac:dyDescent="0.3">
      <c r="A537" s="1">
        <v>59.15</v>
      </c>
      <c r="B537" s="1">
        <v>4.9219999999999997</v>
      </c>
      <c r="C537" s="1">
        <f>Tabela7[[#This Row],[Alongamento(mm/mm)]]/$I$2</f>
        <v>9.844E-2</v>
      </c>
      <c r="D537" s="1">
        <v>1285.0999999999999</v>
      </c>
      <c r="E537" s="1">
        <f>Tabela7[[#This Row],[Forτa(N)]]/$I$5</f>
        <v>40962626.504103914</v>
      </c>
      <c r="F537" s="1">
        <f>Tabela7[[#This Row],[Tensão(Pa)]]/1000000</f>
        <v>40.962626504103916</v>
      </c>
    </row>
    <row r="538" spans="1:6" x14ac:dyDescent="0.3">
      <c r="A538" s="1">
        <v>59.366999999999997</v>
      </c>
      <c r="B538" s="1">
        <v>4.9401000000000002</v>
      </c>
      <c r="C538" s="1">
        <f>Tabela7[[#This Row],[Alongamento(mm/mm)]]/$I$2</f>
        <v>9.8802000000000001E-2</v>
      </c>
      <c r="D538" s="1">
        <v>1295</v>
      </c>
      <c r="E538" s="1">
        <f>Tabela7[[#This Row],[Forτa(N)]]/$I$5</f>
        <v>41278189.497171089</v>
      </c>
      <c r="F538" s="1">
        <f>Tabela7[[#This Row],[Tensão(Pa)]]/1000000</f>
        <v>41.278189497171091</v>
      </c>
    </row>
    <row r="539" spans="1:6" x14ac:dyDescent="0.3">
      <c r="A539" s="1">
        <v>59.582999999999998</v>
      </c>
      <c r="B539" s="1">
        <v>4.9581999999999997</v>
      </c>
      <c r="C539" s="1">
        <f>Tabela7[[#This Row],[Alongamento(mm/mm)]]/$I$2</f>
        <v>9.9163999999999988E-2</v>
      </c>
      <c r="D539" s="1">
        <v>1305</v>
      </c>
      <c r="E539" s="1">
        <f>Tabela7[[#This Row],[Forτa(N)]]/$I$5</f>
        <v>41596939.995218746</v>
      </c>
      <c r="F539" s="1">
        <f>Tabela7[[#This Row],[Tensão(Pa)]]/1000000</f>
        <v>41.596939995218747</v>
      </c>
    </row>
    <row r="540" spans="1:6" x14ac:dyDescent="0.3">
      <c r="A540" s="1">
        <v>59.8</v>
      </c>
      <c r="B540" s="1">
        <v>4.9762000000000004</v>
      </c>
      <c r="C540" s="1">
        <f>Tabela7[[#This Row],[Alongamento(mm/mm)]]/$I$2</f>
        <v>9.9524000000000001E-2</v>
      </c>
      <c r="D540" s="1">
        <v>1314.9</v>
      </c>
      <c r="E540" s="1">
        <f>Tabela7[[#This Row],[Forτa(N)]]/$I$5</f>
        <v>41912502.988285922</v>
      </c>
      <c r="F540" s="1">
        <f>Tabela7[[#This Row],[Tensão(Pa)]]/1000000</f>
        <v>41.912502988285922</v>
      </c>
    </row>
    <row r="541" spans="1:6" x14ac:dyDescent="0.3">
      <c r="A541" s="1">
        <v>60.033000000000001</v>
      </c>
      <c r="B541" s="1">
        <v>4.9957000000000003</v>
      </c>
      <c r="C541" s="1">
        <f>Tabela7[[#This Row],[Alongamento(mm/mm)]]/$I$2</f>
        <v>9.9914000000000003E-2</v>
      </c>
      <c r="D541" s="1">
        <v>1325.4</v>
      </c>
      <c r="E541" s="1">
        <f>Tabela7[[#This Row],[Forτa(N)]]/$I$5</f>
        <v>42247191.01123596</v>
      </c>
      <c r="F541" s="1">
        <f>Tabela7[[#This Row],[Tensão(Pa)]]/1000000</f>
        <v>42.247191011235962</v>
      </c>
    </row>
    <row r="542" spans="1:6" x14ac:dyDescent="0.3">
      <c r="A542" s="1">
        <v>60.267000000000003</v>
      </c>
      <c r="B542" s="1">
        <v>5.0151000000000003</v>
      </c>
      <c r="C542" s="1">
        <f>Tabela7[[#This Row],[Alongamento(mm/mm)]]/$I$2</f>
        <v>0.100302</v>
      </c>
      <c r="D542" s="1">
        <v>1335.8</v>
      </c>
      <c r="E542" s="1">
        <f>Tabela7[[#This Row],[Forτa(N)]]/$I$5</f>
        <v>42578691.529205516</v>
      </c>
      <c r="F542" s="1">
        <f>Tabela7[[#This Row],[Tensão(Pa)]]/1000000</f>
        <v>42.578691529205514</v>
      </c>
    </row>
    <row r="543" spans="1:6" x14ac:dyDescent="0.3">
      <c r="A543" s="1">
        <v>60.5</v>
      </c>
      <c r="B543" s="1">
        <v>5.0345000000000004</v>
      </c>
      <c r="C543" s="1">
        <f>Tabela7[[#This Row],[Alongamento(mm/mm)]]/$I$2</f>
        <v>0.10069</v>
      </c>
      <c r="D543" s="1">
        <v>1346.5</v>
      </c>
      <c r="E543" s="1">
        <f>Tabela7[[#This Row],[Forτa(N)]]/$I$5</f>
        <v>42919754.562116504</v>
      </c>
      <c r="F543" s="1">
        <f>Tabela7[[#This Row],[Tensão(Pa)]]/1000000</f>
        <v>42.919754562116502</v>
      </c>
    </row>
    <row r="544" spans="1:6" x14ac:dyDescent="0.3">
      <c r="A544" s="1">
        <v>60.732999999999997</v>
      </c>
      <c r="B544" s="1">
        <v>5.0540000000000003</v>
      </c>
      <c r="C544" s="1">
        <f>Tabela7[[#This Row],[Alongamento(mm/mm)]]/$I$2</f>
        <v>0.10108</v>
      </c>
      <c r="D544" s="1">
        <v>1357.2</v>
      </c>
      <c r="E544" s="1">
        <f>Tabela7[[#This Row],[Forτa(N)]]/$I$5</f>
        <v>43260817.595027499</v>
      </c>
      <c r="F544" s="1">
        <f>Tabela7[[#This Row],[Tensão(Pa)]]/1000000</f>
        <v>43.260817595027497</v>
      </c>
    </row>
    <row r="545" spans="1:6" x14ac:dyDescent="0.3">
      <c r="A545" s="1">
        <v>60.966999999999999</v>
      </c>
      <c r="B545" s="1">
        <v>5.0735000000000001</v>
      </c>
      <c r="C545" s="1">
        <f>Tabela7[[#This Row],[Alongamento(mm/mm)]]/$I$2</f>
        <v>0.10147</v>
      </c>
      <c r="D545" s="1">
        <v>1367.9</v>
      </c>
      <c r="E545" s="1">
        <f>Tabela7[[#This Row],[Forτa(N)]]/$I$5</f>
        <v>43601880.627938487</v>
      </c>
      <c r="F545" s="1">
        <f>Tabela7[[#This Row],[Tensão(Pa)]]/1000000</f>
        <v>43.601880627938485</v>
      </c>
    </row>
    <row r="546" spans="1:6" x14ac:dyDescent="0.3">
      <c r="A546" s="1">
        <v>61.2</v>
      </c>
      <c r="B546" s="1">
        <v>5.0929000000000002</v>
      </c>
      <c r="C546" s="1">
        <f>Tabela7[[#This Row],[Alongamento(mm/mm)]]/$I$2</f>
        <v>0.101858</v>
      </c>
      <c r="D546" s="1">
        <v>1378.5</v>
      </c>
      <c r="E546" s="1">
        <f>Tabela7[[#This Row],[Forτa(N)]]/$I$5</f>
        <v>43939756.155869</v>
      </c>
      <c r="F546" s="1">
        <f>Tabela7[[#This Row],[Tensão(Pa)]]/1000000</f>
        <v>43.939756155868999</v>
      </c>
    </row>
    <row r="547" spans="1:6" x14ac:dyDescent="0.3">
      <c r="A547" s="1">
        <v>61.45</v>
      </c>
      <c r="B547" s="1">
        <v>5.1136999999999997</v>
      </c>
      <c r="C547" s="1">
        <f>Tabela7[[#This Row],[Alongamento(mm/mm)]]/$I$2</f>
        <v>0.10227399999999999</v>
      </c>
      <c r="D547" s="1">
        <v>1389.7</v>
      </c>
      <c r="E547" s="1">
        <f>Tabela7[[#This Row],[Forτa(N)]]/$I$5</f>
        <v>44296756.713682368</v>
      </c>
      <c r="F547" s="1">
        <f>Tabela7[[#This Row],[Tensão(Pa)]]/1000000</f>
        <v>44.29675671368237</v>
      </c>
    </row>
    <row r="548" spans="1:6" x14ac:dyDescent="0.3">
      <c r="A548" s="1">
        <v>61.7</v>
      </c>
      <c r="B548" s="1">
        <v>5.1345999999999998</v>
      </c>
      <c r="C548" s="1">
        <f>Tabela7[[#This Row],[Alongamento(mm/mm)]]/$I$2</f>
        <v>0.10269199999999999</v>
      </c>
      <c r="D548" s="1">
        <v>1400.6</v>
      </c>
      <c r="E548" s="1">
        <f>Tabela7[[#This Row],[Forτa(N)]]/$I$5</f>
        <v>44644194.756554306</v>
      </c>
      <c r="F548" s="1">
        <f>Tabela7[[#This Row],[Tensão(Pa)]]/1000000</f>
        <v>44.644194756554306</v>
      </c>
    </row>
    <row r="549" spans="1:6" x14ac:dyDescent="0.3">
      <c r="A549" s="1">
        <v>61.966999999999999</v>
      </c>
      <c r="B549" s="1">
        <v>5.1567999999999996</v>
      </c>
      <c r="C549" s="1">
        <f>Tabela7[[#This Row],[Alongamento(mm/mm)]]/$I$2</f>
        <v>0.10313599999999999</v>
      </c>
      <c r="D549" s="1">
        <v>1412.2</v>
      </c>
      <c r="E549" s="1">
        <f>Tabela7[[#This Row],[Forτa(N)]]/$I$5</f>
        <v>45013945.334289588</v>
      </c>
      <c r="F549" s="1">
        <f>Tabela7[[#This Row],[Tensão(Pa)]]/1000000</f>
        <v>45.013945334289588</v>
      </c>
    </row>
    <row r="550" spans="1:6" x14ac:dyDescent="0.3">
      <c r="A550" s="1">
        <v>62.216999999999999</v>
      </c>
      <c r="B550" s="1">
        <v>5.1776</v>
      </c>
      <c r="C550" s="1">
        <f>Tabela7[[#This Row],[Alongamento(mm/mm)]]/$I$2</f>
        <v>0.10355200000000001</v>
      </c>
      <c r="D550" s="1">
        <v>1423.2</v>
      </c>
      <c r="E550" s="1">
        <f>Tabela7[[#This Row],[Forτa(N)]]/$I$5</f>
        <v>45364570.882142007</v>
      </c>
      <c r="F550" s="1">
        <f>Tabela7[[#This Row],[Tensão(Pa)]]/1000000</f>
        <v>45.364570882142004</v>
      </c>
    </row>
    <row r="551" spans="1:6" x14ac:dyDescent="0.3">
      <c r="A551" s="1">
        <v>62.466999999999999</v>
      </c>
      <c r="B551" s="1">
        <v>5.1985000000000001</v>
      </c>
      <c r="C551" s="1">
        <f>Tabela7[[#This Row],[Alongamento(mm/mm)]]/$I$2</f>
        <v>0.10397000000000001</v>
      </c>
      <c r="D551" s="1">
        <v>1434.3</v>
      </c>
      <c r="E551" s="1">
        <f>Tabela7[[#This Row],[Forτa(N)]]/$I$5</f>
        <v>45718383.934974901</v>
      </c>
      <c r="F551" s="1">
        <f>Tabela7[[#This Row],[Tensão(Pa)]]/1000000</f>
        <v>45.718383934974902</v>
      </c>
    </row>
    <row r="552" spans="1:6" x14ac:dyDescent="0.3">
      <c r="A552" s="1">
        <v>62.716999999999999</v>
      </c>
      <c r="B552" s="1">
        <v>5.2192999999999996</v>
      </c>
      <c r="C552" s="1">
        <f>Tabela7[[#This Row],[Alongamento(mm/mm)]]/$I$2</f>
        <v>0.10438599999999999</v>
      </c>
      <c r="D552" s="1">
        <v>1445.3</v>
      </c>
      <c r="E552" s="1">
        <f>Tabela7[[#This Row],[Forτa(N)]]/$I$5</f>
        <v>46069009.482827321</v>
      </c>
      <c r="F552" s="1">
        <f>Tabela7[[#This Row],[Tensão(Pa)]]/1000000</f>
        <v>46.069009482827319</v>
      </c>
    </row>
    <row r="553" spans="1:6" x14ac:dyDescent="0.3">
      <c r="A553" s="1">
        <v>62.982999999999997</v>
      </c>
      <c r="B553" s="1">
        <v>5.2415000000000003</v>
      </c>
      <c r="C553" s="1">
        <f>Tabela7[[#This Row],[Alongamento(mm/mm)]]/$I$2</f>
        <v>0.10483000000000001</v>
      </c>
      <c r="D553" s="1">
        <v>1457.1</v>
      </c>
      <c r="E553" s="1">
        <f>Tabela7[[#This Row],[Forτa(N)]]/$I$5</f>
        <v>46445135.070523545</v>
      </c>
      <c r="F553" s="1">
        <f>Tabela7[[#This Row],[Tensão(Pa)]]/1000000</f>
        <v>46.445135070523548</v>
      </c>
    </row>
    <row r="554" spans="1:6" x14ac:dyDescent="0.3">
      <c r="A554" s="1">
        <v>63.25</v>
      </c>
      <c r="B554" s="1">
        <v>5.2637</v>
      </c>
      <c r="C554" s="1">
        <f>Tabela7[[#This Row],[Alongamento(mm/mm)]]/$I$2</f>
        <v>0.10527400000000001</v>
      </c>
      <c r="D554" s="1">
        <v>1469</v>
      </c>
      <c r="E554" s="1">
        <f>Tabela7[[#This Row],[Forτa(N)]]/$I$5</f>
        <v>46824448.163200259</v>
      </c>
      <c r="F554" s="1">
        <f>Tabela7[[#This Row],[Tensão(Pa)]]/1000000</f>
        <v>46.824448163200259</v>
      </c>
    </row>
    <row r="555" spans="1:6" x14ac:dyDescent="0.3">
      <c r="A555" s="1">
        <v>63.517000000000003</v>
      </c>
      <c r="B555" s="1">
        <v>5.2859999999999996</v>
      </c>
      <c r="C555" s="1">
        <f>Tabela7[[#This Row],[Alongamento(mm/mm)]]/$I$2</f>
        <v>0.10571999999999999</v>
      </c>
      <c r="D555" s="1">
        <v>1480.7</v>
      </c>
      <c r="E555" s="1">
        <f>Tabela7[[#This Row],[Forτa(N)]]/$I$5</f>
        <v>47197386.245916016</v>
      </c>
      <c r="F555" s="1">
        <f>Tabela7[[#This Row],[Tensão(Pa)]]/1000000</f>
        <v>47.197386245916015</v>
      </c>
    </row>
    <row r="556" spans="1:6" x14ac:dyDescent="0.3">
      <c r="A556" s="1">
        <v>63.783000000000001</v>
      </c>
      <c r="B556" s="1">
        <v>5.3080999999999996</v>
      </c>
      <c r="C556" s="1">
        <f>Tabela7[[#This Row],[Alongamento(mm/mm)]]/$I$2</f>
        <v>0.10616199999999999</v>
      </c>
      <c r="D556" s="1">
        <v>1492.6</v>
      </c>
      <c r="E556" s="1">
        <f>Tabela7[[#This Row],[Forτa(N)]]/$I$5</f>
        <v>47576699.338592716</v>
      </c>
      <c r="F556" s="1">
        <f>Tabela7[[#This Row],[Tensão(Pa)]]/1000000</f>
        <v>47.576699338592718</v>
      </c>
    </row>
    <row r="557" spans="1:6" x14ac:dyDescent="0.3">
      <c r="A557" s="1">
        <v>64.05</v>
      </c>
      <c r="B557" s="1">
        <v>5.3304999999999998</v>
      </c>
      <c r="C557" s="1">
        <f>Tabela7[[#This Row],[Alongamento(mm/mm)]]/$I$2</f>
        <v>0.10661</v>
      </c>
      <c r="D557" s="1">
        <v>1504.7</v>
      </c>
      <c r="E557" s="1">
        <f>Tabela7[[#This Row],[Forτa(N)]]/$I$5</f>
        <v>47962387.441230379</v>
      </c>
      <c r="F557" s="1">
        <f>Tabela7[[#This Row],[Tensão(Pa)]]/1000000</f>
        <v>47.962387441230376</v>
      </c>
    </row>
    <row r="558" spans="1:6" x14ac:dyDescent="0.3">
      <c r="A558" s="1">
        <v>64.316999999999993</v>
      </c>
      <c r="B558" s="1">
        <v>5.3526999999999996</v>
      </c>
      <c r="C558" s="1">
        <f>Tabela7[[#This Row],[Alongamento(mm/mm)]]/$I$2</f>
        <v>0.107054</v>
      </c>
      <c r="D558" s="1">
        <v>1516.6</v>
      </c>
      <c r="E558" s="1">
        <f>Tabela7[[#This Row],[Forτa(N)]]/$I$5</f>
        <v>48341700.533907086</v>
      </c>
      <c r="F558" s="1">
        <f>Tabela7[[#This Row],[Tensão(Pa)]]/1000000</f>
        <v>48.341700533907087</v>
      </c>
    </row>
    <row r="559" spans="1:6" x14ac:dyDescent="0.3">
      <c r="A559" s="1">
        <v>64.582999999999998</v>
      </c>
      <c r="B559" s="1">
        <v>5.3747999999999996</v>
      </c>
      <c r="C559" s="1">
        <f>Tabela7[[#This Row],[Alongamento(mm/mm)]]/$I$2</f>
        <v>0.10749599999999999</v>
      </c>
      <c r="D559" s="1">
        <v>1528.5</v>
      </c>
      <c r="E559" s="1">
        <f>Tabela7[[#This Row],[Forτa(N)]]/$I$5</f>
        <v>48721013.626583792</v>
      </c>
      <c r="F559" s="1">
        <f>Tabela7[[#This Row],[Tensão(Pa)]]/1000000</f>
        <v>48.72101362658379</v>
      </c>
    </row>
    <row r="560" spans="1:6" x14ac:dyDescent="0.3">
      <c r="A560" s="1">
        <v>64.849999999999994</v>
      </c>
      <c r="B560" s="1">
        <v>5.3971</v>
      </c>
      <c r="C560" s="1">
        <f>Tabela7[[#This Row],[Alongamento(mm/mm)]]/$I$2</f>
        <v>0.107942</v>
      </c>
      <c r="D560" s="1">
        <v>1540.9</v>
      </c>
      <c r="E560" s="1">
        <f>Tabela7[[#This Row],[Forτa(N)]]/$I$5</f>
        <v>49116264.244162887</v>
      </c>
      <c r="F560" s="1">
        <f>Tabela7[[#This Row],[Tensão(Pa)]]/1000000</f>
        <v>49.116264244162885</v>
      </c>
    </row>
    <row r="561" spans="1:6" x14ac:dyDescent="0.3">
      <c r="A561" s="1">
        <v>65.117000000000004</v>
      </c>
      <c r="B561" s="1">
        <v>5.4192999999999998</v>
      </c>
      <c r="C561" s="1">
        <f>Tabela7[[#This Row],[Alongamento(mm/mm)]]/$I$2</f>
        <v>0.108386</v>
      </c>
      <c r="D561" s="1">
        <v>1553.2</v>
      </c>
      <c r="E561" s="1">
        <f>Tabela7[[#This Row],[Forτa(N)]]/$I$5</f>
        <v>49508327.3567615</v>
      </c>
      <c r="F561" s="1">
        <f>Tabela7[[#This Row],[Tensão(Pa)]]/1000000</f>
        <v>49.508327356761498</v>
      </c>
    </row>
    <row r="562" spans="1:6" x14ac:dyDescent="0.3">
      <c r="A562" s="1">
        <v>65.382999999999996</v>
      </c>
      <c r="B562" s="1">
        <v>5.4414999999999996</v>
      </c>
      <c r="C562" s="1">
        <f>Tabela7[[#This Row],[Alongamento(mm/mm)]]/$I$2</f>
        <v>0.10883</v>
      </c>
      <c r="D562" s="1">
        <v>1565.2</v>
      </c>
      <c r="E562" s="1">
        <f>Tabela7[[#This Row],[Forτa(N)]]/$I$5</f>
        <v>49890827.954418682</v>
      </c>
      <c r="F562" s="1">
        <f>Tabela7[[#This Row],[Tensão(Pa)]]/1000000</f>
        <v>49.890827954418683</v>
      </c>
    </row>
    <row r="563" spans="1:6" x14ac:dyDescent="0.3">
      <c r="A563" s="1">
        <v>65.650000000000006</v>
      </c>
      <c r="B563" s="1">
        <v>5.4637000000000002</v>
      </c>
      <c r="C563" s="1">
        <f>Tabela7[[#This Row],[Alongamento(mm/mm)]]/$I$2</f>
        <v>0.10927400000000001</v>
      </c>
      <c r="D563" s="1">
        <v>1577.5</v>
      </c>
      <c r="E563" s="1">
        <f>Tabela7[[#This Row],[Forτa(N)]]/$I$5</f>
        <v>50282891.067017294</v>
      </c>
      <c r="F563" s="1">
        <f>Tabela7[[#This Row],[Tensão(Pa)]]/1000000</f>
        <v>50.282891067017296</v>
      </c>
    </row>
    <row r="564" spans="1:6" x14ac:dyDescent="0.3">
      <c r="A564" s="1">
        <v>65.933000000000007</v>
      </c>
      <c r="B564" s="1">
        <v>5.4874000000000001</v>
      </c>
      <c r="C564" s="1">
        <f>Tabela7[[#This Row],[Alongamento(mm/mm)]]/$I$2</f>
        <v>0.109748</v>
      </c>
      <c r="D564" s="1">
        <v>1590.3</v>
      </c>
      <c r="E564" s="1">
        <f>Tabela7[[#This Row],[Forτa(N)]]/$I$5</f>
        <v>50690891.704518288</v>
      </c>
      <c r="F564" s="1">
        <f>Tabela7[[#This Row],[Tensão(Pa)]]/1000000</f>
        <v>50.690891704518286</v>
      </c>
    </row>
    <row r="565" spans="1:6" x14ac:dyDescent="0.3">
      <c r="A565" s="1">
        <v>66.216999999999999</v>
      </c>
      <c r="B565" s="1">
        <v>5.5110000000000001</v>
      </c>
      <c r="C565" s="1">
        <f>Tabela7[[#This Row],[Alongamento(mm/mm)]]/$I$2</f>
        <v>0.11022</v>
      </c>
      <c r="D565" s="1">
        <v>1603.2</v>
      </c>
      <c r="E565" s="1">
        <f>Tabela7[[#This Row],[Forτa(N)]]/$I$5</f>
        <v>51102079.846999764</v>
      </c>
      <c r="F565" s="1">
        <f>Tabela7[[#This Row],[Tensão(Pa)]]/1000000</f>
        <v>51.102079846999764</v>
      </c>
    </row>
    <row r="566" spans="1:6" x14ac:dyDescent="0.3">
      <c r="A566" s="1">
        <v>66.5</v>
      </c>
      <c r="B566" s="1">
        <v>5.5345000000000004</v>
      </c>
      <c r="C566" s="1">
        <f>Tabela7[[#This Row],[Alongamento(mm/mm)]]/$I$2</f>
        <v>0.11069000000000001</v>
      </c>
      <c r="D566" s="1">
        <v>1616.1</v>
      </c>
      <c r="E566" s="1">
        <f>Tabela7[[#This Row],[Forτa(N)]]/$I$5</f>
        <v>51513267.989481233</v>
      </c>
      <c r="F566" s="1">
        <f>Tabela7[[#This Row],[Tensão(Pa)]]/1000000</f>
        <v>51.513267989481236</v>
      </c>
    </row>
    <row r="567" spans="1:6" x14ac:dyDescent="0.3">
      <c r="A567" s="1">
        <v>66.783000000000001</v>
      </c>
      <c r="B567" s="1">
        <v>5.5583</v>
      </c>
      <c r="C567" s="1">
        <f>Tabela7[[#This Row],[Alongamento(mm/mm)]]/$I$2</f>
        <v>0.111166</v>
      </c>
      <c r="D567" s="1">
        <v>1628.7</v>
      </c>
      <c r="E567" s="1">
        <f>Tabela7[[#This Row],[Forτa(N)]]/$I$5</f>
        <v>51914893.617021278</v>
      </c>
      <c r="F567" s="1">
        <f>Tabela7[[#This Row],[Tensão(Pa)]]/1000000</f>
        <v>51.914893617021278</v>
      </c>
    </row>
    <row r="568" spans="1:6" x14ac:dyDescent="0.3">
      <c r="A568" s="1">
        <v>67.066999999999993</v>
      </c>
      <c r="B568" s="1">
        <v>5.5816999999999997</v>
      </c>
      <c r="C568" s="1">
        <f>Tabela7[[#This Row],[Alongamento(mm/mm)]]/$I$2</f>
        <v>0.111634</v>
      </c>
      <c r="D568" s="1">
        <v>1641.3</v>
      </c>
      <c r="E568" s="1">
        <f>Tabela7[[#This Row],[Forτa(N)]]/$I$5</f>
        <v>52316519.244561322</v>
      </c>
      <c r="F568" s="1">
        <f>Tabela7[[#This Row],[Tensão(Pa)]]/1000000</f>
        <v>52.31651924456132</v>
      </c>
    </row>
    <row r="569" spans="1:6" x14ac:dyDescent="0.3">
      <c r="A569" s="1">
        <v>67.349999999999994</v>
      </c>
      <c r="B569" s="1">
        <v>5.6054000000000004</v>
      </c>
      <c r="C569" s="1">
        <f>Tabela7[[#This Row],[Alongamento(mm/mm)]]/$I$2</f>
        <v>0.11210800000000001</v>
      </c>
      <c r="D569" s="1">
        <v>1653.9</v>
      </c>
      <c r="E569" s="1">
        <f>Tabela7[[#This Row],[Forτa(N)]]/$I$5</f>
        <v>52718144.872101367</v>
      </c>
      <c r="F569" s="1">
        <f>Tabela7[[#This Row],[Tensão(Pa)]]/1000000</f>
        <v>52.718144872101369</v>
      </c>
    </row>
    <row r="570" spans="1:6" x14ac:dyDescent="0.3">
      <c r="A570" s="1">
        <v>67.632999999999996</v>
      </c>
      <c r="B570" s="1">
        <v>5.6289999999999996</v>
      </c>
      <c r="C570" s="1">
        <f>Tabela7[[#This Row],[Alongamento(mm/mm)]]/$I$2</f>
        <v>0.11257999999999999</v>
      </c>
      <c r="D570" s="1">
        <v>1666.6</v>
      </c>
      <c r="E570" s="1">
        <f>Tabela7[[#This Row],[Forτa(N)]]/$I$5</f>
        <v>53122958.004621886</v>
      </c>
      <c r="F570" s="1">
        <f>Tabela7[[#This Row],[Tensão(Pa)]]/1000000</f>
        <v>53.122958004621886</v>
      </c>
    </row>
    <row r="571" spans="1:6" x14ac:dyDescent="0.3">
      <c r="A571" s="1">
        <v>67.933000000000007</v>
      </c>
      <c r="B571" s="1">
        <v>5.6539999999999999</v>
      </c>
      <c r="C571" s="1">
        <f>Tabela7[[#This Row],[Alongamento(mm/mm)]]/$I$2</f>
        <v>0.11308</v>
      </c>
      <c r="D571" s="1">
        <v>1680.1</v>
      </c>
      <c r="E571" s="1">
        <f>Tabela7[[#This Row],[Forτa(N)]]/$I$5</f>
        <v>53553271.176986217</v>
      </c>
      <c r="F571" s="1">
        <f>Tabela7[[#This Row],[Tensão(Pa)]]/1000000</f>
        <v>53.553271176986215</v>
      </c>
    </row>
    <row r="572" spans="1:6" x14ac:dyDescent="0.3">
      <c r="A572" s="1">
        <v>68.233000000000004</v>
      </c>
      <c r="B572" s="1">
        <v>5.6791</v>
      </c>
      <c r="C572" s="1">
        <f>Tabela7[[#This Row],[Alongamento(mm/mm)]]/$I$2</f>
        <v>0.113582</v>
      </c>
      <c r="D572" s="1">
        <v>1693.3</v>
      </c>
      <c r="E572" s="1">
        <f>Tabela7[[#This Row],[Forτa(N)]]/$I$5</f>
        <v>53974021.834409118</v>
      </c>
      <c r="F572" s="1">
        <f>Tabela7[[#This Row],[Tensão(Pa)]]/1000000</f>
        <v>53.974021834409115</v>
      </c>
    </row>
    <row r="573" spans="1:6" x14ac:dyDescent="0.3">
      <c r="A573" s="1">
        <v>68.533000000000001</v>
      </c>
      <c r="B573" s="1">
        <v>5.7041000000000004</v>
      </c>
      <c r="C573" s="1">
        <f>Tabela7[[#This Row],[Alongamento(mm/mm)]]/$I$2</f>
        <v>0.114082</v>
      </c>
      <c r="D573" s="1">
        <v>1706.8</v>
      </c>
      <c r="E573" s="1">
        <f>Tabela7[[#This Row],[Forτa(N)]]/$I$5</f>
        <v>54404335.006773449</v>
      </c>
      <c r="F573" s="1">
        <f>Tabela7[[#This Row],[Tensão(Pa)]]/1000000</f>
        <v>54.404335006773451</v>
      </c>
    </row>
    <row r="574" spans="1:6" x14ac:dyDescent="0.3">
      <c r="A574" s="1">
        <v>68.849999999999994</v>
      </c>
      <c r="B574" s="1">
        <v>5.7304000000000004</v>
      </c>
      <c r="C574" s="1">
        <f>Tabela7[[#This Row],[Alongamento(mm/mm)]]/$I$2</f>
        <v>0.114608</v>
      </c>
      <c r="D574" s="1">
        <v>1720.7</v>
      </c>
      <c r="E574" s="1">
        <f>Tabela7[[#This Row],[Forτa(N)]]/$I$5</f>
        <v>54847398.199059688</v>
      </c>
      <c r="F574" s="1">
        <f>Tabela7[[#This Row],[Tensão(Pa)]]/1000000</f>
        <v>54.84739819905969</v>
      </c>
    </row>
    <row r="575" spans="1:6" x14ac:dyDescent="0.3">
      <c r="A575" s="1">
        <v>69.167000000000002</v>
      </c>
      <c r="B575" s="1">
        <v>5.7568000000000001</v>
      </c>
      <c r="C575" s="1">
        <f>Tabela7[[#This Row],[Alongamento(mm/mm)]]/$I$2</f>
        <v>0.115136</v>
      </c>
      <c r="D575" s="1">
        <v>1734.5</v>
      </c>
      <c r="E575" s="1">
        <f>Tabela7[[#This Row],[Forτa(N)]]/$I$5</f>
        <v>55287273.886365451</v>
      </c>
      <c r="F575" s="1">
        <f>Tabela7[[#This Row],[Tensão(Pa)]]/1000000</f>
        <v>55.287273886365448</v>
      </c>
    </row>
    <row r="576" spans="1:6" x14ac:dyDescent="0.3">
      <c r="A576" s="1">
        <v>69.483000000000004</v>
      </c>
      <c r="B576" s="1">
        <v>5.7831000000000001</v>
      </c>
      <c r="C576" s="1">
        <f>Tabela7[[#This Row],[Alongamento(mm/mm)]]/$I$2</f>
        <v>0.115662</v>
      </c>
      <c r="D576" s="1">
        <v>1748.1</v>
      </c>
      <c r="E576" s="1">
        <f>Tabela7[[#This Row],[Forτa(N)]]/$I$5</f>
        <v>55720774.563710257</v>
      </c>
      <c r="F576" s="1">
        <f>Tabela7[[#This Row],[Tensão(Pa)]]/1000000</f>
        <v>55.720774563710258</v>
      </c>
    </row>
    <row r="577" spans="1:6" x14ac:dyDescent="0.3">
      <c r="A577" s="1">
        <v>69.8</v>
      </c>
      <c r="B577" s="1">
        <v>5.8094999999999999</v>
      </c>
      <c r="C577" s="1">
        <f>Tabela7[[#This Row],[Alongamento(mm/mm)]]/$I$2</f>
        <v>0.11619</v>
      </c>
      <c r="D577" s="1">
        <v>1761.7</v>
      </c>
      <c r="E577" s="1">
        <f>Tabela7[[#This Row],[Forτa(N)]]/$I$5</f>
        <v>56154275.241055071</v>
      </c>
      <c r="F577" s="1">
        <f>Tabela7[[#This Row],[Tensão(Pa)]]/1000000</f>
        <v>56.154275241055075</v>
      </c>
    </row>
    <row r="578" spans="1:6" x14ac:dyDescent="0.3">
      <c r="A578" s="1">
        <v>70.117000000000004</v>
      </c>
      <c r="B578" s="1">
        <v>5.8358999999999996</v>
      </c>
      <c r="C578" s="1">
        <f>Tabela7[[#This Row],[Alongamento(mm/mm)]]/$I$2</f>
        <v>0.11671799999999999</v>
      </c>
      <c r="D578" s="1">
        <v>1775.3</v>
      </c>
      <c r="E578" s="1">
        <f>Tabela7[[#This Row],[Forτa(N)]]/$I$5</f>
        <v>56587775.918399878</v>
      </c>
      <c r="F578" s="1">
        <f>Tabela7[[#This Row],[Tensão(Pa)]]/1000000</f>
        <v>56.587775918399878</v>
      </c>
    </row>
    <row r="579" spans="1:6" x14ac:dyDescent="0.3">
      <c r="A579" s="1">
        <v>70.433000000000007</v>
      </c>
      <c r="B579" s="1">
        <v>5.8624000000000001</v>
      </c>
      <c r="C579" s="1">
        <f>Tabela7[[#This Row],[Alongamento(mm/mm)]]/$I$2</f>
        <v>0.117248</v>
      </c>
      <c r="D579" s="1">
        <v>1789.3</v>
      </c>
      <c r="E579" s="1">
        <f>Tabela7[[#This Row],[Forτa(N)]]/$I$5</f>
        <v>57034026.615666591</v>
      </c>
      <c r="F579" s="1">
        <f>Tabela7[[#This Row],[Tensão(Pa)]]/1000000</f>
        <v>57.03402661566659</v>
      </c>
    </row>
    <row r="580" spans="1:6" x14ac:dyDescent="0.3">
      <c r="A580" s="1">
        <v>70.766999999999996</v>
      </c>
      <c r="B580" s="1">
        <v>5.8902000000000001</v>
      </c>
      <c r="C580" s="1">
        <f>Tabela7[[#This Row],[Alongamento(mm/mm)]]/$I$2</f>
        <v>0.11780400000000001</v>
      </c>
      <c r="D580" s="1">
        <v>1803.7</v>
      </c>
      <c r="E580" s="1">
        <f>Tabela7[[#This Row],[Forτa(N)]]/$I$5</f>
        <v>57493027.33285521</v>
      </c>
      <c r="F580" s="1">
        <f>Tabela7[[#This Row],[Tensão(Pa)]]/1000000</f>
        <v>57.493027332855206</v>
      </c>
    </row>
    <row r="581" spans="1:6" x14ac:dyDescent="0.3">
      <c r="A581" s="1">
        <v>71.099999999999994</v>
      </c>
      <c r="B581" s="1">
        <v>5.9177999999999997</v>
      </c>
      <c r="C581" s="1">
        <f>Tabela7[[#This Row],[Alongamento(mm/mm)]]/$I$2</f>
        <v>0.11835599999999999</v>
      </c>
      <c r="D581" s="1">
        <v>1818.2</v>
      </c>
      <c r="E581" s="1">
        <f>Tabela7[[#This Row],[Forτa(N)]]/$I$5</f>
        <v>57955215.555024311</v>
      </c>
      <c r="F581" s="1">
        <f>Tabela7[[#This Row],[Tensão(Pa)]]/1000000</f>
        <v>57.95521555502431</v>
      </c>
    </row>
    <row r="582" spans="1:6" x14ac:dyDescent="0.3">
      <c r="A582" s="1">
        <v>71.433000000000007</v>
      </c>
      <c r="B582" s="1">
        <v>5.9457000000000004</v>
      </c>
      <c r="C582" s="1">
        <f>Tabela7[[#This Row],[Alongamento(mm/mm)]]/$I$2</f>
        <v>0.11891400000000001</v>
      </c>
      <c r="D582" s="1">
        <v>1832.6</v>
      </c>
      <c r="E582" s="1">
        <f>Tabela7[[#This Row],[Forτa(N)]]/$I$5</f>
        <v>58414216.272212923</v>
      </c>
      <c r="F582" s="1">
        <f>Tabela7[[#This Row],[Tensão(Pa)]]/1000000</f>
        <v>58.414216272212926</v>
      </c>
    </row>
    <row r="583" spans="1:6" x14ac:dyDescent="0.3">
      <c r="A583" s="1">
        <v>71.766999999999996</v>
      </c>
      <c r="B583" s="1">
        <v>5.9734999999999996</v>
      </c>
      <c r="C583" s="1">
        <f>Tabela7[[#This Row],[Alongamento(mm/mm)]]/$I$2</f>
        <v>0.11946999999999999</v>
      </c>
      <c r="D583" s="1">
        <v>1846.9</v>
      </c>
      <c r="E583" s="1">
        <f>Tabela7[[#This Row],[Forτa(N)]]/$I$5</f>
        <v>58870029.484421074</v>
      </c>
      <c r="F583" s="1">
        <f>Tabela7[[#This Row],[Tensão(Pa)]]/1000000</f>
        <v>58.870029484421075</v>
      </c>
    </row>
    <row r="584" spans="1:6" x14ac:dyDescent="0.3">
      <c r="A584" s="1">
        <v>72.117000000000004</v>
      </c>
      <c r="B584" s="1">
        <v>6.0026000000000002</v>
      </c>
      <c r="C584" s="1">
        <f>Tabela7[[#This Row],[Alongamento(mm/mm)]]/$I$2</f>
        <v>0.12005200000000001</v>
      </c>
      <c r="D584" s="1">
        <v>1861.7</v>
      </c>
      <c r="E584" s="1">
        <f>Tabela7[[#This Row],[Forτa(N)]]/$I$5</f>
        <v>59341780.2215316</v>
      </c>
      <c r="F584" s="1">
        <f>Tabela7[[#This Row],[Tensão(Pa)]]/1000000</f>
        <v>59.3417802215316</v>
      </c>
    </row>
    <row r="585" spans="1:6" x14ac:dyDescent="0.3">
      <c r="A585" s="1">
        <v>72.466999999999999</v>
      </c>
      <c r="B585" s="1">
        <v>6.0316999999999998</v>
      </c>
      <c r="C585" s="1">
        <f>Tabela7[[#This Row],[Alongamento(mm/mm)]]/$I$2</f>
        <v>0.12063399999999999</v>
      </c>
      <c r="D585" s="1">
        <v>1876.2</v>
      </c>
      <c r="E585" s="1">
        <f>Tabela7[[#This Row],[Forτa(N)]]/$I$5</f>
        <v>59803968.443700701</v>
      </c>
      <c r="F585" s="1">
        <f>Tabela7[[#This Row],[Tensão(Pa)]]/1000000</f>
        <v>59.803968443700704</v>
      </c>
    </row>
    <row r="586" spans="1:6" x14ac:dyDescent="0.3">
      <c r="A586" s="1">
        <v>72.849999999999994</v>
      </c>
      <c r="B586" s="1">
        <v>6.0637999999999996</v>
      </c>
      <c r="C586" s="1">
        <f>Tabela7[[#This Row],[Alongamento(mm/mm)]]/$I$2</f>
        <v>0.12127599999999999</v>
      </c>
      <c r="D586" s="1">
        <v>1890.8</v>
      </c>
      <c r="E586" s="1">
        <f>Tabela7[[#This Row],[Forτa(N)]]/$I$5</f>
        <v>60269344.170850269</v>
      </c>
      <c r="F586" s="1">
        <f>Tabela7[[#This Row],[Tensão(Pa)]]/1000000</f>
        <v>60.269344170850268</v>
      </c>
    </row>
    <row r="587" spans="1:6" x14ac:dyDescent="0.3">
      <c r="A587" s="1">
        <v>73.283000000000001</v>
      </c>
      <c r="B587" s="1">
        <v>6.0998999999999999</v>
      </c>
      <c r="C587" s="1">
        <f>Tabela7[[#This Row],[Alongamento(mm/mm)]]/$I$2</f>
        <v>0.121998</v>
      </c>
      <c r="D587" s="1">
        <v>1905.6</v>
      </c>
      <c r="E587" s="1">
        <f>Tabela7[[#This Row],[Forτa(N)]]/$I$5</f>
        <v>60741094.907960795</v>
      </c>
      <c r="F587" s="1">
        <f>Tabela7[[#This Row],[Tensão(Pa)]]/1000000</f>
        <v>60.741094907960793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6F49-F703-49F1-969E-360229B9B9BD}">
  <dimension ref="A1:K619"/>
  <sheetViews>
    <sheetView workbookViewId="0">
      <selection sqref="A1:K1048576"/>
    </sheetView>
  </sheetViews>
  <sheetFormatPr defaultRowHeight="14.4" x14ac:dyDescent="0.3"/>
  <cols>
    <col min="1" max="1" width="11.33203125" style="1" bestFit="1" customWidth="1"/>
    <col min="2" max="2" width="21.88671875" style="1" customWidth="1"/>
    <col min="3" max="3" width="21.33203125" customWidth="1"/>
    <col min="4" max="4" width="9.6640625" style="1" customWidth="1"/>
    <col min="5" max="5" width="11.88671875" customWidth="1"/>
    <col min="6" max="6" width="13.5546875" customWidth="1"/>
    <col min="8" max="8" width="9.88671875" bestFit="1" customWidth="1"/>
    <col min="9" max="9" width="14.109375" customWidth="1"/>
    <col min="10" max="10" width="9" customWidth="1"/>
    <col min="11" max="11" width="10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0.13333</v>
      </c>
      <c r="B2" s="1">
        <v>5.0251000000000002E-3</v>
      </c>
      <c r="C2" s="1">
        <f>Tabela5[[#This Row],[Alongamento(mm/mm)]]/$I$2</f>
        <v>1.0050200000000001E-4</v>
      </c>
      <c r="D2" s="1">
        <v>0</v>
      </c>
      <c r="E2" s="1">
        <f>Tabela5[[#This Row],[Forτa(N)]]/$I$5</f>
        <v>0</v>
      </c>
      <c r="F2" s="1">
        <f>Tabela5[[#This Row],[Tensão(Pa)]]/1000000</f>
        <v>0</v>
      </c>
      <c r="H2" t="s">
        <v>10</v>
      </c>
      <c r="I2">
        <v>50</v>
      </c>
      <c r="J2">
        <v>12.82</v>
      </c>
      <c r="K2">
        <v>3.26</v>
      </c>
    </row>
    <row r="3" spans="1:11" x14ac:dyDescent="0.3">
      <c r="A3" s="1">
        <v>9.1832999999999991</v>
      </c>
      <c r="B3" s="1">
        <v>0.75795999999999997</v>
      </c>
      <c r="C3" s="1">
        <f>Tabela5[[#This Row],[Alongamento(mm/mm)]]/$I$2</f>
        <v>1.5159199999999999E-2</v>
      </c>
      <c r="D3" s="1">
        <v>6.8040000000000003</v>
      </c>
      <c r="E3" s="1">
        <f>Tabela5[[#This Row],[Forτa(N)]]/$I$5</f>
        <v>216877.83887162324</v>
      </c>
      <c r="F3" s="1">
        <f>Tabela5[[#This Row],[Tensão(Pa)]]/1000000</f>
        <v>0.21687783887162324</v>
      </c>
      <c r="H3" t="s">
        <v>11</v>
      </c>
      <c r="I3">
        <v>0.05</v>
      </c>
      <c r="J3">
        <v>1.3349999999999999E-2</v>
      </c>
      <c r="K3">
        <v>2.3500000000000001E-3</v>
      </c>
    </row>
    <row r="4" spans="1:11" x14ac:dyDescent="0.3">
      <c r="A4" s="1">
        <v>9.2667000000000002</v>
      </c>
      <c r="B4" s="1">
        <v>0.76483999999999996</v>
      </c>
      <c r="C4" s="1">
        <f>Tabela5[[#This Row],[Alongamento(mm/mm)]]/$I$2</f>
        <v>1.5296799999999999E-2</v>
      </c>
      <c r="D4" s="1">
        <v>6.8040000000000003</v>
      </c>
      <c r="E4" s="1">
        <f>Tabela5[[#This Row],[Forτa(N)]]/$I$5</f>
        <v>216877.83887162324</v>
      </c>
      <c r="F4" s="1">
        <f>Tabela5[[#This Row],[Tensão(Pa)]]/1000000</f>
        <v>0.21687783887162324</v>
      </c>
    </row>
    <row r="5" spans="1:11" x14ac:dyDescent="0.3">
      <c r="A5" s="1">
        <v>9.35</v>
      </c>
      <c r="B5" s="1">
        <v>0.77181999999999995</v>
      </c>
      <c r="C5" s="1">
        <f>Tabela5[[#This Row],[Alongamento(mm/mm)]]/$I$2</f>
        <v>1.5436399999999999E-2</v>
      </c>
      <c r="D5" s="1">
        <v>6.8040000000000003</v>
      </c>
      <c r="E5" s="1">
        <f>Tabela5[[#This Row],[Forτa(N)]]/$I$5</f>
        <v>216877.83887162324</v>
      </c>
      <c r="F5" s="1">
        <f>Tabela5[[#This Row],[Tensão(Pa)]]/1000000</f>
        <v>0.21687783887162324</v>
      </c>
      <c r="H5" t="s">
        <v>12</v>
      </c>
      <c r="I5">
        <v>3.1372499999999998E-5</v>
      </c>
    </row>
    <row r="6" spans="1:11" x14ac:dyDescent="0.3">
      <c r="A6" s="1">
        <v>9.4332999999999991</v>
      </c>
      <c r="B6" s="1">
        <v>0.77880000000000005</v>
      </c>
      <c r="C6" s="1">
        <f>Tabela5[[#This Row],[Alongamento(mm/mm)]]/$I$2</f>
        <v>1.5576000000000001E-2</v>
      </c>
      <c r="D6" s="1">
        <v>6.8040000000000003</v>
      </c>
      <c r="E6" s="1">
        <f>Tabela5[[#This Row],[Forτa(N)]]/$I$5</f>
        <v>216877.83887162324</v>
      </c>
      <c r="F6" s="1">
        <f>Tabela5[[#This Row],[Tensão(Pa)]]/1000000</f>
        <v>0.21687783887162324</v>
      </c>
    </row>
    <row r="7" spans="1:11" x14ac:dyDescent="0.3">
      <c r="A7" s="1">
        <v>9.5167000000000002</v>
      </c>
      <c r="B7" s="1">
        <v>0.78569</v>
      </c>
      <c r="C7" s="1">
        <f>Tabela5[[#This Row],[Alongamento(mm/mm)]]/$I$2</f>
        <v>1.57138E-2</v>
      </c>
      <c r="D7" s="1">
        <v>6.8040000000000003</v>
      </c>
      <c r="E7" s="1">
        <f>Tabela5[[#This Row],[Forτa(N)]]/$I$5</f>
        <v>216877.83887162324</v>
      </c>
      <c r="F7" s="1">
        <f>Tabela5[[#This Row],[Tensão(Pa)]]/1000000</f>
        <v>0.21687783887162324</v>
      </c>
    </row>
    <row r="8" spans="1:11" x14ac:dyDescent="0.3">
      <c r="A8" s="1">
        <v>9.6</v>
      </c>
      <c r="B8" s="1">
        <v>0.79266999999999999</v>
      </c>
      <c r="C8" s="1">
        <f>Tabela5[[#This Row],[Alongamento(mm/mm)]]/$I$2</f>
        <v>1.58534E-2</v>
      </c>
      <c r="D8" s="1">
        <v>6.8040000000000003</v>
      </c>
      <c r="E8" s="1">
        <f>Tabela5[[#This Row],[Forτa(N)]]/$I$5</f>
        <v>216877.83887162324</v>
      </c>
      <c r="F8" s="1">
        <f>Tabela5[[#This Row],[Tensão(Pa)]]/1000000</f>
        <v>0.21687783887162324</v>
      </c>
    </row>
    <row r="9" spans="1:11" x14ac:dyDescent="0.3">
      <c r="A9" s="1">
        <v>9.6832999999999991</v>
      </c>
      <c r="B9" s="1">
        <v>0.79964999999999997</v>
      </c>
      <c r="C9" s="1">
        <f>Tabela5[[#This Row],[Alongamento(mm/mm)]]/$I$2</f>
        <v>1.5993E-2</v>
      </c>
      <c r="D9" s="1">
        <v>6.8040000000000003</v>
      </c>
      <c r="E9" s="1">
        <f>Tabela5[[#This Row],[Forτa(N)]]/$I$5</f>
        <v>216877.83887162324</v>
      </c>
      <c r="F9" s="1">
        <f>Tabela5[[#This Row],[Tensão(Pa)]]/1000000</f>
        <v>0.21687783887162324</v>
      </c>
    </row>
    <row r="10" spans="1:11" x14ac:dyDescent="0.3">
      <c r="A10" s="1">
        <v>9.7667000000000002</v>
      </c>
      <c r="B10" s="1">
        <v>0.80644000000000005</v>
      </c>
      <c r="C10" s="1">
        <f>Tabela5[[#This Row],[Alongamento(mm/mm)]]/$I$2</f>
        <v>1.6128800000000002E-2</v>
      </c>
      <c r="D10" s="1">
        <v>6.8040000000000003</v>
      </c>
      <c r="E10" s="1">
        <f>Tabela5[[#This Row],[Forτa(N)]]/$I$5</f>
        <v>216877.83887162324</v>
      </c>
      <c r="F10" s="1">
        <f>Tabela5[[#This Row],[Tensão(Pa)]]/1000000</f>
        <v>0.21687783887162324</v>
      </c>
    </row>
    <row r="11" spans="1:11" x14ac:dyDescent="0.3">
      <c r="A11" s="1">
        <v>9.85</v>
      </c>
      <c r="B11" s="1">
        <v>0.81350999999999996</v>
      </c>
      <c r="C11" s="1">
        <f>Tabela5[[#This Row],[Alongamento(mm/mm)]]/$I$2</f>
        <v>1.6270199999999999E-2</v>
      </c>
      <c r="D11" s="1">
        <v>6.8040000000000003</v>
      </c>
      <c r="E11" s="1">
        <f>Tabela5[[#This Row],[Forτa(N)]]/$I$5</f>
        <v>216877.83887162324</v>
      </c>
      <c r="F11" s="1">
        <f>Tabela5[[#This Row],[Tensão(Pa)]]/1000000</f>
        <v>0.21687783887162324</v>
      </c>
    </row>
    <row r="12" spans="1:11" x14ac:dyDescent="0.3">
      <c r="A12" s="1">
        <v>9.9332999999999991</v>
      </c>
      <c r="B12" s="1">
        <v>0.82049000000000005</v>
      </c>
      <c r="C12" s="1">
        <f>Tabela5[[#This Row],[Alongamento(mm/mm)]]/$I$2</f>
        <v>1.6409800000000002E-2</v>
      </c>
      <c r="D12" s="1">
        <v>6.8040000000000003</v>
      </c>
      <c r="E12" s="1">
        <f>Tabela5[[#This Row],[Forτa(N)]]/$I$5</f>
        <v>216877.83887162324</v>
      </c>
      <c r="F12" s="1">
        <f>Tabela5[[#This Row],[Tensão(Pa)]]/1000000</f>
        <v>0.21687783887162324</v>
      </c>
    </row>
    <row r="13" spans="1:11" x14ac:dyDescent="0.3">
      <c r="A13" s="1">
        <v>10.016999999999999</v>
      </c>
      <c r="B13" s="1">
        <v>0.82738</v>
      </c>
      <c r="C13" s="1">
        <f>Tabela5[[#This Row],[Alongamento(mm/mm)]]/$I$2</f>
        <v>1.6547599999999999E-2</v>
      </c>
      <c r="D13" s="1">
        <v>6.9741</v>
      </c>
      <c r="E13" s="1">
        <f>Tabela5[[#This Row],[Forτa(N)]]/$I$5</f>
        <v>222299.78484341383</v>
      </c>
      <c r="F13" s="1">
        <f>Tabela5[[#This Row],[Tensão(Pa)]]/1000000</f>
        <v>0.22229978484341384</v>
      </c>
    </row>
    <row r="14" spans="1:11" x14ac:dyDescent="0.3">
      <c r="A14" s="1">
        <v>10.1</v>
      </c>
      <c r="B14" s="1">
        <v>0.83435999999999999</v>
      </c>
      <c r="C14" s="1">
        <f>Tabela5[[#This Row],[Alongamento(mm/mm)]]/$I$2</f>
        <v>1.6687199999999999E-2</v>
      </c>
      <c r="D14" s="1">
        <v>6.9741</v>
      </c>
      <c r="E14" s="1">
        <f>Tabela5[[#This Row],[Forτa(N)]]/$I$5</f>
        <v>222299.78484341383</v>
      </c>
      <c r="F14" s="1">
        <f>Tabela5[[#This Row],[Tensão(Pa)]]/1000000</f>
        <v>0.22229978484341384</v>
      </c>
    </row>
    <row r="15" spans="1:11" x14ac:dyDescent="0.3">
      <c r="A15" s="1">
        <v>10.183</v>
      </c>
      <c r="B15" s="1">
        <v>0.84133999999999998</v>
      </c>
      <c r="C15" s="1">
        <f>Tabela5[[#This Row],[Alongamento(mm/mm)]]/$I$2</f>
        <v>1.6826799999999999E-2</v>
      </c>
      <c r="D15" s="1">
        <v>6.9741</v>
      </c>
      <c r="E15" s="1">
        <f>Tabela5[[#This Row],[Forτa(N)]]/$I$5</f>
        <v>222299.78484341383</v>
      </c>
      <c r="F15" s="1">
        <f>Tabela5[[#This Row],[Tensão(Pa)]]/1000000</f>
        <v>0.22229978484341384</v>
      </c>
    </row>
    <row r="16" spans="1:11" x14ac:dyDescent="0.3">
      <c r="A16" s="1">
        <v>10.266999999999999</v>
      </c>
      <c r="B16" s="1">
        <v>0.84813000000000005</v>
      </c>
      <c r="C16" s="1">
        <f>Tabela5[[#This Row],[Alongamento(mm/mm)]]/$I$2</f>
        <v>1.6962600000000001E-2</v>
      </c>
      <c r="D16" s="1">
        <v>6.9741</v>
      </c>
      <c r="E16" s="1">
        <f>Tabela5[[#This Row],[Forτa(N)]]/$I$5</f>
        <v>222299.78484341383</v>
      </c>
      <c r="F16" s="1">
        <f>Tabela5[[#This Row],[Tensão(Pa)]]/1000000</f>
        <v>0.22229978484341384</v>
      </c>
    </row>
    <row r="17" spans="1:6" x14ac:dyDescent="0.3">
      <c r="A17" s="1">
        <v>10.35</v>
      </c>
      <c r="B17" s="1">
        <v>0.85519999999999996</v>
      </c>
      <c r="C17" s="1">
        <f>Tabela5[[#This Row],[Alongamento(mm/mm)]]/$I$2</f>
        <v>1.7103999999999998E-2</v>
      </c>
      <c r="D17" s="1">
        <v>6.9741</v>
      </c>
      <c r="E17" s="1">
        <f>Tabela5[[#This Row],[Forτa(N)]]/$I$5</f>
        <v>222299.78484341383</v>
      </c>
      <c r="F17" s="1">
        <f>Tabela5[[#This Row],[Tensão(Pa)]]/1000000</f>
        <v>0.22229978484341384</v>
      </c>
    </row>
    <row r="18" spans="1:6" x14ac:dyDescent="0.3">
      <c r="A18" s="1">
        <v>10.433</v>
      </c>
      <c r="B18" s="1">
        <v>0.86217999999999995</v>
      </c>
      <c r="C18" s="1">
        <f>Tabela5[[#This Row],[Alongamento(mm/mm)]]/$I$2</f>
        <v>1.7243599999999998E-2</v>
      </c>
      <c r="D18" s="1">
        <v>6.9741</v>
      </c>
      <c r="E18" s="1">
        <f>Tabela5[[#This Row],[Forτa(N)]]/$I$5</f>
        <v>222299.78484341383</v>
      </c>
      <c r="F18" s="1">
        <f>Tabela5[[#This Row],[Tensão(Pa)]]/1000000</f>
        <v>0.22229978484341384</v>
      </c>
    </row>
    <row r="19" spans="1:6" x14ac:dyDescent="0.3">
      <c r="A19" s="1">
        <v>10.516999999999999</v>
      </c>
      <c r="B19" s="1">
        <v>0.86897999999999997</v>
      </c>
      <c r="C19" s="1">
        <f>Tabela5[[#This Row],[Alongamento(mm/mm)]]/$I$2</f>
        <v>1.7379599999999999E-2</v>
      </c>
      <c r="D19" s="1">
        <v>6.9741</v>
      </c>
      <c r="E19" s="1">
        <f>Tabela5[[#This Row],[Forτa(N)]]/$I$5</f>
        <v>222299.78484341383</v>
      </c>
      <c r="F19" s="1">
        <f>Tabela5[[#This Row],[Tensão(Pa)]]/1000000</f>
        <v>0.22229978484341384</v>
      </c>
    </row>
    <row r="20" spans="1:6" x14ac:dyDescent="0.3">
      <c r="A20" s="1">
        <v>10.6</v>
      </c>
      <c r="B20" s="1">
        <v>0.87595000000000001</v>
      </c>
      <c r="C20" s="1">
        <f>Tabela5[[#This Row],[Alongamento(mm/mm)]]/$I$2</f>
        <v>1.7519E-2</v>
      </c>
      <c r="D20" s="1">
        <v>6.9741</v>
      </c>
      <c r="E20" s="1">
        <f>Tabela5[[#This Row],[Forτa(N)]]/$I$5</f>
        <v>222299.78484341383</v>
      </c>
      <c r="F20" s="1">
        <f>Tabela5[[#This Row],[Tensão(Pa)]]/1000000</f>
        <v>0.22229978484341384</v>
      </c>
    </row>
    <row r="21" spans="1:6" x14ac:dyDescent="0.3">
      <c r="A21" s="1">
        <v>10.683</v>
      </c>
      <c r="B21" s="1">
        <v>0.88292999999999999</v>
      </c>
      <c r="C21" s="1">
        <f>Tabela5[[#This Row],[Alongamento(mm/mm)]]/$I$2</f>
        <v>1.76586E-2</v>
      </c>
      <c r="D21" s="1">
        <v>6.9741</v>
      </c>
      <c r="E21" s="1">
        <f>Tabela5[[#This Row],[Forτa(N)]]/$I$5</f>
        <v>222299.78484341383</v>
      </c>
      <c r="F21" s="1">
        <f>Tabela5[[#This Row],[Tensão(Pa)]]/1000000</f>
        <v>0.22229978484341384</v>
      </c>
    </row>
    <row r="22" spans="1:6" x14ac:dyDescent="0.3">
      <c r="A22" s="1">
        <v>10.766999999999999</v>
      </c>
      <c r="B22" s="1">
        <v>0.88982000000000006</v>
      </c>
      <c r="C22" s="1">
        <f>Tabela5[[#This Row],[Alongamento(mm/mm)]]/$I$2</f>
        <v>1.77964E-2</v>
      </c>
      <c r="D22" s="1">
        <v>6.9741</v>
      </c>
      <c r="E22" s="1">
        <f>Tabela5[[#This Row],[Forτa(N)]]/$I$5</f>
        <v>222299.78484341383</v>
      </c>
      <c r="F22" s="1">
        <f>Tabela5[[#This Row],[Tensão(Pa)]]/1000000</f>
        <v>0.22229978484341384</v>
      </c>
    </row>
    <row r="23" spans="1:6" x14ac:dyDescent="0.3">
      <c r="A23" s="1">
        <v>10.85</v>
      </c>
      <c r="B23" s="1">
        <v>0.89680000000000004</v>
      </c>
      <c r="C23" s="1">
        <f>Tabela5[[#This Row],[Alongamento(mm/mm)]]/$I$2</f>
        <v>1.7936000000000001E-2</v>
      </c>
      <c r="D23" s="1">
        <v>6.9741</v>
      </c>
      <c r="E23" s="1">
        <f>Tabela5[[#This Row],[Forτa(N)]]/$I$5</f>
        <v>222299.78484341383</v>
      </c>
      <c r="F23" s="1">
        <f>Tabela5[[#This Row],[Tensão(Pa)]]/1000000</f>
        <v>0.22229978484341384</v>
      </c>
    </row>
    <row r="24" spans="1:6" x14ac:dyDescent="0.3">
      <c r="A24" s="1">
        <v>10.933</v>
      </c>
      <c r="B24" s="1">
        <v>0.90378000000000003</v>
      </c>
      <c r="C24" s="1">
        <f>Tabela5[[#This Row],[Alongamento(mm/mm)]]/$I$2</f>
        <v>1.8075600000000001E-2</v>
      </c>
      <c r="D24" s="1">
        <v>6.9741</v>
      </c>
      <c r="E24" s="1">
        <f>Tabela5[[#This Row],[Forτa(N)]]/$I$5</f>
        <v>222299.78484341383</v>
      </c>
      <c r="F24" s="1">
        <f>Tabela5[[#This Row],[Tensão(Pa)]]/1000000</f>
        <v>0.22229978484341384</v>
      </c>
    </row>
    <row r="25" spans="1:6" x14ac:dyDescent="0.3">
      <c r="A25" s="1">
        <v>11.032999999999999</v>
      </c>
      <c r="B25" s="1">
        <v>0.91215000000000002</v>
      </c>
      <c r="C25" s="1">
        <f>Tabela5[[#This Row],[Alongamento(mm/mm)]]/$I$2</f>
        <v>1.8242999999999999E-2</v>
      </c>
      <c r="D25" s="1">
        <v>6.9741</v>
      </c>
      <c r="E25" s="1">
        <f>Tabela5[[#This Row],[Forτa(N)]]/$I$5</f>
        <v>222299.78484341383</v>
      </c>
      <c r="F25" s="1">
        <f>Tabela5[[#This Row],[Tensão(Pa)]]/1000000</f>
        <v>0.22229978484341384</v>
      </c>
    </row>
    <row r="26" spans="1:6" x14ac:dyDescent="0.3">
      <c r="A26" s="1">
        <v>11.132999999999999</v>
      </c>
      <c r="B26" s="1">
        <v>0.92044000000000004</v>
      </c>
      <c r="C26" s="1">
        <f>Tabela5[[#This Row],[Alongamento(mm/mm)]]/$I$2</f>
        <v>1.8408799999999999E-2</v>
      </c>
      <c r="D26" s="1">
        <v>6.9741</v>
      </c>
      <c r="E26" s="1">
        <f>Tabela5[[#This Row],[Forτa(N)]]/$I$5</f>
        <v>222299.78484341383</v>
      </c>
      <c r="F26" s="1">
        <f>Tabela5[[#This Row],[Tensão(Pa)]]/1000000</f>
        <v>0.22229978484341384</v>
      </c>
    </row>
    <row r="27" spans="1:6" x14ac:dyDescent="0.3">
      <c r="A27" s="1">
        <v>11.233000000000001</v>
      </c>
      <c r="B27" s="1">
        <v>0.92881000000000002</v>
      </c>
      <c r="C27" s="1">
        <f>Tabela5[[#This Row],[Alongamento(mm/mm)]]/$I$2</f>
        <v>1.8576200000000001E-2</v>
      </c>
      <c r="D27" s="1">
        <v>6.9741</v>
      </c>
      <c r="E27" s="1">
        <f>Tabela5[[#This Row],[Forτa(N)]]/$I$5</f>
        <v>222299.78484341383</v>
      </c>
      <c r="F27" s="1">
        <f>Tabela5[[#This Row],[Tensão(Pa)]]/1000000</f>
        <v>0.22229978484341384</v>
      </c>
    </row>
    <row r="28" spans="1:6" x14ac:dyDescent="0.3">
      <c r="A28" s="1">
        <v>11.333</v>
      </c>
      <c r="B28" s="1">
        <v>0.93708999999999998</v>
      </c>
      <c r="C28" s="1">
        <f>Tabela5[[#This Row],[Alongamento(mm/mm)]]/$I$2</f>
        <v>1.8741799999999999E-2</v>
      </c>
      <c r="D28" s="1">
        <v>6.9741</v>
      </c>
      <c r="E28" s="1">
        <f>Tabela5[[#This Row],[Forτa(N)]]/$I$5</f>
        <v>222299.78484341383</v>
      </c>
      <c r="F28" s="1">
        <f>Tabela5[[#This Row],[Tensão(Pa)]]/1000000</f>
        <v>0.22229978484341384</v>
      </c>
    </row>
    <row r="29" spans="1:6" x14ac:dyDescent="0.3">
      <c r="A29" s="1">
        <v>11.433</v>
      </c>
      <c r="B29" s="1">
        <v>0.94538</v>
      </c>
      <c r="C29" s="1">
        <f>Tabela5[[#This Row],[Alongamento(mm/mm)]]/$I$2</f>
        <v>1.89076E-2</v>
      </c>
      <c r="D29" s="1">
        <v>7.1441999999999997</v>
      </c>
      <c r="E29" s="1">
        <f>Tabela5[[#This Row],[Forτa(N)]]/$I$5</f>
        <v>227721.73081520441</v>
      </c>
      <c r="F29" s="1">
        <f>Tabela5[[#This Row],[Tensão(Pa)]]/1000000</f>
        <v>0.22772173081520442</v>
      </c>
    </row>
    <row r="30" spans="1:6" x14ac:dyDescent="0.3">
      <c r="A30" s="1">
        <v>11.532999999999999</v>
      </c>
      <c r="B30" s="1">
        <v>0.95374999999999999</v>
      </c>
      <c r="C30" s="1">
        <f>Tabela5[[#This Row],[Alongamento(mm/mm)]]/$I$2</f>
        <v>1.9074999999999998E-2</v>
      </c>
      <c r="D30" s="1">
        <v>7.1441999999999997</v>
      </c>
      <c r="E30" s="1">
        <f>Tabela5[[#This Row],[Forτa(N)]]/$I$5</f>
        <v>227721.73081520441</v>
      </c>
      <c r="F30" s="1">
        <f>Tabela5[[#This Row],[Tensão(Pa)]]/1000000</f>
        <v>0.22772173081520442</v>
      </c>
    </row>
    <row r="31" spans="1:6" x14ac:dyDescent="0.3">
      <c r="A31" s="1">
        <v>11.632999999999999</v>
      </c>
      <c r="B31" s="1">
        <v>0.96203000000000005</v>
      </c>
      <c r="C31" s="1">
        <f>Tabela5[[#This Row],[Alongamento(mm/mm)]]/$I$2</f>
        <v>1.92406E-2</v>
      </c>
      <c r="D31" s="1">
        <v>7.1441999999999997</v>
      </c>
      <c r="E31" s="1">
        <f>Tabela5[[#This Row],[Forτa(N)]]/$I$5</f>
        <v>227721.73081520441</v>
      </c>
      <c r="F31" s="1">
        <f>Tabela5[[#This Row],[Tensão(Pa)]]/1000000</f>
        <v>0.22772173081520442</v>
      </c>
    </row>
    <row r="32" spans="1:6" x14ac:dyDescent="0.3">
      <c r="A32" s="1">
        <v>11.733000000000001</v>
      </c>
      <c r="B32" s="1">
        <v>0.97040999999999999</v>
      </c>
      <c r="C32" s="1">
        <f>Tabela5[[#This Row],[Alongamento(mm/mm)]]/$I$2</f>
        <v>1.94082E-2</v>
      </c>
      <c r="D32" s="1">
        <v>7.1441999999999997</v>
      </c>
      <c r="E32" s="1">
        <f>Tabela5[[#This Row],[Forτa(N)]]/$I$5</f>
        <v>227721.73081520441</v>
      </c>
      <c r="F32" s="1">
        <f>Tabela5[[#This Row],[Tensão(Pa)]]/1000000</f>
        <v>0.22772173081520442</v>
      </c>
    </row>
    <row r="33" spans="1:6" x14ac:dyDescent="0.3">
      <c r="A33" s="1">
        <v>11.833</v>
      </c>
      <c r="B33" s="1">
        <v>0.97877999999999998</v>
      </c>
      <c r="C33" s="1">
        <f>Tabela5[[#This Row],[Alongamento(mm/mm)]]/$I$2</f>
        <v>1.9575599999999999E-2</v>
      </c>
      <c r="D33" s="1">
        <v>7.1441999999999997</v>
      </c>
      <c r="E33" s="1">
        <f>Tabela5[[#This Row],[Forτa(N)]]/$I$5</f>
        <v>227721.73081520441</v>
      </c>
      <c r="F33" s="1">
        <f>Tabela5[[#This Row],[Tensão(Pa)]]/1000000</f>
        <v>0.22772173081520442</v>
      </c>
    </row>
    <row r="34" spans="1:6" x14ac:dyDescent="0.3">
      <c r="A34" s="1">
        <v>11.933</v>
      </c>
      <c r="B34" s="1">
        <v>0.98707</v>
      </c>
      <c r="C34" s="1">
        <f>Tabela5[[#This Row],[Alongamento(mm/mm)]]/$I$2</f>
        <v>1.9741399999999999E-2</v>
      </c>
      <c r="D34" s="1">
        <v>7.1441999999999997</v>
      </c>
      <c r="E34" s="1">
        <f>Tabela5[[#This Row],[Forτa(N)]]/$I$5</f>
        <v>227721.73081520441</v>
      </c>
      <c r="F34" s="1">
        <f>Tabela5[[#This Row],[Tensão(Pa)]]/1000000</f>
        <v>0.22772173081520442</v>
      </c>
    </row>
    <row r="35" spans="1:6" x14ac:dyDescent="0.3">
      <c r="A35" s="1">
        <v>12.032999999999999</v>
      </c>
      <c r="B35" s="1">
        <v>0.99543999999999999</v>
      </c>
      <c r="C35" s="1">
        <f>Tabela5[[#This Row],[Alongamento(mm/mm)]]/$I$2</f>
        <v>1.9908800000000001E-2</v>
      </c>
      <c r="D35" s="1">
        <v>7.1441999999999997</v>
      </c>
      <c r="E35" s="1">
        <f>Tabela5[[#This Row],[Forτa(N)]]/$I$5</f>
        <v>227721.73081520441</v>
      </c>
      <c r="F35" s="1">
        <f>Tabela5[[#This Row],[Tensão(Pa)]]/1000000</f>
        <v>0.22772173081520442</v>
      </c>
    </row>
    <row r="36" spans="1:6" x14ac:dyDescent="0.3">
      <c r="A36" s="1">
        <v>12.132999999999999</v>
      </c>
      <c r="B36" s="1">
        <v>1.0037</v>
      </c>
      <c r="C36" s="1">
        <f>Tabela5[[#This Row],[Alongamento(mm/mm)]]/$I$2</f>
        <v>2.0074000000000002E-2</v>
      </c>
      <c r="D36" s="1">
        <v>7.3141999999999996</v>
      </c>
      <c r="E36" s="1">
        <f>Tabela5[[#This Row],[Forτa(N)]]/$I$5</f>
        <v>233140.48928201452</v>
      </c>
      <c r="F36" s="1">
        <f>Tabela5[[#This Row],[Tensão(Pa)]]/1000000</f>
        <v>0.23314048928201453</v>
      </c>
    </row>
    <row r="37" spans="1:6" x14ac:dyDescent="0.3">
      <c r="A37" s="1">
        <v>12.233000000000001</v>
      </c>
      <c r="B37" s="1">
        <v>1.0121</v>
      </c>
      <c r="C37" s="1">
        <f>Tabela5[[#This Row],[Alongamento(mm/mm)]]/$I$2</f>
        <v>2.0242E-2</v>
      </c>
      <c r="D37" s="1">
        <v>7.3141999999999996</v>
      </c>
      <c r="E37" s="1">
        <f>Tabela5[[#This Row],[Forτa(N)]]/$I$5</f>
        <v>233140.48928201452</v>
      </c>
      <c r="F37" s="1">
        <f>Tabela5[[#This Row],[Tensão(Pa)]]/1000000</f>
        <v>0.23314048928201453</v>
      </c>
    </row>
    <row r="38" spans="1:6" x14ac:dyDescent="0.3">
      <c r="A38" s="1">
        <v>12.333</v>
      </c>
      <c r="B38" s="1">
        <v>1.0205</v>
      </c>
      <c r="C38" s="1">
        <f>Tabela5[[#This Row],[Alongamento(mm/mm)]]/$I$2</f>
        <v>2.0409999999999998E-2</v>
      </c>
      <c r="D38" s="1">
        <v>7.3141999999999996</v>
      </c>
      <c r="E38" s="1">
        <f>Tabela5[[#This Row],[Forτa(N)]]/$I$5</f>
        <v>233140.48928201452</v>
      </c>
      <c r="F38" s="1">
        <f>Tabela5[[#This Row],[Tensão(Pa)]]/1000000</f>
        <v>0.23314048928201453</v>
      </c>
    </row>
    <row r="39" spans="1:6" x14ac:dyDescent="0.3">
      <c r="A39" s="1">
        <v>12.433</v>
      </c>
      <c r="B39" s="1">
        <v>1.0287999999999999</v>
      </c>
      <c r="C39" s="1">
        <f>Tabela5[[#This Row],[Alongamento(mm/mm)]]/$I$2</f>
        <v>2.0575999999999997E-2</v>
      </c>
      <c r="D39" s="1">
        <v>7.3141999999999996</v>
      </c>
      <c r="E39" s="1">
        <f>Tabela5[[#This Row],[Forτa(N)]]/$I$5</f>
        <v>233140.48928201452</v>
      </c>
      <c r="F39" s="1">
        <f>Tabela5[[#This Row],[Tensão(Pa)]]/1000000</f>
        <v>0.23314048928201453</v>
      </c>
    </row>
    <row r="40" spans="1:6" x14ac:dyDescent="0.3">
      <c r="A40" s="1">
        <v>12.532999999999999</v>
      </c>
      <c r="B40" s="1">
        <v>1.0370999999999999</v>
      </c>
      <c r="C40" s="1">
        <f>Tabela5[[#This Row],[Alongamento(mm/mm)]]/$I$2</f>
        <v>2.0741999999999997E-2</v>
      </c>
      <c r="D40" s="1">
        <v>7.3141999999999996</v>
      </c>
      <c r="E40" s="1">
        <f>Tabela5[[#This Row],[Forτa(N)]]/$I$5</f>
        <v>233140.48928201452</v>
      </c>
      <c r="F40" s="1">
        <f>Tabela5[[#This Row],[Tensão(Pa)]]/1000000</f>
        <v>0.23314048928201453</v>
      </c>
    </row>
    <row r="41" spans="1:6" x14ac:dyDescent="0.3">
      <c r="A41" s="1">
        <v>12.632999999999999</v>
      </c>
      <c r="B41" s="1">
        <v>1.0455000000000001</v>
      </c>
      <c r="C41" s="1">
        <f>Tabela5[[#This Row],[Alongamento(mm/mm)]]/$I$2</f>
        <v>2.0910000000000002E-2</v>
      </c>
      <c r="D41" s="1">
        <v>7.4843000000000002</v>
      </c>
      <c r="E41" s="1">
        <f>Tabela5[[#This Row],[Forτa(N)]]/$I$5</f>
        <v>238562.4352538051</v>
      </c>
      <c r="F41" s="1">
        <f>Tabela5[[#This Row],[Tensão(Pa)]]/1000000</f>
        <v>0.23856243525380511</v>
      </c>
    </row>
    <row r="42" spans="1:6" x14ac:dyDescent="0.3">
      <c r="A42" s="1">
        <v>12.733000000000001</v>
      </c>
      <c r="B42" s="1">
        <v>1.0538000000000001</v>
      </c>
      <c r="C42" s="1">
        <f>Tabela5[[#This Row],[Alongamento(mm/mm)]]/$I$2</f>
        <v>2.1076000000000001E-2</v>
      </c>
      <c r="D42" s="1">
        <v>7.6543999999999999</v>
      </c>
      <c r="E42" s="1">
        <f>Tabela5[[#This Row],[Forτa(N)]]/$I$5</f>
        <v>243984.38122559569</v>
      </c>
      <c r="F42" s="1">
        <f>Tabela5[[#This Row],[Tensão(Pa)]]/1000000</f>
        <v>0.24398438122559568</v>
      </c>
    </row>
    <row r="43" spans="1:6" x14ac:dyDescent="0.3">
      <c r="A43" s="1">
        <v>12.833</v>
      </c>
      <c r="B43" s="1">
        <v>1.0621</v>
      </c>
      <c r="C43" s="1">
        <f>Tabela5[[#This Row],[Alongamento(mm/mm)]]/$I$2</f>
        <v>2.1242E-2</v>
      </c>
      <c r="D43" s="1">
        <v>7.6543999999999999</v>
      </c>
      <c r="E43" s="1">
        <f>Tabela5[[#This Row],[Forτa(N)]]/$I$5</f>
        <v>243984.38122559569</v>
      </c>
      <c r="F43" s="1">
        <f>Tabela5[[#This Row],[Tensão(Pa)]]/1000000</f>
        <v>0.24398438122559568</v>
      </c>
    </row>
    <row r="44" spans="1:6" x14ac:dyDescent="0.3">
      <c r="A44" s="1">
        <v>12.933</v>
      </c>
      <c r="B44" s="1">
        <v>1.0704</v>
      </c>
      <c r="C44" s="1">
        <f>Tabela5[[#This Row],[Alongamento(mm/mm)]]/$I$2</f>
        <v>2.1408E-2</v>
      </c>
      <c r="D44" s="1">
        <v>7.8244999999999996</v>
      </c>
      <c r="E44" s="1">
        <f>Tabela5[[#This Row],[Forτa(N)]]/$I$5</f>
        <v>249406.32719738624</v>
      </c>
      <c r="F44" s="1">
        <f>Tabela5[[#This Row],[Tensão(Pa)]]/1000000</f>
        <v>0.24940632719738623</v>
      </c>
    </row>
    <row r="45" spans="1:6" x14ac:dyDescent="0.3">
      <c r="A45" s="1">
        <v>13.032999999999999</v>
      </c>
      <c r="B45" s="1">
        <v>1.0788</v>
      </c>
      <c r="C45" s="1">
        <f>Tabela5[[#This Row],[Alongamento(mm/mm)]]/$I$2</f>
        <v>2.1575999999999998E-2</v>
      </c>
      <c r="D45" s="1">
        <v>7.9946000000000002</v>
      </c>
      <c r="E45" s="1">
        <f>Tabela5[[#This Row],[Forτa(N)]]/$I$5</f>
        <v>254828.27316917686</v>
      </c>
      <c r="F45" s="1">
        <f>Tabela5[[#This Row],[Tensão(Pa)]]/1000000</f>
        <v>0.25482827316917683</v>
      </c>
    </row>
    <row r="46" spans="1:6" x14ac:dyDescent="0.3">
      <c r="A46" s="1">
        <v>13.15</v>
      </c>
      <c r="B46" s="1">
        <v>1.0885</v>
      </c>
      <c r="C46" s="1">
        <f>Tabela5[[#This Row],[Alongamento(mm/mm)]]/$I$2</f>
        <v>2.1770000000000001E-2</v>
      </c>
      <c r="D46" s="1">
        <v>8.3347999999999995</v>
      </c>
      <c r="E46" s="1">
        <f>Tabela5[[#This Row],[Forτa(N)]]/$I$5</f>
        <v>265672.165112758</v>
      </c>
      <c r="F46" s="1">
        <f>Tabela5[[#This Row],[Tensão(Pa)]]/1000000</f>
        <v>0.26567216511275799</v>
      </c>
    </row>
    <row r="47" spans="1:6" x14ac:dyDescent="0.3">
      <c r="A47" s="1">
        <v>13.266999999999999</v>
      </c>
      <c r="B47" s="1">
        <v>1.0983000000000001</v>
      </c>
      <c r="C47" s="1">
        <f>Tabela5[[#This Row],[Alongamento(mm/mm)]]/$I$2</f>
        <v>2.1965999999999999E-2</v>
      </c>
      <c r="D47" s="1">
        <v>8.8451000000000004</v>
      </c>
      <c r="E47" s="1">
        <f>Tabela5[[#This Row],[Forτa(N)]]/$I$5</f>
        <v>281938.00302812975</v>
      </c>
      <c r="F47" s="1">
        <f>Tabela5[[#This Row],[Tensão(Pa)]]/1000000</f>
        <v>0.28193800302812977</v>
      </c>
    </row>
    <row r="48" spans="1:6" x14ac:dyDescent="0.3">
      <c r="A48" s="1">
        <v>13.382999999999999</v>
      </c>
      <c r="B48" s="1">
        <v>1.1079000000000001</v>
      </c>
      <c r="C48" s="1">
        <f>Tabela5[[#This Row],[Alongamento(mm/mm)]]/$I$2</f>
        <v>2.2158000000000001E-2</v>
      </c>
      <c r="D48" s="1">
        <v>8.3347999999999995</v>
      </c>
      <c r="E48" s="1">
        <f>Tabela5[[#This Row],[Forτa(N)]]/$I$5</f>
        <v>265672.165112758</v>
      </c>
      <c r="F48" s="1">
        <f>Tabela5[[#This Row],[Tensão(Pa)]]/1000000</f>
        <v>0.26567216511275799</v>
      </c>
    </row>
    <row r="49" spans="1:6" x14ac:dyDescent="0.3">
      <c r="A49" s="1">
        <v>13.5</v>
      </c>
      <c r="B49" s="1">
        <v>1.1175999999999999</v>
      </c>
      <c r="C49" s="1">
        <f>Tabela5[[#This Row],[Alongamento(mm/mm)]]/$I$2</f>
        <v>2.2351999999999997E-2</v>
      </c>
      <c r="D49" s="1">
        <v>8.1646999999999998</v>
      </c>
      <c r="E49" s="1">
        <f>Tabela5[[#This Row],[Forτa(N)]]/$I$5</f>
        <v>260250.21914096741</v>
      </c>
      <c r="F49" s="1">
        <f>Tabela5[[#This Row],[Tensão(Pa)]]/1000000</f>
        <v>0.26025021914096741</v>
      </c>
    </row>
    <row r="50" spans="1:6" x14ac:dyDescent="0.3">
      <c r="A50" s="1">
        <v>13.617000000000001</v>
      </c>
      <c r="B50" s="1">
        <v>1.1273</v>
      </c>
      <c r="C50" s="1">
        <f>Tabela5[[#This Row],[Alongamento(mm/mm)]]/$I$2</f>
        <v>2.2546E-2</v>
      </c>
      <c r="D50" s="1">
        <v>8.1646999999999998</v>
      </c>
      <c r="E50" s="1">
        <f>Tabela5[[#This Row],[Forτa(N)]]/$I$5</f>
        <v>260250.21914096741</v>
      </c>
      <c r="F50" s="1">
        <f>Tabela5[[#This Row],[Tensão(Pa)]]/1000000</f>
        <v>0.26025021914096741</v>
      </c>
    </row>
    <row r="51" spans="1:6" x14ac:dyDescent="0.3">
      <c r="A51" s="1">
        <v>13.733000000000001</v>
      </c>
      <c r="B51" s="1">
        <v>1.1371</v>
      </c>
      <c r="C51" s="1">
        <f>Tabela5[[#This Row],[Alongamento(mm/mm)]]/$I$2</f>
        <v>2.2741999999999998E-2</v>
      </c>
      <c r="D51" s="1">
        <v>8.5048999999999992</v>
      </c>
      <c r="E51" s="1">
        <f>Tabela5[[#This Row],[Forτa(N)]]/$I$5</f>
        <v>271094.11108454858</v>
      </c>
      <c r="F51" s="1">
        <f>Tabela5[[#This Row],[Tensão(Pa)]]/1000000</f>
        <v>0.27109411108454856</v>
      </c>
    </row>
    <row r="52" spans="1:6" x14ac:dyDescent="0.3">
      <c r="A52" s="1">
        <v>13.85</v>
      </c>
      <c r="B52" s="1">
        <v>1.1468</v>
      </c>
      <c r="C52" s="1">
        <f>Tabela5[[#This Row],[Alongamento(mm/mm)]]/$I$2</f>
        <v>2.2936000000000002E-2</v>
      </c>
      <c r="D52" s="1">
        <v>8.1646999999999998</v>
      </c>
      <c r="E52" s="1">
        <f>Tabela5[[#This Row],[Forτa(N)]]/$I$5</f>
        <v>260250.21914096741</v>
      </c>
      <c r="F52" s="1">
        <f>Tabela5[[#This Row],[Tensão(Pa)]]/1000000</f>
        <v>0.26025021914096741</v>
      </c>
    </row>
    <row r="53" spans="1:6" x14ac:dyDescent="0.3">
      <c r="A53" s="1">
        <v>13.967000000000001</v>
      </c>
      <c r="B53" s="1">
        <v>1.1565000000000001</v>
      </c>
      <c r="C53" s="1">
        <f>Tabela5[[#This Row],[Alongamento(mm/mm)]]/$I$2</f>
        <v>2.3130000000000001E-2</v>
      </c>
      <c r="D53" s="1">
        <v>8.1646999999999998</v>
      </c>
      <c r="E53" s="1">
        <f>Tabela5[[#This Row],[Forτa(N)]]/$I$5</f>
        <v>260250.21914096741</v>
      </c>
      <c r="F53" s="1">
        <f>Tabela5[[#This Row],[Tensão(Pa)]]/1000000</f>
        <v>0.26025021914096741</v>
      </c>
    </row>
    <row r="54" spans="1:6" x14ac:dyDescent="0.3">
      <c r="A54" s="1">
        <v>14.083</v>
      </c>
      <c r="B54" s="1">
        <v>1.1662999999999999</v>
      </c>
      <c r="C54" s="1">
        <f>Tabela5[[#This Row],[Alongamento(mm/mm)]]/$I$2</f>
        <v>2.3326E-2</v>
      </c>
      <c r="D54" s="1">
        <v>8.5048999999999992</v>
      </c>
      <c r="E54" s="1">
        <f>Tabela5[[#This Row],[Forτa(N)]]/$I$5</f>
        <v>271094.11108454858</v>
      </c>
      <c r="F54" s="1">
        <f>Tabela5[[#This Row],[Tensão(Pa)]]/1000000</f>
        <v>0.27109411108454856</v>
      </c>
    </row>
    <row r="55" spans="1:6" x14ac:dyDescent="0.3">
      <c r="A55" s="1">
        <v>14.2</v>
      </c>
      <c r="B55" s="1">
        <v>1.1760999999999999</v>
      </c>
      <c r="C55" s="1">
        <f>Tabela5[[#This Row],[Alongamento(mm/mm)]]/$I$2</f>
        <v>2.3521999999999998E-2</v>
      </c>
      <c r="D55" s="1">
        <v>9.1852999999999998</v>
      </c>
      <c r="E55" s="1">
        <f>Tabela5[[#This Row],[Forτa(N)]]/$I$5</f>
        <v>292781.89497171092</v>
      </c>
      <c r="F55" s="1">
        <f>Tabela5[[#This Row],[Tensão(Pa)]]/1000000</f>
        <v>0.29278189497171092</v>
      </c>
    </row>
    <row r="56" spans="1:6" x14ac:dyDescent="0.3">
      <c r="A56" s="1">
        <v>14.317</v>
      </c>
      <c r="B56" s="1">
        <v>1.1857</v>
      </c>
      <c r="C56" s="1">
        <f>Tabela5[[#This Row],[Alongamento(mm/mm)]]/$I$2</f>
        <v>2.3713999999999999E-2</v>
      </c>
      <c r="D56" s="1">
        <v>9.8657000000000004</v>
      </c>
      <c r="E56" s="1">
        <f>Tabela5[[#This Row],[Forτa(N)]]/$I$5</f>
        <v>314469.67885887326</v>
      </c>
      <c r="F56" s="1">
        <f>Tabela5[[#This Row],[Tensão(Pa)]]/1000000</f>
        <v>0.31446967885887328</v>
      </c>
    </row>
    <row r="57" spans="1:6" x14ac:dyDescent="0.3">
      <c r="A57" s="1">
        <v>14.433</v>
      </c>
      <c r="B57" s="1">
        <v>1.1954</v>
      </c>
      <c r="C57" s="1">
        <f>Tabela5[[#This Row],[Alongamento(mm/mm)]]/$I$2</f>
        <v>2.3907999999999999E-2</v>
      </c>
      <c r="D57" s="1">
        <v>10.206</v>
      </c>
      <c r="E57" s="1">
        <f>Tabela5[[#This Row],[Forτa(N)]]/$I$5</f>
        <v>325316.75830743485</v>
      </c>
      <c r="F57" s="1">
        <f>Tabela5[[#This Row],[Tensão(Pa)]]/1000000</f>
        <v>0.32531675830743484</v>
      </c>
    </row>
    <row r="58" spans="1:6" x14ac:dyDescent="0.3">
      <c r="A58" s="1">
        <v>14.55</v>
      </c>
      <c r="B58" s="1">
        <v>1.2051000000000001</v>
      </c>
      <c r="C58" s="1">
        <f>Tabela5[[#This Row],[Alongamento(mm/mm)]]/$I$2</f>
        <v>2.4102000000000002E-2</v>
      </c>
      <c r="D58" s="1">
        <v>10.206</v>
      </c>
      <c r="E58" s="1">
        <f>Tabela5[[#This Row],[Forτa(N)]]/$I$5</f>
        <v>325316.75830743485</v>
      </c>
      <c r="F58" s="1">
        <f>Tabela5[[#This Row],[Tensão(Pa)]]/1000000</f>
        <v>0.32531675830743484</v>
      </c>
    </row>
    <row r="59" spans="1:6" x14ac:dyDescent="0.3">
      <c r="A59" s="1">
        <v>14.667</v>
      </c>
      <c r="B59" s="1">
        <v>1.2149000000000001</v>
      </c>
      <c r="C59" s="1">
        <f>Tabela5[[#This Row],[Alongamento(mm/mm)]]/$I$2</f>
        <v>2.4298E-2</v>
      </c>
      <c r="D59" s="1">
        <v>10.375999999999999</v>
      </c>
      <c r="E59" s="1">
        <f>Tabela5[[#This Row],[Forτa(N)]]/$I$5</f>
        <v>330735.51677424496</v>
      </c>
      <c r="F59" s="1">
        <f>Tabela5[[#This Row],[Tensão(Pa)]]/1000000</f>
        <v>0.33073551677424495</v>
      </c>
    </row>
    <row r="60" spans="1:6" x14ac:dyDescent="0.3">
      <c r="A60" s="1">
        <v>14.782999999999999</v>
      </c>
      <c r="B60" s="1">
        <v>1.2245999999999999</v>
      </c>
      <c r="C60" s="1">
        <f>Tabela5[[#This Row],[Alongamento(mm/mm)]]/$I$2</f>
        <v>2.4492E-2</v>
      </c>
      <c r="D60" s="1">
        <v>10.375999999999999</v>
      </c>
      <c r="E60" s="1">
        <f>Tabela5[[#This Row],[Forτa(N)]]/$I$5</f>
        <v>330735.51677424496</v>
      </c>
      <c r="F60" s="1">
        <f>Tabela5[[#This Row],[Tensão(Pa)]]/1000000</f>
        <v>0.33073551677424495</v>
      </c>
    </row>
    <row r="61" spans="1:6" x14ac:dyDescent="0.3">
      <c r="A61" s="1">
        <v>14.9</v>
      </c>
      <c r="B61" s="1">
        <v>1.2343999999999999</v>
      </c>
      <c r="C61" s="1">
        <f>Tabela5[[#This Row],[Alongamento(mm/mm)]]/$I$2</f>
        <v>2.4687999999999998E-2</v>
      </c>
      <c r="D61" s="1">
        <v>10.375999999999999</v>
      </c>
      <c r="E61" s="1">
        <f>Tabela5[[#This Row],[Forτa(N)]]/$I$5</f>
        <v>330735.51677424496</v>
      </c>
      <c r="F61" s="1">
        <f>Tabela5[[#This Row],[Tensão(Pa)]]/1000000</f>
        <v>0.33073551677424495</v>
      </c>
    </row>
    <row r="62" spans="1:6" x14ac:dyDescent="0.3">
      <c r="A62" s="1">
        <v>15.016999999999999</v>
      </c>
      <c r="B62" s="1">
        <v>1.2441</v>
      </c>
      <c r="C62" s="1">
        <f>Tabela5[[#This Row],[Alongamento(mm/mm)]]/$I$2</f>
        <v>2.4882000000000001E-2</v>
      </c>
      <c r="D62" s="1">
        <v>10.375999999999999</v>
      </c>
      <c r="E62" s="1">
        <f>Tabela5[[#This Row],[Forτa(N)]]/$I$5</f>
        <v>330735.51677424496</v>
      </c>
      <c r="F62" s="1">
        <f>Tabela5[[#This Row],[Tensão(Pa)]]/1000000</f>
        <v>0.33073551677424495</v>
      </c>
    </row>
    <row r="63" spans="1:6" x14ac:dyDescent="0.3">
      <c r="A63" s="1">
        <v>15.132999999999999</v>
      </c>
      <c r="B63" s="1">
        <v>1.2538</v>
      </c>
      <c r="C63" s="1">
        <f>Tabela5[[#This Row],[Alongamento(mm/mm)]]/$I$2</f>
        <v>2.5076000000000001E-2</v>
      </c>
      <c r="D63" s="1">
        <v>10.375999999999999</v>
      </c>
      <c r="E63" s="1">
        <f>Tabela5[[#This Row],[Forτa(N)]]/$I$5</f>
        <v>330735.51677424496</v>
      </c>
      <c r="F63" s="1">
        <f>Tabela5[[#This Row],[Tensão(Pa)]]/1000000</f>
        <v>0.33073551677424495</v>
      </c>
    </row>
    <row r="64" spans="1:6" x14ac:dyDescent="0.3">
      <c r="A64" s="1">
        <v>15.266999999999999</v>
      </c>
      <c r="B64" s="1">
        <v>1.2647999999999999</v>
      </c>
      <c r="C64" s="1">
        <f>Tabela5[[#This Row],[Alongamento(mm/mm)]]/$I$2</f>
        <v>2.5295999999999999E-2</v>
      </c>
      <c r="D64" s="1">
        <v>10.375999999999999</v>
      </c>
      <c r="E64" s="1">
        <f>Tabela5[[#This Row],[Forτa(N)]]/$I$5</f>
        <v>330735.51677424496</v>
      </c>
      <c r="F64" s="1">
        <f>Tabela5[[#This Row],[Tensão(Pa)]]/1000000</f>
        <v>0.33073551677424495</v>
      </c>
    </row>
    <row r="65" spans="1:6" x14ac:dyDescent="0.3">
      <c r="A65" s="1">
        <v>15.4</v>
      </c>
      <c r="B65" s="1">
        <v>1.276</v>
      </c>
      <c r="C65" s="1">
        <f>Tabela5[[#This Row],[Alongamento(mm/mm)]]/$I$2</f>
        <v>2.5520000000000001E-2</v>
      </c>
      <c r="D65" s="1">
        <v>10.375999999999999</v>
      </c>
      <c r="E65" s="1">
        <f>Tabela5[[#This Row],[Forτa(N)]]/$I$5</f>
        <v>330735.51677424496</v>
      </c>
      <c r="F65" s="1">
        <f>Tabela5[[#This Row],[Tensão(Pa)]]/1000000</f>
        <v>0.33073551677424495</v>
      </c>
    </row>
    <row r="66" spans="1:6" x14ac:dyDescent="0.3">
      <c r="A66" s="1">
        <v>15.532999999999999</v>
      </c>
      <c r="B66" s="1">
        <v>1.2870999999999999</v>
      </c>
      <c r="C66" s="1">
        <f>Tabela5[[#This Row],[Alongamento(mm/mm)]]/$I$2</f>
        <v>2.5741999999999998E-2</v>
      </c>
      <c r="D66" s="1">
        <v>10.375999999999999</v>
      </c>
      <c r="E66" s="1">
        <f>Tabela5[[#This Row],[Forτa(N)]]/$I$5</f>
        <v>330735.51677424496</v>
      </c>
      <c r="F66" s="1">
        <f>Tabela5[[#This Row],[Tensão(Pa)]]/1000000</f>
        <v>0.33073551677424495</v>
      </c>
    </row>
    <row r="67" spans="1:6" x14ac:dyDescent="0.3">
      <c r="A67" s="1">
        <v>15.667</v>
      </c>
      <c r="B67" s="1">
        <v>1.2982</v>
      </c>
      <c r="C67" s="1">
        <f>Tabela5[[#This Row],[Alongamento(mm/mm)]]/$I$2</f>
        <v>2.5964000000000001E-2</v>
      </c>
      <c r="D67" s="1">
        <v>10.375999999999999</v>
      </c>
      <c r="E67" s="1">
        <f>Tabela5[[#This Row],[Forτa(N)]]/$I$5</f>
        <v>330735.51677424496</v>
      </c>
      <c r="F67" s="1">
        <f>Tabela5[[#This Row],[Tensão(Pa)]]/1000000</f>
        <v>0.33073551677424495</v>
      </c>
    </row>
    <row r="68" spans="1:6" x14ac:dyDescent="0.3">
      <c r="A68" s="1">
        <v>15.8</v>
      </c>
      <c r="B68" s="1">
        <v>1.3092999999999999</v>
      </c>
      <c r="C68" s="1">
        <f>Tabela5[[#This Row],[Alongamento(mm/mm)]]/$I$2</f>
        <v>2.6185999999999997E-2</v>
      </c>
      <c r="D68" s="1">
        <v>10.375999999999999</v>
      </c>
      <c r="E68" s="1">
        <f>Tabela5[[#This Row],[Forτa(N)]]/$I$5</f>
        <v>330735.51677424496</v>
      </c>
      <c r="F68" s="1">
        <f>Tabela5[[#This Row],[Tensão(Pa)]]/1000000</f>
        <v>0.33073551677424495</v>
      </c>
    </row>
    <row r="69" spans="1:6" x14ac:dyDescent="0.3">
      <c r="A69" s="1">
        <v>15.933</v>
      </c>
      <c r="B69" s="1">
        <v>1.3204</v>
      </c>
      <c r="C69" s="1">
        <f>Tabela5[[#This Row],[Alongamento(mm/mm)]]/$I$2</f>
        <v>2.6408000000000001E-2</v>
      </c>
      <c r="D69" s="1">
        <v>10.375999999999999</v>
      </c>
      <c r="E69" s="1">
        <f>Tabela5[[#This Row],[Forτa(N)]]/$I$5</f>
        <v>330735.51677424496</v>
      </c>
      <c r="F69" s="1">
        <f>Tabela5[[#This Row],[Tensão(Pa)]]/1000000</f>
        <v>0.33073551677424495</v>
      </c>
    </row>
    <row r="70" spans="1:6" x14ac:dyDescent="0.3">
      <c r="A70" s="1">
        <v>16.067</v>
      </c>
      <c r="B70" s="1">
        <v>1.3315999999999999</v>
      </c>
      <c r="C70" s="1">
        <f>Tabela5[[#This Row],[Alongamento(mm/mm)]]/$I$2</f>
        <v>2.6631999999999999E-2</v>
      </c>
      <c r="D70" s="1">
        <v>10.545999999999999</v>
      </c>
      <c r="E70" s="1">
        <f>Tabela5[[#This Row],[Forτa(N)]]/$I$5</f>
        <v>336154.27524105506</v>
      </c>
      <c r="F70" s="1">
        <f>Tabela5[[#This Row],[Tensão(Pa)]]/1000000</f>
        <v>0.33615427524105507</v>
      </c>
    </row>
    <row r="71" spans="1:6" x14ac:dyDescent="0.3">
      <c r="A71" s="1">
        <v>16.2</v>
      </c>
      <c r="B71" s="1">
        <v>1.3426</v>
      </c>
      <c r="C71" s="1">
        <f>Tabela5[[#This Row],[Alongamento(mm/mm)]]/$I$2</f>
        <v>2.6852000000000001E-2</v>
      </c>
      <c r="D71" s="1">
        <v>10.545999999999999</v>
      </c>
      <c r="E71" s="1">
        <f>Tabela5[[#This Row],[Forτa(N)]]/$I$5</f>
        <v>336154.27524105506</v>
      </c>
      <c r="F71" s="1">
        <f>Tabela5[[#This Row],[Tensão(Pa)]]/1000000</f>
        <v>0.33615427524105507</v>
      </c>
    </row>
    <row r="72" spans="1:6" x14ac:dyDescent="0.3">
      <c r="A72" s="1">
        <v>16.332999999999998</v>
      </c>
      <c r="B72" s="1">
        <v>1.3537999999999999</v>
      </c>
      <c r="C72" s="1">
        <f>Tabela5[[#This Row],[Alongamento(mm/mm)]]/$I$2</f>
        <v>2.7075999999999999E-2</v>
      </c>
      <c r="D72" s="1">
        <v>10.545999999999999</v>
      </c>
      <c r="E72" s="1">
        <f>Tabela5[[#This Row],[Forτa(N)]]/$I$5</f>
        <v>336154.27524105506</v>
      </c>
      <c r="F72" s="1">
        <f>Tabela5[[#This Row],[Tensão(Pa)]]/1000000</f>
        <v>0.33615427524105507</v>
      </c>
    </row>
    <row r="73" spans="1:6" x14ac:dyDescent="0.3">
      <c r="A73" s="1">
        <v>16.466999999999999</v>
      </c>
      <c r="B73" s="1">
        <v>1.3648</v>
      </c>
      <c r="C73" s="1">
        <f>Tabela5[[#This Row],[Alongamento(mm/mm)]]/$I$2</f>
        <v>2.7296000000000001E-2</v>
      </c>
      <c r="D73" s="1">
        <v>10.545999999999999</v>
      </c>
      <c r="E73" s="1">
        <f>Tabela5[[#This Row],[Forτa(N)]]/$I$5</f>
        <v>336154.27524105506</v>
      </c>
      <c r="F73" s="1">
        <f>Tabela5[[#This Row],[Tensão(Pa)]]/1000000</f>
        <v>0.33615427524105507</v>
      </c>
    </row>
    <row r="74" spans="1:6" x14ac:dyDescent="0.3">
      <c r="A74" s="1">
        <v>16.600000000000001</v>
      </c>
      <c r="B74" s="1">
        <v>1.3759999999999999</v>
      </c>
      <c r="C74" s="1">
        <f>Tabela5[[#This Row],[Alongamento(mm/mm)]]/$I$2</f>
        <v>2.7519999999999999E-2</v>
      </c>
      <c r="D74" s="1">
        <v>10.885999999999999</v>
      </c>
      <c r="E74" s="1">
        <f>Tabela5[[#This Row],[Forτa(N)]]/$I$5</f>
        <v>346991.79217467527</v>
      </c>
      <c r="F74" s="1">
        <f>Tabela5[[#This Row],[Tensão(Pa)]]/1000000</f>
        <v>0.3469917921746753</v>
      </c>
    </row>
    <row r="75" spans="1:6" x14ac:dyDescent="0.3">
      <c r="A75" s="1">
        <v>16.733000000000001</v>
      </c>
      <c r="B75" s="1">
        <v>1.3871</v>
      </c>
      <c r="C75" s="1">
        <f>Tabela5[[#This Row],[Alongamento(mm/mm)]]/$I$2</f>
        <v>2.7741999999999999E-2</v>
      </c>
      <c r="D75" s="1">
        <v>11.567</v>
      </c>
      <c r="E75" s="1">
        <f>Tabela5[[#This Row],[Forτa(N)]]/$I$5</f>
        <v>368698.70109172049</v>
      </c>
      <c r="F75" s="1">
        <f>Tabela5[[#This Row],[Tensão(Pa)]]/1000000</f>
        <v>0.36869870109172048</v>
      </c>
    </row>
    <row r="76" spans="1:6" x14ac:dyDescent="0.3">
      <c r="A76" s="1">
        <v>16.867000000000001</v>
      </c>
      <c r="B76" s="1">
        <v>1.3982000000000001</v>
      </c>
      <c r="C76" s="1">
        <f>Tabela5[[#This Row],[Alongamento(mm/mm)]]/$I$2</f>
        <v>2.7964000000000003E-2</v>
      </c>
      <c r="D76" s="1">
        <v>12.247</v>
      </c>
      <c r="E76" s="1">
        <f>Tabela5[[#This Row],[Forτa(N)]]/$I$5</f>
        <v>390373.73495896091</v>
      </c>
      <c r="F76" s="1">
        <f>Tabela5[[#This Row],[Tensão(Pa)]]/1000000</f>
        <v>0.39037373495896088</v>
      </c>
    </row>
    <row r="77" spans="1:6" x14ac:dyDescent="0.3">
      <c r="A77" s="1">
        <v>17</v>
      </c>
      <c r="B77" s="1">
        <v>1.4094</v>
      </c>
      <c r="C77" s="1">
        <f>Tabela5[[#This Row],[Alongamento(mm/mm)]]/$I$2</f>
        <v>2.8188000000000001E-2</v>
      </c>
      <c r="D77" s="1">
        <v>12.417</v>
      </c>
      <c r="E77" s="1">
        <f>Tabela5[[#This Row],[Forτa(N)]]/$I$5</f>
        <v>395792.49342577101</v>
      </c>
      <c r="F77" s="1">
        <f>Tabela5[[#This Row],[Tensão(Pa)]]/1000000</f>
        <v>0.395792493425771</v>
      </c>
    </row>
    <row r="78" spans="1:6" x14ac:dyDescent="0.3">
      <c r="A78" s="1">
        <v>17.132999999999999</v>
      </c>
      <c r="B78" s="1">
        <v>1.4205000000000001</v>
      </c>
      <c r="C78" s="1">
        <f>Tabela5[[#This Row],[Alongamento(mm/mm)]]/$I$2</f>
        <v>2.8410000000000001E-2</v>
      </c>
      <c r="D78" s="1">
        <v>12.417</v>
      </c>
      <c r="E78" s="1">
        <f>Tabela5[[#This Row],[Forτa(N)]]/$I$5</f>
        <v>395792.49342577101</v>
      </c>
      <c r="F78" s="1">
        <f>Tabela5[[#This Row],[Tensão(Pa)]]/1000000</f>
        <v>0.395792493425771</v>
      </c>
    </row>
    <row r="79" spans="1:6" x14ac:dyDescent="0.3">
      <c r="A79" s="1">
        <v>17.283000000000001</v>
      </c>
      <c r="B79" s="1">
        <v>1.4329000000000001</v>
      </c>
      <c r="C79" s="1">
        <f>Tabela5[[#This Row],[Alongamento(mm/mm)]]/$I$2</f>
        <v>2.8658000000000003E-2</v>
      </c>
      <c r="D79" s="1">
        <v>12.587</v>
      </c>
      <c r="E79" s="1">
        <f>Tabela5[[#This Row],[Forτa(N)]]/$I$5</f>
        <v>401211.25189258112</v>
      </c>
      <c r="F79" s="1">
        <f>Tabela5[[#This Row],[Tensão(Pa)]]/1000000</f>
        <v>0.40121125189258111</v>
      </c>
    </row>
    <row r="80" spans="1:6" x14ac:dyDescent="0.3">
      <c r="A80" s="1">
        <v>17.433</v>
      </c>
      <c r="B80" s="1">
        <v>1.4455</v>
      </c>
      <c r="C80" s="1">
        <f>Tabela5[[#This Row],[Alongamento(mm/mm)]]/$I$2</f>
        <v>2.8910000000000002E-2</v>
      </c>
      <c r="D80" s="1">
        <v>12.587</v>
      </c>
      <c r="E80" s="1">
        <f>Tabela5[[#This Row],[Forτa(N)]]/$I$5</f>
        <v>401211.25189258112</v>
      </c>
      <c r="F80" s="1">
        <f>Tabela5[[#This Row],[Tensão(Pa)]]/1000000</f>
        <v>0.40121125189258111</v>
      </c>
    </row>
    <row r="81" spans="1:6" x14ac:dyDescent="0.3">
      <c r="A81" s="1">
        <v>17.582999999999998</v>
      </c>
      <c r="B81" s="1">
        <v>1.4578</v>
      </c>
      <c r="C81" s="1">
        <f>Tabela5[[#This Row],[Alongamento(mm/mm)]]/$I$2</f>
        <v>2.9156000000000001E-2</v>
      </c>
      <c r="D81" s="1">
        <v>12.587</v>
      </c>
      <c r="E81" s="1">
        <f>Tabela5[[#This Row],[Forτa(N)]]/$I$5</f>
        <v>401211.25189258112</v>
      </c>
      <c r="F81" s="1">
        <f>Tabela5[[#This Row],[Tensão(Pa)]]/1000000</f>
        <v>0.40121125189258111</v>
      </c>
    </row>
    <row r="82" spans="1:6" x14ac:dyDescent="0.3">
      <c r="A82" s="1">
        <v>17.733000000000001</v>
      </c>
      <c r="B82" s="1">
        <v>1.4704999999999999</v>
      </c>
      <c r="C82" s="1">
        <f>Tabela5[[#This Row],[Alongamento(mm/mm)]]/$I$2</f>
        <v>2.9409999999999999E-2</v>
      </c>
      <c r="D82" s="1">
        <v>12.587</v>
      </c>
      <c r="E82" s="1">
        <f>Tabela5[[#This Row],[Forτa(N)]]/$I$5</f>
        <v>401211.25189258112</v>
      </c>
      <c r="F82" s="1">
        <f>Tabela5[[#This Row],[Tensão(Pa)]]/1000000</f>
        <v>0.40121125189258111</v>
      </c>
    </row>
    <row r="83" spans="1:6" x14ac:dyDescent="0.3">
      <c r="A83" s="1">
        <v>17.882999999999999</v>
      </c>
      <c r="B83" s="1">
        <v>1.4829000000000001</v>
      </c>
      <c r="C83" s="1">
        <f>Tabela5[[#This Row],[Alongamento(mm/mm)]]/$I$2</f>
        <v>2.9658000000000004E-2</v>
      </c>
      <c r="D83" s="1">
        <v>12.587</v>
      </c>
      <c r="E83" s="1">
        <f>Tabela5[[#This Row],[Forτa(N)]]/$I$5</f>
        <v>401211.25189258112</v>
      </c>
      <c r="F83" s="1">
        <f>Tabela5[[#This Row],[Tensão(Pa)]]/1000000</f>
        <v>0.40121125189258111</v>
      </c>
    </row>
    <row r="84" spans="1:6" x14ac:dyDescent="0.3">
      <c r="A84" s="1">
        <v>18.033000000000001</v>
      </c>
      <c r="B84" s="1">
        <v>1.4954000000000001</v>
      </c>
      <c r="C84" s="1">
        <f>Tabela5[[#This Row],[Alongamento(mm/mm)]]/$I$2</f>
        <v>2.9908000000000001E-2</v>
      </c>
      <c r="D84" s="1">
        <v>12.587</v>
      </c>
      <c r="E84" s="1">
        <f>Tabela5[[#This Row],[Forτa(N)]]/$I$5</f>
        <v>401211.25189258112</v>
      </c>
      <c r="F84" s="1">
        <f>Tabela5[[#This Row],[Tensão(Pa)]]/1000000</f>
        <v>0.40121125189258111</v>
      </c>
    </row>
    <row r="85" spans="1:6" x14ac:dyDescent="0.3">
      <c r="A85" s="1">
        <v>18.183</v>
      </c>
      <c r="B85" s="1">
        <v>1.5079</v>
      </c>
      <c r="C85" s="1">
        <f>Tabela5[[#This Row],[Alongamento(mm/mm)]]/$I$2</f>
        <v>3.0158000000000001E-2</v>
      </c>
      <c r="D85" s="1">
        <v>12.587</v>
      </c>
      <c r="E85" s="1">
        <f>Tabela5[[#This Row],[Forτa(N)]]/$I$5</f>
        <v>401211.25189258112</v>
      </c>
      <c r="F85" s="1">
        <f>Tabela5[[#This Row],[Tensão(Pa)]]/1000000</f>
        <v>0.40121125189258111</v>
      </c>
    </row>
    <row r="86" spans="1:6" x14ac:dyDescent="0.3">
      <c r="A86" s="1">
        <v>18.332999999999998</v>
      </c>
      <c r="B86" s="1">
        <v>1.5204</v>
      </c>
      <c r="C86" s="1">
        <f>Tabela5[[#This Row],[Alongamento(mm/mm)]]/$I$2</f>
        <v>3.0408000000000001E-2</v>
      </c>
      <c r="D86" s="1">
        <v>12.587</v>
      </c>
      <c r="E86" s="1">
        <f>Tabela5[[#This Row],[Forτa(N)]]/$I$5</f>
        <v>401211.25189258112</v>
      </c>
      <c r="F86" s="1">
        <f>Tabela5[[#This Row],[Tensão(Pa)]]/1000000</f>
        <v>0.40121125189258111</v>
      </c>
    </row>
    <row r="87" spans="1:6" x14ac:dyDescent="0.3">
      <c r="A87" s="1">
        <v>18.483000000000001</v>
      </c>
      <c r="B87" s="1">
        <v>1.5328999999999999</v>
      </c>
      <c r="C87" s="1">
        <f>Tabela5[[#This Row],[Alongamento(mm/mm)]]/$I$2</f>
        <v>3.0657999999999998E-2</v>
      </c>
      <c r="D87" s="1">
        <v>12.587</v>
      </c>
      <c r="E87" s="1">
        <f>Tabela5[[#This Row],[Forτa(N)]]/$I$5</f>
        <v>401211.25189258112</v>
      </c>
      <c r="F87" s="1">
        <f>Tabela5[[#This Row],[Tensão(Pa)]]/1000000</f>
        <v>0.40121125189258111</v>
      </c>
    </row>
    <row r="88" spans="1:6" x14ac:dyDescent="0.3">
      <c r="A88" s="1">
        <v>18.632999999999999</v>
      </c>
      <c r="B88" s="1">
        <v>1.5454000000000001</v>
      </c>
      <c r="C88" s="1">
        <f>Tabela5[[#This Row],[Alongamento(mm/mm)]]/$I$2</f>
        <v>3.0908000000000001E-2</v>
      </c>
      <c r="D88" s="1">
        <v>12.587</v>
      </c>
      <c r="E88" s="1">
        <f>Tabela5[[#This Row],[Forτa(N)]]/$I$5</f>
        <v>401211.25189258112</v>
      </c>
      <c r="F88" s="1">
        <f>Tabela5[[#This Row],[Tensão(Pa)]]/1000000</f>
        <v>0.40121125189258111</v>
      </c>
    </row>
    <row r="89" spans="1:6" x14ac:dyDescent="0.3">
      <c r="A89" s="1">
        <v>18.783000000000001</v>
      </c>
      <c r="B89" s="1">
        <v>1.5580000000000001</v>
      </c>
      <c r="C89" s="1">
        <f>Tabela5[[#This Row],[Alongamento(mm/mm)]]/$I$2</f>
        <v>3.116E-2</v>
      </c>
      <c r="D89" s="1">
        <v>12.587</v>
      </c>
      <c r="E89" s="1">
        <f>Tabela5[[#This Row],[Forτa(N)]]/$I$5</f>
        <v>401211.25189258112</v>
      </c>
      <c r="F89" s="1">
        <f>Tabela5[[#This Row],[Tensão(Pa)]]/1000000</f>
        <v>0.40121125189258111</v>
      </c>
    </row>
    <row r="90" spans="1:6" x14ac:dyDescent="0.3">
      <c r="A90" s="1">
        <v>18.933</v>
      </c>
      <c r="B90" s="1">
        <v>1.5704</v>
      </c>
      <c r="C90" s="1">
        <f>Tabela5[[#This Row],[Alongamento(mm/mm)]]/$I$2</f>
        <v>3.1407999999999998E-2</v>
      </c>
      <c r="D90" s="1">
        <v>12.587</v>
      </c>
      <c r="E90" s="1">
        <f>Tabela5[[#This Row],[Forτa(N)]]/$I$5</f>
        <v>401211.25189258112</v>
      </c>
      <c r="F90" s="1">
        <f>Tabela5[[#This Row],[Tensão(Pa)]]/1000000</f>
        <v>0.40121125189258111</v>
      </c>
    </row>
    <row r="91" spans="1:6" x14ac:dyDescent="0.3">
      <c r="A91" s="1">
        <v>19.082999999999998</v>
      </c>
      <c r="B91" s="1">
        <v>1.5829</v>
      </c>
      <c r="C91" s="1">
        <f>Tabela5[[#This Row],[Alongamento(mm/mm)]]/$I$2</f>
        <v>3.1657999999999999E-2</v>
      </c>
      <c r="D91" s="1">
        <v>12.587</v>
      </c>
      <c r="E91" s="1">
        <f>Tabela5[[#This Row],[Forτa(N)]]/$I$5</f>
        <v>401211.25189258112</v>
      </c>
      <c r="F91" s="1">
        <f>Tabela5[[#This Row],[Tensão(Pa)]]/1000000</f>
        <v>0.40121125189258111</v>
      </c>
    </row>
    <row r="92" spans="1:6" x14ac:dyDescent="0.3">
      <c r="A92" s="1">
        <v>19.233000000000001</v>
      </c>
      <c r="B92" s="1">
        <v>1.5954999999999999</v>
      </c>
      <c r="C92" s="1">
        <f>Tabela5[[#This Row],[Alongamento(mm/mm)]]/$I$2</f>
        <v>3.1910000000000001E-2</v>
      </c>
      <c r="D92" s="1">
        <v>12.587</v>
      </c>
      <c r="E92" s="1">
        <f>Tabela5[[#This Row],[Forτa(N)]]/$I$5</f>
        <v>401211.25189258112</v>
      </c>
      <c r="F92" s="1">
        <f>Tabela5[[#This Row],[Tensão(Pa)]]/1000000</f>
        <v>0.40121125189258111</v>
      </c>
    </row>
    <row r="93" spans="1:6" x14ac:dyDescent="0.3">
      <c r="A93" s="1">
        <v>19.382999999999999</v>
      </c>
      <c r="B93" s="1">
        <v>1.6079000000000001</v>
      </c>
      <c r="C93" s="1">
        <f>Tabela5[[#This Row],[Alongamento(mm/mm)]]/$I$2</f>
        <v>3.2157999999999999E-2</v>
      </c>
      <c r="D93" s="1">
        <v>12.587</v>
      </c>
      <c r="E93" s="1">
        <f>Tabela5[[#This Row],[Forτa(N)]]/$I$5</f>
        <v>401211.25189258112</v>
      </c>
      <c r="F93" s="1">
        <f>Tabela5[[#This Row],[Tensão(Pa)]]/1000000</f>
        <v>0.40121125189258111</v>
      </c>
    </row>
    <row r="94" spans="1:6" x14ac:dyDescent="0.3">
      <c r="A94" s="1">
        <v>19.533000000000001</v>
      </c>
      <c r="B94" s="1">
        <v>1.6204000000000001</v>
      </c>
      <c r="C94" s="1">
        <f>Tabela5[[#This Row],[Alongamento(mm/mm)]]/$I$2</f>
        <v>3.2407999999999999E-2</v>
      </c>
      <c r="D94" s="1">
        <v>12.757</v>
      </c>
      <c r="E94" s="1">
        <f>Tabela5[[#This Row],[Forτa(N)]]/$I$5</f>
        <v>406630.01035939122</v>
      </c>
      <c r="F94" s="1">
        <f>Tabela5[[#This Row],[Tensão(Pa)]]/1000000</f>
        <v>0.40663001035939123</v>
      </c>
    </row>
    <row r="95" spans="1:6" x14ac:dyDescent="0.3">
      <c r="A95" s="1">
        <v>19.7</v>
      </c>
      <c r="B95" s="1">
        <v>1.6343000000000001</v>
      </c>
      <c r="C95" s="1">
        <f>Tabela5[[#This Row],[Alongamento(mm/mm)]]/$I$2</f>
        <v>3.2686E-2</v>
      </c>
      <c r="D95" s="1">
        <v>12.757</v>
      </c>
      <c r="E95" s="1">
        <f>Tabela5[[#This Row],[Forτa(N)]]/$I$5</f>
        <v>406630.01035939122</v>
      </c>
      <c r="F95" s="1">
        <f>Tabela5[[#This Row],[Tensão(Pa)]]/1000000</f>
        <v>0.40663001035939123</v>
      </c>
    </row>
    <row r="96" spans="1:6" x14ac:dyDescent="0.3">
      <c r="A96" s="1">
        <v>19.867000000000001</v>
      </c>
      <c r="B96" s="1">
        <v>1.6482000000000001</v>
      </c>
      <c r="C96" s="1">
        <f>Tabela5[[#This Row],[Alongamento(mm/mm)]]/$I$2</f>
        <v>3.2964E-2</v>
      </c>
      <c r="D96" s="1">
        <v>12.757</v>
      </c>
      <c r="E96" s="1">
        <f>Tabela5[[#This Row],[Forτa(N)]]/$I$5</f>
        <v>406630.01035939122</v>
      </c>
      <c r="F96" s="1">
        <f>Tabela5[[#This Row],[Tensão(Pa)]]/1000000</f>
        <v>0.40663001035939123</v>
      </c>
    </row>
    <row r="97" spans="1:6" x14ac:dyDescent="0.3">
      <c r="A97" s="1">
        <v>20.033000000000001</v>
      </c>
      <c r="B97" s="1">
        <v>1.6620999999999999</v>
      </c>
      <c r="C97" s="1">
        <f>Tabela5[[#This Row],[Alongamento(mm/mm)]]/$I$2</f>
        <v>3.3242000000000001E-2</v>
      </c>
      <c r="D97" s="1">
        <v>12.757</v>
      </c>
      <c r="E97" s="1">
        <f>Tabela5[[#This Row],[Forτa(N)]]/$I$5</f>
        <v>406630.01035939122</v>
      </c>
      <c r="F97" s="1">
        <f>Tabela5[[#This Row],[Tensão(Pa)]]/1000000</f>
        <v>0.40663001035939123</v>
      </c>
    </row>
    <row r="98" spans="1:6" x14ac:dyDescent="0.3">
      <c r="A98" s="1">
        <v>20.2</v>
      </c>
      <c r="B98" s="1">
        <v>1.6759999999999999</v>
      </c>
      <c r="C98" s="1">
        <f>Tabela5[[#This Row],[Alongamento(mm/mm)]]/$I$2</f>
        <v>3.3520000000000001E-2</v>
      </c>
      <c r="D98" s="1">
        <v>12.928000000000001</v>
      </c>
      <c r="E98" s="1">
        <f>Tabela5[[#This Row],[Forτa(N)]]/$I$5</f>
        <v>412080.64387600613</v>
      </c>
      <c r="F98" s="1">
        <f>Tabela5[[#This Row],[Tensão(Pa)]]/1000000</f>
        <v>0.41208064387600613</v>
      </c>
    </row>
    <row r="99" spans="1:6" x14ac:dyDescent="0.3">
      <c r="A99" s="1">
        <v>20.367000000000001</v>
      </c>
      <c r="B99" s="1">
        <v>1.6898</v>
      </c>
      <c r="C99" s="1">
        <f>Tabela5[[#This Row],[Alongamento(mm/mm)]]/$I$2</f>
        <v>3.3796E-2</v>
      </c>
      <c r="D99" s="1">
        <v>12.928000000000001</v>
      </c>
      <c r="E99" s="1">
        <f>Tabela5[[#This Row],[Forτa(N)]]/$I$5</f>
        <v>412080.64387600613</v>
      </c>
      <c r="F99" s="1">
        <f>Tabela5[[#This Row],[Tensão(Pa)]]/1000000</f>
        <v>0.41208064387600613</v>
      </c>
    </row>
    <row r="100" spans="1:6" x14ac:dyDescent="0.3">
      <c r="A100" s="1">
        <v>20.533000000000001</v>
      </c>
      <c r="B100" s="1">
        <v>1.7038</v>
      </c>
      <c r="C100" s="1">
        <f>Tabela5[[#This Row],[Alongamento(mm/mm)]]/$I$2</f>
        <v>3.4076000000000002E-2</v>
      </c>
      <c r="D100" s="1">
        <v>12.928000000000001</v>
      </c>
      <c r="E100" s="1">
        <f>Tabela5[[#This Row],[Forτa(N)]]/$I$5</f>
        <v>412080.64387600613</v>
      </c>
      <c r="F100" s="1">
        <f>Tabela5[[#This Row],[Tensão(Pa)]]/1000000</f>
        <v>0.41208064387600613</v>
      </c>
    </row>
    <row r="101" spans="1:6" x14ac:dyDescent="0.3">
      <c r="A101" s="1">
        <v>20.7</v>
      </c>
      <c r="B101" s="1">
        <v>1.7177</v>
      </c>
      <c r="C101" s="1">
        <f>Tabela5[[#This Row],[Alongamento(mm/mm)]]/$I$2</f>
        <v>3.4354000000000003E-2</v>
      </c>
      <c r="D101" s="1">
        <v>12.928000000000001</v>
      </c>
      <c r="E101" s="1">
        <f>Tabela5[[#This Row],[Forτa(N)]]/$I$5</f>
        <v>412080.64387600613</v>
      </c>
      <c r="F101" s="1">
        <f>Tabela5[[#This Row],[Tensão(Pa)]]/1000000</f>
        <v>0.41208064387600613</v>
      </c>
    </row>
    <row r="102" spans="1:6" x14ac:dyDescent="0.3">
      <c r="A102" s="1">
        <v>20.867000000000001</v>
      </c>
      <c r="B102" s="1">
        <v>1.7315</v>
      </c>
      <c r="C102" s="1">
        <f>Tabela5[[#This Row],[Alongamento(mm/mm)]]/$I$2</f>
        <v>3.4630000000000001E-2</v>
      </c>
      <c r="D102" s="1">
        <v>12.928000000000001</v>
      </c>
      <c r="E102" s="1">
        <f>Tabela5[[#This Row],[Forτa(N)]]/$I$5</f>
        <v>412080.64387600613</v>
      </c>
      <c r="F102" s="1">
        <f>Tabela5[[#This Row],[Tensão(Pa)]]/1000000</f>
        <v>0.41208064387600613</v>
      </c>
    </row>
    <row r="103" spans="1:6" x14ac:dyDescent="0.3">
      <c r="A103" s="1">
        <v>21.033000000000001</v>
      </c>
      <c r="B103" s="1">
        <v>1.7455000000000001</v>
      </c>
      <c r="C103" s="1">
        <f>Tabela5[[#This Row],[Alongamento(mm/mm)]]/$I$2</f>
        <v>3.4910000000000004E-2</v>
      </c>
      <c r="D103" s="1">
        <v>12.928000000000001</v>
      </c>
      <c r="E103" s="1">
        <f>Tabela5[[#This Row],[Forτa(N)]]/$I$5</f>
        <v>412080.64387600613</v>
      </c>
      <c r="F103" s="1">
        <f>Tabela5[[#This Row],[Tensão(Pa)]]/1000000</f>
        <v>0.41208064387600613</v>
      </c>
    </row>
    <row r="104" spans="1:6" x14ac:dyDescent="0.3">
      <c r="A104" s="1">
        <v>21.2</v>
      </c>
      <c r="B104" s="1">
        <v>1.7594000000000001</v>
      </c>
      <c r="C104" s="1">
        <f>Tabela5[[#This Row],[Alongamento(mm/mm)]]/$I$2</f>
        <v>3.5188000000000004E-2</v>
      </c>
      <c r="D104" s="1">
        <v>12.928000000000001</v>
      </c>
      <c r="E104" s="1">
        <f>Tabela5[[#This Row],[Forτa(N)]]/$I$5</f>
        <v>412080.64387600613</v>
      </c>
      <c r="F104" s="1">
        <f>Tabela5[[#This Row],[Tensão(Pa)]]/1000000</f>
        <v>0.41208064387600613</v>
      </c>
    </row>
    <row r="105" spans="1:6" x14ac:dyDescent="0.3">
      <c r="A105" s="1">
        <v>21.367000000000001</v>
      </c>
      <c r="B105" s="1">
        <v>1.7732000000000001</v>
      </c>
      <c r="C105" s="1">
        <f>Tabela5[[#This Row],[Alongamento(mm/mm)]]/$I$2</f>
        <v>3.5464000000000002E-2</v>
      </c>
      <c r="D105" s="1">
        <v>13.098000000000001</v>
      </c>
      <c r="E105" s="1">
        <f>Tabela5[[#This Row],[Forτa(N)]]/$I$5</f>
        <v>417499.40234281623</v>
      </c>
      <c r="F105" s="1">
        <f>Tabela5[[#This Row],[Tensão(Pa)]]/1000000</f>
        <v>0.41749940234281624</v>
      </c>
    </row>
    <row r="106" spans="1:6" x14ac:dyDescent="0.3">
      <c r="A106" s="1">
        <v>21.533000000000001</v>
      </c>
      <c r="B106" s="1">
        <v>1.7871999999999999</v>
      </c>
      <c r="C106" s="1">
        <f>Tabela5[[#This Row],[Alongamento(mm/mm)]]/$I$2</f>
        <v>3.5743999999999998E-2</v>
      </c>
      <c r="D106" s="1">
        <v>13.098000000000001</v>
      </c>
      <c r="E106" s="1">
        <f>Tabela5[[#This Row],[Forτa(N)]]/$I$5</f>
        <v>417499.40234281623</v>
      </c>
      <c r="F106" s="1">
        <f>Tabela5[[#This Row],[Tensão(Pa)]]/1000000</f>
        <v>0.41749940234281624</v>
      </c>
    </row>
    <row r="107" spans="1:6" x14ac:dyDescent="0.3">
      <c r="A107" s="1">
        <v>21.716999999999999</v>
      </c>
      <c r="B107" s="1">
        <v>1.8024</v>
      </c>
      <c r="C107" s="1">
        <f>Tabela5[[#This Row],[Alongamento(mm/mm)]]/$I$2</f>
        <v>3.6047999999999997E-2</v>
      </c>
      <c r="D107" s="1">
        <v>13.438000000000001</v>
      </c>
      <c r="E107" s="1">
        <f>Tabela5[[#This Row],[Forτa(N)]]/$I$5</f>
        <v>428336.91927643644</v>
      </c>
      <c r="F107" s="1">
        <f>Tabela5[[#This Row],[Tensão(Pa)]]/1000000</f>
        <v>0.42833691927643647</v>
      </c>
    </row>
    <row r="108" spans="1:6" x14ac:dyDescent="0.3">
      <c r="A108" s="1">
        <v>21.882999999999999</v>
      </c>
      <c r="B108" s="1">
        <v>1.8162</v>
      </c>
      <c r="C108" s="1">
        <f>Tabela5[[#This Row],[Alongamento(mm/mm)]]/$I$2</f>
        <v>3.6324000000000002E-2</v>
      </c>
      <c r="D108" s="1">
        <v>14.118</v>
      </c>
      <c r="E108" s="1">
        <f>Tabela5[[#This Row],[Forτa(N)]]/$I$5</f>
        <v>450011.9531436768</v>
      </c>
      <c r="F108" s="1">
        <f>Tabela5[[#This Row],[Tensão(Pa)]]/1000000</f>
        <v>0.45001195314367681</v>
      </c>
    </row>
    <row r="109" spans="1:6" x14ac:dyDescent="0.3">
      <c r="A109" s="1">
        <v>21.983000000000001</v>
      </c>
      <c r="B109" s="1">
        <v>1.8246</v>
      </c>
      <c r="C109" s="1">
        <f>Tabela5[[#This Row],[Alongamento(mm/mm)]]/$I$2</f>
        <v>3.6491999999999997E-2</v>
      </c>
      <c r="D109" s="1">
        <v>14.798999999999999</v>
      </c>
      <c r="E109" s="1">
        <f>Tabela5[[#This Row],[Forτa(N)]]/$I$5</f>
        <v>471718.86206072196</v>
      </c>
      <c r="F109" s="1">
        <f>Tabela5[[#This Row],[Tensão(Pa)]]/1000000</f>
        <v>0.47171886206072194</v>
      </c>
    </row>
    <row r="110" spans="1:6" x14ac:dyDescent="0.3">
      <c r="A110" s="1">
        <v>22.082999999999998</v>
      </c>
      <c r="B110" s="1">
        <v>1.833</v>
      </c>
      <c r="C110" s="1">
        <f>Tabela5[[#This Row],[Alongamento(mm/mm)]]/$I$2</f>
        <v>3.6659999999999998E-2</v>
      </c>
      <c r="D110" s="1">
        <v>15.478999999999999</v>
      </c>
      <c r="E110" s="1">
        <f>Tabela5[[#This Row],[Forτa(N)]]/$I$5</f>
        <v>493393.89592796238</v>
      </c>
      <c r="F110" s="1">
        <f>Tabela5[[#This Row],[Tensão(Pa)]]/1000000</f>
        <v>0.4933938959279624</v>
      </c>
    </row>
    <row r="111" spans="1:6" x14ac:dyDescent="0.3">
      <c r="A111" s="1">
        <v>22.183</v>
      </c>
      <c r="B111" s="1">
        <v>1.8411999999999999</v>
      </c>
      <c r="C111" s="1">
        <f>Tabela5[[#This Row],[Alongamento(mm/mm)]]/$I$2</f>
        <v>3.6823999999999996E-2</v>
      </c>
      <c r="D111" s="1">
        <v>16.158999999999999</v>
      </c>
      <c r="E111" s="1">
        <f>Tabela5[[#This Row],[Forτa(N)]]/$I$5</f>
        <v>515068.9297952028</v>
      </c>
      <c r="F111" s="1">
        <f>Tabela5[[#This Row],[Tensão(Pa)]]/1000000</f>
        <v>0.5150689297952028</v>
      </c>
    </row>
    <row r="112" spans="1:6" x14ac:dyDescent="0.3">
      <c r="A112" s="1">
        <v>22.3</v>
      </c>
      <c r="B112" s="1">
        <v>1.8509</v>
      </c>
      <c r="C112" s="1">
        <f>Tabela5[[#This Row],[Alongamento(mm/mm)]]/$I$2</f>
        <v>3.7018000000000002E-2</v>
      </c>
      <c r="D112" s="1">
        <v>16.84</v>
      </c>
      <c r="E112" s="1">
        <f>Tabela5[[#This Row],[Forτa(N)]]/$I$5</f>
        <v>536775.83871224802</v>
      </c>
      <c r="F112" s="1">
        <f>Tabela5[[#This Row],[Tensão(Pa)]]/1000000</f>
        <v>0.53677583871224799</v>
      </c>
    </row>
    <row r="113" spans="1:6" x14ac:dyDescent="0.3">
      <c r="A113" s="1">
        <v>22.382999999999999</v>
      </c>
      <c r="B113" s="1">
        <v>1.8579000000000001</v>
      </c>
      <c r="C113" s="1">
        <f>Tabela5[[#This Row],[Alongamento(mm/mm)]]/$I$2</f>
        <v>3.7158000000000004E-2</v>
      </c>
      <c r="D113" s="1">
        <v>17.52</v>
      </c>
      <c r="E113" s="1">
        <f>Tabela5[[#This Row],[Forτa(N)]]/$I$5</f>
        <v>558450.87257948844</v>
      </c>
      <c r="F113" s="1">
        <f>Tabela5[[#This Row],[Tensão(Pa)]]/1000000</f>
        <v>0.55845087257948844</v>
      </c>
    </row>
    <row r="114" spans="1:6" x14ac:dyDescent="0.3">
      <c r="A114" s="1">
        <v>22.483000000000001</v>
      </c>
      <c r="B114" s="1">
        <v>1.8663000000000001</v>
      </c>
      <c r="C114" s="1">
        <f>Tabela5[[#This Row],[Alongamento(mm/mm)]]/$I$2</f>
        <v>3.7325999999999998E-2</v>
      </c>
      <c r="D114" s="1">
        <v>18.201000000000001</v>
      </c>
      <c r="E114" s="1">
        <f>Tabela5[[#This Row],[Forτa(N)]]/$I$5</f>
        <v>580157.78149653366</v>
      </c>
      <c r="F114" s="1">
        <f>Tabela5[[#This Row],[Tensão(Pa)]]/1000000</f>
        <v>0.58015778149653363</v>
      </c>
    </row>
    <row r="115" spans="1:6" x14ac:dyDescent="0.3">
      <c r="A115" s="1">
        <v>22.582999999999998</v>
      </c>
      <c r="B115" s="1">
        <v>1.8747</v>
      </c>
      <c r="C115" s="1">
        <f>Tabela5[[#This Row],[Alongamento(mm/mm)]]/$I$2</f>
        <v>3.7494E-2</v>
      </c>
      <c r="D115" s="1">
        <v>18.881</v>
      </c>
      <c r="E115" s="1">
        <f>Tabela5[[#This Row],[Forτa(N)]]/$I$5</f>
        <v>601832.81536377408</v>
      </c>
      <c r="F115" s="1">
        <f>Tabela5[[#This Row],[Tensão(Pa)]]/1000000</f>
        <v>0.60183281536377409</v>
      </c>
    </row>
    <row r="116" spans="1:6" x14ac:dyDescent="0.3">
      <c r="A116" s="1">
        <v>22.683</v>
      </c>
      <c r="B116" s="1">
        <v>1.8829</v>
      </c>
      <c r="C116" s="1">
        <f>Tabela5[[#This Row],[Alongamento(mm/mm)]]/$I$2</f>
        <v>3.7657999999999997E-2</v>
      </c>
      <c r="D116" s="1">
        <v>19.561</v>
      </c>
      <c r="E116" s="1">
        <f>Tabela5[[#This Row],[Forτa(N)]]/$I$5</f>
        <v>623507.84923101449</v>
      </c>
      <c r="F116" s="1">
        <f>Tabela5[[#This Row],[Tensão(Pa)]]/1000000</f>
        <v>0.62350784923101454</v>
      </c>
    </row>
    <row r="117" spans="1:6" x14ac:dyDescent="0.3">
      <c r="A117" s="1">
        <v>22.766999999999999</v>
      </c>
      <c r="B117" s="1">
        <v>1.8898999999999999</v>
      </c>
      <c r="C117" s="1">
        <f>Tabela5[[#This Row],[Alongamento(mm/mm)]]/$I$2</f>
        <v>3.7797999999999998E-2</v>
      </c>
      <c r="D117" s="1">
        <v>20.242000000000001</v>
      </c>
      <c r="E117" s="1">
        <f>Tabela5[[#This Row],[Forτa(N)]]/$I$5</f>
        <v>645214.75814805971</v>
      </c>
      <c r="F117" s="1">
        <f>Tabela5[[#This Row],[Tensão(Pa)]]/1000000</f>
        <v>0.64521475814805973</v>
      </c>
    </row>
    <row r="118" spans="1:6" x14ac:dyDescent="0.3">
      <c r="A118" s="1">
        <v>22.882999999999999</v>
      </c>
      <c r="B118" s="1">
        <v>1.8996</v>
      </c>
      <c r="C118" s="1">
        <f>Tabela5[[#This Row],[Alongamento(mm/mm)]]/$I$2</f>
        <v>3.7991999999999998E-2</v>
      </c>
      <c r="D118" s="1">
        <v>20.922000000000001</v>
      </c>
      <c r="E118" s="1">
        <f>Tabela5[[#This Row],[Forτa(N)]]/$I$5</f>
        <v>666889.79201530013</v>
      </c>
      <c r="F118" s="1">
        <f>Tabela5[[#This Row],[Tensão(Pa)]]/1000000</f>
        <v>0.66688979201530019</v>
      </c>
    </row>
    <row r="119" spans="1:6" x14ac:dyDescent="0.3">
      <c r="A119" s="1">
        <v>22.95</v>
      </c>
      <c r="B119" s="1">
        <v>1.9052</v>
      </c>
      <c r="C119" s="1">
        <f>Tabela5[[#This Row],[Alongamento(mm/mm)]]/$I$2</f>
        <v>3.8103999999999999E-2</v>
      </c>
      <c r="D119" s="1">
        <v>21.603000000000002</v>
      </c>
      <c r="E119" s="1">
        <f>Tabela5[[#This Row],[Forτa(N)]]/$I$5</f>
        <v>688596.70093234535</v>
      </c>
      <c r="F119" s="1">
        <f>Tabela5[[#This Row],[Tensão(Pa)]]/1000000</f>
        <v>0.68859670093234537</v>
      </c>
    </row>
    <row r="120" spans="1:6" x14ac:dyDescent="0.3">
      <c r="A120" s="1">
        <v>23.082999999999998</v>
      </c>
      <c r="B120" s="1">
        <v>1.9162999999999999</v>
      </c>
      <c r="C120" s="1">
        <f>Tabela5[[#This Row],[Alongamento(mm/mm)]]/$I$2</f>
        <v>3.8325999999999999E-2</v>
      </c>
      <c r="D120" s="1">
        <v>22.283000000000001</v>
      </c>
      <c r="E120" s="1">
        <f>Tabela5[[#This Row],[Forτa(N)]]/$I$5</f>
        <v>710271.73479958565</v>
      </c>
      <c r="F120" s="1">
        <f>Tabela5[[#This Row],[Tensão(Pa)]]/1000000</f>
        <v>0.71027173479958561</v>
      </c>
    </row>
    <row r="121" spans="1:6" x14ac:dyDescent="0.3">
      <c r="A121" s="1">
        <v>23.132999999999999</v>
      </c>
      <c r="B121" s="1">
        <v>1.9204000000000001</v>
      </c>
      <c r="C121" s="1">
        <f>Tabela5[[#This Row],[Alongamento(mm/mm)]]/$I$2</f>
        <v>3.8408000000000005E-2</v>
      </c>
      <c r="D121" s="1">
        <v>22.963000000000001</v>
      </c>
      <c r="E121" s="1">
        <f>Tabela5[[#This Row],[Forτa(N)]]/$I$5</f>
        <v>731946.76866682607</v>
      </c>
      <c r="F121" s="1">
        <f>Tabela5[[#This Row],[Tensão(Pa)]]/1000000</f>
        <v>0.73194676866682606</v>
      </c>
    </row>
    <row r="122" spans="1:6" x14ac:dyDescent="0.3">
      <c r="A122" s="1">
        <v>23.25</v>
      </c>
      <c r="B122" s="1">
        <v>1.9300999999999999</v>
      </c>
      <c r="C122" s="1">
        <f>Tabela5[[#This Row],[Alongamento(mm/mm)]]/$I$2</f>
        <v>3.8601999999999997E-2</v>
      </c>
      <c r="D122" s="1">
        <v>23.814</v>
      </c>
      <c r="E122" s="1">
        <f>Tabela5[[#This Row],[Forτa(N)]]/$I$5</f>
        <v>759072.4360506814</v>
      </c>
      <c r="F122" s="1">
        <f>Tabela5[[#This Row],[Tensão(Pa)]]/1000000</f>
        <v>0.75907243605068142</v>
      </c>
    </row>
    <row r="123" spans="1:6" x14ac:dyDescent="0.3">
      <c r="A123" s="1">
        <v>23.35</v>
      </c>
      <c r="B123" s="1">
        <v>1.9383999999999999</v>
      </c>
      <c r="C123" s="1">
        <f>Tabela5[[#This Row],[Alongamento(mm/mm)]]/$I$2</f>
        <v>3.8767999999999997E-2</v>
      </c>
      <c r="D123" s="1">
        <v>24.664000000000001</v>
      </c>
      <c r="E123" s="1">
        <f>Tabela5[[#This Row],[Forτa(N)]]/$I$5</f>
        <v>786166.22838473192</v>
      </c>
      <c r="F123" s="1">
        <f>Tabela5[[#This Row],[Tensão(Pa)]]/1000000</f>
        <v>0.78616622838473194</v>
      </c>
    </row>
    <row r="124" spans="1:6" x14ac:dyDescent="0.3">
      <c r="A124" s="1">
        <v>23.45</v>
      </c>
      <c r="B124" s="1">
        <v>1.9469000000000001</v>
      </c>
      <c r="C124" s="1">
        <f>Tabela5[[#This Row],[Alongamento(mm/mm)]]/$I$2</f>
        <v>3.8938E-2</v>
      </c>
      <c r="D124" s="1">
        <v>25.344999999999999</v>
      </c>
      <c r="E124" s="1">
        <f>Tabela5[[#This Row],[Forτa(N)]]/$I$5</f>
        <v>807873.13730177702</v>
      </c>
      <c r="F124" s="1">
        <f>Tabela5[[#This Row],[Tensão(Pa)]]/1000000</f>
        <v>0.80787313730177701</v>
      </c>
    </row>
    <row r="125" spans="1:6" x14ac:dyDescent="0.3">
      <c r="A125" s="1">
        <v>23.533000000000001</v>
      </c>
      <c r="B125" s="1">
        <v>1.9538</v>
      </c>
      <c r="C125" s="1">
        <f>Tabela5[[#This Row],[Alongamento(mm/mm)]]/$I$2</f>
        <v>3.9076E-2</v>
      </c>
      <c r="D125" s="1">
        <v>26.024999999999999</v>
      </c>
      <c r="E125" s="1">
        <f>Tabela5[[#This Row],[Forτa(N)]]/$I$5</f>
        <v>829548.17116901744</v>
      </c>
      <c r="F125" s="1">
        <f>Tabela5[[#This Row],[Tensão(Pa)]]/1000000</f>
        <v>0.82954817116901747</v>
      </c>
    </row>
    <row r="126" spans="1:6" x14ac:dyDescent="0.3">
      <c r="A126" s="1">
        <v>23.617000000000001</v>
      </c>
      <c r="B126" s="1">
        <v>1.9607000000000001</v>
      </c>
      <c r="C126" s="1">
        <f>Tabela5[[#This Row],[Alongamento(mm/mm)]]/$I$2</f>
        <v>3.9213999999999999E-2</v>
      </c>
      <c r="D126" s="1">
        <v>26.706</v>
      </c>
      <c r="E126" s="1">
        <f>Tabela5[[#This Row],[Forτa(N)]]/$I$5</f>
        <v>851255.08008606266</v>
      </c>
      <c r="F126" s="1">
        <f>Tabela5[[#This Row],[Tensão(Pa)]]/1000000</f>
        <v>0.85125508008606265</v>
      </c>
    </row>
    <row r="127" spans="1:6" x14ac:dyDescent="0.3">
      <c r="A127" s="1">
        <v>23.7</v>
      </c>
      <c r="B127" s="1">
        <v>1.9677</v>
      </c>
      <c r="C127" s="1">
        <f>Tabela5[[#This Row],[Alongamento(mm/mm)]]/$I$2</f>
        <v>3.9354E-2</v>
      </c>
      <c r="D127" s="1">
        <v>27.385999999999999</v>
      </c>
      <c r="E127" s="1">
        <f>Tabela5[[#This Row],[Forτa(N)]]/$I$5</f>
        <v>872930.11395330308</v>
      </c>
      <c r="F127" s="1">
        <f>Tabela5[[#This Row],[Tensão(Pa)]]/1000000</f>
        <v>0.87293011395330311</v>
      </c>
    </row>
    <row r="128" spans="1:6" x14ac:dyDescent="0.3">
      <c r="A128" s="1">
        <v>23.783000000000001</v>
      </c>
      <c r="B128" s="1">
        <v>1.9745999999999999</v>
      </c>
      <c r="C128" s="1">
        <f>Tabela5[[#This Row],[Alongamento(mm/mm)]]/$I$2</f>
        <v>3.9491999999999999E-2</v>
      </c>
      <c r="D128" s="1">
        <v>28.065999999999999</v>
      </c>
      <c r="E128" s="1">
        <f>Tabela5[[#This Row],[Forτa(N)]]/$I$5</f>
        <v>894605.1478205435</v>
      </c>
      <c r="F128" s="1">
        <f>Tabela5[[#This Row],[Tensão(Pa)]]/1000000</f>
        <v>0.89460514782054346</v>
      </c>
    </row>
    <row r="129" spans="1:6" x14ac:dyDescent="0.3">
      <c r="A129" s="1">
        <v>23.867000000000001</v>
      </c>
      <c r="B129" s="1">
        <v>1.9816</v>
      </c>
      <c r="C129" s="1">
        <f>Tabela5[[#This Row],[Alongamento(mm/mm)]]/$I$2</f>
        <v>3.9632000000000001E-2</v>
      </c>
      <c r="D129" s="1">
        <v>28.747</v>
      </c>
      <c r="E129" s="1">
        <f>Tabela5[[#This Row],[Forτa(N)]]/$I$5</f>
        <v>916312.05673758872</v>
      </c>
      <c r="F129" s="1">
        <f>Tabela5[[#This Row],[Tensão(Pa)]]/1000000</f>
        <v>0.91631205673758875</v>
      </c>
    </row>
    <row r="130" spans="1:6" x14ac:dyDescent="0.3">
      <c r="A130" s="1">
        <v>23.95</v>
      </c>
      <c r="B130" s="1">
        <v>1.9885999999999999</v>
      </c>
      <c r="C130" s="1">
        <f>Tabela5[[#This Row],[Alongamento(mm/mm)]]/$I$2</f>
        <v>3.9772000000000002E-2</v>
      </c>
      <c r="D130" s="1">
        <v>29.427</v>
      </c>
      <c r="E130" s="1">
        <f>Tabela5[[#This Row],[Forτa(N)]]/$I$5</f>
        <v>937987.09060482914</v>
      </c>
      <c r="F130" s="1">
        <f>Tabela5[[#This Row],[Tensão(Pa)]]/1000000</f>
        <v>0.9379870906048291</v>
      </c>
    </row>
    <row r="131" spans="1:6" x14ac:dyDescent="0.3">
      <c r="A131" s="1">
        <v>24.033000000000001</v>
      </c>
      <c r="B131" s="1">
        <v>1.9953000000000001</v>
      </c>
      <c r="C131" s="1">
        <f>Tabela5[[#This Row],[Alongamento(mm/mm)]]/$I$2</f>
        <v>3.9906000000000004E-2</v>
      </c>
      <c r="D131" s="1">
        <v>30.106999999999999</v>
      </c>
      <c r="E131" s="1">
        <f>Tabela5[[#This Row],[Forτa(N)]]/$I$5</f>
        <v>959662.12447206955</v>
      </c>
      <c r="F131" s="1">
        <f>Tabela5[[#This Row],[Tensão(Pa)]]/1000000</f>
        <v>0.95966212447206956</v>
      </c>
    </row>
    <row r="132" spans="1:6" x14ac:dyDescent="0.3">
      <c r="A132" s="1">
        <v>24.117000000000001</v>
      </c>
      <c r="B132" s="1">
        <v>2.0023</v>
      </c>
      <c r="C132" s="1">
        <f>Tabela5[[#This Row],[Alongamento(mm/mm)]]/$I$2</f>
        <v>4.0045999999999998E-2</v>
      </c>
      <c r="D132" s="1">
        <v>30.788</v>
      </c>
      <c r="E132" s="1">
        <f>Tabela5[[#This Row],[Forτa(N)]]/$I$5</f>
        <v>981369.03338911477</v>
      </c>
      <c r="F132" s="1">
        <f>Tabela5[[#This Row],[Tensão(Pa)]]/1000000</f>
        <v>0.98136903338911474</v>
      </c>
    </row>
    <row r="133" spans="1:6" x14ac:dyDescent="0.3">
      <c r="A133" s="1">
        <v>24.2</v>
      </c>
      <c r="B133" s="1">
        <v>2.0093000000000001</v>
      </c>
      <c r="C133" s="1">
        <f>Tabela5[[#This Row],[Alongamento(mm/mm)]]/$I$2</f>
        <v>4.0185999999999999E-2</v>
      </c>
      <c r="D133" s="1">
        <v>31.468</v>
      </c>
      <c r="E133" s="1">
        <f>Tabela5[[#This Row],[Forτa(N)]]/$I$5</f>
        <v>1003044.0672563552</v>
      </c>
      <c r="F133" s="1">
        <f>Tabela5[[#This Row],[Tensão(Pa)]]/1000000</f>
        <v>1.0030440672563552</v>
      </c>
    </row>
    <row r="134" spans="1:6" x14ac:dyDescent="0.3">
      <c r="A134" s="1">
        <v>24.266999999999999</v>
      </c>
      <c r="B134" s="1">
        <v>2.0148999999999999</v>
      </c>
      <c r="C134" s="1">
        <f>Tabela5[[#This Row],[Alongamento(mm/mm)]]/$I$2</f>
        <v>4.0298E-2</v>
      </c>
      <c r="D134" s="1">
        <v>32.149000000000001</v>
      </c>
      <c r="E134" s="1">
        <f>Tabela5[[#This Row],[Forτa(N)]]/$I$5</f>
        <v>1024750.9761734004</v>
      </c>
      <c r="F134" s="1">
        <f>Tabela5[[#This Row],[Tensão(Pa)]]/1000000</f>
        <v>1.0247509761734004</v>
      </c>
    </row>
    <row r="135" spans="1:6" x14ac:dyDescent="0.3">
      <c r="A135" s="1">
        <v>24.35</v>
      </c>
      <c r="B135" s="1">
        <v>2.0217999999999998</v>
      </c>
      <c r="C135" s="1">
        <f>Tabela5[[#This Row],[Alongamento(mm/mm)]]/$I$2</f>
        <v>4.0436E-2</v>
      </c>
      <c r="D135" s="1">
        <v>32.829000000000001</v>
      </c>
      <c r="E135" s="1">
        <f>Tabela5[[#This Row],[Forτa(N)]]/$I$5</f>
        <v>1046426.0100406407</v>
      </c>
      <c r="F135" s="1">
        <f>Tabela5[[#This Row],[Tensão(Pa)]]/1000000</f>
        <v>1.0464260100406406</v>
      </c>
    </row>
    <row r="136" spans="1:6" x14ac:dyDescent="0.3">
      <c r="A136" s="1">
        <v>24.433</v>
      </c>
      <c r="B136" s="1">
        <v>2.0289000000000001</v>
      </c>
      <c r="C136" s="1">
        <f>Tabela5[[#This Row],[Alongamento(mm/mm)]]/$I$2</f>
        <v>4.0578000000000003E-2</v>
      </c>
      <c r="D136" s="1">
        <v>33.509</v>
      </c>
      <c r="E136" s="1">
        <f>Tabela5[[#This Row],[Forτa(N)]]/$I$5</f>
        <v>1068101.0439078812</v>
      </c>
      <c r="F136" s="1">
        <f>Tabela5[[#This Row],[Tensão(Pa)]]/1000000</f>
        <v>1.0681010439078813</v>
      </c>
    </row>
    <row r="137" spans="1:6" x14ac:dyDescent="0.3">
      <c r="A137" s="1">
        <v>24.5</v>
      </c>
      <c r="B137" s="1">
        <v>2.0343</v>
      </c>
      <c r="C137" s="1">
        <f>Tabela5[[#This Row],[Alongamento(mm/mm)]]/$I$2</f>
        <v>4.0686E-2</v>
      </c>
      <c r="D137" s="1">
        <v>34.19</v>
      </c>
      <c r="E137" s="1">
        <f>Tabela5[[#This Row],[Forτa(N)]]/$I$5</f>
        <v>1089807.9528249262</v>
      </c>
      <c r="F137" s="1">
        <f>Tabela5[[#This Row],[Tensão(Pa)]]/1000000</f>
        <v>1.0898079528249263</v>
      </c>
    </row>
    <row r="138" spans="1:6" x14ac:dyDescent="0.3">
      <c r="A138" s="1">
        <v>24.582999999999998</v>
      </c>
      <c r="B138" s="1">
        <v>2.0411999999999999</v>
      </c>
      <c r="C138" s="1">
        <f>Tabela5[[#This Row],[Alongamento(mm/mm)]]/$I$2</f>
        <v>4.0823999999999999E-2</v>
      </c>
      <c r="D138" s="1">
        <v>34.869999999999997</v>
      </c>
      <c r="E138" s="1">
        <f>Tabela5[[#This Row],[Forτa(N)]]/$I$5</f>
        <v>1111482.9866921667</v>
      </c>
      <c r="F138" s="1">
        <f>Tabela5[[#This Row],[Tensão(Pa)]]/1000000</f>
        <v>1.1114829866921667</v>
      </c>
    </row>
    <row r="139" spans="1:6" x14ac:dyDescent="0.3">
      <c r="A139" s="1">
        <v>24.65</v>
      </c>
      <c r="B139" s="1">
        <v>2.0468000000000002</v>
      </c>
      <c r="C139" s="1">
        <f>Tabela5[[#This Row],[Alongamento(mm/mm)]]/$I$2</f>
        <v>4.0936E-2</v>
      </c>
      <c r="D139" s="1">
        <v>35.551000000000002</v>
      </c>
      <c r="E139" s="1">
        <f>Tabela5[[#This Row],[Forτa(N)]]/$I$5</f>
        <v>1133189.8956092121</v>
      </c>
      <c r="F139" s="1">
        <f>Tabela5[[#This Row],[Tensão(Pa)]]/1000000</f>
        <v>1.1331898956092121</v>
      </c>
    </row>
    <row r="140" spans="1:6" x14ac:dyDescent="0.3">
      <c r="A140" s="1">
        <v>24.716999999999999</v>
      </c>
      <c r="B140" s="1">
        <v>2.0524</v>
      </c>
      <c r="C140" s="1">
        <f>Tabela5[[#This Row],[Alongamento(mm/mm)]]/$I$2</f>
        <v>4.1048000000000001E-2</v>
      </c>
      <c r="D140" s="1">
        <v>36.231000000000002</v>
      </c>
      <c r="E140" s="1">
        <f>Tabela5[[#This Row],[Forτa(N)]]/$I$5</f>
        <v>1154864.9294764525</v>
      </c>
      <c r="F140" s="1">
        <f>Tabela5[[#This Row],[Tensão(Pa)]]/1000000</f>
        <v>1.1548649294764526</v>
      </c>
    </row>
    <row r="141" spans="1:6" x14ac:dyDescent="0.3">
      <c r="A141" s="1">
        <v>24.8</v>
      </c>
      <c r="B141" s="1">
        <v>2.0594000000000001</v>
      </c>
      <c r="C141" s="1">
        <f>Tabela5[[#This Row],[Alongamento(mm/mm)]]/$I$2</f>
        <v>4.1188000000000002E-2</v>
      </c>
      <c r="D141" s="1">
        <v>36.911000000000001</v>
      </c>
      <c r="E141" s="1">
        <f>Tabela5[[#This Row],[Forτa(N)]]/$I$5</f>
        <v>1176539.9633436929</v>
      </c>
      <c r="F141" s="1">
        <f>Tabela5[[#This Row],[Tensão(Pa)]]/1000000</f>
        <v>1.176539963343693</v>
      </c>
    </row>
    <row r="142" spans="1:6" x14ac:dyDescent="0.3">
      <c r="A142" s="1">
        <v>24.867000000000001</v>
      </c>
      <c r="B142" s="1">
        <v>2.0649000000000002</v>
      </c>
      <c r="C142" s="1">
        <f>Tabela5[[#This Row],[Alongamento(mm/mm)]]/$I$2</f>
        <v>4.1298000000000001E-2</v>
      </c>
      <c r="D142" s="1">
        <v>37.591999999999999</v>
      </c>
      <c r="E142" s="1">
        <f>Tabela5[[#This Row],[Forτa(N)]]/$I$5</f>
        <v>1198246.8722607379</v>
      </c>
      <c r="F142" s="1">
        <f>Tabela5[[#This Row],[Tensão(Pa)]]/1000000</f>
        <v>1.198246872260738</v>
      </c>
    </row>
    <row r="143" spans="1:6" x14ac:dyDescent="0.3">
      <c r="A143" s="1">
        <v>24.933</v>
      </c>
      <c r="B143" s="1">
        <v>2.0703999999999998</v>
      </c>
      <c r="C143" s="1">
        <f>Tabela5[[#This Row],[Alongamento(mm/mm)]]/$I$2</f>
        <v>4.1407999999999993E-2</v>
      </c>
      <c r="D143" s="1">
        <v>38.271999999999998</v>
      </c>
      <c r="E143" s="1">
        <f>Tabela5[[#This Row],[Forτa(N)]]/$I$5</f>
        <v>1219921.9061279783</v>
      </c>
      <c r="F143" s="1">
        <f>Tabela5[[#This Row],[Tensão(Pa)]]/1000000</f>
        <v>1.2199219061279782</v>
      </c>
    </row>
    <row r="144" spans="1:6" x14ac:dyDescent="0.3">
      <c r="A144" s="1">
        <v>25.016999999999999</v>
      </c>
      <c r="B144" s="1">
        <v>2.0773999999999999</v>
      </c>
      <c r="C144" s="1">
        <f>Tabela5[[#This Row],[Alongamento(mm/mm)]]/$I$2</f>
        <v>4.1548000000000002E-2</v>
      </c>
      <c r="D144" s="1">
        <v>38.953000000000003</v>
      </c>
      <c r="E144" s="1">
        <f>Tabela5[[#This Row],[Forτa(N)]]/$I$5</f>
        <v>1241628.8150450236</v>
      </c>
      <c r="F144" s="1">
        <f>Tabela5[[#This Row],[Tensão(Pa)]]/1000000</f>
        <v>1.2416288150450236</v>
      </c>
    </row>
    <row r="145" spans="1:6" x14ac:dyDescent="0.3">
      <c r="A145" s="1">
        <v>25.082999999999998</v>
      </c>
      <c r="B145" s="1">
        <v>2.0829</v>
      </c>
      <c r="C145" s="1">
        <f>Tabela5[[#This Row],[Alongamento(mm/mm)]]/$I$2</f>
        <v>4.1658000000000001E-2</v>
      </c>
      <c r="D145" s="1">
        <v>39.633000000000003</v>
      </c>
      <c r="E145" s="1">
        <f>Tabela5[[#This Row],[Forτa(N)]]/$I$5</f>
        <v>1263303.848912264</v>
      </c>
      <c r="F145" s="1">
        <f>Tabela5[[#This Row],[Tensão(Pa)]]/1000000</f>
        <v>1.2633038489122639</v>
      </c>
    </row>
    <row r="146" spans="1:6" x14ac:dyDescent="0.3">
      <c r="A146" s="1">
        <v>25.15</v>
      </c>
      <c r="B146" s="1">
        <v>2.0884999999999998</v>
      </c>
      <c r="C146" s="1">
        <f>Tabela5[[#This Row],[Alongamento(mm/mm)]]/$I$2</f>
        <v>4.1769999999999995E-2</v>
      </c>
      <c r="D146" s="1">
        <v>40.313000000000002</v>
      </c>
      <c r="E146" s="1">
        <f>Tabela5[[#This Row],[Forτa(N)]]/$I$5</f>
        <v>1284978.8827795044</v>
      </c>
      <c r="F146" s="1">
        <f>Tabela5[[#This Row],[Tensão(Pa)]]/1000000</f>
        <v>1.2849788827795043</v>
      </c>
    </row>
    <row r="147" spans="1:6" x14ac:dyDescent="0.3">
      <c r="A147" s="1">
        <v>25.216999999999999</v>
      </c>
      <c r="B147" s="1">
        <v>2.0939999999999999</v>
      </c>
      <c r="C147" s="1">
        <f>Tabela5[[#This Row],[Alongamento(mm/mm)]]/$I$2</f>
        <v>4.1880000000000001E-2</v>
      </c>
      <c r="D147" s="1">
        <v>40.994</v>
      </c>
      <c r="E147" s="1">
        <f>Tabela5[[#This Row],[Forτa(N)]]/$I$5</f>
        <v>1306685.7916965496</v>
      </c>
      <c r="F147" s="1">
        <f>Tabela5[[#This Row],[Tensão(Pa)]]/1000000</f>
        <v>1.3066857916965495</v>
      </c>
    </row>
    <row r="148" spans="1:6" x14ac:dyDescent="0.3">
      <c r="A148" s="1">
        <v>25.283000000000001</v>
      </c>
      <c r="B148" s="1">
        <v>2.0996000000000001</v>
      </c>
      <c r="C148" s="1">
        <f>Tabela5[[#This Row],[Alongamento(mm/mm)]]/$I$2</f>
        <v>4.1992000000000002E-2</v>
      </c>
      <c r="D148" s="1">
        <v>41.673999999999999</v>
      </c>
      <c r="E148" s="1">
        <f>Tabela5[[#This Row],[Forτa(N)]]/$I$5</f>
        <v>1328360.82556379</v>
      </c>
      <c r="F148" s="1">
        <f>Tabela5[[#This Row],[Tensão(Pa)]]/1000000</f>
        <v>1.32836082556379</v>
      </c>
    </row>
    <row r="149" spans="1:6" x14ac:dyDescent="0.3">
      <c r="A149" s="1">
        <v>25.35</v>
      </c>
      <c r="B149" s="1">
        <v>2.1052</v>
      </c>
      <c r="C149" s="1">
        <f>Tabela5[[#This Row],[Alongamento(mm/mm)]]/$I$2</f>
        <v>4.2104000000000003E-2</v>
      </c>
      <c r="D149" s="1">
        <v>42.354999999999997</v>
      </c>
      <c r="E149" s="1">
        <f>Tabela5[[#This Row],[Forτa(N)]]/$I$5</f>
        <v>1350067.734480835</v>
      </c>
      <c r="F149" s="1">
        <f>Tabela5[[#This Row],[Tensão(Pa)]]/1000000</f>
        <v>1.3500677344808349</v>
      </c>
    </row>
    <row r="150" spans="1:6" x14ac:dyDescent="0.3">
      <c r="A150" s="1">
        <v>25.417000000000002</v>
      </c>
      <c r="B150" s="1">
        <v>2.1105999999999998</v>
      </c>
      <c r="C150" s="1">
        <f>Tabela5[[#This Row],[Alongamento(mm/mm)]]/$I$2</f>
        <v>4.2212E-2</v>
      </c>
      <c r="D150" s="1">
        <v>43.034999999999997</v>
      </c>
      <c r="E150" s="1">
        <f>Tabela5[[#This Row],[Forτa(N)]]/$I$5</f>
        <v>1371742.7683480754</v>
      </c>
      <c r="F150" s="1">
        <f>Tabela5[[#This Row],[Tensão(Pa)]]/1000000</f>
        <v>1.3717427683480754</v>
      </c>
    </row>
    <row r="151" spans="1:6" x14ac:dyDescent="0.3">
      <c r="A151" s="1">
        <v>25.483000000000001</v>
      </c>
      <c r="B151" s="1">
        <v>2.1162000000000001</v>
      </c>
      <c r="C151" s="1">
        <f>Tabela5[[#This Row],[Alongamento(mm/mm)]]/$I$2</f>
        <v>4.2324000000000001E-2</v>
      </c>
      <c r="D151" s="1">
        <v>43.715000000000003</v>
      </c>
      <c r="E151" s="1">
        <f>Tabela5[[#This Row],[Forτa(N)]]/$I$5</f>
        <v>1393417.8022153161</v>
      </c>
      <c r="F151" s="1">
        <f>Tabela5[[#This Row],[Tensão(Pa)]]/1000000</f>
        <v>1.3934178022153161</v>
      </c>
    </row>
    <row r="152" spans="1:6" x14ac:dyDescent="0.3">
      <c r="A152" s="1">
        <v>25.55</v>
      </c>
      <c r="B152" s="1">
        <v>2.1219000000000001</v>
      </c>
      <c r="C152" s="1">
        <f>Tabela5[[#This Row],[Alongamento(mm/mm)]]/$I$2</f>
        <v>4.2438000000000003E-2</v>
      </c>
      <c r="D152" s="1">
        <v>44.396000000000001</v>
      </c>
      <c r="E152" s="1">
        <f>Tabela5[[#This Row],[Forτa(N)]]/$I$5</f>
        <v>1415124.7111323613</v>
      </c>
      <c r="F152" s="1">
        <f>Tabela5[[#This Row],[Tensão(Pa)]]/1000000</f>
        <v>1.4151247111323613</v>
      </c>
    </row>
    <row r="153" spans="1:6" x14ac:dyDescent="0.3">
      <c r="A153" s="1">
        <v>25.6</v>
      </c>
      <c r="B153" s="1">
        <v>2.1259999999999999</v>
      </c>
      <c r="C153" s="1">
        <f>Tabela5[[#This Row],[Alongamento(mm/mm)]]/$I$2</f>
        <v>4.2519999999999995E-2</v>
      </c>
      <c r="D153" s="1">
        <v>45.076000000000001</v>
      </c>
      <c r="E153" s="1">
        <f>Tabela5[[#This Row],[Forτa(N)]]/$I$5</f>
        <v>1436799.7449996017</v>
      </c>
      <c r="F153" s="1">
        <f>Tabela5[[#This Row],[Tensão(Pa)]]/1000000</f>
        <v>1.4367997449996017</v>
      </c>
    </row>
    <row r="154" spans="1:6" x14ac:dyDescent="0.3">
      <c r="A154" s="1">
        <v>25.667000000000002</v>
      </c>
      <c r="B154" s="1">
        <v>2.1315</v>
      </c>
      <c r="C154" s="1">
        <f>Tabela5[[#This Row],[Alongamento(mm/mm)]]/$I$2</f>
        <v>4.2630000000000001E-2</v>
      </c>
      <c r="D154" s="1">
        <v>45.756999999999998</v>
      </c>
      <c r="E154" s="1">
        <f>Tabela5[[#This Row],[Forτa(N)]]/$I$5</f>
        <v>1458506.6539166467</v>
      </c>
      <c r="F154" s="1">
        <f>Tabela5[[#This Row],[Tensão(Pa)]]/1000000</f>
        <v>1.4585066539166467</v>
      </c>
    </row>
    <row r="155" spans="1:6" x14ac:dyDescent="0.3">
      <c r="A155" s="1">
        <v>25.716999999999999</v>
      </c>
      <c r="B155" s="1">
        <v>2.1356999999999999</v>
      </c>
      <c r="C155" s="1">
        <f>Tabela5[[#This Row],[Alongamento(mm/mm)]]/$I$2</f>
        <v>4.2714000000000002E-2</v>
      </c>
      <c r="D155" s="1">
        <v>46.436999999999998</v>
      </c>
      <c r="E155" s="1">
        <f>Tabela5[[#This Row],[Forτa(N)]]/$I$5</f>
        <v>1480181.6877838871</v>
      </c>
      <c r="F155" s="1">
        <f>Tabela5[[#This Row],[Tensão(Pa)]]/1000000</f>
        <v>1.4801816877838871</v>
      </c>
    </row>
    <row r="156" spans="1:6" x14ac:dyDescent="0.3">
      <c r="A156" s="1">
        <v>25.783000000000001</v>
      </c>
      <c r="B156" s="1">
        <v>2.1413000000000002</v>
      </c>
      <c r="C156" s="1">
        <f>Tabela5[[#This Row],[Alongamento(mm/mm)]]/$I$2</f>
        <v>4.2826000000000003E-2</v>
      </c>
      <c r="D156" s="1">
        <v>47.116999999999997</v>
      </c>
      <c r="E156" s="1">
        <f>Tabela5[[#This Row],[Forτa(N)]]/$I$5</f>
        <v>1501856.7216511276</v>
      </c>
      <c r="F156" s="1">
        <f>Tabela5[[#This Row],[Tensão(Pa)]]/1000000</f>
        <v>1.5018567216511276</v>
      </c>
    </row>
    <row r="157" spans="1:6" x14ac:dyDescent="0.3">
      <c r="A157" s="1">
        <v>25.832999999999998</v>
      </c>
      <c r="B157" s="1">
        <v>2.1454</v>
      </c>
      <c r="C157" s="1">
        <f>Tabela5[[#This Row],[Alongamento(mm/mm)]]/$I$2</f>
        <v>4.2908000000000002E-2</v>
      </c>
      <c r="D157" s="1">
        <v>47.798000000000002</v>
      </c>
      <c r="E157" s="1">
        <f>Tabela5[[#This Row],[Forτa(N)]]/$I$5</f>
        <v>1523563.630568173</v>
      </c>
      <c r="F157" s="1">
        <f>Tabela5[[#This Row],[Tensão(Pa)]]/1000000</f>
        <v>1.523563630568173</v>
      </c>
    </row>
    <row r="158" spans="1:6" x14ac:dyDescent="0.3">
      <c r="A158" s="1">
        <v>25.9</v>
      </c>
      <c r="B158" s="1">
        <v>2.1509</v>
      </c>
      <c r="C158" s="1">
        <f>Tabela5[[#This Row],[Alongamento(mm/mm)]]/$I$2</f>
        <v>4.3018000000000001E-2</v>
      </c>
      <c r="D158" s="1">
        <v>48.478000000000002</v>
      </c>
      <c r="E158" s="1">
        <f>Tabela5[[#This Row],[Forτa(N)]]/$I$5</f>
        <v>1545238.6644354134</v>
      </c>
      <c r="F158" s="1">
        <f>Tabela5[[#This Row],[Tensão(Pa)]]/1000000</f>
        <v>1.5452386644354135</v>
      </c>
    </row>
    <row r="159" spans="1:6" x14ac:dyDescent="0.3">
      <c r="A159" s="1">
        <v>25.95</v>
      </c>
      <c r="B159" s="1">
        <v>2.1551</v>
      </c>
      <c r="C159" s="1">
        <f>Tabela5[[#This Row],[Alongamento(mm/mm)]]/$I$2</f>
        <v>4.3102000000000001E-2</v>
      </c>
      <c r="D159" s="1">
        <v>49.158999999999999</v>
      </c>
      <c r="E159" s="1">
        <f>Tabela5[[#This Row],[Forτa(N)]]/$I$5</f>
        <v>1566945.5733524584</v>
      </c>
      <c r="F159" s="1">
        <f>Tabela5[[#This Row],[Tensão(Pa)]]/1000000</f>
        <v>1.5669455733524584</v>
      </c>
    </row>
    <row r="160" spans="1:6" x14ac:dyDescent="0.3">
      <c r="A160" s="1">
        <v>26</v>
      </c>
      <c r="B160" s="1">
        <v>2.1594000000000002</v>
      </c>
      <c r="C160" s="1">
        <f>Tabela5[[#This Row],[Alongamento(mm/mm)]]/$I$2</f>
        <v>4.3188000000000004E-2</v>
      </c>
      <c r="D160" s="1">
        <v>49.838999999999999</v>
      </c>
      <c r="E160" s="1">
        <f>Tabela5[[#This Row],[Forτa(N)]]/$I$5</f>
        <v>1588620.6072196988</v>
      </c>
      <c r="F160" s="1">
        <f>Tabela5[[#This Row],[Tensão(Pa)]]/1000000</f>
        <v>1.5886206072196989</v>
      </c>
    </row>
    <row r="161" spans="1:6" x14ac:dyDescent="0.3">
      <c r="A161" s="1">
        <v>26.067</v>
      </c>
      <c r="B161" s="1">
        <v>2.1648999999999998</v>
      </c>
      <c r="C161" s="1">
        <f>Tabela5[[#This Row],[Alongamento(mm/mm)]]/$I$2</f>
        <v>4.3297999999999996E-2</v>
      </c>
      <c r="D161" s="1">
        <v>50.518999999999998</v>
      </c>
      <c r="E161" s="1">
        <f>Tabela5[[#This Row],[Forτa(N)]]/$I$5</f>
        <v>1610295.6410869393</v>
      </c>
      <c r="F161" s="1">
        <f>Tabela5[[#This Row],[Tensão(Pa)]]/1000000</f>
        <v>1.6102956410869393</v>
      </c>
    </row>
    <row r="162" spans="1:6" x14ac:dyDescent="0.3">
      <c r="A162" s="1">
        <v>26.117000000000001</v>
      </c>
      <c r="B162" s="1">
        <v>2.1690999999999998</v>
      </c>
      <c r="C162" s="1">
        <f>Tabela5[[#This Row],[Alongamento(mm/mm)]]/$I$2</f>
        <v>4.3381999999999997E-2</v>
      </c>
      <c r="D162" s="1">
        <v>51.2</v>
      </c>
      <c r="E162" s="1">
        <f>Tabela5[[#This Row],[Forτa(N)]]/$I$5</f>
        <v>1632002.5500039845</v>
      </c>
      <c r="F162" s="1">
        <f>Tabela5[[#This Row],[Tensão(Pa)]]/1000000</f>
        <v>1.6320025500039845</v>
      </c>
    </row>
    <row r="163" spans="1:6" x14ac:dyDescent="0.3">
      <c r="A163" s="1">
        <v>26.183</v>
      </c>
      <c r="B163" s="1">
        <v>2.1747000000000001</v>
      </c>
      <c r="C163" s="1">
        <f>Tabela5[[#This Row],[Alongamento(mm/mm)]]/$I$2</f>
        <v>4.3494000000000005E-2</v>
      </c>
      <c r="D163" s="1">
        <v>51.88</v>
      </c>
      <c r="E163" s="1">
        <f>Tabela5[[#This Row],[Forτa(N)]]/$I$5</f>
        <v>1653677.5838712249</v>
      </c>
      <c r="F163" s="1">
        <f>Tabela5[[#This Row],[Tensão(Pa)]]/1000000</f>
        <v>1.653677583871225</v>
      </c>
    </row>
    <row r="164" spans="1:6" x14ac:dyDescent="0.3">
      <c r="A164" s="1">
        <v>26.233000000000001</v>
      </c>
      <c r="B164" s="1">
        <v>2.1787999999999998</v>
      </c>
      <c r="C164" s="1">
        <f>Tabela5[[#This Row],[Alongamento(mm/mm)]]/$I$2</f>
        <v>4.3575999999999997E-2</v>
      </c>
      <c r="D164" s="1">
        <v>52.561</v>
      </c>
      <c r="E164" s="1">
        <f>Tabela5[[#This Row],[Forτa(N)]]/$I$5</f>
        <v>1675384.4927882701</v>
      </c>
      <c r="F164" s="1">
        <f>Tabela5[[#This Row],[Tensão(Pa)]]/1000000</f>
        <v>1.6753844927882702</v>
      </c>
    </row>
    <row r="165" spans="1:6" x14ac:dyDescent="0.3">
      <c r="A165" s="1">
        <v>26.283000000000001</v>
      </c>
      <c r="B165" s="1">
        <v>2.1829999999999998</v>
      </c>
      <c r="C165" s="1">
        <f>Tabela5[[#This Row],[Alongamento(mm/mm)]]/$I$2</f>
        <v>4.3659999999999997E-2</v>
      </c>
      <c r="D165" s="1">
        <v>53.241</v>
      </c>
      <c r="E165" s="1">
        <f>Tabela5[[#This Row],[Forτa(N)]]/$I$5</f>
        <v>1697059.5266555105</v>
      </c>
      <c r="F165" s="1">
        <f>Tabela5[[#This Row],[Tensão(Pa)]]/1000000</f>
        <v>1.6970595266555106</v>
      </c>
    </row>
    <row r="166" spans="1:6" x14ac:dyDescent="0.3">
      <c r="A166" s="1">
        <v>26.35</v>
      </c>
      <c r="B166" s="1">
        <v>2.1884000000000001</v>
      </c>
      <c r="C166" s="1">
        <f>Tabela5[[#This Row],[Alongamento(mm/mm)]]/$I$2</f>
        <v>4.3768000000000001E-2</v>
      </c>
      <c r="D166" s="1">
        <v>54.091000000000001</v>
      </c>
      <c r="E166" s="1">
        <f>Tabela5[[#This Row],[Forτa(N)]]/$I$5</f>
        <v>1724153.3189895609</v>
      </c>
      <c r="F166" s="1">
        <f>Tabela5[[#This Row],[Tensão(Pa)]]/1000000</f>
        <v>1.724153318989561</v>
      </c>
    </row>
    <row r="167" spans="1:6" x14ac:dyDescent="0.3">
      <c r="A167" s="1">
        <v>26.417000000000002</v>
      </c>
      <c r="B167" s="1">
        <v>2.194</v>
      </c>
      <c r="C167" s="1">
        <f>Tabela5[[#This Row],[Alongamento(mm/mm)]]/$I$2</f>
        <v>4.3880000000000002E-2</v>
      </c>
      <c r="D167" s="1">
        <v>54.771999999999998</v>
      </c>
      <c r="E167" s="1">
        <f>Tabela5[[#This Row],[Forτa(N)]]/$I$5</f>
        <v>1745860.2279066062</v>
      </c>
      <c r="F167" s="1">
        <f>Tabela5[[#This Row],[Tensão(Pa)]]/1000000</f>
        <v>1.7458602279066062</v>
      </c>
    </row>
    <row r="168" spans="1:6" x14ac:dyDescent="0.3">
      <c r="A168" s="1">
        <v>26.466999999999999</v>
      </c>
      <c r="B168" s="1">
        <v>2.1981999999999999</v>
      </c>
      <c r="C168" s="1">
        <f>Tabela5[[#This Row],[Alongamento(mm/mm)]]/$I$2</f>
        <v>4.3963999999999996E-2</v>
      </c>
      <c r="D168" s="1">
        <v>55.451999999999998</v>
      </c>
      <c r="E168" s="1">
        <f>Tabela5[[#This Row],[Forτa(N)]]/$I$5</f>
        <v>1767535.2617738466</v>
      </c>
      <c r="F168" s="1">
        <f>Tabela5[[#This Row],[Tensão(Pa)]]/1000000</f>
        <v>1.7675352617738467</v>
      </c>
    </row>
    <row r="169" spans="1:6" x14ac:dyDescent="0.3">
      <c r="A169" s="1">
        <v>26.516999999999999</v>
      </c>
      <c r="B169" s="1">
        <v>2.2023000000000001</v>
      </c>
      <c r="C169" s="1">
        <f>Tabela5[[#This Row],[Alongamento(mm/mm)]]/$I$2</f>
        <v>4.4046000000000002E-2</v>
      </c>
      <c r="D169" s="1">
        <v>56.133000000000003</v>
      </c>
      <c r="E169" s="1">
        <f>Tabela5[[#This Row],[Forτa(N)]]/$I$5</f>
        <v>1789242.1706908918</v>
      </c>
      <c r="F169" s="1">
        <f>Tabela5[[#This Row],[Tensão(Pa)]]/1000000</f>
        <v>1.7892421706908919</v>
      </c>
    </row>
    <row r="170" spans="1:6" x14ac:dyDescent="0.3">
      <c r="A170" s="1">
        <v>26.582999999999998</v>
      </c>
      <c r="B170" s="1">
        <v>2.2079</v>
      </c>
      <c r="C170" s="1">
        <f>Tabela5[[#This Row],[Alongamento(mm/mm)]]/$I$2</f>
        <v>4.4158000000000003E-2</v>
      </c>
      <c r="D170" s="1">
        <v>56.813000000000002</v>
      </c>
      <c r="E170" s="1">
        <f>Tabela5[[#This Row],[Forτa(N)]]/$I$5</f>
        <v>1810917.2045581322</v>
      </c>
      <c r="F170" s="1">
        <f>Tabela5[[#This Row],[Tensão(Pa)]]/1000000</f>
        <v>1.8109172045581323</v>
      </c>
    </row>
    <row r="171" spans="1:6" x14ac:dyDescent="0.3">
      <c r="A171" s="1">
        <v>26.632999999999999</v>
      </c>
      <c r="B171" s="1">
        <v>2.2121</v>
      </c>
      <c r="C171" s="1">
        <f>Tabela5[[#This Row],[Alongamento(mm/mm)]]/$I$2</f>
        <v>4.4241999999999997E-2</v>
      </c>
      <c r="D171" s="1">
        <v>57.493000000000002</v>
      </c>
      <c r="E171" s="1">
        <f>Tabela5[[#This Row],[Forτa(N)]]/$I$5</f>
        <v>1832592.2384253726</v>
      </c>
      <c r="F171" s="1">
        <f>Tabela5[[#This Row],[Tensão(Pa)]]/1000000</f>
        <v>1.8325922384253726</v>
      </c>
    </row>
    <row r="172" spans="1:6" x14ac:dyDescent="0.3">
      <c r="A172" s="1">
        <v>26.683</v>
      </c>
      <c r="B172" s="1">
        <v>2.2162999999999999</v>
      </c>
      <c r="C172" s="1">
        <f>Tabela5[[#This Row],[Alongamento(mm/mm)]]/$I$2</f>
        <v>4.4325999999999997E-2</v>
      </c>
      <c r="D172" s="1">
        <v>58.173999999999999</v>
      </c>
      <c r="E172" s="1">
        <f>Tabela5[[#This Row],[Forτa(N)]]/$I$5</f>
        <v>1854299.1473424179</v>
      </c>
      <c r="F172" s="1">
        <f>Tabela5[[#This Row],[Tensão(Pa)]]/1000000</f>
        <v>1.854299147342418</v>
      </c>
    </row>
    <row r="173" spans="1:6" x14ac:dyDescent="0.3">
      <c r="A173" s="1">
        <v>26.733000000000001</v>
      </c>
      <c r="B173" s="1">
        <v>2.2204999999999999</v>
      </c>
      <c r="C173" s="1">
        <f>Tabela5[[#This Row],[Alongamento(mm/mm)]]/$I$2</f>
        <v>4.4409999999999998E-2</v>
      </c>
      <c r="D173" s="1">
        <v>58.853999999999999</v>
      </c>
      <c r="E173" s="1">
        <f>Tabela5[[#This Row],[Forτa(N)]]/$I$5</f>
        <v>1875974.1812096583</v>
      </c>
      <c r="F173" s="1">
        <f>Tabela5[[#This Row],[Tensão(Pa)]]/1000000</f>
        <v>1.8759741812096582</v>
      </c>
    </row>
    <row r="174" spans="1:6" x14ac:dyDescent="0.3">
      <c r="A174" s="1">
        <v>26.783000000000001</v>
      </c>
      <c r="B174" s="1">
        <v>2.2246000000000001</v>
      </c>
      <c r="C174" s="1">
        <f>Tabela5[[#This Row],[Alongamento(mm/mm)]]/$I$2</f>
        <v>4.4492000000000004E-2</v>
      </c>
      <c r="D174" s="1">
        <v>59.534999999999997</v>
      </c>
      <c r="E174" s="1">
        <f>Tabela5[[#This Row],[Forτa(N)]]/$I$5</f>
        <v>1897681.0901267033</v>
      </c>
      <c r="F174" s="1">
        <f>Tabela5[[#This Row],[Tensão(Pa)]]/1000000</f>
        <v>1.8976810901267032</v>
      </c>
    </row>
    <row r="175" spans="1:6" x14ac:dyDescent="0.3">
      <c r="A175" s="1">
        <v>26.85</v>
      </c>
      <c r="B175" s="1">
        <v>2.2301000000000002</v>
      </c>
      <c r="C175" s="1">
        <f>Tabela5[[#This Row],[Alongamento(mm/mm)]]/$I$2</f>
        <v>4.4602000000000003E-2</v>
      </c>
      <c r="D175" s="1">
        <v>60.384999999999998</v>
      </c>
      <c r="E175" s="1">
        <f>Tabela5[[#This Row],[Forτa(N)]]/$I$5</f>
        <v>1924774.8824607539</v>
      </c>
      <c r="F175" s="1">
        <f>Tabela5[[#This Row],[Tensão(Pa)]]/1000000</f>
        <v>1.9247748824607538</v>
      </c>
    </row>
    <row r="176" spans="1:6" x14ac:dyDescent="0.3">
      <c r="A176" s="1">
        <v>26.917000000000002</v>
      </c>
      <c r="B176" s="1">
        <v>2.2357</v>
      </c>
      <c r="C176" s="1">
        <f>Tabela5[[#This Row],[Alongamento(mm/mm)]]/$I$2</f>
        <v>4.4714000000000004E-2</v>
      </c>
      <c r="D176" s="1">
        <v>61.235999999999997</v>
      </c>
      <c r="E176" s="1">
        <f>Tabela5[[#This Row],[Forτa(N)]]/$I$5</f>
        <v>1951900.5498446091</v>
      </c>
      <c r="F176" s="1">
        <f>Tabela5[[#This Row],[Tensão(Pa)]]/1000000</f>
        <v>1.9519005498446091</v>
      </c>
    </row>
    <row r="177" spans="1:6" x14ac:dyDescent="0.3">
      <c r="A177" s="1">
        <v>26.983000000000001</v>
      </c>
      <c r="B177" s="1">
        <v>2.2412000000000001</v>
      </c>
      <c r="C177" s="1">
        <f>Tabela5[[#This Row],[Alongamento(mm/mm)]]/$I$2</f>
        <v>4.4824000000000003E-2</v>
      </c>
      <c r="D177" s="1">
        <v>62.085999999999999</v>
      </c>
      <c r="E177" s="1">
        <f>Tabela5[[#This Row],[Forτa(N)]]/$I$5</f>
        <v>1978994.3421786597</v>
      </c>
      <c r="F177" s="1">
        <f>Tabela5[[#This Row],[Tensão(Pa)]]/1000000</f>
        <v>1.9789943421786598</v>
      </c>
    </row>
    <row r="178" spans="1:6" x14ac:dyDescent="0.3">
      <c r="A178" s="1">
        <v>27.05</v>
      </c>
      <c r="B178" s="1">
        <v>2.2469000000000001</v>
      </c>
      <c r="C178" s="1">
        <f>Tabela5[[#This Row],[Alongamento(mm/mm)]]/$I$2</f>
        <v>4.4938000000000006E-2</v>
      </c>
      <c r="D178" s="1">
        <v>62.936999999999998</v>
      </c>
      <c r="E178" s="1">
        <f>Tabela5[[#This Row],[Forτa(N)]]/$I$5</f>
        <v>2006120.009562515</v>
      </c>
      <c r="F178" s="1">
        <f>Tabela5[[#This Row],[Tensão(Pa)]]/1000000</f>
        <v>2.0061200095625149</v>
      </c>
    </row>
    <row r="179" spans="1:6" x14ac:dyDescent="0.3">
      <c r="A179" s="1">
        <v>27.117000000000001</v>
      </c>
      <c r="B179" s="1">
        <v>2.2524000000000002</v>
      </c>
      <c r="C179" s="1">
        <f>Tabela5[[#This Row],[Alongamento(mm/mm)]]/$I$2</f>
        <v>4.5048000000000005E-2</v>
      </c>
      <c r="D179" s="1">
        <v>63.786999999999999</v>
      </c>
      <c r="E179" s="1">
        <f>Tabela5[[#This Row],[Forτa(N)]]/$I$5</f>
        <v>2033213.8018965656</v>
      </c>
      <c r="F179" s="1">
        <f>Tabela5[[#This Row],[Tensão(Pa)]]/1000000</f>
        <v>2.0332138018965655</v>
      </c>
    </row>
    <row r="180" spans="1:6" x14ac:dyDescent="0.3">
      <c r="A180" s="1">
        <v>27.183</v>
      </c>
      <c r="B180" s="1">
        <v>2.258</v>
      </c>
      <c r="C180" s="1">
        <f>Tabela5[[#This Row],[Alongamento(mm/mm)]]/$I$2</f>
        <v>4.5159999999999999E-2</v>
      </c>
      <c r="D180" s="1">
        <v>64.638000000000005</v>
      </c>
      <c r="E180" s="1">
        <f>Tabela5[[#This Row],[Forτa(N)]]/$I$5</f>
        <v>2060339.469280421</v>
      </c>
      <c r="F180" s="1">
        <f>Tabela5[[#This Row],[Tensão(Pa)]]/1000000</f>
        <v>2.0603394692804211</v>
      </c>
    </row>
    <row r="181" spans="1:6" x14ac:dyDescent="0.3">
      <c r="A181" s="1">
        <v>27.25</v>
      </c>
      <c r="B181" s="1">
        <v>2.2633999999999999</v>
      </c>
      <c r="C181" s="1">
        <f>Tabela5[[#This Row],[Alongamento(mm/mm)]]/$I$2</f>
        <v>4.5267999999999996E-2</v>
      </c>
      <c r="D181" s="1">
        <v>65.488</v>
      </c>
      <c r="E181" s="1">
        <f>Tabela5[[#This Row],[Forτa(N)]]/$I$5</f>
        <v>2087433.2616144714</v>
      </c>
      <c r="F181" s="1">
        <f>Tabela5[[#This Row],[Tensão(Pa)]]/1000000</f>
        <v>2.0874332616144713</v>
      </c>
    </row>
    <row r="182" spans="1:6" x14ac:dyDescent="0.3">
      <c r="A182" s="1">
        <v>27.317</v>
      </c>
      <c r="B182" s="1">
        <v>2.2690000000000001</v>
      </c>
      <c r="C182" s="1">
        <f>Tabela5[[#This Row],[Alongamento(mm/mm)]]/$I$2</f>
        <v>4.5380000000000004E-2</v>
      </c>
      <c r="D182" s="1">
        <v>66.338999999999999</v>
      </c>
      <c r="E182" s="1">
        <f>Tabela5[[#This Row],[Forτa(N)]]/$I$5</f>
        <v>2114558.9289983264</v>
      </c>
      <c r="F182" s="1">
        <f>Tabela5[[#This Row],[Tensão(Pa)]]/1000000</f>
        <v>2.1145589289983264</v>
      </c>
    </row>
    <row r="183" spans="1:6" x14ac:dyDescent="0.3">
      <c r="A183" s="1">
        <v>27.367000000000001</v>
      </c>
      <c r="B183" s="1">
        <v>2.2732000000000001</v>
      </c>
      <c r="C183" s="1">
        <f>Tabela5[[#This Row],[Alongamento(mm/mm)]]/$I$2</f>
        <v>4.5464000000000004E-2</v>
      </c>
      <c r="D183" s="1">
        <v>67.019000000000005</v>
      </c>
      <c r="E183" s="1">
        <f>Tabela5[[#This Row],[Forτa(N)]]/$I$5</f>
        <v>2136233.9628655673</v>
      </c>
      <c r="F183" s="1">
        <f>Tabela5[[#This Row],[Tensão(Pa)]]/1000000</f>
        <v>2.1362339628655671</v>
      </c>
    </row>
    <row r="184" spans="1:6" x14ac:dyDescent="0.3">
      <c r="A184" s="1">
        <v>27.433</v>
      </c>
      <c r="B184" s="1">
        <v>2.2787999999999999</v>
      </c>
      <c r="C184" s="1">
        <f>Tabela5[[#This Row],[Alongamento(mm/mm)]]/$I$2</f>
        <v>4.5575999999999998E-2</v>
      </c>
      <c r="D184" s="1">
        <v>67.869</v>
      </c>
      <c r="E184" s="1">
        <f>Tabela5[[#This Row],[Forτa(N)]]/$I$5</f>
        <v>2163327.7551996177</v>
      </c>
      <c r="F184" s="1">
        <f>Tabela5[[#This Row],[Tensão(Pa)]]/1000000</f>
        <v>2.1633277551996177</v>
      </c>
    </row>
    <row r="185" spans="1:6" x14ac:dyDescent="0.3">
      <c r="A185" s="1">
        <v>27.483000000000001</v>
      </c>
      <c r="B185" s="1">
        <v>2.2829999999999999</v>
      </c>
      <c r="C185" s="1">
        <f>Tabela5[[#This Row],[Alongamento(mm/mm)]]/$I$2</f>
        <v>4.5659999999999999E-2</v>
      </c>
      <c r="D185" s="1">
        <v>68.55</v>
      </c>
      <c r="E185" s="1">
        <f>Tabela5[[#This Row],[Forτa(N)]]/$I$5</f>
        <v>2185034.6641166629</v>
      </c>
      <c r="F185" s="1">
        <f>Tabela5[[#This Row],[Tensão(Pa)]]/1000000</f>
        <v>2.1850346641166629</v>
      </c>
    </row>
    <row r="186" spans="1:6" x14ac:dyDescent="0.3">
      <c r="A186" s="1">
        <v>27.55</v>
      </c>
      <c r="B186" s="1">
        <v>2.2885</v>
      </c>
      <c r="C186" s="1">
        <f>Tabela5[[#This Row],[Alongamento(mm/mm)]]/$I$2</f>
        <v>4.5769999999999998E-2</v>
      </c>
      <c r="D186" s="1">
        <v>69.400000000000006</v>
      </c>
      <c r="E186" s="1">
        <f>Tabela5[[#This Row],[Forτa(N)]]/$I$5</f>
        <v>2212128.4564507133</v>
      </c>
      <c r="F186" s="1">
        <f>Tabela5[[#This Row],[Tensão(Pa)]]/1000000</f>
        <v>2.2121284564507135</v>
      </c>
    </row>
    <row r="187" spans="1:6" x14ac:dyDescent="0.3">
      <c r="A187" s="1">
        <v>27.6</v>
      </c>
      <c r="B187" s="1">
        <v>2.2927</v>
      </c>
      <c r="C187" s="1">
        <f>Tabela5[[#This Row],[Alongamento(mm/mm)]]/$I$2</f>
        <v>4.5853999999999999E-2</v>
      </c>
      <c r="D187" s="1">
        <v>70.081000000000003</v>
      </c>
      <c r="E187" s="1">
        <f>Tabela5[[#This Row],[Forτa(N)]]/$I$5</f>
        <v>2233835.3653677586</v>
      </c>
      <c r="F187" s="1">
        <f>Tabela5[[#This Row],[Tensão(Pa)]]/1000000</f>
        <v>2.2338353653677587</v>
      </c>
    </row>
    <row r="188" spans="1:6" x14ac:dyDescent="0.3">
      <c r="A188" s="1">
        <v>27.65</v>
      </c>
      <c r="B188" s="1">
        <v>2.2968000000000002</v>
      </c>
      <c r="C188" s="1">
        <f>Tabela5[[#This Row],[Alongamento(mm/mm)]]/$I$2</f>
        <v>4.5936000000000005E-2</v>
      </c>
      <c r="D188" s="1">
        <v>70.760999999999996</v>
      </c>
      <c r="E188" s="1">
        <f>Tabela5[[#This Row],[Forτa(N)]]/$I$5</f>
        <v>2255510.399234999</v>
      </c>
      <c r="F188" s="1">
        <f>Tabela5[[#This Row],[Tensão(Pa)]]/1000000</f>
        <v>2.255510399234999</v>
      </c>
    </row>
    <row r="189" spans="1:6" x14ac:dyDescent="0.3">
      <c r="A189" s="1">
        <v>27.716999999999999</v>
      </c>
      <c r="B189" s="1">
        <v>2.3022999999999998</v>
      </c>
      <c r="C189" s="1">
        <f>Tabela5[[#This Row],[Alongamento(mm/mm)]]/$I$2</f>
        <v>4.6045999999999997E-2</v>
      </c>
      <c r="D189" s="1">
        <v>71.611999999999995</v>
      </c>
      <c r="E189" s="1">
        <f>Tabela5[[#This Row],[Forτa(N)]]/$I$5</f>
        <v>2282636.0666188542</v>
      </c>
      <c r="F189" s="1">
        <f>Tabela5[[#This Row],[Tensão(Pa)]]/1000000</f>
        <v>2.2826360666188541</v>
      </c>
    </row>
    <row r="190" spans="1:6" x14ac:dyDescent="0.3">
      <c r="A190" s="1">
        <v>27.766999999999999</v>
      </c>
      <c r="B190" s="1">
        <v>2.3065000000000002</v>
      </c>
      <c r="C190" s="1">
        <f>Tabela5[[#This Row],[Alongamento(mm/mm)]]/$I$2</f>
        <v>4.6130000000000004E-2</v>
      </c>
      <c r="D190" s="1">
        <v>72.292000000000002</v>
      </c>
      <c r="E190" s="1">
        <f>Tabela5[[#This Row],[Forτa(N)]]/$I$5</f>
        <v>2304311.1004860946</v>
      </c>
      <c r="F190" s="1">
        <f>Tabela5[[#This Row],[Tensão(Pa)]]/1000000</f>
        <v>2.3043111004860948</v>
      </c>
    </row>
    <row r="191" spans="1:6" x14ac:dyDescent="0.3">
      <c r="A191" s="1">
        <v>27.817</v>
      </c>
      <c r="B191" s="1">
        <v>2.3106</v>
      </c>
      <c r="C191" s="1">
        <f>Tabela5[[#This Row],[Alongamento(mm/mm)]]/$I$2</f>
        <v>4.6212000000000003E-2</v>
      </c>
      <c r="D191" s="1">
        <v>72.971999999999994</v>
      </c>
      <c r="E191" s="1">
        <f>Tabela5[[#This Row],[Forτa(N)]]/$I$5</f>
        <v>2325986.134353335</v>
      </c>
      <c r="F191" s="1">
        <f>Tabela5[[#This Row],[Tensão(Pa)]]/1000000</f>
        <v>2.325986134353335</v>
      </c>
    </row>
    <row r="192" spans="1:6" x14ac:dyDescent="0.3">
      <c r="A192" s="1">
        <v>27.867000000000001</v>
      </c>
      <c r="B192" s="1">
        <v>2.3149000000000002</v>
      </c>
      <c r="C192" s="1">
        <f>Tabela5[[#This Row],[Alongamento(mm/mm)]]/$I$2</f>
        <v>4.6298000000000006E-2</v>
      </c>
      <c r="D192" s="1">
        <v>73.653000000000006</v>
      </c>
      <c r="E192" s="1">
        <f>Tabela5[[#This Row],[Forτa(N)]]/$I$5</f>
        <v>2347693.0432703802</v>
      </c>
      <c r="F192" s="1">
        <f>Tabela5[[#This Row],[Tensão(Pa)]]/1000000</f>
        <v>2.3476930432703802</v>
      </c>
    </row>
    <row r="193" spans="1:6" x14ac:dyDescent="0.3">
      <c r="A193" s="1">
        <v>27.917000000000002</v>
      </c>
      <c r="B193" s="1">
        <v>2.319</v>
      </c>
      <c r="C193" s="1">
        <f>Tabela5[[#This Row],[Alongamento(mm/mm)]]/$I$2</f>
        <v>4.6379999999999998E-2</v>
      </c>
      <c r="D193" s="1">
        <v>74.332999999999998</v>
      </c>
      <c r="E193" s="1">
        <f>Tabela5[[#This Row],[Forτa(N)]]/$I$5</f>
        <v>2369368.0771376207</v>
      </c>
      <c r="F193" s="1">
        <f>Tabela5[[#This Row],[Tensão(Pa)]]/1000000</f>
        <v>2.3693680771376204</v>
      </c>
    </row>
    <row r="194" spans="1:6" x14ac:dyDescent="0.3">
      <c r="A194" s="1">
        <v>27.966999999999999</v>
      </c>
      <c r="B194" s="1">
        <v>2.3231999999999999</v>
      </c>
      <c r="C194" s="1">
        <f>Tabela5[[#This Row],[Alongamento(mm/mm)]]/$I$2</f>
        <v>4.6463999999999998E-2</v>
      </c>
      <c r="D194" s="1">
        <v>75.013999999999996</v>
      </c>
      <c r="E194" s="1">
        <f>Tabela5[[#This Row],[Forτa(N)]]/$I$5</f>
        <v>2391074.9860546659</v>
      </c>
      <c r="F194" s="1">
        <f>Tabela5[[#This Row],[Tensão(Pa)]]/1000000</f>
        <v>2.3910749860546661</v>
      </c>
    </row>
    <row r="195" spans="1:6" x14ac:dyDescent="0.3">
      <c r="A195" s="1">
        <v>28.016999999999999</v>
      </c>
      <c r="B195" s="1">
        <v>2.3273999999999999</v>
      </c>
      <c r="C195" s="1">
        <f>Tabela5[[#This Row],[Alongamento(mm/mm)]]/$I$2</f>
        <v>4.6547999999999999E-2</v>
      </c>
      <c r="D195" s="1">
        <v>75.694000000000003</v>
      </c>
      <c r="E195" s="1">
        <f>Tabela5[[#This Row],[Forτa(N)]]/$I$5</f>
        <v>2412750.0199219063</v>
      </c>
      <c r="F195" s="1">
        <f>Tabela5[[#This Row],[Tensão(Pa)]]/1000000</f>
        <v>2.4127500199219063</v>
      </c>
    </row>
    <row r="196" spans="1:6" x14ac:dyDescent="0.3">
      <c r="A196" s="1">
        <v>28.067</v>
      </c>
      <c r="B196" s="1">
        <v>2.3315000000000001</v>
      </c>
      <c r="C196" s="1">
        <f>Tabela5[[#This Row],[Alongamento(mm/mm)]]/$I$2</f>
        <v>4.6630000000000005E-2</v>
      </c>
      <c r="D196" s="1">
        <v>76.373999999999995</v>
      </c>
      <c r="E196" s="1">
        <f>Tabela5[[#This Row],[Forτa(N)]]/$I$5</f>
        <v>2434425.0537891467</v>
      </c>
      <c r="F196" s="1">
        <f>Tabela5[[#This Row],[Tensão(Pa)]]/1000000</f>
        <v>2.4344250537891465</v>
      </c>
    </row>
    <row r="197" spans="1:6" x14ac:dyDescent="0.3">
      <c r="A197" s="1">
        <v>28.117000000000001</v>
      </c>
      <c r="B197" s="1">
        <v>2.3357999999999999</v>
      </c>
      <c r="C197" s="1">
        <f>Tabela5[[#This Row],[Alongamento(mm/mm)]]/$I$2</f>
        <v>4.6716000000000001E-2</v>
      </c>
      <c r="D197" s="1">
        <v>77.055000000000007</v>
      </c>
      <c r="E197" s="1">
        <f>Tabela5[[#This Row],[Forτa(N)]]/$I$5</f>
        <v>2456131.9627061919</v>
      </c>
      <c r="F197" s="1">
        <f>Tabela5[[#This Row],[Tensão(Pa)]]/1000000</f>
        <v>2.4561319627061917</v>
      </c>
    </row>
    <row r="198" spans="1:6" x14ac:dyDescent="0.3">
      <c r="A198" s="1">
        <v>28.167000000000002</v>
      </c>
      <c r="B198" s="1">
        <v>2.3399000000000001</v>
      </c>
      <c r="C198" s="1">
        <f>Tabela5[[#This Row],[Alongamento(mm/mm)]]/$I$2</f>
        <v>4.6797999999999999E-2</v>
      </c>
      <c r="D198" s="1">
        <v>77.734999999999999</v>
      </c>
      <c r="E198" s="1">
        <f>Tabela5[[#This Row],[Forτa(N)]]/$I$5</f>
        <v>2477806.9965734323</v>
      </c>
      <c r="F198" s="1">
        <f>Tabela5[[#This Row],[Tensão(Pa)]]/1000000</f>
        <v>2.4778069965734324</v>
      </c>
    </row>
    <row r="199" spans="1:6" x14ac:dyDescent="0.3">
      <c r="A199" s="1">
        <v>28.216999999999999</v>
      </c>
      <c r="B199" s="1">
        <v>2.3439999999999999</v>
      </c>
      <c r="C199" s="1">
        <f>Tabela5[[#This Row],[Alongamento(mm/mm)]]/$I$2</f>
        <v>4.6879999999999998E-2</v>
      </c>
      <c r="D199" s="1">
        <v>78.415999999999997</v>
      </c>
      <c r="E199" s="1">
        <f>Tabela5[[#This Row],[Forτa(N)]]/$I$5</f>
        <v>2499513.9054904776</v>
      </c>
      <c r="F199" s="1">
        <f>Tabela5[[#This Row],[Tensão(Pa)]]/1000000</f>
        <v>2.4995139054904776</v>
      </c>
    </row>
    <row r="200" spans="1:6" x14ac:dyDescent="0.3">
      <c r="A200" s="1">
        <v>28.266999999999999</v>
      </c>
      <c r="B200" s="1">
        <v>2.3481999999999998</v>
      </c>
      <c r="C200" s="1">
        <f>Tabela5[[#This Row],[Alongamento(mm/mm)]]/$I$2</f>
        <v>4.6963999999999999E-2</v>
      </c>
      <c r="D200" s="1">
        <v>79.096000000000004</v>
      </c>
      <c r="E200" s="1">
        <f>Tabela5[[#This Row],[Forτa(N)]]/$I$5</f>
        <v>2521188.939357718</v>
      </c>
      <c r="F200" s="1">
        <f>Tabela5[[#This Row],[Tensão(Pa)]]/1000000</f>
        <v>2.5211889393577178</v>
      </c>
    </row>
    <row r="201" spans="1:6" x14ac:dyDescent="0.3">
      <c r="A201" s="1">
        <v>28.317</v>
      </c>
      <c r="B201" s="1">
        <v>2.3523999999999998</v>
      </c>
      <c r="C201" s="1">
        <f>Tabela5[[#This Row],[Alongamento(mm/mm)]]/$I$2</f>
        <v>4.7048E-2</v>
      </c>
      <c r="D201" s="1">
        <v>79.775999999999996</v>
      </c>
      <c r="E201" s="1">
        <f>Tabela5[[#This Row],[Forτa(N)]]/$I$5</f>
        <v>2542863.9732249584</v>
      </c>
      <c r="F201" s="1">
        <f>Tabela5[[#This Row],[Tensão(Pa)]]/1000000</f>
        <v>2.5428639732249585</v>
      </c>
    </row>
    <row r="202" spans="1:6" x14ac:dyDescent="0.3">
      <c r="A202" s="1">
        <v>28.367000000000001</v>
      </c>
      <c r="B202" s="1">
        <v>2.3565999999999998</v>
      </c>
      <c r="C202" s="1">
        <f>Tabela5[[#This Row],[Alongamento(mm/mm)]]/$I$2</f>
        <v>4.7131999999999993E-2</v>
      </c>
      <c r="D202" s="1">
        <v>80.456999999999994</v>
      </c>
      <c r="E202" s="1">
        <f>Tabela5[[#This Row],[Forτa(N)]]/$I$5</f>
        <v>2564570.8821420032</v>
      </c>
      <c r="F202" s="1">
        <f>Tabela5[[#This Row],[Tensão(Pa)]]/1000000</f>
        <v>2.5645708821420032</v>
      </c>
    </row>
    <row r="203" spans="1:6" x14ac:dyDescent="0.3">
      <c r="A203" s="1">
        <v>28.417000000000002</v>
      </c>
      <c r="B203" s="1">
        <v>2.3607</v>
      </c>
      <c r="C203" s="1">
        <f>Tabela5[[#This Row],[Alongamento(mm/mm)]]/$I$2</f>
        <v>4.7213999999999999E-2</v>
      </c>
      <c r="D203" s="1">
        <v>81.307000000000002</v>
      </c>
      <c r="E203" s="1">
        <f>Tabela5[[#This Row],[Forτa(N)]]/$I$5</f>
        <v>2591664.674476054</v>
      </c>
      <c r="F203" s="1">
        <f>Tabela5[[#This Row],[Tensão(Pa)]]/1000000</f>
        <v>2.5916646744760539</v>
      </c>
    </row>
    <row r="204" spans="1:6" x14ac:dyDescent="0.3">
      <c r="A204" s="1">
        <v>28.483000000000001</v>
      </c>
      <c r="B204" s="1">
        <v>2.3662999999999998</v>
      </c>
      <c r="C204" s="1">
        <f>Tabela5[[#This Row],[Alongamento(mm/mm)]]/$I$2</f>
        <v>4.7326E-2</v>
      </c>
      <c r="D204" s="1">
        <v>82.158000000000001</v>
      </c>
      <c r="E204" s="1">
        <f>Tabela5[[#This Row],[Forτa(N)]]/$I$5</f>
        <v>2618790.3418599092</v>
      </c>
      <c r="F204" s="1">
        <f>Tabela5[[#This Row],[Tensão(Pa)]]/1000000</f>
        <v>2.6187903418599094</v>
      </c>
    </row>
    <row r="205" spans="1:6" x14ac:dyDescent="0.3">
      <c r="A205" s="1">
        <v>28.533000000000001</v>
      </c>
      <c r="B205" s="1">
        <v>2.3704999999999998</v>
      </c>
      <c r="C205" s="1">
        <f>Tabela5[[#This Row],[Alongamento(mm/mm)]]/$I$2</f>
        <v>4.7409999999999994E-2</v>
      </c>
      <c r="D205" s="1">
        <v>82.837999999999994</v>
      </c>
      <c r="E205" s="1">
        <f>Tabela5[[#This Row],[Forτa(N)]]/$I$5</f>
        <v>2640465.3757271497</v>
      </c>
      <c r="F205" s="1">
        <f>Tabela5[[#This Row],[Tensão(Pa)]]/1000000</f>
        <v>2.6404653757271497</v>
      </c>
    </row>
    <row r="206" spans="1:6" x14ac:dyDescent="0.3">
      <c r="A206" s="1">
        <v>28.582999999999998</v>
      </c>
      <c r="B206" s="1">
        <v>2.3746</v>
      </c>
      <c r="C206" s="1">
        <f>Tabela5[[#This Row],[Alongamento(mm/mm)]]/$I$2</f>
        <v>4.7491999999999999E-2</v>
      </c>
      <c r="D206" s="1">
        <v>83.519000000000005</v>
      </c>
      <c r="E206" s="1">
        <f>Tabela5[[#This Row],[Forτa(N)]]/$I$5</f>
        <v>2662172.2846441949</v>
      </c>
      <c r="F206" s="1">
        <f>Tabela5[[#This Row],[Tensão(Pa)]]/1000000</f>
        <v>2.6621722846441949</v>
      </c>
    </row>
    <row r="207" spans="1:6" x14ac:dyDescent="0.3">
      <c r="A207" s="1">
        <v>28.632999999999999</v>
      </c>
      <c r="B207" s="1">
        <v>2.3786999999999998</v>
      </c>
      <c r="C207" s="1">
        <f>Tabela5[[#This Row],[Alongamento(mm/mm)]]/$I$2</f>
        <v>4.7573999999999998E-2</v>
      </c>
      <c r="D207" s="1">
        <v>84.369</v>
      </c>
      <c r="E207" s="1">
        <f>Tabela5[[#This Row],[Forτa(N)]]/$I$5</f>
        <v>2689266.0769782453</v>
      </c>
      <c r="F207" s="1">
        <f>Tabela5[[#This Row],[Tensão(Pa)]]/1000000</f>
        <v>2.6892660769782455</v>
      </c>
    </row>
    <row r="208" spans="1:6" x14ac:dyDescent="0.3">
      <c r="A208" s="1">
        <v>28.683</v>
      </c>
      <c r="B208" s="1">
        <v>2.3828999999999998</v>
      </c>
      <c r="C208" s="1">
        <f>Tabela5[[#This Row],[Alongamento(mm/mm)]]/$I$2</f>
        <v>4.7657999999999999E-2</v>
      </c>
      <c r="D208" s="1">
        <v>85.049000000000007</v>
      </c>
      <c r="E208" s="1">
        <f>Tabela5[[#This Row],[Forτa(N)]]/$I$5</f>
        <v>2710941.1108454862</v>
      </c>
      <c r="F208" s="1">
        <f>Tabela5[[#This Row],[Tensão(Pa)]]/1000000</f>
        <v>2.7109411108454862</v>
      </c>
    </row>
    <row r="209" spans="1:6" x14ac:dyDescent="0.3">
      <c r="A209" s="1">
        <v>28.733000000000001</v>
      </c>
      <c r="B209" s="1">
        <v>2.3871000000000002</v>
      </c>
      <c r="C209" s="1">
        <f>Tabela5[[#This Row],[Alongamento(mm/mm)]]/$I$2</f>
        <v>4.7742000000000007E-2</v>
      </c>
      <c r="D209" s="1">
        <v>85.9</v>
      </c>
      <c r="E209" s="1">
        <f>Tabela5[[#This Row],[Forτa(N)]]/$I$5</f>
        <v>2738066.7782293414</v>
      </c>
      <c r="F209" s="1">
        <f>Tabela5[[#This Row],[Tensão(Pa)]]/1000000</f>
        <v>2.7380667782293413</v>
      </c>
    </row>
    <row r="210" spans="1:6" x14ac:dyDescent="0.3">
      <c r="A210" s="1">
        <v>28.783000000000001</v>
      </c>
      <c r="B210" s="1">
        <v>2.3913000000000002</v>
      </c>
      <c r="C210" s="1">
        <f>Tabela5[[#This Row],[Alongamento(mm/mm)]]/$I$2</f>
        <v>4.7826000000000007E-2</v>
      </c>
      <c r="D210" s="1">
        <v>86.58</v>
      </c>
      <c r="E210" s="1">
        <f>Tabela5[[#This Row],[Forτa(N)]]/$I$5</f>
        <v>2759741.8120965813</v>
      </c>
      <c r="F210" s="1">
        <f>Tabela5[[#This Row],[Tensão(Pa)]]/1000000</f>
        <v>2.7597418120965815</v>
      </c>
    </row>
    <row r="211" spans="1:6" x14ac:dyDescent="0.3">
      <c r="A211" s="1">
        <v>28.832999999999998</v>
      </c>
      <c r="B211" s="1">
        <v>2.3954</v>
      </c>
      <c r="C211" s="1">
        <f>Tabela5[[#This Row],[Alongamento(mm/mm)]]/$I$2</f>
        <v>4.7907999999999999E-2</v>
      </c>
      <c r="D211" s="1">
        <v>87.260999999999996</v>
      </c>
      <c r="E211" s="1">
        <f>Tabela5[[#This Row],[Forτa(N)]]/$I$5</f>
        <v>2781448.7210136265</v>
      </c>
      <c r="F211" s="1">
        <f>Tabela5[[#This Row],[Tensão(Pa)]]/1000000</f>
        <v>2.7814487210136267</v>
      </c>
    </row>
    <row r="212" spans="1:6" x14ac:dyDescent="0.3">
      <c r="A212" s="1">
        <v>28.867000000000001</v>
      </c>
      <c r="B212" s="1">
        <v>2.3982000000000001</v>
      </c>
      <c r="C212" s="1">
        <f>Tabela5[[#This Row],[Alongamento(mm/mm)]]/$I$2</f>
        <v>4.7964E-2</v>
      </c>
      <c r="D212" s="1">
        <v>87.941000000000003</v>
      </c>
      <c r="E212" s="1">
        <f>Tabela5[[#This Row],[Forτa(N)]]/$I$5</f>
        <v>2803123.7548808674</v>
      </c>
      <c r="F212" s="1">
        <f>Tabela5[[#This Row],[Tensão(Pa)]]/1000000</f>
        <v>2.8031237548808674</v>
      </c>
    </row>
    <row r="213" spans="1:6" x14ac:dyDescent="0.3">
      <c r="A213" s="1">
        <v>28.917000000000002</v>
      </c>
      <c r="B213" s="1">
        <v>2.4024000000000001</v>
      </c>
      <c r="C213" s="1">
        <f>Tabela5[[#This Row],[Alongamento(mm/mm)]]/$I$2</f>
        <v>4.8048E-2</v>
      </c>
      <c r="D213" s="1">
        <v>88.620999999999995</v>
      </c>
      <c r="E213" s="1">
        <f>Tabela5[[#This Row],[Forτa(N)]]/$I$5</f>
        <v>2824798.7887481074</v>
      </c>
      <c r="F213" s="1">
        <f>Tabela5[[#This Row],[Tensão(Pa)]]/1000000</f>
        <v>2.8247987887481072</v>
      </c>
    </row>
    <row r="214" spans="1:6" x14ac:dyDescent="0.3">
      <c r="A214" s="1">
        <v>28.966999999999999</v>
      </c>
      <c r="B214" s="1">
        <v>2.4066000000000001</v>
      </c>
      <c r="C214" s="1">
        <f>Tabela5[[#This Row],[Alongamento(mm/mm)]]/$I$2</f>
        <v>4.8132000000000001E-2</v>
      </c>
      <c r="D214" s="1">
        <v>89.471999999999994</v>
      </c>
      <c r="E214" s="1">
        <f>Tabela5[[#This Row],[Forτa(N)]]/$I$5</f>
        <v>2851924.4561319626</v>
      </c>
      <c r="F214" s="1">
        <f>Tabela5[[#This Row],[Tensão(Pa)]]/1000000</f>
        <v>2.8519244561319628</v>
      </c>
    </row>
    <row r="215" spans="1:6" x14ac:dyDescent="0.3">
      <c r="A215" s="1">
        <v>29.016999999999999</v>
      </c>
      <c r="B215" s="1">
        <v>2.4106999999999998</v>
      </c>
      <c r="C215" s="1">
        <f>Tabela5[[#This Row],[Alongamento(mm/mm)]]/$I$2</f>
        <v>4.8214E-2</v>
      </c>
      <c r="D215" s="1">
        <v>90.152000000000001</v>
      </c>
      <c r="E215" s="1">
        <f>Tabela5[[#This Row],[Forτa(N)]]/$I$5</f>
        <v>2873599.4899992035</v>
      </c>
      <c r="F215" s="1">
        <f>Tabela5[[#This Row],[Tensão(Pa)]]/1000000</f>
        <v>2.8735994899992034</v>
      </c>
    </row>
    <row r="216" spans="1:6" x14ac:dyDescent="0.3">
      <c r="A216" s="1">
        <v>29.067</v>
      </c>
      <c r="B216" s="1">
        <v>2.4148999999999998</v>
      </c>
      <c r="C216" s="1">
        <f>Tabela5[[#This Row],[Alongamento(mm/mm)]]/$I$2</f>
        <v>4.8297999999999994E-2</v>
      </c>
      <c r="D216" s="1">
        <v>91.003</v>
      </c>
      <c r="E216" s="1">
        <f>Tabela5[[#This Row],[Forτa(N)]]/$I$5</f>
        <v>2900725.1573830587</v>
      </c>
      <c r="F216" s="1">
        <f>Tabela5[[#This Row],[Tensão(Pa)]]/1000000</f>
        <v>2.9007251573830586</v>
      </c>
    </row>
    <row r="217" spans="1:6" x14ac:dyDescent="0.3">
      <c r="A217" s="1">
        <v>29.117000000000001</v>
      </c>
      <c r="B217" s="1">
        <v>2.4188999999999998</v>
      </c>
      <c r="C217" s="1">
        <f>Tabela5[[#This Row],[Alongamento(mm/mm)]]/$I$2</f>
        <v>4.8377999999999997E-2</v>
      </c>
      <c r="D217" s="1">
        <v>91.683000000000007</v>
      </c>
      <c r="E217" s="1">
        <f>Tabela5[[#This Row],[Forτa(N)]]/$I$5</f>
        <v>2922400.1912502991</v>
      </c>
      <c r="F217" s="1">
        <f>Tabela5[[#This Row],[Tensão(Pa)]]/1000000</f>
        <v>2.9224001912502993</v>
      </c>
    </row>
    <row r="218" spans="1:6" x14ac:dyDescent="0.3">
      <c r="A218" s="1">
        <v>29.167000000000002</v>
      </c>
      <c r="B218" s="1">
        <v>2.4232</v>
      </c>
      <c r="C218" s="1">
        <f>Tabela5[[#This Row],[Alongamento(mm/mm)]]/$I$2</f>
        <v>4.8464E-2</v>
      </c>
      <c r="D218" s="1">
        <v>92.534000000000006</v>
      </c>
      <c r="E218" s="1">
        <f>Tabela5[[#This Row],[Forτa(N)]]/$I$5</f>
        <v>2949525.8586341543</v>
      </c>
      <c r="F218" s="1">
        <f>Tabela5[[#This Row],[Tensão(Pa)]]/1000000</f>
        <v>2.9495258586341544</v>
      </c>
    </row>
    <row r="219" spans="1:6" x14ac:dyDescent="0.3">
      <c r="A219" s="1">
        <v>29.216999999999999</v>
      </c>
      <c r="B219" s="1">
        <v>2.4274</v>
      </c>
      <c r="C219" s="1">
        <f>Tabela5[[#This Row],[Alongamento(mm/mm)]]/$I$2</f>
        <v>4.8548000000000001E-2</v>
      </c>
      <c r="D219" s="1">
        <v>93.213999999999999</v>
      </c>
      <c r="E219" s="1">
        <f>Tabela5[[#This Row],[Forτa(N)]]/$I$5</f>
        <v>2971200.8925013947</v>
      </c>
      <c r="F219" s="1">
        <f>Tabela5[[#This Row],[Tensão(Pa)]]/1000000</f>
        <v>2.9712008925013946</v>
      </c>
    </row>
    <row r="220" spans="1:6" x14ac:dyDescent="0.3">
      <c r="A220" s="1">
        <v>29.266999999999999</v>
      </c>
      <c r="B220" s="1">
        <v>2.4315000000000002</v>
      </c>
      <c r="C220" s="1">
        <f>Tabela5[[#This Row],[Alongamento(mm/mm)]]/$I$2</f>
        <v>4.8630000000000007E-2</v>
      </c>
      <c r="D220" s="1">
        <v>94.064999999999998</v>
      </c>
      <c r="E220" s="1">
        <f>Tabela5[[#This Row],[Forτa(N)]]/$I$5</f>
        <v>2998326.5598852499</v>
      </c>
      <c r="F220" s="1">
        <f>Tabela5[[#This Row],[Tensão(Pa)]]/1000000</f>
        <v>2.9983265598852498</v>
      </c>
    </row>
    <row r="221" spans="1:6" x14ac:dyDescent="0.3">
      <c r="A221" s="1">
        <v>29.317</v>
      </c>
      <c r="B221" s="1">
        <v>2.4356</v>
      </c>
      <c r="C221" s="1">
        <f>Tabela5[[#This Row],[Alongamento(mm/mm)]]/$I$2</f>
        <v>4.8711999999999998E-2</v>
      </c>
      <c r="D221" s="1">
        <v>94.745000000000005</v>
      </c>
      <c r="E221" s="1">
        <f>Tabela5[[#This Row],[Forτa(N)]]/$I$5</f>
        <v>3020001.5937524904</v>
      </c>
      <c r="F221" s="1">
        <f>Tabela5[[#This Row],[Tensão(Pa)]]/1000000</f>
        <v>3.0200015937524904</v>
      </c>
    </row>
    <row r="222" spans="1:6" x14ac:dyDescent="0.3">
      <c r="A222" s="1">
        <v>29.367000000000001</v>
      </c>
      <c r="B222" s="1">
        <v>2.4399000000000002</v>
      </c>
      <c r="C222" s="1">
        <f>Tabela5[[#This Row],[Alongamento(mm/mm)]]/$I$2</f>
        <v>4.8798000000000001E-2</v>
      </c>
      <c r="D222" s="1">
        <v>95.596000000000004</v>
      </c>
      <c r="E222" s="1">
        <f>Tabela5[[#This Row],[Forτa(N)]]/$I$5</f>
        <v>3047127.261136346</v>
      </c>
      <c r="F222" s="1">
        <f>Tabela5[[#This Row],[Tensão(Pa)]]/1000000</f>
        <v>3.047127261136346</v>
      </c>
    </row>
    <row r="223" spans="1:6" x14ac:dyDescent="0.3">
      <c r="A223" s="1">
        <v>29.417000000000002</v>
      </c>
      <c r="B223" s="1">
        <v>2.4441000000000002</v>
      </c>
      <c r="C223" s="1">
        <f>Tabela5[[#This Row],[Alongamento(mm/mm)]]/$I$2</f>
        <v>4.8882000000000002E-2</v>
      </c>
      <c r="D223" s="1">
        <v>96.275999999999996</v>
      </c>
      <c r="E223" s="1">
        <f>Tabela5[[#This Row],[Forτa(N)]]/$I$5</f>
        <v>3068802.295003586</v>
      </c>
      <c r="F223" s="1">
        <f>Tabela5[[#This Row],[Tensão(Pa)]]/1000000</f>
        <v>3.0688022950035858</v>
      </c>
    </row>
    <row r="224" spans="1:6" x14ac:dyDescent="0.3">
      <c r="A224" s="1">
        <v>29.466999999999999</v>
      </c>
      <c r="B224" s="1">
        <v>2.4483000000000001</v>
      </c>
      <c r="C224" s="1">
        <f>Tabela5[[#This Row],[Alongamento(mm/mm)]]/$I$2</f>
        <v>4.8966000000000003E-2</v>
      </c>
      <c r="D224" s="1">
        <v>97.126000000000005</v>
      </c>
      <c r="E224" s="1">
        <f>Tabela5[[#This Row],[Forτa(N)]]/$I$5</f>
        <v>3095896.0873376369</v>
      </c>
      <c r="F224" s="1">
        <f>Tabela5[[#This Row],[Tensão(Pa)]]/1000000</f>
        <v>3.0958960873376369</v>
      </c>
    </row>
    <row r="225" spans="1:6" x14ac:dyDescent="0.3">
      <c r="A225" s="1">
        <v>29.516999999999999</v>
      </c>
      <c r="B225" s="1">
        <v>2.4525000000000001</v>
      </c>
      <c r="C225" s="1">
        <f>Tabela5[[#This Row],[Alongamento(mm/mm)]]/$I$2</f>
        <v>4.9050000000000003E-2</v>
      </c>
      <c r="D225" s="1">
        <v>97.807000000000002</v>
      </c>
      <c r="E225" s="1">
        <f>Tabela5[[#This Row],[Forτa(N)]]/$I$5</f>
        <v>3117602.9962546821</v>
      </c>
      <c r="F225" s="1">
        <f>Tabela5[[#This Row],[Tensão(Pa)]]/1000000</f>
        <v>3.1176029962546821</v>
      </c>
    </row>
    <row r="226" spans="1:6" x14ac:dyDescent="0.3">
      <c r="A226" s="1">
        <v>29.567</v>
      </c>
      <c r="B226" s="1">
        <v>2.4565000000000001</v>
      </c>
      <c r="C226" s="1">
        <f>Tabela5[[#This Row],[Alongamento(mm/mm)]]/$I$2</f>
        <v>4.913E-2</v>
      </c>
      <c r="D226" s="1">
        <v>98.656999999999996</v>
      </c>
      <c r="E226" s="1">
        <f>Tabela5[[#This Row],[Forτa(N)]]/$I$5</f>
        <v>3144696.788588732</v>
      </c>
      <c r="F226" s="1">
        <f>Tabela5[[#This Row],[Tensão(Pa)]]/1000000</f>
        <v>3.1446967885887318</v>
      </c>
    </row>
    <row r="227" spans="1:6" x14ac:dyDescent="0.3">
      <c r="A227" s="1">
        <v>29.617000000000001</v>
      </c>
      <c r="B227" s="1">
        <v>2.4605999999999999</v>
      </c>
      <c r="C227" s="1">
        <f>Tabela5[[#This Row],[Alongamento(mm/mm)]]/$I$2</f>
        <v>4.9211999999999999E-2</v>
      </c>
      <c r="D227" s="1">
        <v>99.337999999999994</v>
      </c>
      <c r="E227" s="1">
        <f>Tabela5[[#This Row],[Forτa(N)]]/$I$5</f>
        <v>3166403.6975057772</v>
      </c>
      <c r="F227" s="1">
        <f>Tabela5[[#This Row],[Tensão(Pa)]]/1000000</f>
        <v>3.1664036975057774</v>
      </c>
    </row>
    <row r="228" spans="1:6" x14ac:dyDescent="0.3">
      <c r="A228" s="1">
        <v>29.667000000000002</v>
      </c>
      <c r="B228" s="1">
        <v>2.4649000000000001</v>
      </c>
      <c r="C228" s="1">
        <f>Tabela5[[#This Row],[Alongamento(mm/mm)]]/$I$2</f>
        <v>4.9298000000000002E-2</v>
      </c>
      <c r="D228" s="1">
        <v>100.19</v>
      </c>
      <c r="E228" s="1">
        <f>Tabela5[[#This Row],[Forτa(N)]]/$I$5</f>
        <v>3193561.2399394377</v>
      </c>
      <c r="F228" s="1">
        <f>Tabela5[[#This Row],[Tensão(Pa)]]/1000000</f>
        <v>3.1935612399394375</v>
      </c>
    </row>
    <row r="229" spans="1:6" x14ac:dyDescent="0.3">
      <c r="A229" s="1">
        <v>29.716999999999999</v>
      </c>
      <c r="B229" s="1">
        <v>2.4691000000000001</v>
      </c>
      <c r="C229" s="1">
        <f>Tabela5[[#This Row],[Alongamento(mm/mm)]]/$I$2</f>
        <v>4.9382000000000002E-2</v>
      </c>
      <c r="D229" s="1">
        <v>101.04</v>
      </c>
      <c r="E229" s="1">
        <f>Tabela5[[#This Row],[Forτa(N)]]/$I$5</f>
        <v>3220655.0322734881</v>
      </c>
      <c r="F229" s="1">
        <f>Tabela5[[#This Row],[Tensão(Pa)]]/1000000</f>
        <v>3.2206550322734881</v>
      </c>
    </row>
    <row r="230" spans="1:6" x14ac:dyDescent="0.3">
      <c r="A230" s="1">
        <v>29.766999999999999</v>
      </c>
      <c r="B230" s="1">
        <v>2.4731999999999998</v>
      </c>
      <c r="C230" s="1">
        <f>Tabela5[[#This Row],[Alongamento(mm/mm)]]/$I$2</f>
        <v>4.9463999999999994E-2</v>
      </c>
      <c r="D230" s="1">
        <v>101.89</v>
      </c>
      <c r="E230" s="1">
        <f>Tabela5[[#This Row],[Forτa(N)]]/$I$5</f>
        <v>3247748.8246075385</v>
      </c>
      <c r="F230" s="1">
        <f>Tabela5[[#This Row],[Tensão(Pa)]]/1000000</f>
        <v>3.2477488246075383</v>
      </c>
    </row>
    <row r="231" spans="1:6" x14ac:dyDescent="0.3">
      <c r="A231" s="1">
        <v>29.817</v>
      </c>
      <c r="B231" s="1">
        <v>2.4773999999999998</v>
      </c>
      <c r="C231" s="1">
        <f>Tabela5[[#This Row],[Alongamento(mm/mm)]]/$I$2</f>
        <v>4.9547999999999995E-2</v>
      </c>
      <c r="D231" s="1">
        <v>102.74</v>
      </c>
      <c r="E231" s="1">
        <f>Tabela5[[#This Row],[Forτa(N)]]/$I$5</f>
        <v>3274842.6169415889</v>
      </c>
      <c r="F231" s="1">
        <f>Tabela5[[#This Row],[Tensão(Pa)]]/1000000</f>
        <v>3.274842616941589</v>
      </c>
    </row>
    <row r="232" spans="1:6" x14ac:dyDescent="0.3">
      <c r="A232" s="1">
        <v>29.867000000000001</v>
      </c>
      <c r="B232" s="1">
        <v>2.4815</v>
      </c>
      <c r="C232" s="1">
        <f>Tabela5[[#This Row],[Alongamento(mm/mm)]]/$I$2</f>
        <v>4.9630000000000001E-2</v>
      </c>
      <c r="D232" s="1">
        <v>103.42</v>
      </c>
      <c r="E232" s="1">
        <f>Tabela5[[#This Row],[Forτa(N)]]/$I$5</f>
        <v>3296517.6508088298</v>
      </c>
      <c r="F232" s="1">
        <f>Tabela5[[#This Row],[Tensão(Pa)]]/1000000</f>
        <v>3.2965176508088296</v>
      </c>
    </row>
    <row r="233" spans="1:6" x14ac:dyDescent="0.3">
      <c r="A233" s="1">
        <v>29.9</v>
      </c>
      <c r="B233" s="1">
        <v>2.4843999999999999</v>
      </c>
      <c r="C233" s="1">
        <f>Tabela5[[#This Row],[Alongamento(mm/mm)]]/$I$2</f>
        <v>4.9687999999999996E-2</v>
      </c>
      <c r="D233" s="1">
        <v>104.1</v>
      </c>
      <c r="E233" s="1">
        <f>Tabela5[[#This Row],[Forτa(N)]]/$I$5</f>
        <v>3318192.6846760698</v>
      </c>
      <c r="F233" s="1">
        <f>Tabela5[[#This Row],[Tensão(Pa)]]/1000000</f>
        <v>3.3181926846760699</v>
      </c>
    </row>
    <row r="234" spans="1:6" x14ac:dyDescent="0.3">
      <c r="A234" s="1">
        <v>29.95</v>
      </c>
      <c r="B234" s="1">
        <v>2.4885000000000002</v>
      </c>
      <c r="C234" s="1">
        <f>Tabela5[[#This Row],[Alongamento(mm/mm)]]/$I$2</f>
        <v>4.9770000000000002E-2</v>
      </c>
      <c r="D234" s="1">
        <v>104.78</v>
      </c>
      <c r="E234" s="1">
        <f>Tabela5[[#This Row],[Forτa(N)]]/$I$5</f>
        <v>3339867.7185433106</v>
      </c>
      <c r="F234" s="1">
        <f>Tabela5[[#This Row],[Tensão(Pa)]]/1000000</f>
        <v>3.3398677185433105</v>
      </c>
    </row>
    <row r="235" spans="1:6" x14ac:dyDescent="0.3">
      <c r="A235" s="1">
        <v>29.983000000000001</v>
      </c>
      <c r="B235" s="1">
        <v>2.4912999999999998</v>
      </c>
      <c r="C235" s="1">
        <f>Tabela5[[#This Row],[Alongamento(mm/mm)]]/$I$2</f>
        <v>4.9825999999999995E-2</v>
      </c>
      <c r="D235" s="1">
        <v>105.46</v>
      </c>
      <c r="E235" s="1">
        <f>Tabela5[[#This Row],[Forτa(N)]]/$I$5</f>
        <v>3361542.7524105506</v>
      </c>
      <c r="F235" s="1">
        <f>Tabela5[[#This Row],[Tensão(Pa)]]/1000000</f>
        <v>3.3615427524105508</v>
      </c>
    </row>
    <row r="236" spans="1:6" x14ac:dyDescent="0.3">
      <c r="A236" s="1">
        <v>30.033000000000001</v>
      </c>
      <c r="B236" s="1">
        <v>2.4954000000000001</v>
      </c>
      <c r="C236" s="1">
        <f>Tabela5[[#This Row],[Alongamento(mm/mm)]]/$I$2</f>
        <v>4.9908000000000001E-2</v>
      </c>
      <c r="D236" s="1">
        <v>106.31</v>
      </c>
      <c r="E236" s="1">
        <f>Tabela5[[#This Row],[Forτa(N)]]/$I$5</f>
        <v>3388636.5447446015</v>
      </c>
      <c r="F236" s="1">
        <f>Tabela5[[#This Row],[Tensão(Pa)]]/1000000</f>
        <v>3.3886365447446014</v>
      </c>
    </row>
    <row r="237" spans="1:6" x14ac:dyDescent="0.3">
      <c r="A237" s="1">
        <v>30.082999999999998</v>
      </c>
      <c r="B237" s="1">
        <v>2.4996</v>
      </c>
      <c r="C237" s="1">
        <f>Tabela5[[#This Row],[Alongamento(mm/mm)]]/$I$2</f>
        <v>4.9992000000000002E-2</v>
      </c>
      <c r="D237" s="1">
        <v>107.16</v>
      </c>
      <c r="E237" s="1">
        <f>Tabela5[[#This Row],[Forτa(N)]]/$I$5</f>
        <v>3415730.3370786519</v>
      </c>
      <c r="F237" s="1">
        <f>Tabela5[[#This Row],[Tensão(Pa)]]/1000000</f>
        <v>3.415730337078652</v>
      </c>
    </row>
    <row r="238" spans="1:6" x14ac:dyDescent="0.3">
      <c r="A238" s="1">
        <v>30.132999999999999</v>
      </c>
      <c r="B238" s="1">
        <v>2.5036999999999998</v>
      </c>
      <c r="C238" s="1">
        <f>Tabela5[[#This Row],[Alongamento(mm/mm)]]/$I$2</f>
        <v>5.0073999999999994E-2</v>
      </c>
      <c r="D238" s="1">
        <v>108.01</v>
      </c>
      <c r="E238" s="1">
        <f>Tabela5[[#This Row],[Forτa(N)]]/$I$5</f>
        <v>3442824.1294127028</v>
      </c>
      <c r="F238" s="1">
        <f>Tabela5[[#This Row],[Tensão(Pa)]]/1000000</f>
        <v>3.4428241294127027</v>
      </c>
    </row>
    <row r="239" spans="1:6" x14ac:dyDescent="0.3">
      <c r="A239" s="1">
        <v>30.183</v>
      </c>
      <c r="B239" s="1">
        <v>2.5078999999999998</v>
      </c>
      <c r="C239" s="1">
        <f>Tabela5[[#This Row],[Alongamento(mm/mm)]]/$I$2</f>
        <v>5.0157999999999994E-2</v>
      </c>
      <c r="D239" s="1">
        <v>108.86</v>
      </c>
      <c r="E239" s="1">
        <f>Tabela5[[#This Row],[Forτa(N)]]/$I$5</f>
        <v>3469917.9217467527</v>
      </c>
      <c r="F239" s="1">
        <f>Tabela5[[#This Row],[Tensão(Pa)]]/1000000</f>
        <v>3.4699179217467528</v>
      </c>
    </row>
    <row r="240" spans="1:6" x14ac:dyDescent="0.3">
      <c r="A240" s="1">
        <v>30.233000000000001</v>
      </c>
      <c r="B240" s="1">
        <v>2.512</v>
      </c>
      <c r="C240" s="1">
        <f>Tabela5[[#This Row],[Alongamento(mm/mm)]]/$I$2</f>
        <v>5.024E-2</v>
      </c>
      <c r="D240" s="1">
        <v>109.71</v>
      </c>
      <c r="E240" s="1">
        <f>Tabela5[[#This Row],[Forτa(N)]]/$I$5</f>
        <v>3497011.7140808031</v>
      </c>
      <c r="F240" s="1">
        <f>Tabela5[[#This Row],[Tensão(Pa)]]/1000000</f>
        <v>3.497011714080803</v>
      </c>
    </row>
    <row r="241" spans="1:6" x14ac:dyDescent="0.3">
      <c r="A241" s="1">
        <v>30.283000000000001</v>
      </c>
      <c r="B241" s="1">
        <v>2.5163000000000002</v>
      </c>
      <c r="C241" s="1">
        <f>Tabela5[[#This Row],[Alongamento(mm/mm)]]/$I$2</f>
        <v>5.0326000000000003E-2</v>
      </c>
      <c r="D241" s="1">
        <v>110.56</v>
      </c>
      <c r="E241" s="1">
        <f>Tabela5[[#This Row],[Forτa(N)]]/$I$5</f>
        <v>3524105.506414854</v>
      </c>
      <c r="F241" s="1">
        <f>Tabela5[[#This Row],[Tensão(Pa)]]/1000000</f>
        <v>3.5241055064148541</v>
      </c>
    </row>
    <row r="242" spans="1:6" x14ac:dyDescent="0.3">
      <c r="A242" s="1">
        <v>30.332999999999998</v>
      </c>
      <c r="B242" s="1">
        <v>2.5205000000000002</v>
      </c>
      <c r="C242" s="1">
        <f>Tabela5[[#This Row],[Alongamento(mm/mm)]]/$I$2</f>
        <v>5.0410000000000003E-2</v>
      </c>
      <c r="D242" s="1">
        <v>111.41</v>
      </c>
      <c r="E242" s="1">
        <f>Tabela5[[#This Row],[Forτa(N)]]/$I$5</f>
        <v>3551199.2987489044</v>
      </c>
      <c r="F242" s="1">
        <f>Tabela5[[#This Row],[Tensão(Pa)]]/1000000</f>
        <v>3.5511992987489043</v>
      </c>
    </row>
    <row r="243" spans="1:6" x14ac:dyDescent="0.3">
      <c r="A243" s="1">
        <v>30.382999999999999</v>
      </c>
      <c r="B243" s="1">
        <v>2.5247000000000002</v>
      </c>
      <c r="C243" s="1">
        <f>Tabela5[[#This Row],[Alongamento(mm/mm)]]/$I$2</f>
        <v>5.0494000000000004E-2</v>
      </c>
      <c r="D243" s="1">
        <v>112.27</v>
      </c>
      <c r="E243" s="1">
        <f>Tabela5[[#This Row],[Forτa(N)]]/$I$5</f>
        <v>3578611.8415810023</v>
      </c>
      <c r="F243" s="1">
        <f>Tabela5[[#This Row],[Tensão(Pa)]]/1000000</f>
        <v>3.5786118415810022</v>
      </c>
    </row>
    <row r="244" spans="1:6" x14ac:dyDescent="0.3">
      <c r="A244" s="1">
        <v>30.433</v>
      </c>
      <c r="B244" s="1">
        <v>2.5287999999999999</v>
      </c>
      <c r="C244" s="1">
        <f>Tabela5[[#This Row],[Alongamento(mm/mm)]]/$I$2</f>
        <v>5.0575999999999996E-2</v>
      </c>
      <c r="D244" s="1">
        <v>113.12</v>
      </c>
      <c r="E244" s="1">
        <f>Tabela5[[#This Row],[Forτa(N)]]/$I$5</f>
        <v>3605705.6339150532</v>
      </c>
      <c r="F244" s="1">
        <f>Tabela5[[#This Row],[Tensão(Pa)]]/1000000</f>
        <v>3.6057056339150533</v>
      </c>
    </row>
    <row r="245" spans="1:6" x14ac:dyDescent="0.3">
      <c r="A245" s="1">
        <v>30.483000000000001</v>
      </c>
      <c r="B245" s="1">
        <v>2.5329000000000002</v>
      </c>
      <c r="C245" s="1">
        <f>Tabela5[[#This Row],[Alongamento(mm/mm)]]/$I$2</f>
        <v>5.0658000000000002E-2</v>
      </c>
      <c r="D245" s="1">
        <v>113.97</v>
      </c>
      <c r="E245" s="1">
        <f>Tabela5[[#This Row],[Forτa(N)]]/$I$5</f>
        <v>3632799.4262491036</v>
      </c>
      <c r="F245" s="1">
        <f>Tabela5[[#This Row],[Tensão(Pa)]]/1000000</f>
        <v>3.6327994262491035</v>
      </c>
    </row>
    <row r="246" spans="1:6" x14ac:dyDescent="0.3">
      <c r="A246" s="1">
        <v>30.533000000000001</v>
      </c>
      <c r="B246" s="1">
        <v>2.5371000000000001</v>
      </c>
      <c r="C246" s="1">
        <f>Tabela5[[#This Row],[Alongamento(mm/mm)]]/$I$2</f>
        <v>5.0742000000000002E-2</v>
      </c>
      <c r="D246" s="1">
        <v>114.82</v>
      </c>
      <c r="E246" s="1">
        <f>Tabela5[[#This Row],[Forτa(N)]]/$I$5</f>
        <v>3659893.218583154</v>
      </c>
      <c r="F246" s="1">
        <f>Tabela5[[#This Row],[Tensão(Pa)]]/1000000</f>
        <v>3.6598932185831541</v>
      </c>
    </row>
    <row r="247" spans="1:6" x14ac:dyDescent="0.3">
      <c r="A247" s="1">
        <v>30.582999999999998</v>
      </c>
      <c r="B247" s="1">
        <v>2.5413000000000001</v>
      </c>
      <c r="C247" s="1">
        <f>Tabela5[[#This Row],[Alongamento(mm/mm)]]/$I$2</f>
        <v>5.0826000000000003E-2</v>
      </c>
      <c r="D247" s="1">
        <v>115.67</v>
      </c>
      <c r="E247" s="1">
        <f>Tabela5[[#This Row],[Forτa(N)]]/$I$5</f>
        <v>3686987.0109172049</v>
      </c>
      <c r="F247" s="1">
        <f>Tabela5[[#This Row],[Tensão(Pa)]]/1000000</f>
        <v>3.6869870109172047</v>
      </c>
    </row>
    <row r="248" spans="1:6" x14ac:dyDescent="0.3">
      <c r="A248" s="1">
        <v>30.632999999999999</v>
      </c>
      <c r="B248" s="1">
        <v>2.5455000000000001</v>
      </c>
      <c r="C248" s="1">
        <f>Tabela5[[#This Row],[Alongamento(mm/mm)]]/$I$2</f>
        <v>5.0910000000000004E-2</v>
      </c>
      <c r="D248" s="1">
        <v>116.52</v>
      </c>
      <c r="E248" s="1">
        <f>Tabela5[[#This Row],[Forτa(N)]]/$I$5</f>
        <v>3714080.8032512553</v>
      </c>
      <c r="F248" s="1">
        <f>Tabela5[[#This Row],[Tensão(Pa)]]/1000000</f>
        <v>3.7140808032512553</v>
      </c>
    </row>
    <row r="249" spans="1:6" x14ac:dyDescent="0.3">
      <c r="A249" s="1">
        <v>30.667000000000002</v>
      </c>
      <c r="B249" s="1">
        <v>2.5482</v>
      </c>
      <c r="C249" s="1">
        <f>Tabela5[[#This Row],[Alongamento(mm/mm)]]/$I$2</f>
        <v>5.0964000000000002E-2</v>
      </c>
      <c r="D249" s="1">
        <v>117.2</v>
      </c>
      <c r="E249" s="1">
        <f>Tabela5[[#This Row],[Forτa(N)]]/$I$5</f>
        <v>3735755.8371184957</v>
      </c>
      <c r="F249" s="1">
        <f>Tabela5[[#This Row],[Tensão(Pa)]]/1000000</f>
        <v>3.7357558371184956</v>
      </c>
    </row>
    <row r="250" spans="1:6" x14ac:dyDescent="0.3">
      <c r="A250" s="1">
        <v>30.716999999999999</v>
      </c>
      <c r="B250" s="1">
        <v>2.5524</v>
      </c>
      <c r="C250" s="1">
        <f>Tabela5[[#This Row],[Alongamento(mm/mm)]]/$I$2</f>
        <v>5.1048000000000003E-2</v>
      </c>
      <c r="D250" s="1">
        <v>118.05</v>
      </c>
      <c r="E250" s="1">
        <f>Tabela5[[#This Row],[Forτa(N)]]/$I$5</f>
        <v>3762849.6294525461</v>
      </c>
      <c r="F250" s="1">
        <f>Tabela5[[#This Row],[Tensão(Pa)]]/1000000</f>
        <v>3.7628496294525462</v>
      </c>
    </row>
    <row r="251" spans="1:6" x14ac:dyDescent="0.3">
      <c r="A251" s="1">
        <v>30.766999999999999</v>
      </c>
      <c r="B251" s="1">
        <v>2.5566</v>
      </c>
      <c r="C251" s="1">
        <f>Tabela5[[#This Row],[Alongamento(mm/mm)]]/$I$2</f>
        <v>5.1131999999999997E-2</v>
      </c>
      <c r="D251" s="1">
        <v>118.9</v>
      </c>
      <c r="E251" s="1">
        <f>Tabela5[[#This Row],[Forτa(N)]]/$I$5</f>
        <v>3789943.421786597</v>
      </c>
      <c r="F251" s="1">
        <f>Tabela5[[#This Row],[Tensão(Pa)]]/1000000</f>
        <v>3.7899434217865968</v>
      </c>
    </row>
    <row r="252" spans="1:6" x14ac:dyDescent="0.3">
      <c r="A252" s="1">
        <v>30.8</v>
      </c>
      <c r="B252" s="1">
        <v>2.5592999999999999</v>
      </c>
      <c r="C252" s="1">
        <f>Tabela5[[#This Row],[Alongamento(mm/mm)]]/$I$2</f>
        <v>5.1185999999999995E-2</v>
      </c>
      <c r="D252" s="1">
        <v>119.58</v>
      </c>
      <c r="E252" s="1">
        <f>Tabela5[[#This Row],[Forτa(N)]]/$I$5</f>
        <v>3811618.455653837</v>
      </c>
      <c r="F252" s="1">
        <f>Tabela5[[#This Row],[Tensão(Pa)]]/1000000</f>
        <v>3.8116184556538371</v>
      </c>
    </row>
    <row r="253" spans="1:6" x14ac:dyDescent="0.3">
      <c r="A253" s="1">
        <v>30.85</v>
      </c>
      <c r="B253" s="1">
        <v>2.5634999999999999</v>
      </c>
      <c r="C253" s="1">
        <f>Tabela5[[#This Row],[Alongamento(mm/mm)]]/$I$2</f>
        <v>5.1269999999999996E-2</v>
      </c>
      <c r="D253" s="1">
        <v>120.43</v>
      </c>
      <c r="E253" s="1">
        <f>Tabela5[[#This Row],[Forτa(N)]]/$I$5</f>
        <v>3838712.2479878878</v>
      </c>
      <c r="F253" s="1">
        <f>Tabela5[[#This Row],[Tensão(Pa)]]/1000000</f>
        <v>3.8387122479878877</v>
      </c>
    </row>
    <row r="254" spans="1:6" x14ac:dyDescent="0.3">
      <c r="A254" s="1">
        <v>30.9</v>
      </c>
      <c r="B254" s="1">
        <v>2.5676999999999999</v>
      </c>
      <c r="C254" s="1">
        <f>Tabela5[[#This Row],[Alongamento(mm/mm)]]/$I$2</f>
        <v>5.1353999999999997E-2</v>
      </c>
      <c r="D254" s="1">
        <v>121.28</v>
      </c>
      <c r="E254" s="1">
        <f>Tabela5[[#This Row],[Forτa(N)]]/$I$5</f>
        <v>3865806.0403219382</v>
      </c>
      <c r="F254" s="1">
        <f>Tabela5[[#This Row],[Tensão(Pa)]]/1000000</f>
        <v>3.8658060403219383</v>
      </c>
    </row>
    <row r="255" spans="1:6" x14ac:dyDescent="0.3">
      <c r="A255" s="1">
        <v>30.933</v>
      </c>
      <c r="B255" s="1">
        <v>2.5703999999999998</v>
      </c>
      <c r="C255" s="1">
        <f>Tabela5[[#This Row],[Alongamento(mm/mm)]]/$I$2</f>
        <v>5.1407999999999995E-2</v>
      </c>
      <c r="D255" s="1">
        <v>121.96</v>
      </c>
      <c r="E255" s="1">
        <f>Tabela5[[#This Row],[Forτa(N)]]/$I$5</f>
        <v>3887481.0741891786</v>
      </c>
      <c r="F255" s="1">
        <f>Tabela5[[#This Row],[Tensão(Pa)]]/1000000</f>
        <v>3.8874810741891785</v>
      </c>
    </row>
    <row r="256" spans="1:6" x14ac:dyDescent="0.3">
      <c r="A256" s="1">
        <v>30.983000000000001</v>
      </c>
      <c r="B256" s="1">
        <v>2.5745</v>
      </c>
      <c r="C256" s="1">
        <f>Tabela5[[#This Row],[Alongamento(mm/mm)]]/$I$2</f>
        <v>5.1490000000000001E-2</v>
      </c>
      <c r="D256" s="1">
        <v>122.81</v>
      </c>
      <c r="E256" s="1">
        <f>Tabela5[[#This Row],[Forτa(N)]]/$I$5</f>
        <v>3914574.8665232291</v>
      </c>
      <c r="F256" s="1">
        <f>Tabela5[[#This Row],[Tensão(Pa)]]/1000000</f>
        <v>3.9145748665232292</v>
      </c>
    </row>
    <row r="257" spans="1:6" x14ac:dyDescent="0.3">
      <c r="A257" s="1">
        <v>31.016999999999999</v>
      </c>
      <c r="B257" s="1">
        <v>2.5773999999999999</v>
      </c>
      <c r="C257" s="1">
        <f>Tabela5[[#This Row],[Alongamento(mm/mm)]]/$I$2</f>
        <v>5.1547999999999997E-2</v>
      </c>
      <c r="D257" s="1">
        <v>123.49</v>
      </c>
      <c r="E257" s="1">
        <f>Tabela5[[#This Row],[Forτa(N)]]/$I$5</f>
        <v>3936249.9003904695</v>
      </c>
      <c r="F257" s="1">
        <f>Tabela5[[#This Row],[Tensão(Pa)]]/1000000</f>
        <v>3.9362499003904694</v>
      </c>
    </row>
    <row r="258" spans="1:6" x14ac:dyDescent="0.3">
      <c r="A258" s="1">
        <v>31.067</v>
      </c>
      <c r="B258" s="1">
        <v>2.5815000000000001</v>
      </c>
      <c r="C258" s="1">
        <f>Tabela5[[#This Row],[Alongamento(mm/mm)]]/$I$2</f>
        <v>5.1630000000000002E-2</v>
      </c>
      <c r="D258" s="1">
        <v>124.34</v>
      </c>
      <c r="E258" s="1">
        <f>Tabela5[[#This Row],[Forτa(N)]]/$I$5</f>
        <v>3963343.6927245203</v>
      </c>
      <c r="F258" s="1">
        <f>Tabela5[[#This Row],[Tensão(Pa)]]/1000000</f>
        <v>3.9633436927245205</v>
      </c>
    </row>
    <row r="259" spans="1:6" x14ac:dyDescent="0.3">
      <c r="A259" s="1">
        <v>31.1</v>
      </c>
      <c r="B259" s="1">
        <v>2.5842999999999998</v>
      </c>
      <c r="C259" s="1">
        <f>Tabela5[[#This Row],[Alongamento(mm/mm)]]/$I$2</f>
        <v>5.1685999999999996E-2</v>
      </c>
      <c r="D259" s="1">
        <v>125.02</v>
      </c>
      <c r="E259" s="1">
        <f>Tabela5[[#This Row],[Forτa(N)]]/$I$5</f>
        <v>3985018.7265917603</v>
      </c>
      <c r="F259" s="1">
        <f>Tabela5[[#This Row],[Tensão(Pa)]]/1000000</f>
        <v>3.9850187265917603</v>
      </c>
    </row>
    <row r="260" spans="1:6" x14ac:dyDescent="0.3">
      <c r="A260" s="1">
        <v>31.132999999999999</v>
      </c>
      <c r="B260" s="1">
        <v>2.5871</v>
      </c>
      <c r="C260" s="1">
        <f>Tabela5[[#This Row],[Alongamento(mm/mm)]]/$I$2</f>
        <v>5.1741999999999996E-2</v>
      </c>
      <c r="D260" s="1">
        <v>125.7</v>
      </c>
      <c r="E260" s="1">
        <f>Tabela5[[#This Row],[Forτa(N)]]/$I$5</f>
        <v>4006693.7604590012</v>
      </c>
      <c r="F260" s="1">
        <f>Tabela5[[#This Row],[Tensão(Pa)]]/1000000</f>
        <v>4.0066937604590009</v>
      </c>
    </row>
    <row r="261" spans="1:6" x14ac:dyDescent="0.3">
      <c r="A261" s="1">
        <v>31.183</v>
      </c>
      <c r="B261" s="1">
        <v>2.5912999999999999</v>
      </c>
      <c r="C261" s="1">
        <f>Tabela5[[#This Row],[Alongamento(mm/mm)]]/$I$2</f>
        <v>5.1825999999999997E-2</v>
      </c>
      <c r="D261" s="1">
        <v>126.55</v>
      </c>
      <c r="E261" s="1">
        <f>Tabela5[[#This Row],[Forτa(N)]]/$I$5</f>
        <v>4033787.5527930516</v>
      </c>
      <c r="F261" s="1">
        <f>Tabela5[[#This Row],[Tensão(Pa)]]/1000000</f>
        <v>4.0337875527930516</v>
      </c>
    </row>
    <row r="262" spans="1:6" x14ac:dyDescent="0.3">
      <c r="A262" s="1">
        <v>31.216999999999999</v>
      </c>
      <c r="B262" s="1">
        <v>2.5941000000000001</v>
      </c>
      <c r="C262" s="1">
        <f>Tabela5[[#This Row],[Alongamento(mm/mm)]]/$I$2</f>
        <v>5.1882000000000005E-2</v>
      </c>
      <c r="D262" s="1">
        <v>127.23</v>
      </c>
      <c r="E262" s="1">
        <f>Tabela5[[#This Row],[Forτa(N)]]/$I$5</f>
        <v>4055462.586660292</v>
      </c>
      <c r="F262" s="1">
        <f>Tabela5[[#This Row],[Tensão(Pa)]]/1000000</f>
        <v>4.0554625866602922</v>
      </c>
    </row>
    <row r="263" spans="1:6" x14ac:dyDescent="0.3">
      <c r="A263" s="1">
        <v>31.266999999999999</v>
      </c>
      <c r="B263" s="1">
        <v>2.5981999999999998</v>
      </c>
      <c r="C263" s="1">
        <f>Tabela5[[#This Row],[Alongamento(mm/mm)]]/$I$2</f>
        <v>5.1963999999999996E-2</v>
      </c>
      <c r="D263" s="1">
        <v>128.08000000000001</v>
      </c>
      <c r="E263" s="1">
        <f>Tabela5[[#This Row],[Forτa(N)]]/$I$5</f>
        <v>4082556.3789943429</v>
      </c>
      <c r="F263" s="1">
        <f>Tabela5[[#This Row],[Tensão(Pa)]]/1000000</f>
        <v>4.0825563789943429</v>
      </c>
    </row>
    <row r="264" spans="1:6" x14ac:dyDescent="0.3">
      <c r="A264" s="1">
        <v>31.3</v>
      </c>
      <c r="B264" s="1">
        <v>2.601</v>
      </c>
      <c r="C264" s="1">
        <f>Tabela5[[#This Row],[Alongamento(mm/mm)]]/$I$2</f>
        <v>5.2019999999999997E-2</v>
      </c>
      <c r="D264" s="1">
        <v>128.76</v>
      </c>
      <c r="E264" s="1">
        <f>Tabela5[[#This Row],[Forτa(N)]]/$I$5</f>
        <v>4104231.4128615824</v>
      </c>
      <c r="F264" s="1">
        <f>Tabela5[[#This Row],[Tensão(Pa)]]/1000000</f>
        <v>4.1042314128615827</v>
      </c>
    </row>
    <row r="265" spans="1:6" x14ac:dyDescent="0.3">
      <c r="A265" s="1">
        <v>31.332999999999998</v>
      </c>
      <c r="B265" s="1">
        <v>2.6038000000000001</v>
      </c>
      <c r="C265" s="1">
        <f>Tabela5[[#This Row],[Alongamento(mm/mm)]]/$I$2</f>
        <v>5.2076000000000004E-2</v>
      </c>
      <c r="D265" s="1">
        <v>129.44999999999999</v>
      </c>
      <c r="E265" s="1">
        <f>Tabela5[[#This Row],[Forτa(N)]]/$I$5</f>
        <v>4126225.1972268703</v>
      </c>
      <c r="F265" s="1">
        <f>Tabela5[[#This Row],[Tensão(Pa)]]/1000000</f>
        <v>4.1262251972268702</v>
      </c>
    </row>
    <row r="266" spans="1:6" x14ac:dyDescent="0.3">
      <c r="A266" s="1">
        <v>31.382999999999999</v>
      </c>
      <c r="B266" s="1">
        <v>2.6080000000000001</v>
      </c>
      <c r="C266" s="1">
        <f>Tabela5[[#This Row],[Alongamento(mm/mm)]]/$I$2</f>
        <v>5.2160000000000005E-2</v>
      </c>
      <c r="D266" s="1">
        <v>130.30000000000001</v>
      </c>
      <c r="E266" s="1">
        <f>Tabela5[[#This Row],[Forτa(N)]]/$I$5</f>
        <v>4153318.9895609217</v>
      </c>
      <c r="F266" s="1">
        <f>Tabela5[[#This Row],[Tensão(Pa)]]/1000000</f>
        <v>4.1533189895609217</v>
      </c>
    </row>
    <row r="267" spans="1:6" x14ac:dyDescent="0.3">
      <c r="A267" s="1">
        <v>31.417000000000002</v>
      </c>
      <c r="B267" s="1">
        <v>2.6105999999999998</v>
      </c>
      <c r="C267" s="1">
        <f>Tabela5[[#This Row],[Alongamento(mm/mm)]]/$I$2</f>
        <v>5.2211999999999995E-2</v>
      </c>
      <c r="D267" s="1">
        <v>130.97999999999999</v>
      </c>
      <c r="E267" s="1">
        <f>Tabela5[[#This Row],[Forτa(N)]]/$I$5</f>
        <v>4174994.0234281616</v>
      </c>
      <c r="F267" s="1">
        <f>Tabela5[[#This Row],[Tensão(Pa)]]/1000000</f>
        <v>4.1749940234281615</v>
      </c>
    </row>
    <row r="268" spans="1:6" x14ac:dyDescent="0.3">
      <c r="A268" s="1">
        <v>31.466999999999999</v>
      </c>
      <c r="B268" s="1">
        <v>2.6149</v>
      </c>
      <c r="C268" s="1">
        <f>Tabela5[[#This Row],[Alongamento(mm/mm)]]/$I$2</f>
        <v>5.2297999999999997E-2</v>
      </c>
      <c r="D268" s="1">
        <v>132</v>
      </c>
      <c r="E268" s="1">
        <f>Tabela5[[#This Row],[Forτa(N)]]/$I$5</f>
        <v>4207506.5742290225</v>
      </c>
      <c r="F268" s="1">
        <f>Tabela5[[#This Row],[Tensão(Pa)]]/1000000</f>
        <v>4.2075065742290221</v>
      </c>
    </row>
    <row r="269" spans="1:6" x14ac:dyDescent="0.3">
      <c r="A269" s="1">
        <v>31.516999999999999</v>
      </c>
      <c r="B269" s="1">
        <v>2.6190000000000002</v>
      </c>
      <c r="C269" s="1">
        <f>Tabela5[[#This Row],[Alongamento(mm/mm)]]/$I$2</f>
        <v>5.2380000000000003E-2</v>
      </c>
      <c r="D269" s="1">
        <v>133.02000000000001</v>
      </c>
      <c r="E269" s="1">
        <f>Tabela5[[#This Row],[Forτa(N)]]/$I$5</f>
        <v>4240019.1250298833</v>
      </c>
      <c r="F269" s="1">
        <f>Tabela5[[#This Row],[Tensão(Pa)]]/1000000</f>
        <v>4.2400191250298835</v>
      </c>
    </row>
    <row r="270" spans="1:6" x14ac:dyDescent="0.3">
      <c r="A270" s="1">
        <v>31.582999999999998</v>
      </c>
      <c r="B270" s="1">
        <v>2.6246</v>
      </c>
      <c r="C270" s="1">
        <f>Tabela5[[#This Row],[Alongamento(mm/mm)]]/$I$2</f>
        <v>5.2492000000000004E-2</v>
      </c>
      <c r="D270" s="1">
        <v>134.21</v>
      </c>
      <c r="E270" s="1">
        <f>Tabela5[[#This Row],[Forτa(N)]]/$I$5</f>
        <v>4277950.4342975542</v>
      </c>
      <c r="F270" s="1">
        <f>Tabela5[[#This Row],[Tensão(Pa)]]/1000000</f>
        <v>4.2779504342975541</v>
      </c>
    </row>
    <row r="271" spans="1:6" x14ac:dyDescent="0.3">
      <c r="A271" s="1">
        <v>31.632999999999999</v>
      </c>
      <c r="B271" s="1">
        <v>2.6288</v>
      </c>
      <c r="C271" s="1">
        <f>Tabela5[[#This Row],[Alongamento(mm/mm)]]/$I$2</f>
        <v>5.2575999999999998E-2</v>
      </c>
      <c r="D271" s="1">
        <v>135.22999999999999</v>
      </c>
      <c r="E271" s="1">
        <f>Tabela5[[#This Row],[Forτa(N)]]/$I$5</f>
        <v>4310462.9850984141</v>
      </c>
      <c r="F271" s="1">
        <f>Tabela5[[#This Row],[Tensão(Pa)]]/1000000</f>
        <v>4.3104629850984137</v>
      </c>
    </row>
    <row r="272" spans="1:6" x14ac:dyDescent="0.3">
      <c r="A272" s="1">
        <v>31.7</v>
      </c>
      <c r="B272" s="1">
        <v>2.6343999999999999</v>
      </c>
      <c r="C272" s="1">
        <f>Tabela5[[#This Row],[Alongamento(mm/mm)]]/$I$2</f>
        <v>5.2687999999999999E-2</v>
      </c>
      <c r="D272" s="1">
        <v>136.41999999999999</v>
      </c>
      <c r="E272" s="1">
        <f>Tabela5[[#This Row],[Forτa(N)]]/$I$5</f>
        <v>4348394.294366085</v>
      </c>
      <c r="F272" s="1">
        <f>Tabela5[[#This Row],[Tensão(Pa)]]/1000000</f>
        <v>4.3483942943660852</v>
      </c>
    </row>
    <row r="273" spans="1:6" x14ac:dyDescent="0.3">
      <c r="A273" s="1">
        <v>31.75</v>
      </c>
      <c r="B273" s="1">
        <v>2.6385000000000001</v>
      </c>
      <c r="C273" s="1">
        <f>Tabela5[[#This Row],[Alongamento(mm/mm)]]/$I$2</f>
        <v>5.2770000000000004E-2</v>
      </c>
      <c r="D273" s="1">
        <v>137.44</v>
      </c>
      <c r="E273" s="1">
        <f>Tabela5[[#This Row],[Forτa(N)]]/$I$5</f>
        <v>4380906.8451669458</v>
      </c>
      <c r="F273" s="1">
        <f>Tabela5[[#This Row],[Tensão(Pa)]]/1000000</f>
        <v>4.3809068451669457</v>
      </c>
    </row>
    <row r="274" spans="1:6" x14ac:dyDescent="0.3">
      <c r="A274" s="1">
        <v>31.8</v>
      </c>
      <c r="B274" s="1">
        <v>2.6427</v>
      </c>
      <c r="C274" s="1">
        <f>Tabela5[[#This Row],[Alongamento(mm/mm)]]/$I$2</f>
        <v>5.2853999999999998E-2</v>
      </c>
      <c r="D274" s="1">
        <v>138.46</v>
      </c>
      <c r="E274" s="1">
        <f>Tabela5[[#This Row],[Forτa(N)]]/$I$5</f>
        <v>4413419.3959678067</v>
      </c>
      <c r="F274" s="1">
        <f>Tabela5[[#This Row],[Tensão(Pa)]]/1000000</f>
        <v>4.4134193959678063</v>
      </c>
    </row>
    <row r="275" spans="1:6" x14ac:dyDescent="0.3">
      <c r="A275" s="1">
        <v>31.867000000000001</v>
      </c>
      <c r="B275" s="1">
        <v>2.6482000000000001</v>
      </c>
      <c r="C275" s="1">
        <f>Tabela5[[#This Row],[Alongamento(mm/mm)]]/$I$2</f>
        <v>5.2964000000000004E-2</v>
      </c>
      <c r="D275" s="1">
        <v>139.65</v>
      </c>
      <c r="E275" s="1">
        <f>Tabela5[[#This Row],[Forτa(N)]]/$I$5</f>
        <v>4451350.7052354775</v>
      </c>
      <c r="F275" s="1">
        <f>Tabela5[[#This Row],[Tensão(Pa)]]/1000000</f>
        <v>4.4513507052354777</v>
      </c>
    </row>
    <row r="276" spans="1:6" x14ac:dyDescent="0.3">
      <c r="A276" s="1">
        <v>31.917000000000002</v>
      </c>
      <c r="B276" s="1">
        <v>2.6522999999999999</v>
      </c>
      <c r="C276" s="1">
        <f>Tabela5[[#This Row],[Alongamento(mm/mm)]]/$I$2</f>
        <v>5.3045999999999996E-2</v>
      </c>
      <c r="D276" s="1">
        <v>140.66999999999999</v>
      </c>
      <c r="E276" s="1">
        <f>Tabela5[[#This Row],[Forτa(N)]]/$I$5</f>
        <v>4483863.2560363375</v>
      </c>
      <c r="F276" s="1">
        <f>Tabela5[[#This Row],[Tensão(Pa)]]/1000000</f>
        <v>4.4838632560363374</v>
      </c>
    </row>
    <row r="277" spans="1:6" x14ac:dyDescent="0.3">
      <c r="A277" s="1">
        <v>31.966999999999999</v>
      </c>
      <c r="B277" s="1">
        <v>2.6564999999999999</v>
      </c>
      <c r="C277" s="1">
        <f>Tabela5[[#This Row],[Alongamento(mm/mm)]]/$I$2</f>
        <v>5.3129999999999997E-2</v>
      </c>
      <c r="D277" s="1">
        <v>141.69</v>
      </c>
      <c r="E277" s="1">
        <f>Tabela5[[#This Row],[Forτa(N)]]/$I$5</f>
        <v>4516375.8068371983</v>
      </c>
      <c r="F277" s="1">
        <f>Tabela5[[#This Row],[Tensão(Pa)]]/1000000</f>
        <v>4.516375806837198</v>
      </c>
    </row>
    <row r="278" spans="1:6" x14ac:dyDescent="0.3">
      <c r="A278" s="1">
        <v>32.017000000000003</v>
      </c>
      <c r="B278" s="1">
        <v>2.6606999999999998</v>
      </c>
      <c r="C278" s="1">
        <f>Tabela5[[#This Row],[Alongamento(mm/mm)]]/$I$2</f>
        <v>5.3213999999999997E-2</v>
      </c>
      <c r="D278" s="1">
        <v>142.71</v>
      </c>
      <c r="E278" s="1">
        <f>Tabela5[[#This Row],[Forτa(N)]]/$I$5</f>
        <v>4548888.3576380592</v>
      </c>
      <c r="F278" s="1">
        <f>Tabela5[[#This Row],[Tensão(Pa)]]/1000000</f>
        <v>4.5488883576380594</v>
      </c>
    </row>
    <row r="279" spans="1:6" x14ac:dyDescent="0.3">
      <c r="A279" s="1">
        <v>32.067</v>
      </c>
      <c r="B279" s="1">
        <v>2.6648999999999998</v>
      </c>
      <c r="C279" s="1">
        <f>Tabela5[[#This Row],[Alongamento(mm/mm)]]/$I$2</f>
        <v>5.3297999999999998E-2</v>
      </c>
      <c r="D279" s="1">
        <v>143.72999999999999</v>
      </c>
      <c r="E279" s="1">
        <f>Tabela5[[#This Row],[Forτa(N)]]/$I$5</f>
        <v>4581400.9084389191</v>
      </c>
      <c r="F279" s="1">
        <f>Tabela5[[#This Row],[Tensão(Pa)]]/1000000</f>
        <v>4.5814009084389191</v>
      </c>
    </row>
    <row r="280" spans="1:6" x14ac:dyDescent="0.3">
      <c r="A280" s="1">
        <v>32.133000000000003</v>
      </c>
      <c r="B280" s="1">
        <v>2.6705000000000001</v>
      </c>
      <c r="C280" s="1">
        <f>Tabela5[[#This Row],[Alongamento(mm/mm)]]/$I$2</f>
        <v>5.3409999999999999E-2</v>
      </c>
      <c r="D280" s="1">
        <v>144.91999999999999</v>
      </c>
      <c r="E280" s="1">
        <f>Tabela5[[#This Row],[Forτa(N)]]/$I$5</f>
        <v>4619332.21770659</v>
      </c>
      <c r="F280" s="1">
        <f>Tabela5[[#This Row],[Tensão(Pa)]]/1000000</f>
        <v>4.6193322177065896</v>
      </c>
    </row>
    <row r="281" spans="1:6" x14ac:dyDescent="0.3">
      <c r="A281" s="1">
        <v>32.183</v>
      </c>
      <c r="B281" s="1">
        <v>2.6745999999999999</v>
      </c>
      <c r="C281" s="1">
        <f>Tabela5[[#This Row],[Alongamento(mm/mm)]]/$I$2</f>
        <v>5.3491999999999998E-2</v>
      </c>
      <c r="D281" s="1">
        <v>145.94</v>
      </c>
      <c r="E281" s="1">
        <f>Tabela5[[#This Row],[Forτa(N)]]/$I$5</f>
        <v>4651844.7685074508</v>
      </c>
      <c r="F281" s="1">
        <f>Tabela5[[#This Row],[Tensão(Pa)]]/1000000</f>
        <v>4.6518447685074511</v>
      </c>
    </row>
    <row r="282" spans="1:6" x14ac:dyDescent="0.3">
      <c r="A282" s="1">
        <v>32.232999999999997</v>
      </c>
      <c r="B282" s="1">
        <v>2.6787999999999998</v>
      </c>
      <c r="C282" s="1">
        <f>Tabela5[[#This Row],[Alongamento(mm/mm)]]/$I$2</f>
        <v>5.3575999999999999E-2</v>
      </c>
      <c r="D282" s="1">
        <v>146.97</v>
      </c>
      <c r="E282" s="1">
        <f>Tabela5[[#This Row],[Forτa(N)]]/$I$5</f>
        <v>4684676.0698063597</v>
      </c>
      <c r="F282" s="1">
        <f>Tabela5[[#This Row],[Tensão(Pa)]]/1000000</f>
        <v>4.6846760698063594</v>
      </c>
    </row>
    <row r="283" spans="1:6" x14ac:dyDescent="0.3">
      <c r="A283" s="1">
        <v>32.283000000000001</v>
      </c>
      <c r="B283" s="1">
        <v>2.6829000000000001</v>
      </c>
      <c r="C283" s="1">
        <f>Tabela5[[#This Row],[Alongamento(mm/mm)]]/$I$2</f>
        <v>5.3658000000000004E-2</v>
      </c>
      <c r="D283" s="1">
        <v>147.99</v>
      </c>
      <c r="E283" s="1">
        <f>Tabela5[[#This Row],[Forτa(N)]]/$I$5</f>
        <v>4717188.6206072206</v>
      </c>
      <c r="F283" s="1">
        <f>Tabela5[[#This Row],[Tensão(Pa)]]/1000000</f>
        <v>4.7171886206072209</v>
      </c>
    </row>
    <row r="284" spans="1:6" x14ac:dyDescent="0.3">
      <c r="A284" s="1">
        <v>32.35</v>
      </c>
      <c r="B284" s="1">
        <v>2.6884000000000001</v>
      </c>
      <c r="C284" s="1">
        <f>Tabela5[[#This Row],[Alongamento(mm/mm)]]/$I$2</f>
        <v>5.3768000000000003E-2</v>
      </c>
      <c r="D284" s="1">
        <v>149.18</v>
      </c>
      <c r="E284" s="1">
        <f>Tabela5[[#This Row],[Forτa(N)]]/$I$5</f>
        <v>4755119.9298748905</v>
      </c>
      <c r="F284" s="1">
        <f>Tabela5[[#This Row],[Tensão(Pa)]]/1000000</f>
        <v>4.7551199298748905</v>
      </c>
    </row>
    <row r="285" spans="1:6" x14ac:dyDescent="0.3">
      <c r="A285" s="1">
        <v>32.4</v>
      </c>
      <c r="B285" s="1">
        <v>2.6926000000000001</v>
      </c>
      <c r="C285" s="1">
        <f>Tabela5[[#This Row],[Alongamento(mm/mm)]]/$I$2</f>
        <v>5.3852000000000004E-2</v>
      </c>
      <c r="D285" s="1">
        <v>150.19999999999999</v>
      </c>
      <c r="E285" s="1">
        <f>Tabela5[[#This Row],[Forτa(N)]]/$I$5</f>
        <v>4787632.4806757513</v>
      </c>
      <c r="F285" s="1">
        <f>Tabela5[[#This Row],[Tensão(Pa)]]/1000000</f>
        <v>4.7876324806757511</v>
      </c>
    </row>
    <row r="286" spans="1:6" x14ac:dyDescent="0.3">
      <c r="A286" s="1">
        <v>32.450000000000003</v>
      </c>
      <c r="B286" s="1">
        <v>2.6968000000000001</v>
      </c>
      <c r="C286" s="1">
        <f>Tabela5[[#This Row],[Alongamento(mm/mm)]]/$I$2</f>
        <v>5.3936000000000005E-2</v>
      </c>
      <c r="D286" s="1">
        <v>151.22</v>
      </c>
      <c r="E286" s="1">
        <f>Tabela5[[#This Row],[Forτa(N)]]/$I$5</f>
        <v>4820145.0314766122</v>
      </c>
      <c r="F286" s="1">
        <f>Tabela5[[#This Row],[Tensão(Pa)]]/1000000</f>
        <v>4.8201450314766126</v>
      </c>
    </row>
    <row r="287" spans="1:6" x14ac:dyDescent="0.3">
      <c r="A287" s="1">
        <v>32.5</v>
      </c>
      <c r="B287" s="1">
        <v>2.7010000000000001</v>
      </c>
      <c r="C287" s="1">
        <f>Tabela5[[#This Row],[Alongamento(mm/mm)]]/$I$2</f>
        <v>5.4019999999999999E-2</v>
      </c>
      <c r="D287" s="1">
        <v>152.24</v>
      </c>
      <c r="E287" s="1">
        <f>Tabela5[[#This Row],[Forτa(N)]]/$I$5</f>
        <v>4852657.5822774731</v>
      </c>
      <c r="F287" s="1">
        <f>Tabela5[[#This Row],[Tensão(Pa)]]/1000000</f>
        <v>4.8526575822774731</v>
      </c>
    </row>
    <row r="288" spans="1:6" x14ac:dyDescent="0.3">
      <c r="A288" s="1">
        <v>32.549999999999997</v>
      </c>
      <c r="B288" s="1">
        <v>2.7050999999999998</v>
      </c>
      <c r="C288" s="1">
        <f>Tabela5[[#This Row],[Alongamento(mm/mm)]]/$I$2</f>
        <v>5.4101999999999997E-2</v>
      </c>
      <c r="D288" s="1">
        <v>153.26</v>
      </c>
      <c r="E288" s="1">
        <f>Tabela5[[#This Row],[Forτa(N)]]/$I$5</f>
        <v>4885170.133078333</v>
      </c>
      <c r="F288" s="1">
        <f>Tabela5[[#This Row],[Tensão(Pa)]]/1000000</f>
        <v>4.8851701330783328</v>
      </c>
    </row>
    <row r="289" spans="1:6" x14ac:dyDescent="0.3">
      <c r="A289" s="1">
        <v>32.616999999999997</v>
      </c>
      <c r="B289" s="1">
        <v>2.7107000000000001</v>
      </c>
      <c r="C289" s="1">
        <f>Tabela5[[#This Row],[Alongamento(mm/mm)]]/$I$2</f>
        <v>5.4214000000000005E-2</v>
      </c>
      <c r="D289" s="1">
        <v>154.44999999999999</v>
      </c>
      <c r="E289" s="1">
        <f>Tabela5[[#This Row],[Forτa(N)]]/$I$5</f>
        <v>4923101.4423460038</v>
      </c>
      <c r="F289" s="1">
        <f>Tabela5[[#This Row],[Tensão(Pa)]]/1000000</f>
        <v>4.9231014423460042</v>
      </c>
    </row>
    <row r="290" spans="1:6" x14ac:dyDescent="0.3">
      <c r="A290" s="1">
        <v>32.667000000000002</v>
      </c>
      <c r="B290" s="1">
        <v>2.7147999999999999</v>
      </c>
      <c r="C290" s="1">
        <f>Tabela5[[#This Row],[Alongamento(mm/mm)]]/$I$2</f>
        <v>5.4295999999999997E-2</v>
      </c>
      <c r="D290" s="1">
        <v>155.47</v>
      </c>
      <c r="E290" s="1">
        <f>Tabela5[[#This Row],[Forτa(N)]]/$I$5</f>
        <v>4955613.9931468647</v>
      </c>
      <c r="F290" s="1">
        <f>Tabela5[[#This Row],[Tensão(Pa)]]/1000000</f>
        <v>4.9556139931468648</v>
      </c>
    </row>
    <row r="291" spans="1:6" x14ac:dyDescent="0.3">
      <c r="A291" s="1">
        <v>32.716999999999999</v>
      </c>
      <c r="B291" s="1">
        <v>2.7191000000000001</v>
      </c>
      <c r="C291" s="1">
        <f>Tabela5[[#This Row],[Alongamento(mm/mm)]]/$I$2</f>
        <v>5.4382E-2</v>
      </c>
      <c r="D291" s="1">
        <v>156.49</v>
      </c>
      <c r="E291" s="1">
        <f>Tabela5[[#This Row],[Forτa(N)]]/$I$5</f>
        <v>4988126.5439477256</v>
      </c>
      <c r="F291" s="1">
        <f>Tabela5[[#This Row],[Tensão(Pa)]]/1000000</f>
        <v>4.9881265439477254</v>
      </c>
    </row>
    <row r="292" spans="1:6" x14ac:dyDescent="0.3">
      <c r="A292" s="1">
        <v>32.767000000000003</v>
      </c>
      <c r="B292" s="1">
        <v>2.7231999999999998</v>
      </c>
      <c r="C292" s="1">
        <f>Tabela5[[#This Row],[Alongamento(mm/mm)]]/$I$2</f>
        <v>5.4463999999999999E-2</v>
      </c>
      <c r="D292" s="1">
        <v>157.51</v>
      </c>
      <c r="E292" s="1">
        <f>Tabela5[[#This Row],[Forτa(N)]]/$I$5</f>
        <v>5020639.0947485855</v>
      </c>
      <c r="F292" s="1">
        <f>Tabela5[[#This Row],[Tensão(Pa)]]/1000000</f>
        <v>5.0206390947485851</v>
      </c>
    </row>
    <row r="293" spans="1:6" x14ac:dyDescent="0.3">
      <c r="A293" s="1">
        <v>32.817</v>
      </c>
      <c r="B293" s="1">
        <v>2.7273999999999998</v>
      </c>
      <c r="C293" s="1">
        <f>Tabela5[[#This Row],[Alongamento(mm/mm)]]/$I$2</f>
        <v>5.4547999999999999E-2</v>
      </c>
      <c r="D293" s="1">
        <v>158.53</v>
      </c>
      <c r="E293" s="1">
        <f>Tabela5[[#This Row],[Forτa(N)]]/$I$5</f>
        <v>5053151.6455494463</v>
      </c>
      <c r="F293" s="1">
        <f>Tabela5[[#This Row],[Tensão(Pa)]]/1000000</f>
        <v>5.0531516455494465</v>
      </c>
    </row>
    <row r="294" spans="1:6" x14ac:dyDescent="0.3">
      <c r="A294" s="1">
        <v>32.866999999999997</v>
      </c>
      <c r="B294" s="1">
        <v>2.7315999999999998</v>
      </c>
      <c r="C294" s="1">
        <f>Tabela5[[#This Row],[Alongamento(mm/mm)]]/$I$2</f>
        <v>5.4631999999999993E-2</v>
      </c>
      <c r="D294" s="1">
        <v>159.55000000000001</v>
      </c>
      <c r="E294" s="1">
        <f>Tabela5[[#This Row],[Forτa(N)]]/$I$5</f>
        <v>5085664.1963503072</v>
      </c>
      <c r="F294" s="1">
        <f>Tabela5[[#This Row],[Tensão(Pa)]]/1000000</f>
        <v>5.0856641963503071</v>
      </c>
    </row>
    <row r="295" spans="1:6" x14ac:dyDescent="0.3">
      <c r="A295" s="1">
        <v>32.917000000000002</v>
      </c>
      <c r="B295" s="1">
        <v>2.7357</v>
      </c>
      <c r="C295" s="1">
        <f>Tabela5[[#This Row],[Alongamento(mm/mm)]]/$I$2</f>
        <v>5.4713999999999999E-2</v>
      </c>
      <c r="D295" s="1">
        <v>160.57</v>
      </c>
      <c r="E295" s="1">
        <f>Tabela5[[#This Row],[Forτa(N)]]/$I$5</f>
        <v>5118176.7471511671</v>
      </c>
      <c r="F295" s="1">
        <f>Tabela5[[#This Row],[Tensão(Pa)]]/1000000</f>
        <v>5.1181767471511668</v>
      </c>
    </row>
    <row r="296" spans="1:6" x14ac:dyDescent="0.3">
      <c r="A296" s="1">
        <v>32.966999999999999</v>
      </c>
      <c r="B296" s="1">
        <v>2.7397999999999998</v>
      </c>
      <c r="C296" s="1">
        <f>Tabela5[[#This Row],[Alongamento(mm/mm)]]/$I$2</f>
        <v>5.4795999999999997E-2</v>
      </c>
      <c r="D296" s="1">
        <v>161.76</v>
      </c>
      <c r="E296" s="1">
        <f>Tabela5[[#This Row],[Forτa(N)]]/$I$5</f>
        <v>5156108.056418838</v>
      </c>
      <c r="F296" s="1">
        <f>Tabela5[[#This Row],[Tensão(Pa)]]/1000000</f>
        <v>5.1561080564188382</v>
      </c>
    </row>
    <row r="297" spans="1:6" x14ac:dyDescent="0.3">
      <c r="A297" s="1">
        <v>33.017000000000003</v>
      </c>
      <c r="B297" s="1">
        <v>2.7441</v>
      </c>
      <c r="C297" s="1">
        <f>Tabela5[[#This Row],[Alongamento(mm/mm)]]/$I$2</f>
        <v>5.4882E-2</v>
      </c>
      <c r="D297" s="1">
        <v>162.78</v>
      </c>
      <c r="E297" s="1">
        <f>Tabela5[[#This Row],[Forτa(N)]]/$I$5</f>
        <v>5188620.6072196988</v>
      </c>
      <c r="F297" s="1">
        <f>Tabela5[[#This Row],[Tensão(Pa)]]/1000000</f>
        <v>5.1886206072196988</v>
      </c>
    </row>
    <row r="298" spans="1:6" x14ac:dyDescent="0.3">
      <c r="A298" s="1">
        <v>33.067</v>
      </c>
      <c r="B298" s="1">
        <v>2.7483</v>
      </c>
      <c r="C298" s="1">
        <f>Tabela5[[#This Row],[Alongamento(mm/mm)]]/$I$2</f>
        <v>5.4966000000000001E-2</v>
      </c>
      <c r="D298" s="1">
        <v>163.81</v>
      </c>
      <c r="E298" s="1">
        <f>Tabela5[[#This Row],[Forτa(N)]]/$I$5</f>
        <v>5221451.9085186077</v>
      </c>
      <c r="F298" s="1">
        <f>Tabela5[[#This Row],[Tensão(Pa)]]/1000000</f>
        <v>5.221451908518608</v>
      </c>
    </row>
    <row r="299" spans="1:6" x14ac:dyDescent="0.3">
      <c r="A299" s="1">
        <v>33.116999999999997</v>
      </c>
      <c r="B299" s="1">
        <v>2.7524000000000002</v>
      </c>
      <c r="C299" s="1">
        <f>Tabela5[[#This Row],[Alongamento(mm/mm)]]/$I$2</f>
        <v>5.5048000000000007E-2</v>
      </c>
      <c r="D299" s="1">
        <v>164.83</v>
      </c>
      <c r="E299" s="1">
        <f>Tabela5[[#This Row],[Forτa(N)]]/$I$5</f>
        <v>5253964.4593194686</v>
      </c>
      <c r="F299" s="1">
        <f>Tabela5[[#This Row],[Tensão(Pa)]]/1000000</f>
        <v>5.2539644593194685</v>
      </c>
    </row>
    <row r="300" spans="1:6" x14ac:dyDescent="0.3">
      <c r="A300" s="1">
        <v>33.167000000000002</v>
      </c>
      <c r="B300" s="1">
        <v>2.7566000000000002</v>
      </c>
      <c r="C300" s="1">
        <f>Tabela5[[#This Row],[Alongamento(mm/mm)]]/$I$2</f>
        <v>5.5132E-2</v>
      </c>
      <c r="D300" s="1">
        <v>165.85</v>
      </c>
      <c r="E300" s="1">
        <f>Tabela5[[#This Row],[Forτa(N)]]/$I$5</f>
        <v>5286477.0101203285</v>
      </c>
      <c r="F300" s="1">
        <f>Tabela5[[#This Row],[Tensão(Pa)]]/1000000</f>
        <v>5.2864770101203282</v>
      </c>
    </row>
    <row r="301" spans="1:6" x14ac:dyDescent="0.3">
      <c r="A301" s="1">
        <v>33.216999999999999</v>
      </c>
      <c r="B301" s="1">
        <v>2.7606999999999999</v>
      </c>
      <c r="C301" s="1">
        <f>Tabela5[[#This Row],[Alongamento(mm/mm)]]/$I$2</f>
        <v>5.5213999999999999E-2</v>
      </c>
      <c r="D301" s="1">
        <v>166.87</v>
      </c>
      <c r="E301" s="1">
        <f>Tabela5[[#This Row],[Forτa(N)]]/$I$5</f>
        <v>5318989.5609211894</v>
      </c>
      <c r="F301" s="1">
        <f>Tabela5[[#This Row],[Tensão(Pa)]]/1000000</f>
        <v>5.3189895609211897</v>
      </c>
    </row>
    <row r="302" spans="1:6" x14ac:dyDescent="0.3">
      <c r="A302" s="1">
        <v>33.267000000000003</v>
      </c>
      <c r="B302" s="1">
        <v>2.7648999999999999</v>
      </c>
      <c r="C302" s="1">
        <f>Tabela5[[#This Row],[Alongamento(mm/mm)]]/$I$2</f>
        <v>5.5298E-2</v>
      </c>
      <c r="D302" s="1">
        <v>167.89</v>
      </c>
      <c r="E302" s="1">
        <f>Tabela5[[#This Row],[Forτa(N)]]/$I$5</f>
        <v>5351502.1117220493</v>
      </c>
      <c r="F302" s="1">
        <f>Tabela5[[#This Row],[Tensão(Pa)]]/1000000</f>
        <v>5.3515021117220494</v>
      </c>
    </row>
    <row r="303" spans="1:6" x14ac:dyDescent="0.3">
      <c r="A303" s="1">
        <v>33.317</v>
      </c>
      <c r="B303" s="1">
        <v>2.7690000000000001</v>
      </c>
      <c r="C303" s="1">
        <f>Tabela5[[#This Row],[Alongamento(mm/mm)]]/$I$2</f>
        <v>5.5380000000000006E-2</v>
      </c>
      <c r="D303" s="1">
        <v>169.08</v>
      </c>
      <c r="E303" s="1">
        <f>Tabela5[[#This Row],[Forτa(N)]]/$I$5</f>
        <v>5389433.4209897211</v>
      </c>
      <c r="F303" s="1">
        <f>Tabela5[[#This Row],[Tensão(Pa)]]/1000000</f>
        <v>5.3894334209897208</v>
      </c>
    </row>
    <row r="304" spans="1:6" x14ac:dyDescent="0.3">
      <c r="A304" s="1">
        <v>33.366999999999997</v>
      </c>
      <c r="B304" s="1">
        <v>2.7732000000000001</v>
      </c>
      <c r="C304" s="1">
        <f>Tabela5[[#This Row],[Alongamento(mm/mm)]]/$I$2</f>
        <v>5.5463999999999999E-2</v>
      </c>
      <c r="D304" s="1">
        <v>170.1</v>
      </c>
      <c r="E304" s="1">
        <f>Tabela5[[#This Row],[Forτa(N)]]/$I$5</f>
        <v>5421945.971790581</v>
      </c>
      <c r="F304" s="1">
        <f>Tabela5[[#This Row],[Tensão(Pa)]]/1000000</f>
        <v>5.4219459717905814</v>
      </c>
    </row>
    <row r="305" spans="1:6" x14ac:dyDescent="0.3">
      <c r="A305" s="1">
        <v>33.417000000000002</v>
      </c>
      <c r="B305" s="1">
        <v>2.7774000000000001</v>
      </c>
      <c r="C305" s="1">
        <f>Tabela5[[#This Row],[Alongamento(mm/mm)]]/$I$2</f>
        <v>5.5548E-2</v>
      </c>
      <c r="D305" s="1">
        <v>171.12</v>
      </c>
      <c r="E305" s="1">
        <f>Tabela5[[#This Row],[Forτa(N)]]/$I$5</f>
        <v>5454458.5225914419</v>
      </c>
      <c r="F305" s="1">
        <f>Tabela5[[#This Row],[Tensão(Pa)]]/1000000</f>
        <v>5.4544585225914419</v>
      </c>
    </row>
    <row r="306" spans="1:6" x14ac:dyDescent="0.3">
      <c r="A306" s="1">
        <v>33.466999999999999</v>
      </c>
      <c r="B306" s="1">
        <v>2.7814999999999999</v>
      </c>
      <c r="C306" s="1">
        <f>Tabela5[[#This Row],[Alongamento(mm/mm)]]/$I$2</f>
        <v>5.5629999999999999E-2</v>
      </c>
      <c r="D306" s="1">
        <v>172.14</v>
      </c>
      <c r="E306" s="1">
        <f>Tabela5[[#This Row],[Forτa(N)]]/$I$5</f>
        <v>5486971.0733923018</v>
      </c>
      <c r="F306" s="1">
        <f>Tabela5[[#This Row],[Tensão(Pa)]]/1000000</f>
        <v>5.4869710733923016</v>
      </c>
    </row>
    <row r="307" spans="1:6" x14ac:dyDescent="0.3">
      <c r="A307" s="1">
        <v>33.517000000000003</v>
      </c>
      <c r="B307" s="1">
        <v>2.7856999999999998</v>
      </c>
      <c r="C307" s="1">
        <f>Tabela5[[#This Row],[Alongamento(mm/mm)]]/$I$2</f>
        <v>5.5714E-2</v>
      </c>
      <c r="D307" s="1">
        <v>173.33</v>
      </c>
      <c r="E307" s="1">
        <f>Tabela5[[#This Row],[Forτa(N)]]/$I$5</f>
        <v>5524902.3826599736</v>
      </c>
      <c r="F307" s="1">
        <f>Tabela5[[#This Row],[Tensão(Pa)]]/1000000</f>
        <v>5.5249023826599739</v>
      </c>
    </row>
    <row r="308" spans="1:6" x14ac:dyDescent="0.3">
      <c r="A308" s="1">
        <v>33.567</v>
      </c>
      <c r="B308" s="1">
        <v>2.7898999999999998</v>
      </c>
      <c r="C308" s="1">
        <f>Tabela5[[#This Row],[Alongamento(mm/mm)]]/$I$2</f>
        <v>5.5797999999999993E-2</v>
      </c>
      <c r="D308" s="1">
        <v>174.35</v>
      </c>
      <c r="E308" s="1">
        <f>Tabela5[[#This Row],[Forτa(N)]]/$I$5</f>
        <v>5557414.9334608335</v>
      </c>
      <c r="F308" s="1">
        <f>Tabela5[[#This Row],[Tensão(Pa)]]/1000000</f>
        <v>5.5574149334608336</v>
      </c>
    </row>
    <row r="309" spans="1:6" x14ac:dyDescent="0.3">
      <c r="A309" s="1">
        <v>33.633000000000003</v>
      </c>
      <c r="B309" s="1">
        <v>2.7955000000000001</v>
      </c>
      <c r="C309" s="1">
        <f>Tabela5[[#This Row],[Alongamento(mm/mm)]]/$I$2</f>
        <v>5.5910000000000001E-2</v>
      </c>
      <c r="D309" s="1">
        <v>175.71</v>
      </c>
      <c r="E309" s="1">
        <f>Tabela5[[#This Row],[Forτa(N)]]/$I$5</f>
        <v>5600765.0011953153</v>
      </c>
      <c r="F309" s="1">
        <f>Tabela5[[#This Row],[Tensão(Pa)]]/1000000</f>
        <v>5.600765001195315</v>
      </c>
    </row>
    <row r="310" spans="1:6" x14ac:dyDescent="0.3">
      <c r="A310" s="1">
        <v>33.700000000000003</v>
      </c>
      <c r="B310" s="1">
        <v>2.8010000000000002</v>
      </c>
      <c r="C310" s="1">
        <f>Tabela5[[#This Row],[Alongamento(mm/mm)]]/$I$2</f>
        <v>5.602E-2</v>
      </c>
      <c r="D310" s="1">
        <v>177.24</v>
      </c>
      <c r="E310" s="1">
        <f>Tabela5[[#This Row],[Forτa(N)]]/$I$5</f>
        <v>5649533.8273966061</v>
      </c>
      <c r="F310" s="1">
        <f>Tabela5[[#This Row],[Tensão(Pa)]]/1000000</f>
        <v>5.6495338273966063</v>
      </c>
    </row>
    <row r="311" spans="1:6" x14ac:dyDescent="0.3">
      <c r="A311" s="1">
        <v>33.767000000000003</v>
      </c>
      <c r="B311" s="1">
        <v>2.8065000000000002</v>
      </c>
      <c r="C311" s="1">
        <f>Tabela5[[#This Row],[Alongamento(mm/mm)]]/$I$2</f>
        <v>5.6130000000000006E-2</v>
      </c>
      <c r="D311" s="1">
        <v>178.6</v>
      </c>
      <c r="E311" s="1">
        <f>Tabela5[[#This Row],[Forτa(N)]]/$I$5</f>
        <v>5692883.895131086</v>
      </c>
      <c r="F311" s="1">
        <f>Tabela5[[#This Row],[Tensão(Pa)]]/1000000</f>
        <v>5.6928838951310858</v>
      </c>
    </row>
    <row r="312" spans="1:6" x14ac:dyDescent="0.3">
      <c r="A312" s="1">
        <v>33.832999999999998</v>
      </c>
      <c r="B312" s="1">
        <v>2.8121</v>
      </c>
      <c r="C312" s="1">
        <f>Tabela5[[#This Row],[Alongamento(mm/mm)]]/$I$2</f>
        <v>5.6242E-2</v>
      </c>
      <c r="D312" s="1">
        <v>179.96</v>
      </c>
      <c r="E312" s="1">
        <f>Tabela5[[#This Row],[Forτa(N)]]/$I$5</f>
        <v>5736233.9628655678</v>
      </c>
      <c r="F312" s="1">
        <f>Tabela5[[#This Row],[Tensão(Pa)]]/1000000</f>
        <v>5.7362339628655681</v>
      </c>
    </row>
    <row r="313" spans="1:6" x14ac:dyDescent="0.3">
      <c r="A313" s="1">
        <v>33.9</v>
      </c>
      <c r="B313" s="1">
        <v>2.8176000000000001</v>
      </c>
      <c r="C313" s="1">
        <f>Tabela5[[#This Row],[Alongamento(mm/mm)]]/$I$2</f>
        <v>5.6351999999999999E-2</v>
      </c>
      <c r="D313" s="1">
        <v>181.5</v>
      </c>
      <c r="E313" s="1">
        <f>Tabela5[[#This Row],[Forτa(N)]]/$I$5</f>
        <v>5785321.5395649057</v>
      </c>
      <c r="F313" s="1">
        <f>Tabela5[[#This Row],[Tensão(Pa)]]/1000000</f>
        <v>5.7853215395649054</v>
      </c>
    </row>
    <row r="314" spans="1:6" x14ac:dyDescent="0.3">
      <c r="A314" s="1">
        <v>33.966999999999999</v>
      </c>
      <c r="B314" s="1">
        <v>2.8231999999999999</v>
      </c>
      <c r="C314" s="1">
        <f>Tabela5[[#This Row],[Alongamento(mm/mm)]]/$I$2</f>
        <v>5.6464E-2</v>
      </c>
      <c r="D314" s="1">
        <v>182.86</v>
      </c>
      <c r="E314" s="1">
        <f>Tabela5[[#This Row],[Forτa(N)]]/$I$5</f>
        <v>5828671.6072993875</v>
      </c>
      <c r="F314" s="1">
        <f>Tabela5[[#This Row],[Tensão(Pa)]]/1000000</f>
        <v>5.8286716072993876</v>
      </c>
    </row>
    <row r="315" spans="1:6" x14ac:dyDescent="0.3">
      <c r="A315" s="1">
        <v>34.033000000000001</v>
      </c>
      <c r="B315" s="1">
        <v>2.8288000000000002</v>
      </c>
      <c r="C315" s="1">
        <f>Tabela5[[#This Row],[Alongamento(mm/mm)]]/$I$2</f>
        <v>5.6576000000000001E-2</v>
      </c>
      <c r="D315" s="1">
        <v>184.39</v>
      </c>
      <c r="E315" s="1">
        <f>Tabela5[[#This Row],[Forτa(N)]]/$I$5</f>
        <v>5877440.4335006773</v>
      </c>
      <c r="F315" s="1">
        <f>Tabela5[[#This Row],[Tensão(Pa)]]/1000000</f>
        <v>5.8774404335006771</v>
      </c>
    </row>
    <row r="316" spans="1:6" x14ac:dyDescent="0.3">
      <c r="A316" s="1">
        <v>34.1</v>
      </c>
      <c r="B316" s="1">
        <v>2.8344</v>
      </c>
      <c r="C316" s="1">
        <f>Tabela5[[#This Row],[Alongamento(mm/mm)]]/$I$2</f>
        <v>5.6688000000000002E-2</v>
      </c>
      <c r="D316" s="1">
        <v>185.75</v>
      </c>
      <c r="E316" s="1">
        <f>Tabela5[[#This Row],[Forτa(N)]]/$I$5</f>
        <v>5920790.5012351582</v>
      </c>
      <c r="F316" s="1">
        <f>Tabela5[[#This Row],[Tensão(Pa)]]/1000000</f>
        <v>5.9207905012351585</v>
      </c>
    </row>
    <row r="317" spans="1:6" x14ac:dyDescent="0.3">
      <c r="A317" s="1">
        <v>34.167000000000002</v>
      </c>
      <c r="B317" s="1">
        <v>2.8399000000000001</v>
      </c>
      <c r="C317" s="1">
        <f>Tabela5[[#This Row],[Alongamento(mm/mm)]]/$I$2</f>
        <v>5.6798000000000001E-2</v>
      </c>
      <c r="D317" s="1">
        <v>187.28</v>
      </c>
      <c r="E317" s="1">
        <f>Tabela5[[#This Row],[Forτa(N)]]/$I$5</f>
        <v>5969559.3274364499</v>
      </c>
      <c r="F317" s="1">
        <f>Tabela5[[#This Row],[Tensão(Pa)]]/1000000</f>
        <v>5.9695593274364498</v>
      </c>
    </row>
    <row r="318" spans="1:6" x14ac:dyDescent="0.3">
      <c r="A318" s="1">
        <v>34.232999999999997</v>
      </c>
      <c r="B318" s="1">
        <v>2.8454000000000002</v>
      </c>
      <c r="C318" s="1">
        <f>Tabela5[[#This Row],[Alongamento(mm/mm)]]/$I$2</f>
        <v>5.6908E-2</v>
      </c>
      <c r="D318" s="1">
        <v>188.81</v>
      </c>
      <c r="E318" s="1">
        <f>Tabela5[[#This Row],[Forτa(N)]]/$I$5</f>
        <v>6018328.1536377408</v>
      </c>
      <c r="F318" s="1">
        <f>Tabela5[[#This Row],[Tensão(Pa)]]/1000000</f>
        <v>6.0183281536377411</v>
      </c>
    </row>
    <row r="319" spans="1:6" x14ac:dyDescent="0.3">
      <c r="A319" s="1">
        <v>34.299999999999997</v>
      </c>
      <c r="B319" s="1">
        <v>2.851</v>
      </c>
      <c r="C319" s="1">
        <f>Tabela5[[#This Row],[Alongamento(mm/mm)]]/$I$2</f>
        <v>5.7020000000000001E-2</v>
      </c>
      <c r="D319" s="1">
        <v>190.34</v>
      </c>
      <c r="E319" s="1">
        <f>Tabela5[[#This Row],[Forτa(N)]]/$I$5</f>
        <v>6067096.9798390316</v>
      </c>
      <c r="F319" s="1">
        <f>Tabela5[[#This Row],[Tensão(Pa)]]/1000000</f>
        <v>6.0670969798390315</v>
      </c>
    </row>
    <row r="320" spans="1:6" x14ac:dyDescent="0.3">
      <c r="A320" s="1">
        <v>34.366999999999997</v>
      </c>
      <c r="B320" s="1">
        <v>2.8565999999999998</v>
      </c>
      <c r="C320" s="1">
        <f>Tabela5[[#This Row],[Alongamento(mm/mm)]]/$I$2</f>
        <v>5.7131999999999995E-2</v>
      </c>
      <c r="D320" s="1">
        <v>191.7</v>
      </c>
      <c r="E320" s="1">
        <f>Tabela5[[#This Row],[Forτa(N)]]/$I$5</f>
        <v>6110447.0475735115</v>
      </c>
      <c r="F320" s="1">
        <f>Tabela5[[#This Row],[Tensão(Pa)]]/1000000</f>
        <v>6.1104470475735111</v>
      </c>
    </row>
    <row r="321" spans="1:6" x14ac:dyDescent="0.3">
      <c r="A321" s="1">
        <v>34.433</v>
      </c>
      <c r="B321" s="1">
        <v>2.8620999999999999</v>
      </c>
      <c r="C321" s="1">
        <f>Tabela5[[#This Row],[Alongamento(mm/mm)]]/$I$2</f>
        <v>5.7241999999999994E-2</v>
      </c>
      <c r="D321" s="1">
        <v>193.23</v>
      </c>
      <c r="E321" s="1">
        <f>Tabela5[[#This Row],[Forτa(N)]]/$I$5</f>
        <v>6159215.8737748032</v>
      </c>
      <c r="F321" s="1">
        <f>Tabela5[[#This Row],[Tensão(Pa)]]/1000000</f>
        <v>6.1592158737748033</v>
      </c>
    </row>
    <row r="322" spans="1:6" x14ac:dyDescent="0.3">
      <c r="A322" s="1">
        <v>34.5</v>
      </c>
      <c r="B322" s="1">
        <v>2.8677000000000001</v>
      </c>
      <c r="C322" s="1">
        <f>Tabela5[[#This Row],[Alongamento(mm/mm)]]/$I$2</f>
        <v>5.7354000000000002E-2</v>
      </c>
      <c r="D322" s="1">
        <v>194.76</v>
      </c>
      <c r="E322" s="1">
        <f>Tabela5[[#This Row],[Forτa(N)]]/$I$5</f>
        <v>6207984.6999760941</v>
      </c>
      <c r="F322" s="1">
        <f>Tabela5[[#This Row],[Tensão(Pa)]]/1000000</f>
        <v>6.2079846999760937</v>
      </c>
    </row>
    <row r="323" spans="1:6" x14ac:dyDescent="0.3">
      <c r="A323" s="1">
        <v>34.567</v>
      </c>
      <c r="B323" s="1">
        <v>2.8733</v>
      </c>
      <c r="C323" s="1">
        <f>Tabela5[[#This Row],[Alongamento(mm/mm)]]/$I$2</f>
        <v>5.7465999999999996E-2</v>
      </c>
      <c r="D323" s="1">
        <v>196.29</v>
      </c>
      <c r="E323" s="1">
        <f>Tabela5[[#This Row],[Forτa(N)]]/$I$5</f>
        <v>6256753.5261773849</v>
      </c>
      <c r="F323" s="1">
        <f>Tabela5[[#This Row],[Tensão(Pa)]]/1000000</f>
        <v>6.256753526177385</v>
      </c>
    </row>
    <row r="324" spans="1:6" x14ac:dyDescent="0.3">
      <c r="A324" s="1">
        <v>34.633000000000003</v>
      </c>
      <c r="B324" s="1">
        <v>2.8786999999999998</v>
      </c>
      <c r="C324" s="1">
        <f>Tabela5[[#This Row],[Alongamento(mm/mm)]]/$I$2</f>
        <v>5.7573999999999993E-2</v>
      </c>
      <c r="D324" s="1">
        <v>197.82</v>
      </c>
      <c r="E324" s="1">
        <f>Tabela5[[#This Row],[Forτa(N)]]/$I$5</f>
        <v>6305522.3523786757</v>
      </c>
      <c r="F324" s="1">
        <f>Tabela5[[#This Row],[Tensão(Pa)]]/1000000</f>
        <v>6.3055223523786754</v>
      </c>
    </row>
    <row r="325" spans="1:6" x14ac:dyDescent="0.3">
      <c r="A325" s="1">
        <v>34.700000000000003</v>
      </c>
      <c r="B325" s="1">
        <v>2.8841999999999999</v>
      </c>
      <c r="C325" s="1">
        <f>Tabela5[[#This Row],[Alongamento(mm/mm)]]/$I$2</f>
        <v>5.7683999999999999E-2</v>
      </c>
      <c r="D325" s="1">
        <v>199.36</v>
      </c>
      <c r="E325" s="1">
        <f>Tabela5[[#This Row],[Forτa(N)]]/$I$5</f>
        <v>6354609.9290780146</v>
      </c>
      <c r="F325" s="1">
        <f>Tabela5[[#This Row],[Tensão(Pa)]]/1000000</f>
        <v>6.3546099290780145</v>
      </c>
    </row>
    <row r="326" spans="1:6" x14ac:dyDescent="0.3">
      <c r="A326" s="1">
        <v>34.767000000000003</v>
      </c>
      <c r="B326" s="1">
        <v>2.8898000000000001</v>
      </c>
      <c r="C326" s="1">
        <f>Tabela5[[#This Row],[Alongamento(mm/mm)]]/$I$2</f>
        <v>5.7796E-2</v>
      </c>
      <c r="D326" s="1">
        <v>200.89</v>
      </c>
      <c r="E326" s="1">
        <f>Tabela5[[#This Row],[Forτa(N)]]/$I$5</f>
        <v>6403378.7552793054</v>
      </c>
      <c r="F326" s="1">
        <f>Tabela5[[#This Row],[Tensão(Pa)]]/1000000</f>
        <v>6.4033787552793058</v>
      </c>
    </row>
    <row r="327" spans="1:6" x14ac:dyDescent="0.3">
      <c r="A327" s="1">
        <v>34.832999999999998</v>
      </c>
      <c r="B327" s="1">
        <v>2.8954</v>
      </c>
      <c r="C327" s="1">
        <f>Tabela5[[#This Row],[Alongamento(mm/mm)]]/$I$2</f>
        <v>5.7908000000000001E-2</v>
      </c>
      <c r="D327" s="1">
        <v>202.42</v>
      </c>
      <c r="E327" s="1">
        <f>Tabela5[[#This Row],[Forτa(N)]]/$I$5</f>
        <v>6452147.5814805962</v>
      </c>
      <c r="F327" s="1">
        <f>Tabela5[[#This Row],[Tensão(Pa)]]/1000000</f>
        <v>6.4521475814805962</v>
      </c>
    </row>
    <row r="328" spans="1:6" x14ac:dyDescent="0.3">
      <c r="A328" s="1">
        <v>34.9</v>
      </c>
      <c r="B328" s="1">
        <v>2.9009</v>
      </c>
      <c r="C328" s="1">
        <f>Tabela5[[#This Row],[Alongamento(mm/mm)]]/$I$2</f>
        <v>5.8018E-2</v>
      </c>
      <c r="D328" s="1">
        <v>203.95</v>
      </c>
      <c r="E328" s="1">
        <f>Tabela5[[#This Row],[Forτa(N)]]/$I$5</f>
        <v>6500916.407681887</v>
      </c>
      <c r="F328" s="1">
        <f>Tabela5[[#This Row],[Tensão(Pa)]]/1000000</f>
        <v>6.5009164076818866</v>
      </c>
    </row>
    <row r="329" spans="1:6" x14ac:dyDescent="0.3">
      <c r="A329" s="1">
        <v>34.966999999999999</v>
      </c>
      <c r="B329" s="1">
        <v>2.9066000000000001</v>
      </c>
      <c r="C329" s="1">
        <f>Tabela5[[#This Row],[Alongamento(mm/mm)]]/$I$2</f>
        <v>5.8132000000000003E-2</v>
      </c>
      <c r="D329" s="1">
        <v>205.48</v>
      </c>
      <c r="E329" s="1">
        <f>Tabela5[[#This Row],[Forτa(N)]]/$I$5</f>
        <v>6549685.2338831779</v>
      </c>
      <c r="F329" s="1">
        <f>Tabela5[[#This Row],[Tensão(Pa)]]/1000000</f>
        <v>6.5496852338831779</v>
      </c>
    </row>
    <row r="330" spans="1:6" x14ac:dyDescent="0.3">
      <c r="A330" s="1">
        <v>35.033000000000001</v>
      </c>
      <c r="B330" s="1">
        <v>2.9121999999999999</v>
      </c>
      <c r="C330" s="1">
        <f>Tabela5[[#This Row],[Alongamento(mm/mm)]]/$I$2</f>
        <v>5.8243999999999997E-2</v>
      </c>
      <c r="D330" s="1">
        <v>207.01</v>
      </c>
      <c r="E330" s="1">
        <f>Tabela5[[#This Row],[Forτa(N)]]/$I$5</f>
        <v>6598454.0600844687</v>
      </c>
      <c r="F330" s="1">
        <f>Tabela5[[#This Row],[Tensão(Pa)]]/1000000</f>
        <v>6.5984540600844683</v>
      </c>
    </row>
    <row r="331" spans="1:6" x14ac:dyDescent="0.3">
      <c r="A331" s="1">
        <v>35.1</v>
      </c>
      <c r="B331" s="1">
        <v>2.9177</v>
      </c>
      <c r="C331" s="1">
        <f>Tabela5[[#This Row],[Alongamento(mm/mm)]]/$I$2</f>
        <v>5.8353999999999996E-2</v>
      </c>
      <c r="D331" s="1">
        <v>208.54</v>
      </c>
      <c r="E331" s="1">
        <f>Tabela5[[#This Row],[Forτa(N)]]/$I$5</f>
        <v>6647222.8862857595</v>
      </c>
      <c r="F331" s="1">
        <f>Tabela5[[#This Row],[Tensão(Pa)]]/1000000</f>
        <v>6.6472228862857596</v>
      </c>
    </row>
    <row r="332" spans="1:6" x14ac:dyDescent="0.3">
      <c r="A332" s="1">
        <v>35.167000000000002</v>
      </c>
      <c r="B332" s="1">
        <v>2.9232</v>
      </c>
      <c r="C332" s="1">
        <f>Tabela5[[#This Row],[Alongamento(mm/mm)]]/$I$2</f>
        <v>5.8464000000000002E-2</v>
      </c>
      <c r="D332" s="1">
        <v>210.24</v>
      </c>
      <c r="E332" s="1">
        <f>Tabela5[[#This Row],[Forτa(N)]]/$I$5</f>
        <v>6701410.4709538613</v>
      </c>
      <c r="F332" s="1">
        <f>Tabela5[[#This Row],[Tensão(Pa)]]/1000000</f>
        <v>6.7014104709538609</v>
      </c>
    </row>
    <row r="333" spans="1:6" x14ac:dyDescent="0.3">
      <c r="A333" s="1">
        <v>35.232999999999997</v>
      </c>
      <c r="B333" s="1">
        <v>2.9287999999999998</v>
      </c>
      <c r="C333" s="1">
        <f>Tabela5[[#This Row],[Alongamento(mm/mm)]]/$I$2</f>
        <v>5.8575999999999996E-2</v>
      </c>
      <c r="D333" s="1">
        <v>211.77</v>
      </c>
      <c r="E333" s="1">
        <f>Tabela5[[#This Row],[Forτa(N)]]/$I$5</f>
        <v>6750179.2971551521</v>
      </c>
      <c r="F333" s="1">
        <f>Tabela5[[#This Row],[Tensão(Pa)]]/1000000</f>
        <v>6.7501792971551522</v>
      </c>
    </row>
    <row r="334" spans="1:6" x14ac:dyDescent="0.3">
      <c r="A334" s="1">
        <v>35.299999999999997</v>
      </c>
      <c r="B334" s="1">
        <v>2.9344000000000001</v>
      </c>
      <c r="C334" s="1">
        <f>Tabela5[[#This Row],[Alongamento(mm/mm)]]/$I$2</f>
        <v>5.8688000000000004E-2</v>
      </c>
      <c r="D334" s="1">
        <v>213.3</v>
      </c>
      <c r="E334" s="1">
        <f>Tabela5[[#This Row],[Forτa(N)]]/$I$5</f>
        <v>6798948.1233564438</v>
      </c>
      <c r="F334" s="1">
        <f>Tabela5[[#This Row],[Tensão(Pa)]]/1000000</f>
        <v>6.7989481233564435</v>
      </c>
    </row>
    <row r="335" spans="1:6" x14ac:dyDescent="0.3">
      <c r="A335" s="1">
        <v>35.35</v>
      </c>
      <c r="B335" s="1">
        <v>2.9384999999999999</v>
      </c>
      <c r="C335" s="1">
        <f>Tabela5[[#This Row],[Alongamento(mm/mm)]]/$I$2</f>
        <v>5.8769999999999996E-2</v>
      </c>
      <c r="D335" s="1">
        <v>214.66</v>
      </c>
      <c r="E335" s="1">
        <f>Tabela5[[#This Row],[Forτa(N)]]/$I$5</f>
        <v>6842298.1910909237</v>
      </c>
      <c r="F335" s="1">
        <f>Tabela5[[#This Row],[Tensão(Pa)]]/1000000</f>
        <v>6.842298191090924</v>
      </c>
    </row>
    <row r="336" spans="1:6" x14ac:dyDescent="0.3">
      <c r="A336" s="1">
        <v>35.417000000000002</v>
      </c>
      <c r="B336" s="1">
        <v>2.9441000000000002</v>
      </c>
      <c r="C336" s="1">
        <f>Tabela5[[#This Row],[Alongamento(mm/mm)]]/$I$2</f>
        <v>5.8882000000000004E-2</v>
      </c>
      <c r="D336" s="1">
        <v>216.2</v>
      </c>
      <c r="E336" s="1">
        <f>Tabela5[[#This Row],[Forτa(N)]]/$I$5</f>
        <v>6891385.7677902626</v>
      </c>
      <c r="F336" s="1">
        <f>Tabela5[[#This Row],[Tensão(Pa)]]/1000000</f>
        <v>6.891385767790263</v>
      </c>
    </row>
    <row r="337" spans="1:6" x14ac:dyDescent="0.3">
      <c r="A337" s="1">
        <v>35.482999999999997</v>
      </c>
      <c r="B337" s="1">
        <v>2.9496000000000002</v>
      </c>
      <c r="C337" s="1">
        <f>Tabela5[[#This Row],[Alongamento(mm/mm)]]/$I$2</f>
        <v>5.8992000000000003E-2</v>
      </c>
      <c r="D337" s="1">
        <v>217.73</v>
      </c>
      <c r="E337" s="1">
        <f>Tabela5[[#This Row],[Forτa(N)]]/$I$5</f>
        <v>6940154.5939915534</v>
      </c>
      <c r="F337" s="1">
        <f>Tabela5[[#This Row],[Tensão(Pa)]]/1000000</f>
        <v>6.9401545939915534</v>
      </c>
    </row>
    <row r="338" spans="1:6" x14ac:dyDescent="0.3">
      <c r="A338" s="1">
        <v>35.549999999999997</v>
      </c>
      <c r="B338" s="1">
        <v>2.9550999999999998</v>
      </c>
      <c r="C338" s="1">
        <f>Tabela5[[#This Row],[Alongamento(mm/mm)]]/$I$2</f>
        <v>5.9101999999999995E-2</v>
      </c>
      <c r="D338" s="1">
        <v>219.43</v>
      </c>
      <c r="E338" s="1">
        <f>Tabela5[[#This Row],[Forτa(N)]]/$I$5</f>
        <v>6994342.1786596552</v>
      </c>
      <c r="F338" s="1">
        <f>Tabela5[[#This Row],[Tensão(Pa)]]/1000000</f>
        <v>6.9943421786596556</v>
      </c>
    </row>
    <row r="339" spans="1:6" x14ac:dyDescent="0.3">
      <c r="A339" s="1">
        <v>35.616999999999997</v>
      </c>
      <c r="B339" s="1">
        <v>2.9607000000000001</v>
      </c>
      <c r="C339" s="1">
        <f>Tabela5[[#This Row],[Alongamento(mm/mm)]]/$I$2</f>
        <v>5.9214000000000003E-2</v>
      </c>
      <c r="D339" s="1">
        <v>221.13</v>
      </c>
      <c r="E339" s="1">
        <f>Tabela5[[#This Row],[Forτa(N)]]/$I$5</f>
        <v>7048529.763327755</v>
      </c>
      <c r="F339" s="1">
        <f>Tabela5[[#This Row],[Tensão(Pa)]]/1000000</f>
        <v>7.048529763327755</v>
      </c>
    </row>
    <row r="340" spans="1:6" x14ac:dyDescent="0.3">
      <c r="A340" s="1">
        <v>35.700000000000003</v>
      </c>
      <c r="B340" s="1">
        <v>2.9676</v>
      </c>
      <c r="C340" s="1">
        <f>Tabela5[[#This Row],[Alongamento(mm/mm)]]/$I$2</f>
        <v>5.9352000000000002E-2</v>
      </c>
      <c r="D340" s="1">
        <v>223.17</v>
      </c>
      <c r="E340" s="1">
        <f>Tabela5[[#This Row],[Forτa(N)]]/$I$5</f>
        <v>7113554.8649294768</v>
      </c>
      <c r="F340" s="1">
        <f>Tabela5[[#This Row],[Tensão(Pa)]]/1000000</f>
        <v>7.1135548649294771</v>
      </c>
    </row>
    <row r="341" spans="1:6" x14ac:dyDescent="0.3">
      <c r="A341" s="1">
        <v>35.783000000000001</v>
      </c>
      <c r="B341" s="1">
        <v>2.9746000000000001</v>
      </c>
      <c r="C341" s="1">
        <f>Tabela5[[#This Row],[Alongamento(mm/mm)]]/$I$2</f>
        <v>5.9492000000000003E-2</v>
      </c>
      <c r="D341" s="1">
        <v>225.21</v>
      </c>
      <c r="E341" s="1">
        <f>Tabela5[[#This Row],[Forτa(N)]]/$I$5</f>
        <v>7178579.9665311985</v>
      </c>
      <c r="F341" s="1">
        <f>Tabela5[[#This Row],[Tensão(Pa)]]/1000000</f>
        <v>7.1785799665311982</v>
      </c>
    </row>
    <row r="342" spans="1:6" x14ac:dyDescent="0.3">
      <c r="A342" s="1">
        <v>35.866999999999997</v>
      </c>
      <c r="B342" s="1">
        <v>2.9815999999999998</v>
      </c>
      <c r="C342" s="1">
        <f>Tabela5[[#This Row],[Alongamento(mm/mm)]]/$I$2</f>
        <v>5.9631999999999998E-2</v>
      </c>
      <c r="D342" s="1">
        <v>227.25</v>
      </c>
      <c r="E342" s="1">
        <f>Tabela5[[#This Row],[Forτa(N)]]/$I$5</f>
        <v>7243605.0681329193</v>
      </c>
      <c r="F342" s="1">
        <f>Tabela5[[#This Row],[Tensão(Pa)]]/1000000</f>
        <v>7.2436050681329194</v>
      </c>
    </row>
    <row r="343" spans="1:6" x14ac:dyDescent="0.3">
      <c r="A343" s="1">
        <v>35.950000000000003</v>
      </c>
      <c r="B343" s="1">
        <v>2.9885000000000002</v>
      </c>
      <c r="C343" s="1">
        <f>Tabela5[[#This Row],[Alongamento(mm/mm)]]/$I$2</f>
        <v>5.9770000000000004E-2</v>
      </c>
      <c r="D343" s="1">
        <v>229.29</v>
      </c>
      <c r="E343" s="1">
        <f>Tabela5[[#This Row],[Forτa(N)]]/$I$5</f>
        <v>7308630.16973464</v>
      </c>
      <c r="F343" s="1">
        <f>Tabela5[[#This Row],[Tensão(Pa)]]/1000000</f>
        <v>7.3086301697346396</v>
      </c>
    </row>
    <row r="344" spans="1:6" x14ac:dyDescent="0.3">
      <c r="A344" s="1">
        <v>36.033000000000001</v>
      </c>
      <c r="B344" s="1">
        <v>2.9954000000000001</v>
      </c>
      <c r="C344" s="1">
        <f>Tabela5[[#This Row],[Alongamento(mm/mm)]]/$I$2</f>
        <v>5.9908000000000003E-2</v>
      </c>
      <c r="D344" s="1">
        <v>231.33</v>
      </c>
      <c r="E344" s="1">
        <f>Tabela5[[#This Row],[Forτa(N)]]/$I$5</f>
        <v>7373655.2713363627</v>
      </c>
      <c r="F344" s="1">
        <f>Tabela5[[#This Row],[Tensão(Pa)]]/1000000</f>
        <v>7.3736552713363626</v>
      </c>
    </row>
    <row r="345" spans="1:6" x14ac:dyDescent="0.3">
      <c r="A345" s="1">
        <v>36.1</v>
      </c>
      <c r="B345" s="1">
        <v>3.0009999999999999</v>
      </c>
      <c r="C345" s="1">
        <f>Tabela5[[#This Row],[Alongamento(mm/mm)]]/$I$2</f>
        <v>6.0019999999999997E-2</v>
      </c>
      <c r="D345" s="1">
        <v>233.04</v>
      </c>
      <c r="E345" s="1">
        <f>Tabela5[[#This Row],[Forτa(N)]]/$I$5</f>
        <v>7428161.6065025106</v>
      </c>
      <c r="F345" s="1">
        <f>Tabela5[[#This Row],[Tensão(Pa)]]/1000000</f>
        <v>7.4281616065025107</v>
      </c>
    </row>
    <row r="346" spans="1:6" x14ac:dyDescent="0.3">
      <c r="A346" s="1">
        <v>36.183</v>
      </c>
      <c r="B346" s="1">
        <v>3.0078999999999998</v>
      </c>
      <c r="C346" s="1">
        <f>Tabela5[[#This Row],[Alongamento(mm/mm)]]/$I$2</f>
        <v>6.0157999999999996E-2</v>
      </c>
      <c r="D346" s="1">
        <v>235.08</v>
      </c>
      <c r="E346" s="1">
        <f>Tabela5[[#This Row],[Forτa(N)]]/$I$5</f>
        <v>7493186.7081042323</v>
      </c>
      <c r="F346" s="1">
        <f>Tabela5[[#This Row],[Tensão(Pa)]]/1000000</f>
        <v>7.4931867081042327</v>
      </c>
    </row>
    <row r="347" spans="1:6" x14ac:dyDescent="0.3">
      <c r="A347" s="1">
        <v>36.267000000000003</v>
      </c>
      <c r="B347" s="1">
        <v>3.0148999999999999</v>
      </c>
      <c r="C347" s="1">
        <f>Tabela5[[#This Row],[Alongamento(mm/mm)]]/$I$2</f>
        <v>6.0297999999999997E-2</v>
      </c>
      <c r="D347" s="1">
        <v>237.12</v>
      </c>
      <c r="E347" s="1">
        <f>Tabela5[[#This Row],[Forτa(N)]]/$I$5</f>
        <v>7558211.8097059531</v>
      </c>
      <c r="F347" s="1">
        <f>Tabela5[[#This Row],[Tensão(Pa)]]/1000000</f>
        <v>7.558211809705953</v>
      </c>
    </row>
    <row r="348" spans="1:6" x14ac:dyDescent="0.3">
      <c r="A348" s="1">
        <v>36.35</v>
      </c>
      <c r="B348" s="1">
        <v>3.0219</v>
      </c>
      <c r="C348" s="1">
        <f>Tabela5[[#This Row],[Alongamento(mm/mm)]]/$I$2</f>
        <v>6.0437999999999999E-2</v>
      </c>
      <c r="D348" s="1">
        <v>239.16</v>
      </c>
      <c r="E348" s="1">
        <f>Tabela5[[#This Row],[Forτa(N)]]/$I$5</f>
        <v>7623236.9113076739</v>
      </c>
      <c r="F348" s="1">
        <f>Tabela5[[#This Row],[Tensão(Pa)]]/1000000</f>
        <v>7.6232369113076741</v>
      </c>
    </row>
    <row r="349" spans="1:6" x14ac:dyDescent="0.3">
      <c r="A349" s="1">
        <v>36.417000000000002</v>
      </c>
      <c r="B349" s="1">
        <v>3.0274999999999999</v>
      </c>
      <c r="C349" s="1">
        <f>Tabela5[[#This Row],[Alongamento(mm/mm)]]/$I$2</f>
        <v>6.055E-2</v>
      </c>
      <c r="D349" s="1">
        <v>240.86</v>
      </c>
      <c r="E349" s="1">
        <f>Tabela5[[#This Row],[Forτa(N)]]/$I$5</f>
        <v>7677424.4959757756</v>
      </c>
      <c r="F349" s="1">
        <f>Tabela5[[#This Row],[Tensão(Pa)]]/1000000</f>
        <v>7.6774244959757754</v>
      </c>
    </row>
    <row r="350" spans="1:6" x14ac:dyDescent="0.3">
      <c r="A350" s="1">
        <v>36.5</v>
      </c>
      <c r="B350" s="1">
        <v>3.0343</v>
      </c>
      <c r="C350" s="1">
        <f>Tabela5[[#This Row],[Alongamento(mm/mm)]]/$I$2</f>
        <v>6.0685999999999997E-2</v>
      </c>
      <c r="D350" s="1">
        <v>242.9</v>
      </c>
      <c r="E350" s="1">
        <f>Tabela5[[#This Row],[Forτa(N)]]/$I$5</f>
        <v>7742449.5975774964</v>
      </c>
      <c r="F350" s="1">
        <f>Tabela5[[#This Row],[Tensão(Pa)]]/1000000</f>
        <v>7.7424495975774965</v>
      </c>
    </row>
    <row r="351" spans="1:6" x14ac:dyDescent="0.3">
      <c r="A351" s="1">
        <v>36.567</v>
      </c>
      <c r="B351" s="1">
        <v>3.0398000000000001</v>
      </c>
      <c r="C351" s="1">
        <f>Tabela5[[#This Row],[Alongamento(mm/mm)]]/$I$2</f>
        <v>6.0796000000000003E-2</v>
      </c>
      <c r="D351" s="1">
        <v>244.6</v>
      </c>
      <c r="E351" s="1">
        <f>Tabela5[[#This Row],[Forτa(N)]]/$I$5</f>
        <v>7796637.1822455972</v>
      </c>
      <c r="F351" s="1">
        <f>Tabela5[[#This Row],[Tensão(Pa)]]/1000000</f>
        <v>7.7966371822455969</v>
      </c>
    </row>
    <row r="352" spans="1:6" x14ac:dyDescent="0.3">
      <c r="A352" s="1">
        <v>36.65</v>
      </c>
      <c r="B352" s="1">
        <v>3.0468000000000002</v>
      </c>
      <c r="C352" s="1">
        <f>Tabela5[[#This Row],[Alongamento(mm/mm)]]/$I$2</f>
        <v>6.0936000000000004E-2</v>
      </c>
      <c r="D352" s="1">
        <v>246.64</v>
      </c>
      <c r="E352" s="1">
        <f>Tabela5[[#This Row],[Forτa(N)]]/$I$5</f>
        <v>7861662.283847319</v>
      </c>
      <c r="F352" s="1">
        <f>Tabela5[[#This Row],[Tensão(Pa)]]/1000000</f>
        <v>7.8616622838473189</v>
      </c>
    </row>
    <row r="353" spans="1:6" x14ac:dyDescent="0.3">
      <c r="A353" s="1">
        <v>36.716999999999999</v>
      </c>
      <c r="B353" s="1">
        <v>3.0524</v>
      </c>
      <c r="C353" s="1">
        <f>Tabela5[[#This Row],[Alongamento(mm/mm)]]/$I$2</f>
        <v>6.1047999999999998E-2</v>
      </c>
      <c r="D353" s="1">
        <v>248.34</v>
      </c>
      <c r="E353" s="1">
        <f>Tabela5[[#This Row],[Forτa(N)]]/$I$5</f>
        <v>7915849.8685154198</v>
      </c>
      <c r="F353" s="1">
        <f>Tabela5[[#This Row],[Tensão(Pa)]]/1000000</f>
        <v>7.9158498685154202</v>
      </c>
    </row>
    <row r="354" spans="1:6" x14ac:dyDescent="0.3">
      <c r="A354" s="1">
        <v>36.783000000000001</v>
      </c>
      <c r="B354" s="1">
        <v>3.0579999999999998</v>
      </c>
      <c r="C354" s="1">
        <f>Tabela5[[#This Row],[Alongamento(mm/mm)]]/$I$2</f>
        <v>6.1159999999999999E-2</v>
      </c>
      <c r="D354" s="1">
        <v>250.05</v>
      </c>
      <c r="E354" s="1">
        <f>Tabela5[[#This Row],[Forτa(N)]]/$I$5</f>
        <v>7970356.2036815686</v>
      </c>
      <c r="F354" s="1">
        <f>Tabela5[[#This Row],[Tensão(Pa)]]/1000000</f>
        <v>7.9703562036815683</v>
      </c>
    </row>
    <row r="355" spans="1:6" x14ac:dyDescent="0.3">
      <c r="A355" s="1">
        <v>36.85</v>
      </c>
      <c r="B355" s="1">
        <v>3.0634999999999999</v>
      </c>
      <c r="C355" s="1">
        <f>Tabela5[[#This Row],[Alongamento(mm/mm)]]/$I$2</f>
        <v>6.1269999999999998E-2</v>
      </c>
      <c r="D355" s="1">
        <v>251.75</v>
      </c>
      <c r="E355" s="1">
        <f>Tabela5[[#This Row],[Forτa(N)]]/$I$5</f>
        <v>8024543.7883496694</v>
      </c>
      <c r="F355" s="1">
        <f>Tabela5[[#This Row],[Tensão(Pa)]]/1000000</f>
        <v>8.0245437883496695</v>
      </c>
    </row>
    <row r="356" spans="1:6" x14ac:dyDescent="0.3">
      <c r="A356" s="1">
        <v>36.917000000000002</v>
      </c>
      <c r="B356" s="1">
        <v>3.0691000000000002</v>
      </c>
      <c r="C356" s="1">
        <f>Tabela5[[#This Row],[Alongamento(mm/mm)]]/$I$2</f>
        <v>6.1382000000000006E-2</v>
      </c>
      <c r="D356" s="1">
        <v>253.45</v>
      </c>
      <c r="E356" s="1">
        <f>Tabela5[[#This Row],[Forτa(N)]]/$I$5</f>
        <v>8078731.3730177702</v>
      </c>
      <c r="F356" s="1">
        <f>Tabela5[[#This Row],[Tensão(Pa)]]/1000000</f>
        <v>8.0787313730177708</v>
      </c>
    </row>
    <row r="357" spans="1:6" x14ac:dyDescent="0.3">
      <c r="A357" s="1">
        <v>36.982999999999997</v>
      </c>
      <c r="B357" s="1">
        <v>3.0746000000000002</v>
      </c>
      <c r="C357" s="1">
        <f>Tabela5[[#This Row],[Alongamento(mm/mm)]]/$I$2</f>
        <v>6.1492000000000005E-2</v>
      </c>
      <c r="D357" s="1">
        <v>255.15</v>
      </c>
      <c r="E357" s="1">
        <f>Tabela5[[#This Row],[Forτa(N)]]/$I$5</f>
        <v>8132918.957685872</v>
      </c>
      <c r="F357" s="1">
        <f>Tabela5[[#This Row],[Tensão(Pa)]]/1000000</f>
        <v>8.132918957685872</v>
      </c>
    </row>
    <row r="358" spans="1:6" x14ac:dyDescent="0.3">
      <c r="A358" s="1">
        <v>37.049999999999997</v>
      </c>
      <c r="B358" s="1">
        <v>3.0802</v>
      </c>
      <c r="C358" s="1">
        <f>Tabela5[[#This Row],[Alongamento(mm/mm)]]/$I$2</f>
        <v>6.1603999999999999E-2</v>
      </c>
      <c r="D358" s="1">
        <v>256.85000000000002</v>
      </c>
      <c r="E358" s="1">
        <f>Tabela5[[#This Row],[Forτa(N)]]/$I$5</f>
        <v>8187106.5423539737</v>
      </c>
      <c r="F358" s="1">
        <f>Tabela5[[#This Row],[Tensão(Pa)]]/1000000</f>
        <v>8.1871065423539733</v>
      </c>
    </row>
    <row r="359" spans="1:6" x14ac:dyDescent="0.3">
      <c r="A359" s="1">
        <v>37.116999999999997</v>
      </c>
      <c r="B359" s="1">
        <v>3.0857000000000001</v>
      </c>
      <c r="C359" s="1">
        <f>Tabela5[[#This Row],[Alongamento(mm/mm)]]/$I$2</f>
        <v>6.1714000000000005E-2</v>
      </c>
      <c r="D359" s="1">
        <v>258.72000000000003</v>
      </c>
      <c r="E359" s="1">
        <f>Tabela5[[#This Row],[Forτa(N)]]/$I$5</f>
        <v>8246712.8854888845</v>
      </c>
      <c r="F359" s="1">
        <f>Tabela5[[#This Row],[Tensão(Pa)]]/1000000</f>
        <v>8.2467128854888845</v>
      </c>
    </row>
    <row r="360" spans="1:6" x14ac:dyDescent="0.3">
      <c r="A360" s="1">
        <v>37.183</v>
      </c>
      <c r="B360" s="1">
        <v>3.0912999999999999</v>
      </c>
      <c r="C360" s="1">
        <f>Tabela5[[#This Row],[Alongamento(mm/mm)]]/$I$2</f>
        <v>6.1825999999999999E-2</v>
      </c>
      <c r="D360" s="1">
        <v>260.42</v>
      </c>
      <c r="E360" s="1">
        <f>Tabela5[[#This Row],[Forτa(N)]]/$I$5</f>
        <v>8300900.4701569853</v>
      </c>
      <c r="F360" s="1">
        <f>Tabela5[[#This Row],[Tensão(Pa)]]/1000000</f>
        <v>8.3009004701569857</v>
      </c>
    </row>
    <row r="361" spans="1:6" x14ac:dyDescent="0.3">
      <c r="A361" s="1">
        <v>37.25</v>
      </c>
      <c r="B361" s="1">
        <v>3.0969000000000002</v>
      </c>
      <c r="C361" s="1">
        <f>Tabela5[[#This Row],[Alongamento(mm/mm)]]/$I$2</f>
        <v>6.1938000000000007E-2</v>
      </c>
      <c r="D361" s="1">
        <v>262.12</v>
      </c>
      <c r="E361" s="1">
        <f>Tabela5[[#This Row],[Forτa(N)]]/$I$5</f>
        <v>8355088.0548250861</v>
      </c>
      <c r="F361" s="1">
        <f>Tabela5[[#This Row],[Tensão(Pa)]]/1000000</f>
        <v>8.355088054825087</v>
      </c>
    </row>
    <row r="362" spans="1:6" x14ac:dyDescent="0.3">
      <c r="A362" s="1">
        <v>37.332999999999998</v>
      </c>
      <c r="B362" s="1">
        <v>3.1038999999999999</v>
      </c>
      <c r="C362" s="1">
        <f>Tabela5[[#This Row],[Alongamento(mm/mm)]]/$I$2</f>
        <v>6.2077999999999994E-2</v>
      </c>
      <c r="D362" s="1">
        <v>264.33</v>
      </c>
      <c r="E362" s="1">
        <f>Tabela5[[#This Row],[Forτa(N)]]/$I$5</f>
        <v>8425531.9148936179</v>
      </c>
      <c r="F362" s="1">
        <f>Tabela5[[#This Row],[Tensão(Pa)]]/1000000</f>
        <v>8.4255319148936181</v>
      </c>
    </row>
    <row r="363" spans="1:6" x14ac:dyDescent="0.3">
      <c r="A363" s="1">
        <v>37.417000000000002</v>
      </c>
      <c r="B363" s="1">
        <v>3.1107</v>
      </c>
      <c r="C363" s="1">
        <f>Tabela5[[#This Row],[Alongamento(mm/mm)]]/$I$2</f>
        <v>6.2213999999999998E-2</v>
      </c>
      <c r="D363" s="1">
        <v>266.54000000000002</v>
      </c>
      <c r="E363" s="1">
        <f>Tabela5[[#This Row],[Forτa(N)]]/$I$5</f>
        <v>8495975.7749621496</v>
      </c>
      <c r="F363" s="1">
        <f>Tabela5[[#This Row],[Tensão(Pa)]]/1000000</f>
        <v>8.4959757749621492</v>
      </c>
    </row>
    <row r="364" spans="1:6" x14ac:dyDescent="0.3">
      <c r="A364" s="1">
        <v>37.5</v>
      </c>
      <c r="B364" s="1">
        <v>3.1175000000000002</v>
      </c>
      <c r="C364" s="1">
        <f>Tabela5[[#This Row],[Alongamento(mm/mm)]]/$I$2</f>
        <v>6.2350000000000003E-2</v>
      </c>
      <c r="D364" s="1">
        <v>268.76</v>
      </c>
      <c r="E364" s="1">
        <f>Tabela5[[#This Row],[Forτa(N)]]/$I$5</f>
        <v>8566738.3855287284</v>
      </c>
      <c r="F364" s="1">
        <f>Tabela5[[#This Row],[Tensão(Pa)]]/1000000</f>
        <v>8.566738385528728</v>
      </c>
    </row>
    <row r="365" spans="1:6" x14ac:dyDescent="0.3">
      <c r="A365" s="1">
        <v>37.582999999999998</v>
      </c>
      <c r="B365" s="1">
        <v>3.1246</v>
      </c>
      <c r="C365" s="1">
        <f>Tabela5[[#This Row],[Alongamento(mm/mm)]]/$I$2</f>
        <v>6.2491999999999999E-2</v>
      </c>
      <c r="D365" s="1">
        <v>270.97000000000003</v>
      </c>
      <c r="E365" s="1">
        <f>Tabela5[[#This Row],[Forτa(N)]]/$I$5</f>
        <v>8637182.2455972601</v>
      </c>
      <c r="F365" s="1">
        <f>Tabela5[[#This Row],[Tensão(Pa)]]/1000000</f>
        <v>8.6371822455972609</v>
      </c>
    </row>
    <row r="366" spans="1:6" x14ac:dyDescent="0.3">
      <c r="A366" s="1">
        <v>37.667000000000002</v>
      </c>
      <c r="B366" s="1">
        <v>3.1316000000000002</v>
      </c>
      <c r="C366" s="1">
        <f>Tabela5[[#This Row],[Alongamento(mm/mm)]]/$I$2</f>
        <v>6.2632000000000007E-2</v>
      </c>
      <c r="D366" s="1">
        <v>273.18</v>
      </c>
      <c r="E366" s="1">
        <f>Tabela5[[#This Row],[Forτa(N)]]/$I$5</f>
        <v>8707626.1056657899</v>
      </c>
      <c r="F366" s="1">
        <f>Tabela5[[#This Row],[Tensão(Pa)]]/1000000</f>
        <v>8.7076261056657902</v>
      </c>
    </row>
    <row r="367" spans="1:6" x14ac:dyDescent="0.3">
      <c r="A367" s="1">
        <v>37.75</v>
      </c>
      <c r="B367" s="1">
        <v>3.1385000000000001</v>
      </c>
      <c r="C367" s="1">
        <f>Tabela5[[#This Row],[Alongamento(mm/mm)]]/$I$2</f>
        <v>6.2770000000000006E-2</v>
      </c>
      <c r="D367" s="1">
        <v>275.56</v>
      </c>
      <c r="E367" s="1">
        <f>Tabela5[[#This Row],[Forτa(N)]]/$I$5</f>
        <v>8783488.7242011316</v>
      </c>
      <c r="F367" s="1">
        <f>Tabela5[[#This Row],[Tensão(Pa)]]/1000000</f>
        <v>8.7834887242011312</v>
      </c>
    </row>
    <row r="368" spans="1:6" x14ac:dyDescent="0.3">
      <c r="A368" s="1">
        <v>37.832999999999998</v>
      </c>
      <c r="B368" s="1">
        <v>3.1455000000000002</v>
      </c>
      <c r="C368" s="1">
        <f>Tabela5[[#This Row],[Alongamento(mm/mm)]]/$I$2</f>
        <v>6.2910000000000008E-2</v>
      </c>
      <c r="D368" s="1">
        <v>277.77</v>
      </c>
      <c r="E368" s="1">
        <f>Tabela5[[#This Row],[Forτa(N)]]/$I$5</f>
        <v>8853932.5842696633</v>
      </c>
      <c r="F368" s="1">
        <f>Tabela5[[#This Row],[Tensão(Pa)]]/1000000</f>
        <v>8.8539325842696641</v>
      </c>
    </row>
    <row r="369" spans="1:6" x14ac:dyDescent="0.3">
      <c r="A369" s="1">
        <v>37.917000000000002</v>
      </c>
      <c r="B369" s="1">
        <v>3.1524000000000001</v>
      </c>
      <c r="C369" s="1">
        <f>Tabela5[[#This Row],[Alongamento(mm/mm)]]/$I$2</f>
        <v>6.3048000000000007E-2</v>
      </c>
      <c r="D369" s="1">
        <v>279.98</v>
      </c>
      <c r="E369" s="1">
        <f>Tabela5[[#This Row],[Forτa(N)]]/$I$5</f>
        <v>8924376.444338195</v>
      </c>
      <c r="F369" s="1">
        <f>Tabela5[[#This Row],[Tensão(Pa)]]/1000000</f>
        <v>8.9243764443381952</v>
      </c>
    </row>
    <row r="370" spans="1:6" x14ac:dyDescent="0.3">
      <c r="A370" s="1">
        <v>38</v>
      </c>
      <c r="B370" s="1">
        <v>3.1593</v>
      </c>
      <c r="C370" s="1">
        <f>Tabela5[[#This Row],[Alongamento(mm/mm)]]/$I$2</f>
        <v>6.3186000000000006E-2</v>
      </c>
      <c r="D370" s="1">
        <v>282.19</v>
      </c>
      <c r="E370" s="1">
        <f>Tabela5[[#This Row],[Forτa(N)]]/$I$5</f>
        <v>8994820.3044067267</v>
      </c>
      <c r="F370" s="1">
        <f>Tabela5[[#This Row],[Tensão(Pa)]]/1000000</f>
        <v>8.9948203044067263</v>
      </c>
    </row>
    <row r="371" spans="1:6" x14ac:dyDescent="0.3">
      <c r="A371" s="1">
        <v>38.082999999999998</v>
      </c>
      <c r="B371" s="1">
        <v>3.1663000000000001</v>
      </c>
      <c r="C371" s="1">
        <f>Tabela5[[#This Row],[Alongamento(mm/mm)]]/$I$2</f>
        <v>6.3326000000000007E-2</v>
      </c>
      <c r="D371" s="1">
        <v>284.58</v>
      </c>
      <c r="E371" s="1">
        <f>Tabela5[[#This Row],[Forτa(N)]]/$I$5</f>
        <v>9071001.6734401155</v>
      </c>
      <c r="F371" s="1">
        <f>Tabela5[[#This Row],[Tensão(Pa)]]/1000000</f>
        <v>9.0710016734401151</v>
      </c>
    </row>
    <row r="372" spans="1:6" x14ac:dyDescent="0.3">
      <c r="A372" s="1">
        <v>38.167000000000002</v>
      </c>
      <c r="B372" s="1">
        <v>3.1732</v>
      </c>
      <c r="C372" s="1">
        <f>Tabela5[[#This Row],[Alongamento(mm/mm)]]/$I$2</f>
        <v>6.3464000000000007E-2</v>
      </c>
      <c r="D372" s="1">
        <v>286.79000000000002</v>
      </c>
      <c r="E372" s="1">
        <f>Tabela5[[#This Row],[Forτa(N)]]/$I$5</f>
        <v>9141445.5335086472</v>
      </c>
      <c r="F372" s="1">
        <f>Tabela5[[#This Row],[Tensão(Pa)]]/1000000</f>
        <v>9.141445533508648</v>
      </c>
    </row>
    <row r="373" spans="1:6" x14ac:dyDescent="0.3">
      <c r="A373" s="1">
        <v>38.25</v>
      </c>
      <c r="B373" s="1">
        <v>3.1800999999999999</v>
      </c>
      <c r="C373" s="1">
        <f>Tabela5[[#This Row],[Alongamento(mm/mm)]]/$I$2</f>
        <v>6.3601999999999992E-2</v>
      </c>
      <c r="D373" s="1">
        <v>289</v>
      </c>
      <c r="E373" s="1">
        <f>Tabela5[[#This Row],[Forτa(N)]]/$I$5</f>
        <v>9211889.3935771771</v>
      </c>
      <c r="F373" s="1">
        <f>Tabela5[[#This Row],[Tensão(Pa)]]/1000000</f>
        <v>9.2118893935771773</v>
      </c>
    </row>
    <row r="374" spans="1:6" x14ac:dyDescent="0.3">
      <c r="A374" s="1">
        <v>38.332999999999998</v>
      </c>
      <c r="B374" s="1">
        <v>3.1871</v>
      </c>
      <c r="C374" s="1">
        <f>Tabela5[[#This Row],[Alongamento(mm/mm)]]/$I$2</f>
        <v>6.3742000000000007E-2</v>
      </c>
      <c r="D374" s="1">
        <v>291.38</v>
      </c>
      <c r="E374" s="1">
        <f>Tabela5[[#This Row],[Forτa(N)]]/$I$5</f>
        <v>9287752.0121125188</v>
      </c>
      <c r="F374" s="1">
        <f>Tabela5[[#This Row],[Tensão(Pa)]]/1000000</f>
        <v>9.2877520121125183</v>
      </c>
    </row>
    <row r="375" spans="1:6" x14ac:dyDescent="0.3">
      <c r="A375" s="1">
        <v>38.417000000000002</v>
      </c>
      <c r="B375" s="1">
        <v>3.194</v>
      </c>
      <c r="C375" s="1">
        <f>Tabela5[[#This Row],[Alongamento(mm/mm)]]/$I$2</f>
        <v>6.3879999999999992E-2</v>
      </c>
      <c r="D375" s="1">
        <v>293.58999999999997</v>
      </c>
      <c r="E375" s="1">
        <f>Tabela5[[#This Row],[Forτa(N)]]/$I$5</f>
        <v>9358195.8721810505</v>
      </c>
      <c r="F375" s="1">
        <f>Tabela5[[#This Row],[Tensão(Pa)]]/1000000</f>
        <v>9.3581958721810512</v>
      </c>
    </row>
    <row r="376" spans="1:6" x14ac:dyDescent="0.3">
      <c r="A376" s="1">
        <v>38.5</v>
      </c>
      <c r="B376" s="1">
        <v>3.2010000000000001</v>
      </c>
      <c r="C376" s="1">
        <f>Tabela5[[#This Row],[Alongamento(mm/mm)]]/$I$2</f>
        <v>6.4020000000000007E-2</v>
      </c>
      <c r="D376" s="1">
        <v>295.8</v>
      </c>
      <c r="E376" s="1">
        <f>Tabela5[[#This Row],[Forτa(N)]]/$I$5</f>
        <v>9428639.7322495822</v>
      </c>
      <c r="F376" s="1">
        <f>Tabela5[[#This Row],[Tensão(Pa)]]/1000000</f>
        <v>9.4286397322495823</v>
      </c>
    </row>
    <row r="377" spans="1:6" x14ac:dyDescent="0.3">
      <c r="A377" s="1">
        <v>38.582999999999998</v>
      </c>
      <c r="B377" s="1">
        <v>3.2080000000000002</v>
      </c>
      <c r="C377" s="1">
        <f>Tabela5[[#This Row],[Alongamento(mm/mm)]]/$I$2</f>
        <v>6.4160000000000009E-2</v>
      </c>
      <c r="D377" s="1">
        <v>298.01</v>
      </c>
      <c r="E377" s="1">
        <f>Tabela5[[#This Row],[Forτa(N)]]/$I$5</f>
        <v>9499083.5923181139</v>
      </c>
      <c r="F377" s="1">
        <f>Tabela5[[#This Row],[Tensão(Pa)]]/1000000</f>
        <v>9.4990835923181134</v>
      </c>
    </row>
    <row r="378" spans="1:6" x14ac:dyDescent="0.3">
      <c r="A378" s="1">
        <v>38.667000000000002</v>
      </c>
      <c r="B378" s="1">
        <v>3.2149000000000001</v>
      </c>
      <c r="C378" s="1">
        <f>Tabela5[[#This Row],[Alongamento(mm/mm)]]/$I$2</f>
        <v>6.4298000000000008E-2</v>
      </c>
      <c r="D378" s="1">
        <v>300.39</v>
      </c>
      <c r="E378" s="1">
        <f>Tabela5[[#This Row],[Forτa(N)]]/$I$5</f>
        <v>9574946.2108534537</v>
      </c>
      <c r="F378" s="1">
        <f>Tabela5[[#This Row],[Tensão(Pa)]]/1000000</f>
        <v>9.5749462108534544</v>
      </c>
    </row>
    <row r="379" spans="1:6" x14ac:dyDescent="0.3">
      <c r="A379" s="1">
        <v>38.75</v>
      </c>
      <c r="B379" s="1">
        <v>3.2218</v>
      </c>
      <c r="C379" s="1">
        <f>Tabela5[[#This Row],[Alongamento(mm/mm)]]/$I$2</f>
        <v>6.4435999999999993E-2</v>
      </c>
      <c r="D379" s="1">
        <v>302.61</v>
      </c>
      <c r="E379" s="1">
        <f>Tabela5[[#This Row],[Forτa(N)]]/$I$5</f>
        <v>9645708.8214200344</v>
      </c>
      <c r="F379" s="1">
        <f>Tabela5[[#This Row],[Tensão(Pa)]]/1000000</f>
        <v>9.6457088214200351</v>
      </c>
    </row>
    <row r="380" spans="1:6" x14ac:dyDescent="0.3">
      <c r="A380" s="1">
        <v>38.832999999999998</v>
      </c>
      <c r="B380" s="1">
        <v>3.2288000000000001</v>
      </c>
      <c r="C380" s="1">
        <f>Tabela5[[#This Row],[Alongamento(mm/mm)]]/$I$2</f>
        <v>6.4576000000000008E-2</v>
      </c>
      <c r="D380" s="1">
        <v>304.99</v>
      </c>
      <c r="E380" s="1">
        <f>Tabela5[[#This Row],[Forτa(N)]]/$I$5</f>
        <v>9721571.4399553761</v>
      </c>
      <c r="F380" s="1">
        <f>Tabela5[[#This Row],[Tensão(Pa)]]/1000000</f>
        <v>9.7215714399553761</v>
      </c>
    </row>
    <row r="381" spans="1:6" x14ac:dyDescent="0.3">
      <c r="A381" s="1">
        <v>38.933</v>
      </c>
      <c r="B381" s="1">
        <v>3.2370999999999999</v>
      </c>
      <c r="C381" s="1">
        <f>Tabela5[[#This Row],[Alongamento(mm/mm)]]/$I$2</f>
        <v>6.4741999999999994E-2</v>
      </c>
      <c r="D381" s="1">
        <v>307.70999999999998</v>
      </c>
      <c r="E381" s="1">
        <f>Tabela5[[#This Row],[Forτa(N)]]/$I$5</f>
        <v>9808271.5754243359</v>
      </c>
      <c r="F381" s="1">
        <f>Tabela5[[#This Row],[Tensão(Pa)]]/1000000</f>
        <v>9.8082715754243353</v>
      </c>
    </row>
    <row r="382" spans="1:6" x14ac:dyDescent="0.3">
      <c r="A382" s="1">
        <v>39.017000000000003</v>
      </c>
      <c r="B382" s="1">
        <v>3.2441</v>
      </c>
      <c r="C382" s="1">
        <f>Tabela5[[#This Row],[Alongamento(mm/mm)]]/$I$2</f>
        <v>6.4881999999999995E-2</v>
      </c>
      <c r="D382" s="1">
        <v>310.08999999999997</v>
      </c>
      <c r="E382" s="1">
        <f>Tabela5[[#This Row],[Forτa(N)]]/$I$5</f>
        <v>9884134.1939596776</v>
      </c>
      <c r="F382" s="1">
        <f>Tabela5[[#This Row],[Tensão(Pa)]]/1000000</f>
        <v>9.8841341939596781</v>
      </c>
    </row>
    <row r="383" spans="1:6" x14ac:dyDescent="0.3">
      <c r="A383" s="1">
        <v>39.1</v>
      </c>
      <c r="B383" s="1">
        <v>3.2509999999999999</v>
      </c>
      <c r="C383" s="1">
        <f>Tabela5[[#This Row],[Alongamento(mm/mm)]]/$I$2</f>
        <v>6.5019999999999994E-2</v>
      </c>
      <c r="D383" s="1">
        <v>312.47000000000003</v>
      </c>
      <c r="E383" s="1">
        <f>Tabela5[[#This Row],[Forτa(N)]]/$I$5</f>
        <v>9959996.8124950211</v>
      </c>
      <c r="F383" s="1">
        <f>Tabela5[[#This Row],[Tensão(Pa)]]/1000000</f>
        <v>9.9599968124950209</v>
      </c>
    </row>
    <row r="384" spans="1:6" x14ac:dyDescent="0.3">
      <c r="A384" s="1">
        <v>39.183</v>
      </c>
      <c r="B384" s="1">
        <v>3.2578999999999998</v>
      </c>
      <c r="C384" s="1">
        <f>Tabela5[[#This Row],[Alongamento(mm/mm)]]/$I$2</f>
        <v>6.5157999999999994E-2</v>
      </c>
      <c r="D384" s="1">
        <v>314.85000000000002</v>
      </c>
      <c r="E384" s="1">
        <f>Tabela5[[#This Row],[Forτa(N)]]/$I$5</f>
        <v>10035859.431030363</v>
      </c>
      <c r="F384" s="1">
        <f>Tabela5[[#This Row],[Tensão(Pa)]]/1000000</f>
        <v>10.035859431030364</v>
      </c>
    </row>
    <row r="385" spans="1:6" x14ac:dyDescent="0.3">
      <c r="A385" s="1">
        <v>39.267000000000003</v>
      </c>
      <c r="B385" s="1">
        <v>3.2648000000000001</v>
      </c>
      <c r="C385" s="1">
        <f>Tabela5[[#This Row],[Alongamento(mm/mm)]]/$I$2</f>
        <v>6.5296000000000007E-2</v>
      </c>
      <c r="D385" s="1">
        <v>317.23</v>
      </c>
      <c r="E385" s="1">
        <f>Tabela5[[#This Row],[Forτa(N)]]/$I$5</f>
        <v>10111722.049565703</v>
      </c>
      <c r="F385" s="1">
        <f>Tabela5[[#This Row],[Tensão(Pa)]]/1000000</f>
        <v>10.111722049565703</v>
      </c>
    </row>
    <row r="386" spans="1:6" x14ac:dyDescent="0.3">
      <c r="A386" s="1">
        <v>39.35</v>
      </c>
      <c r="B386" s="1">
        <v>3.2717999999999998</v>
      </c>
      <c r="C386" s="1">
        <f>Tabela5[[#This Row],[Alongamento(mm/mm)]]/$I$2</f>
        <v>6.5435999999999994E-2</v>
      </c>
      <c r="D386" s="1">
        <v>319.62</v>
      </c>
      <c r="E386" s="1">
        <f>Tabela5[[#This Row],[Forτa(N)]]/$I$5</f>
        <v>10187903.418599091</v>
      </c>
      <c r="F386" s="1">
        <f>Tabela5[[#This Row],[Tensão(Pa)]]/1000000</f>
        <v>10.187903418599092</v>
      </c>
    </row>
    <row r="387" spans="1:6" x14ac:dyDescent="0.3">
      <c r="A387" s="1">
        <v>39.450000000000003</v>
      </c>
      <c r="B387" s="1">
        <v>3.2801999999999998</v>
      </c>
      <c r="C387" s="1">
        <f>Tabela5[[#This Row],[Alongamento(mm/mm)]]/$I$2</f>
        <v>6.5603999999999996E-2</v>
      </c>
      <c r="D387" s="1">
        <v>322.33999999999997</v>
      </c>
      <c r="E387" s="1">
        <f>Tabela5[[#This Row],[Forτa(N)]]/$I$5</f>
        <v>10274603.554068053</v>
      </c>
      <c r="F387" s="1">
        <f>Tabela5[[#This Row],[Tensão(Pa)]]/1000000</f>
        <v>10.274603554068053</v>
      </c>
    </row>
    <row r="388" spans="1:6" x14ac:dyDescent="0.3">
      <c r="A388" s="1">
        <v>39.533000000000001</v>
      </c>
      <c r="B388" s="1">
        <v>3.2871000000000001</v>
      </c>
      <c r="C388" s="1">
        <f>Tabela5[[#This Row],[Alongamento(mm/mm)]]/$I$2</f>
        <v>6.5742000000000009E-2</v>
      </c>
      <c r="D388" s="1">
        <v>324.72000000000003</v>
      </c>
      <c r="E388" s="1">
        <f>Tabela5[[#This Row],[Forτa(N)]]/$I$5</f>
        <v>10350466.172603397</v>
      </c>
      <c r="F388" s="1">
        <f>Tabela5[[#This Row],[Tensão(Pa)]]/1000000</f>
        <v>10.350466172603397</v>
      </c>
    </row>
    <row r="389" spans="1:6" x14ac:dyDescent="0.3">
      <c r="A389" s="1">
        <v>39.616999999999997</v>
      </c>
      <c r="B389" s="1">
        <v>3.294</v>
      </c>
      <c r="C389" s="1">
        <f>Tabela5[[#This Row],[Alongamento(mm/mm)]]/$I$2</f>
        <v>6.5879999999999994E-2</v>
      </c>
      <c r="D389" s="1">
        <v>327.10000000000002</v>
      </c>
      <c r="E389" s="1">
        <f>Tabela5[[#This Row],[Forτa(N)]]/$I$5</f>
        <v>10426328.791138738</v>
      </c>
      <c r="F389" s="1">
        <f>Tabela5[[#This Row],[Tensão(Pa)]]/1000000</f>
        <v>10.426328791138738</v>
      </c>
    </row>
    <row r="390" spans="1:6" x14ac:dyDescent="0.3">
      <c r="A390" s="1">
        <v>39.700000000000003</v>
      </c>
      <c r="B390" s="1">
        <v>3.3010000000000002</v>
      </c>
      <c r="C390" s="1">
        <f>Tabela5[[#This Row],[Alongamento(mm/mm)]]/$I$2</f>
        <v>6.6020000000000009E-2</v>
      </c>
      <c r="D390" s="1">
        <v>329.48</v>
      </c>
      <c r="E390" s="1">
        <f>Tabela5[[#This Row],[Forτa(N)]]/$I$5</f>
        <v>10502191.409674078</v>
      </c>
      <c r="F390" s="1">
        <f>Tabela5[[#This Row],[Tensão(Pa)]]/1000000</f>
        <v>10.502191409674078</v>
      </c>
    </row>
    <row r="391" spans="1:6" x14ac:dyDescent="0.3">
      <c r="A391" s="1">
        <v>39.783000000000001</v>
      </c>
      <c r="B391" s="1">
        <v>3.3079000000000001</v>
      </c>
      <c r="C391" s="1">
        <f>Tabela5[[#This Row],[Alongamento(mm/mm)]]/$I$2</f>
        <v>6.6157999999999995E-2</v>
      </c>
      <c r="D391" s="1">
        <v>331.86</v>
      </c>
      <c r="E391" s="1">
        <f>Tabela5[[#This Row],[Forτa(N)]]/$I$5</f>
        <v>10578054.02820942</v>
      </c>
      <c r="F391" s="1">
        <f>Tabela5[[#This Row],[Tensão(Pa)]]/1000000</f>
        <v>10.57805402820942</v>
      </c>
    </row>
    <row r="392" spans="1:6" x14ac:dyDescent="0.3">
      <c r="A392" s="1">
        <v>39.866999999999997</v>
      </c>
      <c r="B392" s="1">
        <v>3.3148</v>
      </c>
      <c r="C392" s="1">
        <f>Tabela5[[#This Row],[Alongamento(mm/mm)]]/$I$2</f>
        <v>6.6295999999999994E-2</v>
      </c>
      <c r="D392" s="1">
        <v>334.24</v>
      </c>
      <c r="E392" s="1">
        <f>Tabela5[[#This Row],[Forτa(N)]]/$I$5</f>
        <v>10653916.646744762</v>
      </c>
      <c r="F392" s="1">
        <f>Tabela5[[#This Row],[Tensão(Pa)]]/1000000</f>
        <v>10.653916646744761</v>
      </c>
    </row>
    <row r="393" spans="1:6" x14ac:dyDescent="0.3">
      <c r="A393" s="1">
        <v>39.950000000000003</v>
      </c>
      <c r="B393" s="1">
        <v>3.3218000000000001</v>
      </c>
      <c r="C393" s="1">
        <f>Tabela5[[#This Row],[Alongamento(mm/mm)]]/$I$2</f>
        <v>6.6435999999999995E-2</v>
      </c>
      <c r="D393" s="1">
        <v>336.8</v>
      </c>
      <c r="E393" s="1">
        <f>Tabela5[[#This Row],[Forτa(N)]]/$I$5</f>
        <v>10735516.77424496</v>
      </c>
      <c r="F393" s="1">
        <f>Tabela5[[#This Row],[Tensão(Pa)]]/1000000</f>
        <v>10.73551677424496</v>
      </c>
    </row>
    <row r="394" spans="1:6" x14ac:dyDescent="0.3">
      <c r="A394" s="1">
        <v>40.033000000000001</v>
      </c>
      <c r="B394" s="1">
        <v>3.3288000000000002</v>
      </c>
      <c r="C394" s="1">
        <f>Tabela5[[#This Row],[Alongamento(mm/mm)]]/$I$2</f>
        <v>6.657600000000001E-2</v>
      </c>
      <c r="D394" s="1">
        <v>339.18</v>
      </c>
      <c r="E394" s="1">
        <f>Tabela5[[#This Row],[Forτa(N)]]/$I$5</f>
        <v>10811379.392780302</v>
      </c>
      <c r="F394" s="1">
        <f>Tabela5[[#This Row],[Tensão(Pa)]]/1000000</f>
        <v>10.811379392780301</v>
      </c>
    </row>
    <row r="395" spans="1:6" x14ac:dyDescent="0.3">
      <c r="A395" s="1">
        <v>40.116999999999997</v>
      </c>
      <c r="B395" s="1">
        <v>3.3357000000000001</v>
      </c>
      <c r="C395" s="1">
        <f>Tabela5[[#This Row],[Alongamento(mm/mm)]]/$I$2</f>
        <v>6.6713999999999996E-2</v>
      </c>
      <c r="D395" s="1">
        <v>341.73</v>
      </c>
      <c r="E395" s="1">
        <f>Tabela5[[#This Row],[Forτa(N)]]/$I$5</f>
        <v>10892660.769782454</v>
      </c>
      <c r="F395" s="1">
        <f>Tabela5[[#This Row],[Tensão(Pa)]]/1000000</f>
        <v>10.892660769782454</v>
      </c>
    </row>
    <row r="396" spans="1:6" x14ac:dyDescent="0.3">
      <c r="A396" s="1">
        <v>40.200000000000003</v>
      </c>
      <c r="B396" s="1">
        <v>3.3426</v>
      </c>
      <c r="C396" s="1">
        <f>Tabela5[[#This Row],[Alongamento(mm/mm)]]/$I$2</f>
        <v>6.6851999999999995E-2</v>
      </c>
      <c r="D396" s="1">
        <v>344.11</v>
      </c>
      <c r="E396" s="1">
        <f>Tabela5[[#This Row],[Forτa(N)]]/$I$5</f>
        <v>10968523.388317795</v>
      </c>
      <c r="F396" s="1">
        <f>Tabela5[[#This Row],[Tensão(Pa)]]/1000000</f>
        <v>10.968523388317795</v>
      </c>
    </row>
    <row r="397" spans="1:6" x14ac:dyDescent="0.3">
      <c r="A397" s="1">
        <v>40.283000000000001</v>
      </c>
      <c r="B397" s="1">
        <v>3.3494999999999999</v>
      </c>
      <c r="C397" s="1">
        <f>Tabela5[[#This Row],[Alongamento(mm/mm)]]/$I$2</f>
        <v>6.6989999999999994E-2</v>
      </c>
      <c r="D397" s="1">
        <v>346.66</v>
      </c>
      <c r="E397" s="1">
        <f>Tabela5[[#This Row],[Forτa(N)]]/$I$5</f>
        <v>11049804.765319947</v>
      </c>
      <c r="F397" s="1">
        <f>Tabela5[[#This Row],[Tensão(Pa)]]/1000000</f>
        <v>11.049804765319948</v>
      </c>
    </row>
    <row r="398" spans="1:6" x14ac:dyDescent="0.3">
      <c r="A398" s="1">
        <v>40.366999999999997</v>
      </c>
      <c r="B398" s="1">
        <v>3.3565</v>
      </c>
      <c r="C398" s="1">
        <f>Tabela5[[#This Row],[Alongamento(mm/mm)]]/$I$2</f>
        <v>6.7129999999999995E-2</v>
      </c>
      <c r="D398" s="1">
        <v>349.04</v>
      </c>
      <c r="E398" s="1">
        <f>Tabela5[[#This Row],[Forτa(N)]]/$I$5</f>
        <v>11125667.383855289</v>
      </c>
      <c r="F398" s="1">
        <f>Tabela5[[#This Row],[Tensão(Pa)]]/1000000</f>
        <v>11.125667383855289</v>
      </c>
    </row>
    <row r="399" spans="1:6" x14ac:dyDescent="0.3">
      <c r="A399" s="1">
        <v>40.466999999999999</v>
      </c>
      <c r="B399" s="1">
        <v>3.3649</v>
      </c>
      <c r="C399" s="1">
        <f>Tabela5[[#This Row],[Alongamento(mm/mm)]]/$I$2</f>
        <v>6.7297999999999997E-2</v>
      </c>
      <c r="D399" s="1">
        <v>352.1</v>
      </c>
      <c r="E399" s="1">
        <f>Tabela5[[#This Row],[Forτa(N)]]/$I$5</f>
        <v>11223205.03625787</v>
      </c>
      <c r="F399" s="1">
        <f>Tabela5[[#This Row],[Tensão(Pa)]]/1000000</f>
        <v>11.22320503625787</v>
      </c>
    </row>
    <row r="400" spans="1:6" x14ac:dyDescent="0.3">
      <c r="A400" s="1">
        <v>40.567</v>
      </c>
      <c r="B400" s="1">
        <v>3.3733</v>
      </c>
      <c r="C400" s="1">
        <f>Tabela5[[#This Row],[Alongamento(mm/mm)]]/$I$2</f>
        <v>6.7465999999999998E-2</v>
      </c>
      <c r="D400" s="1">
        <v>355.17</v>
      </c>
      <c r="E400" s="1">
        <f>Tabela5[[#This Row],[Forτa(N)]]/$I$5</f>
        <v>11321061.439158499</v>
      </c>
      <c r="F400" s="1">
        <f>Tabela5[[#This Row],[Tensão(Pa)]]/1000000</f>
        <v>11.3210614391585</v>
      </c>
    </row>
    <row r="401" spans="1:6" x14ac:dyDescent="0.3">
      <c r="A401" s="1">
        <v>40.667000000000002</v>
      </c>
      <c r="B401" s="1">
        <v>3.3814000000000002</v>
      </c>
      <c r="C401" s="1">
        <f>Tabela5[[#This Row],[Alongamento(mm/mm)]]/$I$2</f>
        <v>6.7628000000000008E-2</v>
      </c>
      <c r="D401" s="1">
        <v>358.23</v>
      </c>
      <c r="E401" s="1">
        <f>Tabela5[[#This Row],[Forτa(N)]]/$I$5</f>
        <v>11418599.091561081</v>
      </c>
      <c r="F401" s="1">
        <f>Tabela5[[#This Row],[Tensão(Pa)]]/1000000</f>
        <v>11.418599091561081</v>
      </c>
    </row>
    <row r="402" spans="1:6" x14ac:dyDescent="0.3">
      <c r="A402" s="1">
        <v>40.767000000000003</v>
      </c>
      <c r="B402" s="1">
        <v>3.3898999999999999</v>
      </c>
      <c r="C402" s="1">
        <f>Tabela5[[#This Row],[Alongamento(mm/mm)]]/$I$2</f>
        <v>6.7797999999999997E-2</v>
      </c>
      <c r="D402" s="1">
        <v>361.29</v>
      </c>
      <c r="E402" s="1">
        <f>Tabela5[[#This Row],[Forτa(N)]]/$I$5</f>
        <v>11516136.743963664</v>
      </c>
      <c r="F402" s="1">
        <f>Tabela5[[#This Row],[Tensão(Pa)]]/1000000</f>
        <v>11.516136743963665</v>
      </c>
    </row>
    <row r="403" spans="1:6" x14ac:dyDescent="0.3">
      <c r="A403" s="1">
        <v>40.866999999999997</v>
      </c>
      <c r="B403" s="1">
        <v>3.3982000000000001</v>
      </c>
      <c r="C403" s="1">
        <f>Tabela5[[#This Row],[Alongamento(mm/mm)]]/$I$2</f>
        <v>6.7963999999999997E-2</v>
      </c>
      <c r="D403" s="1">
        <v>364.35</v>
      </c>
      <c r="E403" s="1">
        <f>Tabela5[[#This Row],[Forτa(N)]]/$I$5</f>
        <v>11613674.396366246</v>
      </c>
      <c r="F403" s="1">
        <f>Tabela5[[#This Row],[Tensão(Pa)]]/1000000</f>
        <v>11.613674396366246</v>
      </c>
    </row>
    <row r="404" spans="1:6" x14ac:dyDescent="0.3">
      <c r="A404" s="1">
        <v>40.966999999999999</v>
      </c>
      <c r="B404" s="1">
        <v>3.4066000000000001</v>
      </c>
      <c r="C404" s="1">
        <f>Tabela5[[#This Row],[Alongamento(mm/mm)]]/$I$2</f>
        <v>6.8131999999999998E-2</v>
      </c>
      <c r="D404" s="1">
        <v>367.41</v>
      </c>
      <c r="E404" s="1">
        <f>Tabela5[[#This Row],[Forτa(N)]]/$I$5</f>
        <v>11711212.048768828</v>
      </c>
      <c r="F404" s="1">
        <f>Tabela5[[#This Row],[Tensão(Pa)]]/1000000</f>
        <v>11.711212048768827</v>
      </c>
    </row>
    <row r="405" spans="1:6" x14ac:dyDescent="0.3">
      <c r="A405" s="1">
        <v>41.05</v>
      </c>
      <c r="B405" s="1">
        <v>3.4135</v>
      </c>
      <c r="C405" s="1">
        <f>Tabela5[[#This Row],[Alongamento(mm/mm)]]/$I$2</f>
        <v>6.8269999999999997E-2</v>
      </c>
      <c r="D405" s="1">
        <v>370.14</v>
      </c>
      <c r="E405" s="1">
        <f>Tabela5[[#This Row],[Forτa(N)]]/$I$5</f>
        <v>11798230.934735836</v>
      </c>
      <c r="F405" s="1">
        <f>Tabela5[[#This Row],[Tensão(Pa)]]/1000000</f>
        <v>11.798230934735836</v>
      </c>
    </row>
    <row r="406" spans="1:6" x14ac:dyDescent="0.3">
      <c r="A406" s="1">
        <v>41.133000000000003</v>
      </c>
      <c r="B406" s="1">
        <v>3.4203999999999999</v>
      </c>
      <c r="C406" s="1">
        <f>Tabela5[[#This Row],[Alongamento(mm/mm)]]/$I$2</f>
        <v>6.8407999999999997E-2</v>
      </c>
      <c r="D406" s="1">
        <v>372.86</v>
      </c>
      <c r="E406" s="1">
        <f>Tabela5[[#This Row],[Forτa(N)]]/$I$5</f>
        <v>11884931.070204798</v>
      </c>
      <c r="F406" s="1">
        <f>Tabela5[[#This Row],[Tensão(Pa)]]/1000000</f>
        <v>11.884931070204798</v>
      </c>
    </row>
    <row r="407" spans="1:6" x14ac:dyDescent="0.3">
      <c r="A407" s="1">
        <v>41.216999999999999</v>
      </c>
      <c r="B407" s="1">
        <v>3.4272999999999998</v>
      </c>
      <c r="C407" s="1">
        <f>Tabela5[[#This Row],[Alongamento(mm/mm)]]/$I$2</f>
        <v>6.8545999999999996E-2</v>
      </c>
      <c r="D407" s="1">
        <v>375.58</v>
      </c>
      <c r="E407" s="1">
        <f>Tabela5[[#This Row],[Forτa(N)]]/$I$5</f>
        <v>11971631.20567376</v>
      </c>
      <c r="F407" s="1">
        <f>Tabela5[[#This Row],[Tensão(Pa)]]/1000000</f>
        <v>11.971631205673759</v>
      </c>
    </row>
    <row r="408" spans="1:6" x14ac:dyDescent="0.3">
      <c r="A408" s="1">
        <v>41.3</v>
      </c>
      <c r="B408" s="1">
        <v>3.4342999999999999</v>
      </c>
      <c r="C408" s="1">
        <f>Tabela5[[#This Row],[Alongamento(mm/mm)]]/$I$2</f>
        <v>6.8685999999999997E-2</v>
      </c>
      <c r="D408" s="1">
        <v>378.3</v>
      </c>
      <c r="E408" s="1">
        <f>Tabela5[[#This Row],[Forτa(N)]]/$I$5</f>
        <v>12058331.341142721</v>
      </c>
      <c r="F408" s="1">
        <f>Tabela5[[#This Row],[Tensão(Pa)]]/1000000</f>
        <v>12.058331341142722</v>
      </c>
    </row>
    <row r="409" spans="1:6" x14ac:dyDescent="0.3">
      <c r="A409" s="1">
        <v>41.4</v>
      </c>
      <c r="B409" s="1">
        <v>3.4426000000000001</v>
      </c>
      <c r="C409" s="1">
        <f>Tabela5[[#This Row],[Alongamento(mm/mm)]]/$I$2</f>
        <v>6.8851999999999997E-2</v>
      </c>
      <c r="D409" s="1">
        <v>381.36</v>
      </c>
      <c r="E409" s="1">
        <f>Tabela5[[#This Row],[Forτa(N)]]/$I$5</f>
        <v>12155868.993545303</v>
      </c>
      <c r="F409" s="1">
        <f>Tabela5[[#This Row],[Tensão(Pa)]]/1000000</f>
        <v>12.155868993545303</v>
      </c>
    </row>
    <row r="410" spans="1:6" x14ac:dyDescent="0.3">
      <c r="A410" s="1">
        <v>41.482999999999997</v>
      </c>
      <c r="B410" s="1">
        <v>3.4496000000000002</v>
      </c>
      <c r="C410" s="1">
        <f>Tabela5[[#This Row],[Alongamento(mm/mm)]]/$I$2</f>
        <v>6.8991999999999998E-2</v>
      </c>
      <c r="D410" s="1">
        <v>384.08</v>
      </c>
      <c r="E410" s="1">
        <f>Tabela5[[#This Row],[Forτa(N)]]/$I$5</f>
        <v>12242569.129014265</v>
      </c>
      <c r="F410" s="1">
        <f>Tabela5[[#This Row],[Tensão(Pa)]]/1000000</f>
        <v>12.242569129014266</v>
      </c>
    </row>
    <row r="411" spans="1:6" x14ac:dyDescent="0.3">
      <c r="A411" s="1">
        <v>41.567</v>
      </c>
      <c r="B411" s="1">
        <v>3.4565000000000001</v>
      </c>
      <c r="C411" s="1">
        <f>Tabela5[[#This Row],[Alongamento(mm/mm)]]/$I$2</f>
        <v>6.9129999999999997E-2</v>
      </c>
      <c r="D411" s="1">
        <v>386.8</v>
      </c>
      <c r="E411" s="1">
        <f>Tabela5[[#This Row],[Forτa(N)]]/$I$5</f>
        <v>12329269.264483226</v>
      </c>
      <c r="F411" s="1">
        <f>Tabela5[[#This Row],[Tensão(Pa)]]/1000000</f>
        <v>12.329269264483226</v>
      </c>
    </row>
    <row r="412" spans="1:6" x14ac:dyDescent="0.3">
      <c r="A412" s="1">
        <v>41.667000000000002</v>
      </c>
      <c r="B412" s="1">
        <v>3.4649000000000001</v>
      </c>
      <c r="C412" s="1">
        <f>Tabela5[[#This Row],[Alongamento(mm/mm)]]/$I$2</f>
        <v>6.9297999999999998E-2</v>
      </c>
      <c r="D412" s="1">
        <v>390.04</v>
      </c>
      <c r="E412" s="1">
        <f>Tabela5[[#This Row],[Forτa(N)]]/$I$5</f>
        <v>12432544.425850667</v>
      </c>
      <c r="F412" s="1">
        <f>Tabela5[[#This Row],[Tensão(Pa)]]/1000000</f>
        <v>12.432544425850667</v>
      </c>
    </row>
    <row r="413" spans="1:6" x14ac:dyDescent="0.3">
      <c r="A413" s="1">
        <v>41.767000000000003</v>
      </c>
      <c r="B413" s="1">
        <v>3.4731999999999998</v>
      </c>
      <c r="C413" s="1">
        <f>Tabela5[[#This Row],[Alongamento(mm/mm)]]/$I$2</f>
        <v>6.9463999999999998E-2</v>
      </c>
      <c r="D413" s="1">
        <v>393.27</v>
      </c>
      <c r="E413" s="1">
        <f>Tabela5[[#This Row],[Forτa(N)]]/$I$5</f>
        <v>12535500.836720057</v>
      </c>
      <c r="F413" s="1">
        <f>Tabela5[[#This Row],[Tensão(Pa)]]/1000000</f>
        <v>12.535500836720058</v>
      </c>
    </row>
    <row r="414" spans="1:6" x14ac:dyDescent="0.3">
      <c r="A414" s="1">
        <v>41.866999999999997</v>
      </c>
      <c r="B414" s="1">
        <v>3.4815999999999998</v>
      </c>
      <c r="C414" s="1">
        <f>Tabela5[[#This Row],[Alongamento(mm/mm)]]/$I$2</f>
        <v>6.9631999999999999E-2</v>
      </c>
      <c r="D414" s="1">
        <v>396.5</v>
      </c>
      <c r="E414" s="1">
        <f>Tabela5[[#This Row],[Forτa(N)]]/$I$5</f>
        <v>12638457.24758945</v>
      </c>
      <c r="F414" s="1">
        <f>Tabela5[[#This Row],[Tensão(Pa)]]/1000000</f>
        <v>12.63845724758945</v>
      </c>
    </row>
    <row r="415" spans="1:6" x14ac:dyDescent="0.3">
      <c r="A415" s="1">
        <v>41.966999999999999</v>
      </c>
      <c r="B415" s="1">
        <v>3.4897999999999998</v>
      </c>
      <c r="C415" s="1">
        <f>Tabela5[[#This Row],[Alongamento(mm/mm)]]/$I$2</f>
        <v>6.9795999999999997E-2</v>
      </c>
      <c r="D415" s="1">
        <v>400.07</v>
      </c>
      <c r="E415" s="1">
        <f>Tabela5[[#This Row],[Forτa(N)]]/$I$5</f>
        <v>12752251.175392462</v>
      </c>
      <c r="F415" s="1">
        <f>Tabela5[[#This Row],[Tensão(Pa)]]/1000000</f>
        <v>12.752251175392463</v>
      </c>
    </row>
    <row r="416" spans="1:6" x14ac:dyDescent="0.3">
      <c r="A416" s="1">
        <v>42.067</v>
      </c>
      <c r="B416" s="1">
        <v>3.4982000000000002</v>
      </c>
      <c r="C416" s="1">
        <f>Tabela5[[#This Row],[Alongamento(mm/mm)]]/$I$2</f>
        <v>6.9963999999999998E-2</v>
      </c>
      <c r="D416" s="1">
        <v>403.47</v>
      </c>
      <c r="E416" s="1">
        <f>Tabela5[[#This Row],[Forτa(N)]]/$I$5</f>
        <v>12860626.344728665</v>
      </c>
      <c r="F416" s="1">
        <f>Tabela5[[#This Row],[Tensão(Pa)]]/1000000</f>
        <v>12.860626344728665</v>
      </c>
    </row>
    <row r="417" spans="1:6" x14ac:dyDescent="0.3">
      <c r="A417" s="1">
        <v>42.167000000000002</v>
      </c>
      <c r="B417" s="1">
        <v>3.5065</v>
      </c>
      <c r="C417" s="1">
        <f>Tabela5[[#This Row],[Alongamento(mm/mm)]]/$I$2</f>
        <v>7.0129999999999998E-2</v>
      </c>
      <c r="D417" s="1">
        <v>406.71</v>
      </c>
      <c r="E417" s="1">
        <f>Tabela5[[#This Row],[Forτa(N)]]/$I$5</f>
        <v>12963901.506096104</v>
      </c>
      <c r="F417" s="1">
        <f>Tabela5[[#This Row],[Tensão(Pa)]]/1000000</f>
        <v>12.963901506096104</v>
      </c>
    </row>
    <row r="418" spans="1:6" x14ac:dyDescent="0.3">
      <c r="A418" s="1">
        <v>42.267000000000003</v>
      </c>
      <c r="B418" s="1">
        <v>3.5148999999999999</v>
      </c>
      <c r="C418" s="1">
        <f>Tabela5[[#This Row],[Alongamento(mm/mm)]]/$I$2</f>
        <v>7.0297999999999999E-2</v>
      </c>
      <c r="D418" s="1">
        <v>410.11</v>
      </c>
      <c r="E418" s="1">
        <f>Tabela5[[#This Row],[Forτa(N)]]/$I$5</f>
        <v>13072276.675432306</v>
      </c>
      <c r="F418" s="1">
        <f>Tabela5[[#This Row],[Tensão(Pa)]]/1000000</f>
        <v>13.072276675432306</v>
      </c>
    </row>
    <row r="419" spans="1:6" x14ac:dyDescent="0.3">
      <c r="A419" s="1">
        <v>42.366999999999997</v>
      </c>
      <c r="B419" s="1">
        <v>3.5232999999999999</v>
      </c>
      <c r="C419" s="1">
        <f>Tabela5[[#This Row],[Alongamento(mm/mm)]]/$I$2</f>
        <v>7.0466000000000001E-2</v>
      </c>
      <c r="D419" s="1">
        <v>413.51</v>
      </c>
      <c r="E419" s="1">
        <f>Tabela5[[#This Row],[Forτa(N)]]/$I$5</f>
        <v>13180651.844768507</v>
      </c>
      <c r="F419" s="1">
        <f>Tabela5[[#This Row],[Tensão(Pa)]]/1000000</f>
        <v>13.180651844768507</v>
      </c>
    </row>
    <row r="420" spans="1:6" x14ac:dyDescent="0.3">
      <c r="A420" s="1">
        <v>42.466999999999999</v>
      </c>
      <c r="B420" s="1">
        <v>3.5316000000000001</v>
      </c>
      <c r="C420" s="1">
        <f>Tabela5[[#This Row],[Alongamento(mm/mm)]]/$I$2</f>
        <v>7.0632E-2</v>
      </c>
      <c r="D420" s="1">
        <v>416.91</v>
      </c>
      <c r="E420" s="1">
        <f>Tabela5[[#This Row],[Forτa(N)]]/$I$5</f>
        <v>13289027.014104711</v>
      </c>
      <c r="F420" s="1">
        <f>Tabela5[[#This Row],[Tensão(Pa)]]/1000000</f>
        <v>13.289027014104711</v>
      </c>
    </row>
    <row r="421" spans="1:6" x14ac:dyDescent="0.3">
      <c r="A421" s="1">
        <v>42.567</v>
      </c>
      <c r="B421" s="1">
        <v>3.5398999999999998</v>
      </c>
      <c r="C421" s="1">
        <f>Tabela5[[#This Row],[Alongamento(mm/mm)]]/$I$2</f>
        <v>7.0798E-2</v>
      </c>
      <c r="D421" s="1">
        <v>420.31</v>
      </c>
      <c r="E421" s="1">
        <f>Tabela5[[#This Row],[Forτa(N)]]/$I$5</f>
        <v>13397402.183440913</v>
      </c>
      <c r="F421" s="1">
        <f>Tabela5[[#This Row],[Tensão(Pa)]]/1000000</f>
        <v>13.397402183440912</v>
      </c>
    </row>
    <row r="422" spans="1:6" x14ac:dyDescent="0.3">
      <c r="A422" s="1">
        <v>42.667000000000002</v>
      </c>
      <c r="B422" s="1">
        <v>3.5482</v>
      </c>
      <c r="C422" s="1">
        <f>Tabela5[[#This Row],[Alongamento(mm/mm)]]/$I$2</f>
        <v>7.0963999999999999E-2</v>
      </c>
      <c r="D422" s="1">
        <v>423.72</v>
      </c>
      <c r="E422" s="1">
        <f>Tabela5[[#This Row],[Forτa(N)]]/$I$5</f>
        <v>13506096.103275163</v>
      </c>
      <c r="F422" s="1">
        <f>Tabela5[[#This Row],[Tensão(Pa)]]/1000000</f>
        <v>13.506096103275164</v>
      </c>
    </row>
    <row r="423" spans="1:6" x14ac:dyDescent="0.3">
      <c r="A423" s="1">
        <v>42.767000000000003</v>
      </c>
      <c r="B423" s="1">
        <v>3.5566</v>
      </c>
      <c r="C423" s="1">
        <f>Tabela5[[#This Row],[Alongamento(mm/mm)]]/$I$2</f>
        <v>7.1132000000000001E-2</v>
      </c>
      <c r="D423" s="1">
        <v>426.95</v>
      </c>
      <c r="E423" s="1">
        <f>Tabela5[[#This Row],[Forτa(N)]]/$I$5</f>
        <v>13609052.514144553</v>
      </c>
      <c r="F423" s="1">
        <f>Tabela5[[#This Row],[Tensão(Pa)]]/1000000</f>
        <v>13.609052514144553</v>
      </c>
    </row>
    <row r="424" spans="1:6" x14ac:dyDescent="0.3">
      <c r="A424" s="1">
        <v>42.866999999999997</v>
      </c>
      <c r="B424" s="1">
        <v>3.5649999999999999</v>
      </c>
      <c r="C424" s="1">
        <f>Tabela5[[#This Row],[Alongamento(mm/mm)]]/$I$2</f>
        <v>7.1300000000000002E-2</v>
      </c>
      <c r="D424" s="1">
        <v>430.35</v>
      </c>
      <c r="E424" s="1">
        <f>Tabela5[[#This Row],[Forτa(N)]]/$I$5</f>
        <v>13717427.683480756</v>
      </c>
      <c r="F424" s="1">
        <f>Tabela5[[#This Row],[Tensão(Pa)]]/1000000</f>
        <v>13.717427683480757</v>
      </c>
    </row>
    <row r="425" spans="1:6" x14ac:dyDescent="0.3">
      <c r="A425" s="1">
        <v>42.966999999999999</v>
      </c>
      <c r="B425" s="1">
        <v>3.5731999999999999</v>
      </c>
      <c r="C425" s="1">
        <f>Tabela5[[#This Row],[Alongamento(mm/mm)]]/$I$2</f>
        <v>7.1464E-2</v>
      </c>
      <c r="D425" s="1">
        <v>433.75</v>
      </c>
      <c r="E425" s="1">
        <f>Tabela5[[#This Row],[Forτa(N)]]/$I$5</f>
        <v>13825802.852816958</v>
      </c>
      <c r="F425" s="1">
        <f>Tabela5[[#This Row],[Tensão(Pa)]]/1000000</f>
        <v>13.825802852816958</v>
      </c>
    </row>
    <row r="426" spans="1:6" x14ac:dyDescent="0.3">
      <c r="A426" s="1">
        <v>43.067</v>
      </c>
      <c r="B426" s="1">
        <v>3.5815000000000001</v>
      </c>
      <c r="C426" s="1">
        <f>Tabela5[[#This Row],[Alongamento(mm/mm)]]/$I$2</f>
        <v>7.1629999999999999E-2</v>
      </c>
      <c r="D426" s="1">
        <v>437.15</v>
      </c>
      <c r="E426" s="1">
        <f>Tabela5[[#This Row],[Forτa(N)]]/$I$5</f>
        <v>13934178.02215316</v>
      </c>
      <c r="F426" s="1">
        <f>Tabela5[[#This Row],[Tensão(Pa)]]/1000000</f>
        <v>13.93417802215316</v>
      </c>
    </row>
    <row r="427" spans="1:6" x14ac:dyDescent="0.3">
      <c r="A427" s="1">
        <v>43.183</v>
      </c>
      <c r="B427" s="1">
        <v>3.5912999999999999</v>
      </c>
      <c r="C427" s="1">
        <f>Tabela5[[#This Row],[Alongamento(mm/mm)]]/$I$2</f>
        <v>7.1826000000000001E-2</v>
      </c>
      <c r="D427" s="1">
        <v>441.07</v>
      </c>
      <c r="E427" s="1">
        <f>Tabela5[[#This Row],[Forτa(N)]]/$I$5</f>
        <v>14059128.21738784</v>
      </c>
      <c r="F427" s="1">
        <f>Tabela5[[#This Row],[Tensão(Pa)]]/1000000</f>
        <v>14.05912821738784</v>
      </c>
    </row>
    <row r="428" spans="1:6" x14ac:dyDescent="0.3">
      <c r="A428" s="1">
        <v>43.283000000000001</v>
      </c>
      <c r="B428" s="1">
        <v>3.5996000000000001</v>
      </c>
      <c r="C428" s="1">
        <f>Tabela5[[#This Row],[Alongamento(mm/mm)]]/$I$2</f>
        <v>7.1992E-2</v>
      </c>
      <c r="D428" s="1">
        <v>444.47</v>
      </c>
      <c r="E428" s="1">
        <f>Tabela5[[#This Row],[Forτa(N)]]/$I$5</f>
        <v>14167503.386724044</v>
      </c>
      <c r="F428" s="1">
        <f>Tabela5[[#This Row],[Tensão(Pa)]]/1000000</f>
        <v>14.167503386724043</v>
      </c>
    </row>
    <row r="429" spans="1:6" x14ac:dyDescent="0.3">
      <c r="A429" s="1">
        <v>43.4</v>
      </c>
      <c r="B429" s="1">
        <v>3.6093000000000002</v>
      </c>
      <c r="C429" s="1">
        <f>Tabela5[[#This Row],[Alongamento(mm/mm)]]/$I$2</f>
        <v>7.2186E-2</v>
      </c>
      <c r="D429" s="1">
        <v>448.38</v>
      </c>
      <c r="E429" s="1">
        <f>Tabela5[[#This Row],[Forτa(N)]]/$I$5</f>
        <v>14292134.831460675</v>
      </c>
      <c r="F429" s="1">
        <f>Tabela5[[#This Row],[Tensão(Pa)]]/1000000</f>
        <v>14.292134831460675</v>
      </c>
    </row>
    <row r="430" spans="1:6" x14ac:dyDescent="0.3">
      <c r="A430" s="1">
        <v>43.5</v>
      </c>
      <c r="B430" s="1">
        <v>3.6177000000000001</v>
      </c>
      <c r="C430" s="1">
        <f>Tabela5[[#This Row],[Alongamento(mm/mm)]]/$I$2</f>
        <v>7.2354000000000002E-2</v>
      </c>
      <c r="D430" s="1">
        <v>451.78</v>
      </c>
      <c r="E430" s="1">
        <f>Tabela5[[#This Row],[Forτa(N)]]/$I$5</f>
        <v>14400510.000796877</v>
      </c>
      <c r="F430" s="1">
        <f>Tabela5[[#This Row],[Tensão(Pa)]]/1000000</f>
        <v>14.400510000796876</v>
      </c>
    </row>
    <row r="431" spans="1:6" x14ac:dyDescent="0.3">
      <c r="A431" s="1">
        <v>43.6</v>
      </c>
      <c r="B431" s="1">
        <v>3.6259999999999999</v>
      </c>
      <c r="C431" s="1">
        <f>Tabela5[[#This Row],[Alongamento(mm/mm)]]/$I$2</f>
        <v>7.2520000000000001E-2</v>
      </c>
      <c r="D431" s="1">
        <v>455.18</v>
      </c>
      <c r="E431" s="1">
        <f>Tabela5[[#This Row],[Forτa(N)]]/$I$5</f>
        <v>14508885.170133078</v>
      </c>
      <c r="F431" s="1">
        <f>Tabela5[[#This Row],[Tensão(Pa)]]/1000000</f>
        <v>14.508885170133079</v>
      </c>
    </row>
    <row r="432" spans="1:6" x14ac:dyDescent="0.3">
      <c r="A432" s="1">
        <v>43.7</v>
      </c>
      <c r="B432" s="1">
        <v>3.6343000000000001</v>
      </c>
      <c r="C432" s="1">
        <f>Tabela5[[#This Row],[Alongamento(mm/mm)]]/$I$2</f>
        <v>7.2686000000000001E-2</v>
      </c>
      <c r="D432" s="1">
        <v>458.59</v>
      </c>
      <c r="E432" s="1">
        <f>Tabela5[[#This Row],[Forτa(N)]]/$I$5</f>
        <v>14617579.089967327</v>
      </c>
      <c r="F432" s="1">
        <f>Tabela5[[#This Row],[Tensão(Pa)]]/1000000</f>
        <v>14.617579089967327</v>
      </c>
    </row>
    <row r="433" spans="1:6" x14ac:dyDescent="0.3">
      <c r="A433" s="1">
        <v>43.8</v>
      </c>
      <c r="B433" s="1">
        <v>3.6427</v>
      </c>
      <c r="C433" s="1">
        <f>Tabela5[[#This Row],[Alongamento(mm/mm)]]/$I$2</f>
        <v>7.2854000000000002E-2</v>
      </c>
      <c r="D433" s="1">
        <v>461.99</v>
      </c>
      <c r="E433" s="1">
        <f>Tabela5[[#This Row],[Forτa(N)]]/$I$5</f>
        <v>14725954.259303531</v>
      </c>
      <c r="F433" s="1">
        <f>Tabela5[[#This Row],[Tensão(Pa)]]/1000000</f>
        <v>14.725954259303531</v>
      </c>
    </row>
    <row r="434" spans="1:6" x14ac:dyDescent="0.3">
      <c r="A434" s="1">
        <v>43.9</v>
      </c>
      <c r="B434" s="1">
        <v>3.6509999999999998</v>
      </c>
      <c r="C434" s="1">
        <f>Tabela5[[#This Row],[Alongamento(mm/mm)]]/$I$2</f>
        <v>7.3020000000000002E-2</v>
      </c>
      <c r="D434" s="1">
        <v>465.39</v>
      </c>
      <c r="E434" s="1">
        <f>Tabela5[[#This Row],[Forτa(N)]]/$I$5</f>
        <v>14834329.428639732</v>
      </c>
      <c r="F434" s="1">
        <f>Tabela5[[#This Row],[Tensão(Pa)]]/1000000</f>
        <v>14.834329428639732</v>
      </c>
    </row>
    <row r="435" spans="1:6" x14ac:dyDescent="0.3">
      <c r="A435" s="1">
        <v>44</v>
      </c>
      <c r="B435" s="1">
        <v>3.6593</v>
      </c>
      <c r="C435" s="1">
        <f>Tabela5[[#This Row],[Alongamento(mm/mm)]]/$I$2</f>
        <v>7.3186000000000001E-2</v>
      </c>
      <c r="D435" s="1">
        <v>468.96</v>
      </c>
      <c r="E435" s="1">
        <f>Tabela5[[#This Row],[Forτa(N)]]/$I$5</f>
        <v>14948123.356442744</v>
      </c>
      <c r="F435" s="1">
        <f>Tabela5[[#This Row],[Tensão(Pa)]]/1000000</f>
        <v>14.948123356442744</v>
      </c>
    </row>
    <row r="436" spans="1:6" x14ac:dyDescent="0.3">
      <c r="A436" s="1">
        <v>44.1</v>
      </c>
      <c r="B436" s="1">
        <v>3.6676000000000002</v>
      </c>
      <c r="C436" s="1">
        <f>Tabela5[[#This Row],[Alongamento(mm/mm)]]/$I$2</f>
        <v>7.3352000000000001E-2</v>
      </c>
      <c r="D436" s="1">
        <v>472.36</v>
      </c>
      <c r="E436" s="1">
        <f>Tabela5[[#This Row],[Forτa(N)]]/$I$5</f>
        <v>15056498.525778947</v>
      </c>
      <c r="F436" s="1">
        <f>Tabela5[[#This Row],[Tensão(Pa)]]/1000000</f>
        <v>15.056498525778947</v>
      </c>
    </row>
    <row r="437" spans="1:6" x14ac:dyDescent="0.3">
      <c r="A437" s="1">
        <v>44.2</v>
      </c>
      <c r="B437" s="1">
        <v>3.6758999999999999</v>
      </c>
      <c r="C437" s="1">
        <f>Tabela5[[#This Row],[Alongamento(mm/mm)]]/$I$2</f>
        <v>7.3518E-2</v>
      </c>
      <c r="D437" s="1">
        <v>475.77</v>
      </c>
      <c r="E437" s="1">
        <f>Tabela5[[#This Row],[Forτa(N)]]/$I$5</f>
        <v>15165192.445613196</v>
      </c>
      <c r="F437" s="1">
        <f>Tabela5[[#This Row],[Tensão(Pa)]]/1000000</f>
        <v>15.165192445613195</v>
      </c>
    </row>
    <row r="438" spans="1:6" x14ac:dyDescent="0.3">
      <c r="A438" s="1">
        <v>44.3</v>
      </c>
      <c r="B438" s="1">
        <v>3.6844000000000001</v>
      </c>
      <c r="C438" s="1">
        <f>Tabela5[[#This Row],[Alongamento(mm/mm)]]/$I$2</f>
        <v>7.3688000000000003E-2</v>
      </c>
      <c r="D438" s="1">
        <v>479.17</v>
      </c>
      <c r="E438" s="1">
        <f>Tabela5[[#This Row],[Forτa(N)]]/$I$5</f>
        <v>15273567.6149494</v>
      </c>
      <c r="F438" s="1">
        <f>Tabela5[[#This Row],[Tensão(Pa)]]/1000000</f>
        <v>15.2735676149494</v>
      </c>
    </row>
    <row r="439" spans="1:6" x14ac:dyDescent="0.3">
      <c r="A439" s="1">
        <v>44.417000000000002</v>
      </c>
      <c r="B439" s="1">
        <v>3.694</v>
      </c>
      <c r="C439" s="1">
        <f>Tabela5[[#This Row],[Alongamento(mm/mm)]]/$I$2</f>
        <v>7.3880000000000001E-2</v>
      </c>
      <c r="D439" s="1">
        <v>483.08</v>
      </c>
      <c r="E439" s="1">
        <f>Tabela5[[#This Row],[Forτa(N)]]/$I$5</f>
        <v>15398199.059686031</v>
      </c>
      <c r="F439" s="1">
        <f>Tabela5[[#This Row],[Tensão(Pa)]]/1000000</f>
        <v>15.39819905968603</v>
      </c>
    </row>
    <row r="440" spans="1:6" x14ac:dyDescent="0.3">
      <c r="A440" s="1">
        <v>44.533000000000001</v>
      </c>
      <c r="B440" s="1">
        <v>3.7038000000000002</v>
      </c>
      <c r="C440" s="1">
        <f>Tabela5[[#This Row],[Alongamento(mm/mm)]]/$I$2</f>
        <v>7.4076000000000003E-2</v>
      </c>
      <c r="D440" s="1">
        <v>487.16</v>
      </c>
      <c r="E440" s="1">
        <f>Tabela5[[#This Row],[Forτa(N)]]/$I$5</f>
        <v>15528249.262889475</v>
      </c>
      <c r="F440" s="1">
        <f>Tabela5[[#This Row],[Tensão(Pa)]]/1000000</f>
        <v>15.528249262889474</v>
      </c>
    </row>
    <row r="441" spans="1:6" x14ac:dyDescent="0.3">
      <c r="A441" s="1">
        <v>44.65</v>
      </c>
      <c r="B441" s="1">
        <v>3.7134999999999998</v>
      </c>
      <c r="C441" s="1">
        <f>Tabela5[[#This Row],[Alongamento(mm/mm)]]/$I$2</f>
        <v>7.4270000000000003E-2</v>
      </c>
      <c r="D441" s="1">
        <v>491.25</v>
      </c>
      <c r="E441" s="1">
        <f>Tabela5[[#This Row],[Forτa(N)]]/$I$5</f>
        <v>15658618.216590965</v>
      </c>
      <c r="F441" s="1">
        <f>Tabela5[[#This Row],[Tensão(Pa)]]/1000000</f>
        <v>15.658618216590964</v>
      </c>
    </row>
    <row r="442" spans="1:6" x14ac:dyDescent="0.3">
      <c r="A442" s="1">
        <v>44.767000000000003</v>
      </c>
      <c r="B442" s="1">
        <v>3.7231999999999998</v>
      </c>
      <c r="C442" s="1">
        <f>Tabela5[[#This Row],[Alongamento(mm/mm)]]/$I$2</f>
        <v>7.4464000000000002E-2</v>
      </c>
      <c r="D442" s="1">
        <v>495.33</v>
      </c>
      <c r="E442" s="1">
        <f>Tabela5[[#This Row],[Forτa(N)]]/$I$5</f>
        <v>15788668.419794407</v>
      </c>
      <c r="F442" s="1">
        <f>Tabela5[[#This Row],[Tensão(Pa)]]/1000000</f>
        <v>15.788668419794407</v>
      </c>
    </row>
    <row r="443" spans="1:6" x14ac:dyDescent="0.3">
      <c r="A443" s="1">
        <v>44.883000000000003</v>
      </c>
      <c r="B443" s="1">
        <v>3.7328999999999999</v>
      </c>
      <c r="C443" s="1">
        <f>Tabela5[[#This Row],[Alongamento(mm/mm)]]/$I$2</f>
        <v>7.4658000000000002E-2</v>
      </c>
      <c r="D443" s="1">
        <v>499.41</v>
      </c>
      <c r="E443" s="1">
        <f>Tabela5[[#This Row],[Forτa(N)]]/$I$5</f>
        <v>15918718.62299785</v>
      </c>
      <c r="F443" s="1">
        <f>Tabela5[[#This Row],[Tensão(Pa)]]/1000000</f>
        <v>15.918718622997851</v>
      </c>
    </row>
    <row r="444" spans="1:6" x14ac:dyDescent="0.3">
      <c r="A444" s="1">
        <v>45</v>
      </c>
      <c r="B444" s="1">
        <v>3.7425999999999999</v>
      </c>
      <c r="C444" s="1">
        <f>Tabela5[[#This Row],[Alongamento(mm/mm)]]/$I$2</f>
        <v>7.4852000000000002E-2</v>
      </c>
      <c r="D444" s="1">
        <v>503.66</v>
      </c>
      <c r="E444" s="1">
        <f>Tabela5[[#This Row],[Forτa(N)]]/$I$5</f>
        <v>16054187.584668104</v>
      </c>
      <c r="F444" s="1">
        <f>Tabela5[[#This Row],[Tensão(Pa)]]/1000000</f>
        <v>16.054187584668103</v>
      </c>
    </row>
    <row r="445" spans="1:6" x14ac:dyDescent="0.3">
      <c r="A445" s="1">
        <v>45.116999999999997</v>
      </c>
      <c r="B445" s="1">
        <v>3.7524000000000002</v>
      </c>
      <c r="C445" s="1">
        <f>Tabela5[[#This Row],[Alongamento(mm/mm)]]/$I$2</f>
        <v>7.5048000000000004E-2</v>
      </c>
      <c r="D445" s="1">
        <v>507.74</v>
      </c>
      <c r="E445" s="1">
        <f>Tabela5[[#This Row],[Forτa(N)]]/$I$5</f>
        <v>16184237.787871545</v>
      </c>
      <c r="F445" s="1">
        <f>Tabela5[[#This Row],[Tensão(Pa)]]/1000000</f>
        <v>16.184237787871545</v>
      </c>
    </row>
    <row r="446" spans="1:6" x14ac:dyDescent="0.3">
      <c r="A446" s="1">
        <v>45.232999999999997</v>
      </c>
      <c r="B446" s="1">
        <v>3.7621000000000002</v>
      </c>
      <c r="C446" s="1">
        <f>Tabela5[[#This Row],[Alongamento(mm/mm)]]/$I$2</f>
        <v>7.5242000000000003E-2</v>
      </c>
      <c r="D446" s="1">
        <v>511.83</v>
      </c>
      <c r="E446" s="1">
        <f>Tabela5[[#This Row],[Forτa(N)]]/$I$5</f>
        <v>16314606.741573034</v>
      </c>
      <c r="F446" s="1">
        <f>Tabela5[[#This Row],[Tensão(Pa)]]/1000000</f>
        <v>16.314606741573034</v>
      </c>
    </row>
    <row r="447" spans="1:6" x14ac:dyDescent="0.3">
      <c r="A447" s="1">
        <v>45.35</v>
      </c>
      <c r="B447" s="1">
        <v>3.7717999999999998</v>
      </c>
      <c r="C447" s="1">
        <f>Tabela5[[#This Row],[Alongamento(mm/mm)]]/$I$2</f>
        <v>7.5436000000000003E-2</v>
      </c>
      <c r="D447" s="1">
        <v>516.08000000000004</v>
      </c>
      <c r="E447" s="1">
        <f>Tabela5[[#This Row],[Forτa(N)]]/$I$5</f>
        <v>16450075.703243289</v>
      </c>
      <c r="F447" s="1">
        <f>Tabela5[[#This Row],[Tensão(Pa)]]/1000000</f>
        <v>16.450075703243289</v>
      </c>
    </row>
    <row r="448" spans="1:6" x14ac:dyDescent="0.3">
      <c r="A448" s="1">
        <v>45.466999999999999</v>
      </c>
      <c r="B448" s="1">
        <v>3.7816000000000001</v>
      </c>
      <c r="C448" s="1">
        <f>Tabela5[[#This Row],[Alongamento(mm/mm)]]/$I$2</f>
        <v>7.5632000000000005E-2</v>
      </c>
      <c r="D448" s="1">
        <v>520.16</v>
      </c>
      <c r="E448" s="1">
        <f>Tabela5[[#This Row],[Forτa(N)]]/$I$5</f>
        <v>16580125.906446729</v>
      </c>
      <c r="F448" s="1">
        <f>Tabela5[[#This Row],[Tensão(Pa)]]/1000000</f>
        <v>16.580125906446728</v>
      </c>
    </row>
    <row r="449" spans="1:6" x14ac:dyDescent="0.3">
      <c r="A449" s="1">
        <v>45.582999999999998</v>
      </c>
      <c r="B449" s="1">
        <v>3.7913000000000001</v>
      </c>
      <c r="C449" s="1">
        <f>Tabela5[[#This Row],[Alongamento(mm/mm)]]/$I$2</f>
        <v>7.5826000000000005E-2</v>
      </c>
      <c r="D449" s="1">
        <v>524.41</v>
      </c>
      <c r="E449" s="1">
        <f>Tabela5[[#This Row],[Forτa(N)]]/$I$5</f>
        <v>16715594.868116982</v>
      </c>
      <c r="F449" s="1">
        <f>Tabela5[[#This Row],[Tensão(Pa)]]/1000000</f>
        <v>16.715594868116984</v>
      </c>
    </row>
    <row r="450" spans="1:6" x14ac:dyDescent="0.3">
      <c r="A450" s="1">
        <v>45.7</v>
      </c>
      <c r="B450" s="1">
        <v>3.8010000000000002</v>
      </c>
      <c r="C450" s="1">
        <f>Tabela5[[#This Row],[Alongamento(mm/mm)]]/$I$2</f>
        <v>7.6020000000000004E-2</v>
      </c>
      <c r="D450" s="1">
        <v>528.5</v>
      </c>
      <c r="E450" s="1">
        <f>Tabela5[[#This Row],[Forτa(N)]]/$I$5</f>
        <v>16845963.821818471</v>
      </c>
      <c r="F450" s="1">
        <f>Tabela5[[#This Row],[Tensão(Pa)]]/1000000</f>
        <v>16.845963821818472</v>
      </c>
    </row>
    <row r="451" spans="1:6" x14ac:dyDescent="0.3">
      <c r="A451" s="1">
        <v>45.817</v>
      </c>
      <c r="B451" s="1">
        <v>3.8107000000000002</v>
      </c>
      <c r="C451" s="1">
        <f>Tabela5[[#This Row],[Alongamento(mm/mm)]]/$I$2</f>
        <v>7.6214000000000004E-2</v>
      </c>
      <c r="D451" s="1">
        <v>532.75</v>
      </c>
      <c r="E451" s="1">
        <f>Tabela5[[#This Row],[Forτa(N)]]/$I$5</f>
        <v>16981432.783488724</v>
      </c>
      <c r="F451" s="1">
        <f>Tabela5[[#This Row],[Tensão(Pa)]]/1000000</f>
        <v>16.981432783488724</v>
      </c>
    </row>
    <row r="452" spans="1:6" x14ac:dyDescent="0.3">
      <c r="A452" s="1">
        <v>45.933</v>
      </c>
      <c r="B452" s="1">
        <v>3.8203999999999998</v>
      </c>
      <c r="C452" s="1">
        <f>Tabela5[[#This Row],[Alongamento(mm/mm)]]/$I$2</f>
        <v>7.640799999999999E-2</v>
      </c>
      <c r="D452" s="1">
        <v>537</v>
      </c>
      <c r="E452" s="1">
        <f>Tabela5[[#This Row],[Forτa(N)]]/$I$5</f>
        <v>17116901.745158978</v>
      </c>
      <c r="F452" s="1">
        <f>Tabela5[[#This Row],[Tensão(Pa)]]/1000000</f>
        <v>17.116901745158977</v>
      </c>
    </row>
    <row r="453" spans="1:6" x14ac:dyDescent="0.3">
      <c r="A453" s="1">
        <v>46.05</v>
      </c>
      <c r="B453" s="1">
        <v>3.8300999999999998</v>
      </c>
      <c r="C453" s="1">
        <f>Tabela5[[#This Row],[Alongamento(mm/mm)]]/$I$2</f>
        <v>7.6602000000000003E-2</v>
      </c>
      <c r="D453" s="1">
        <v>541.25</v>
      </c>
      <c r="E453" s="1">
        <f>Tabela5[[#This Row],[Forτa(N)]]/$I$5</f>
        <v>17252370.706829231</v>
      </c>
      <c r="F453" s="1">
        <f>Tabela5[[#This Row],[Tensão(Pa)]]/1000000</f>
        <v>17.252370706829232</v>
      </c>
    </row>
    <row r="454" spans="1:6" x14ac:dyDescent="0.3">
      <c r="A454" s="1">
        <v>46.167000000000002</v>
      </c>
      <c r="B454" s="1">
        <v>3.8399000000000001</v>
      </c>
      <c r="C454" s="1">
        <f>Tabela5[[#This Row],[Alongamento(mm/mm)]]/$I$2</f>
        <v>7.6798000000000005E-2</v>
      </c>
      <c r="D454" s="1">
        <v>545.34</v>
      </c>
      <c r="E454" s="1">
        <f>Tabela5[[#This Row],[Forτa(N)]]/$I$5</f>
        <v>17382739.66053072</v>
      </c>
      <c r="F454" s="1">
        <f>Tabela5[[#This Row],[Tensão(Pa)]]/1000000</f>
        <v>17.382739660530721</v>
      </c>
    </row>
    <row r="455" spans="1:6" x14ac:dyDescent="0.3">
      <c r="A455" s="1">
        <v>46.283000000000001</v>
      </c>
      <c r="B455" s="1">
        <v>3.8496000000000001</v>
      </c>
      <c r="C455" s="1">
        <f>Tabela5[[#This Row],[Alongamento(mm/mm)]]/$I$2</f>
        <v>7.6992000000000005E-2</v>
      </c>
      <c r="D455" s="1">
        <v>549.59</v>
      </c>
      <c r="E455" s="1">
        <f>Tabela5[[#This Row],[Forτa(N)]]/$I$5</f>
        <v>17518208.622200973</v>
      </c>
      <c r="F455" s="1">
        <f>Tabela5[[#This Row],[Tensão(Pa)]]/1000000</f>
        <v>17.518208622200973</v>
      </c>
    </row>
    <row r="456" spans="1:6" x14ac:dyDescent="0.3">
      <c r="A456" s="1">
        <v>46.4</v>
      </c>
      <c r="B456" s="1">
        <v>3.8593000000000002</v>
      </c>
      <c r="C456" s="1">
        <f>Tabela5[[#This Row],[Alongamento(mm/mm)]]/$I$2</f>
        <v>7.7186000000000005E-2</v>
      </c>
      <c r="D456" s="1">
        <v>553.84</v>
      </c>
      <c r="E456" s="1">
        <f>Tabela5[[#This Row],[Forτa(N)]]/$I$5</f>
        <v>17653677.583871227</v>
      </c>
      <c r="F456" s="1">
        <f>Tabela5[[#This Row],[Tensão(Pa)]]/1000000</f>
        <v>17.653677583871225</v>
      </c>
    </row>
    <row r="457" spans="1:6" x14ac:dyDescent="0.3">
      <c r="A457" s="1">
        <v>46.517000000000003</v>
      </c>
      <c r="B457" s="1">
        <v>3.8691</v>
      </c>
      <c r="C457" s="1">
        <f>Tabela5[[#This Row],[Alongamento(mm/mm)]]/$I$2</f>
        <v>7.7382000000000006E-2</v>
      </c>
      <c r="D457" s="1">
        <v>557.91999999999996</v>
      </c>
      <c r="E457" s="1">
        <f>Tabela5[[#This Row],[Forτa(N)]]/$I$5</f>
        <v>17783727.787074666</v>
      </c>
      <c r="F457" s="1">
        <f>Tabela5[[#This Row],[Tensão(Pa)]]/1000000</f>
        <v>17.783727787074668</v>
      </c>
    </row>
    <row r="458" spans="1:6" x14ac:dyDescent="0.3">
      <c r="A458" s="1">
        <v>46.633000000000003</v>
      </c>
      <c r="B458" s="1">
        <v>3.8788</v>
      </c>
      <c r="C458" s="1">
        <f>Tabela5[[#This Row],[Alongamento(mm/mm)]]/$I$2</f>
        <v>7.7576000000000006E-2</v>
      </c>
      <c r="D458" s="1">
        <v>562.17999999999995</v>
      </c>
      <c r="E458" s="1">
        <f>Tabela5[[#This Row],[Forτa(N)]]/$I$5</f>
        <v>17919515.499242969</v>
      </c>
      <c r="F458" s="1">
        <f>Tabela5[[#This Row],[Tensão(Pa)]]/1000000</f>
        <v>17.919515499242969</v>
      </c>
    </row>
    <row r="459" spans="1:6" x14ac:dyDescent="0.3">
      <c r="A459" s="1">
        <v>46.75</v>
      </c>
      <c r="B459" s="1">
        <v>3.8885000000000001</v>
      </c>
      <c r="C459" s="1">
        <f>Tabela5[[#This Row],[Alongamento(mm/mm)]]/$I$2</f>
        <v>7.7770000000000006E-2</v>
      </c>
      <c r="D459" s="1">
        <v>566.42999999999995</v>
      </c>
      <c r="E459" s="1">
        <f>Tabela5[[#This Row],[Forτa(N)]]/$I$5</f>
        <v>18054984.460913219</v>
      </c>
      <c r="F459" s="1">
        <f>Tabela5[[#This Row],[Tensão(Pa)]]/1000000</f>
        <v>18.054984460913218</v>
      </c>
    </row>
    <row r="460" spans="1:6" x14ac:dyDescent="0.3">
      <c r="A460" s="1">
        <v>46.883000000000003</v>
      </c>
      <c r="B460" s="1">
        <v>3.8996</v>
      </c>
      <c r="C460" s="1">
        <f>Tabela5[[#This Row],[Alongamento(mm/mm)]]/$I$2</f>
        <v>7.7992000000000006E-2</v>
      </c>
      <c r="D460" s="1">
        <v>571.36</v>
      </c>
      <c r="E460" s="1">
        <f>Tabela5[[#This Row],[Forτa(N)]]/$I$5</f>
        <v>18212128.456450716</v>
      </c>
      <c r="F460" s="1">
        <f>Tabela5[[#This Row],[Tensão(Pa)]]/1000000</f>
        <v>18.212128456450717</v>
      </c>
    </row>
    <row r="461" spans="1:6" x14ac:dyDescent="0.3">
      <c r="A461" s="1">
        <v>47</v>
      </c>
      <c r="B461" s="1">
        <v>3.9093</v>
      </c>
      <c r="C461" s="1">
        <f>Tabela5[[#This Row],[Alongamento(mm/mm)]]/$I$2</f>
        <v>7.8186000000000005E-2</v>
      </c>
      <c r="D461" s="1">
        <v>575.78</v>
      </c>
      <c r="E461" s="1">
        <f>Tabela5[[#This Row],[Forτa(N)]]/$I$5</f>
        <v>18353016.176587775</v>
      </c>
      <c r="F461" s="1">
        <f>Tabela5[[#This Row],[Tensão(Pa)]]/1000000</f>
        <v>18.353016176587776</v>
      </c>
    </row>
    <row r="462" spans="1:6" x14ac:dyDescent="0.3">
      <c r="A462" s="1">
        <v>47.133000000000003</v>
      </c>
      <c r="B462" s="1">
        <v>3.9203999999999999</v>
      </c>
      <c r="C462" s="1">
        <f>Tabela5[[#This Row],[Alongamento(mm/mm)]]/$I$2</f>
        <v>7.8407999999999992E-2</v>
      </c>
      <c r="D462" s="1">
        <v>580.72</v>
      </c>
      <c r="E462" s="1">
        <f>Tabela5[[#This Row],[Forτa(N)]]/$I$5</f>
        <v>18510478.922623318</v>
      </c>
      <c r="F462" s="1">
        <f>Tabela5[[#This Row],[Tensão(Pa)]]/1000000</f>
        <v>18.510478922623317</v>
      </c>
    </row>
    <row r="463" spans="1:6" x14ac:dyDescent="0.3">
      <c r="A463" s="1">
        <v>47.267000000000003</v>
      </c>
      <c r="B463" s="1">
        <v>3.9315000000000002</v>
      </c>
      <c r="C463" s="1">
        <f>Tabela5[[#This Row],[Alongamento(mm/mm)]]/$I$2</f>
        <v>7.8630000000000005E-2</v>
      </c>
      <c r="D463" s="1">
        <v>585.65</v>
      </c>
      <c r="E463" s="1">
        <f>Tabela5[[#This Row],[Forτa(N)]]/$I$5</f>
        <v>18667622.918160811</v>
      </c>
      <c r="F463" s="1">
        <f>Tabela5[[#This Row],[Tensão(Pa)]]/1000000</f>
        <v>18.667622918160809</v>
      </c>
    </row>
    <row r="464" spans="1:6" x14ac:dyDescent="0.3">
      <c r="A464" s="1">
        <v>47.383000000000003</v>
      </c>
      <c r="B464" s="1">
        <v>3.9413</v>
      </c>
      <c r="C464" s="1">
        <f>Tabela5[[#This Row],[Alongamento(mm/mm)]]/$I$2</f>
        <v>7.8826000000000007E-2</v>
      </c>
      <c r="D464" s="1">
        <v>590.07000000000005</v>
      </c>
      <c r="E464" s="1">
        <f>Tabela5[[#This Row],[Forτa(N)]]/$I$5</f>
        <v>18808510.638297874</v>
      </c>
      <c r="F464" s="1">
        <f>Tabela5[[#This Row],[Tensão(Pa)]]/1000000</f>
        <v>18.808510638297875</v>
      </c>
    </row>
    <row r="465" spans="1:6" x14ac:dyDescent="0.3">
      <c r="A465" s="1">
        <v>47.5</v>
      </c>
      <c r="B465" s="1">
        <v>3.9510000000000001</v>
      </c>
      <c r="C465" s="1">
        <f>Tabela5[[#This Row],[Alongamento(mm/mm)]]/$I$2</f>
        <v>7.9020000000000007E-2</v>
      </c>
      <c r="D465" s="1">
        <v>594.5</v>
      </c>
      <c r="E465" s="1">
        <f>Tabela5[[#This Row],[Forτa(N)]]/$I$5</f>
        <v>18949717.108932983</v>
      </c>
      <c r="F465" s="1">
        <f>Tabela5[[#This Row],[Tensão(Pa)]]/1000000</f>
        <v>18.949717108932983</v>
      </c>
    </row>
    <row r="466" spans="1:6" x14ac:dyDescent="0.3">
      <c r="A466" s="1">
        <v>47.616999999999997</v>
      </c>
      <c r="B466" s="1">
        <v>3.9607000000000001</v>
      </c>
      <c r="C466" s="1">
        <f>Tabela5[[#This Row],[Alongamento(mm/mm)]]/$I$2</f>
        <v>7.9214000000000007E-2</v>
      </c>
      <c r="D466" s="1">
        <v>598.91999999999996</v>
      </c>
      <c r="E466" s="1">
        <f>Tabela5[[#This Row],[Forτa(N)]]/$I$5</f>
        <v>19090604.829070047</v>
      </c>
      <c r="F466" s="1">
        <f>Tabela5[[#This Row],[Tensão(Pa)]]/1000000</f>
        <v>19.090604829070045</v>
      </c>
    </row>
    <row r="467" spans="1:6" x14ac:dyDescent="0.3">
      <c r="A467" s="1">
        <v>47.732999999999997</v>
      </c>
      <c r="B467" s="1">
        <v>3.9702999999999999</v>
      </c>
      <c r="C467" s="1">
        <f>Tabela5[[#This Row],[Alongamento(mm/mm)]]/$I$2</f>
        <v>7.9406000000000004E-2</v>
      </c>
      <c r="D467" s="1">
        <v>603.34</v>
      </c>
      <c r="E467" s="1">
        <f>Tabela5[[#This Row],[Forτa(N)]]/$I$5</f>
        <v>19231492.54920711</v>
      </c>
      <c r="F467" s="1">
        <f>Tabela5[[#This Row],[Tensão(Pa)]]/1000000</f>
        <v>19.231492549207111</v>
      </c>
    </row>
    <row r="468" spans="1:6" x14ac:dyDescent="0.3">
      <c r="A468" s="1">
        <v>47.85</v>
      </c>
      <c r="B468" s="1">
        <v>3.9802</v>
      </c>
      <c r="C468" s="1">
        <f>Tabela5[[#This Row],[Alongamento(mm/mm)]]/$I$2</f>
        <v>7.9603999999999994E-2</v>
      </c>
      <c r="D468" s="1">
        <v>607.76</v>
      </c>
      <c r="E468" s="1">
        <f>Tabela5[[#This Row],[Forτa(N)]]/$I$5</f>
        <v>19372380.269344173</v>
      </c>
      <c r="F468" s="1">
        <f>Tabela5[[#This Row],[Tensão(Pa)]]/1000000</f>
        <v>19.372380269344173</v>
      </c>
    </row>
    <row r="469" spans="1:6" x14ac:dyDescent="0.3">
      <c r="A469" s="1">
        <v>47.966999999999999</v>
      </c>
      <c r="B469" s="1">
        <v>3.99</v>
      </c>
      <c r="C469" s="1">
        <f>Tabela5[[#This Row],[Alongamento(mm/mm)]]/$I$2</f>
        <v>7.980000000000001E-2</v>
      </c>
      <c r="D469" s="1">
        <v>612.36</v>
      </c>
      <c r="E469" s="1">
        <f>Tabela5[[#This Row],[Forτa(N)]]/$I$5</f>
        <v>19519005.498446092</v>
      </c>
      <c r="F469" s="1">
        <f>Tabela5[[#This Row],[Tensão(Pa)]]/1000000</f>
        <v>19.519005498446091</v>
      </c>
    </row>
    <row r="470" spans="1:6" x14ac:dyDescent="0.3">
      <c r="A470" s="1">
        <v>48.1</v>
      </c>
      <c r="B470" s="1">
        <v>4.0008999999999997</v>
      </c>
      <c r="C470" s="1">
        <f>Tabela5[[#This Row],[Alongamento(mm/mm)]]/$I$2</f>
        <v>8.0017999999999992E-2</v>
      </c>
      <c r="D470" s="1">
        <v>617.29</v>
      </c>
      <c r="E470" s="1">
        <f>Tabela5[[#This Row],[Forτa(N)]]/$I$5</f>
        <v>19676149.493983585</v>
      </c>
      <c r="F470" s="1">
        <f>Tabela5[[#This Row],[Tensão(Pa)]]/1000000</f>
        <v>19.676149493983587</v>
      </c>
    </row>
    <row r="471" spans="1:6" x14ac:dyDescent="0.3">
      <c r="A471" s="1">
        <v>48.232999999999997</v>
      </c>
      <c r="B471" s="1">
        <v>4.0121000000000002</v>
      </c>
      <c r="C471" s="1">
        <f>Tabela5[[#This Row],[Alongamento(mm/mm)]]/$I$2</f>
        <v>8.0242000000000008E-2</v>
      </c>
      <c r="D471" s="1">
        <v>622.39</v>
      </c>
      <c r="E471" s="1">
        <f>Tabela5[[#This Row],[Forτa(N)]]/$I$5</f>
        <v>19838712.247987889</v>
      </c>
      <c r="F471" s="1">
        <f>Tabela5[[#This Row],[Tensão(Pa)]]/1000000</f>
        <v>19.838712247987889</v>
      </c>
    </row>
    <row r="472" spans="1:6" x14ac:dyDescent="0.3">
      <c r="A472" s="1">
        <v>48.366999999999997</v>
      </c>
      <c r="B472" s="1">
        <v>4.0232999999999999</v>
      </c>
      <c r="C472" s="1">
        <f>Tabela5[[#This Row],[Alongamento(mm/mm)]]/$I$2</f>
        <v>8.0465999999999996E-2</v>
      </c>
      <c r="D472" s="1">
        <v>627.66</v>
      </c>
      <c r="E472" s="1">
        <f>Tabela5[[#This Row],[Forτa(N)]]/$I$5</f>
        <v>20006693.760459002</v>
      </c>
      <c r="F472" s="1">
        <f>Tabela5[[#This Row],[Tensão(Pa)]]/1000000</f>
        <v>20.006693760459001</v>
      </c>
    </row>
    <row r="473" spans="1:6" x14ac:dyDescent="0.3">
      <c r="A473" s="1">
        <v>48.5</v>
      </c>
      <c r="B473" s="1">
        <v>4.0343</v>
      </c>
      <c r="C473" s="1">
        <f>Tabela5[[#This Row],[Alongamento(mm/mm)]]/$I$2</f>
        <v>8.0685999999999994E-2</v>
      </c>
      <c r="D473" s="1">
        <v>632.77</v>
      </c>
      <c r="E473" s="1">
        <f>Tabela5[[#This Row],[Forτa(N)]]/$I$5</f>
        <v>20169575.264961351</v>
      </c>
      <c r="F473" s="1">
        <f>Tabela5[[#This Row],[Tensão(Pa)]]/1000000</f>
        <v>20.169575264961352</v>
      </c>
    </row>
    <row r="474" spans="1:6" x14ac:dyDescent="0.3">
      <c r="A474" s="1">
        <v>48.633000000000003</v>
      </c>
      <c r="B474" s="1">
        <v>4.0453999999999999</v>
      </c>
      <c r="C474" s="1">
        <f>Tabela5[[#This Row],[Alongamento(mm/mm)]]/$I$2</f>
        <v>8.0907999999999994E-2</v>
      </c>
      <c r="D474" s="1">
        <v>638.04</v>
      </c>
      <c r="E474" s="1">
        <f>Tabela5[[#This Row],[Forτa(N)]]/$I$5</f>
        <v>20337556.777432464</v>
      </c>
      <c r="F474" s="1">
        <f>Tabela5[[#This Row],[Tensão(Pa)]]/1000000</f>
        <v>20.337556777432464</v>
      </c>
    </row>
    <row r="475" spans="1:6" x14ac:dyDescent="0.3">
      <c r="A475" s="1">
        <v>48.767000000000003</v>
      </c>
      <c r="B475" s="1">
        <v>4.0566000000000004</v>
      </c>
      <c r="C475" s="1">
        <f>Tabela5[[#This Row],[Alongamento(mm/mm)]]/$I$2</f>
        <v>8.113200000000001E-2</v>
      </c>
      <c r="D475" s="1">
        <v>643.30999999999995</v>
      </c>
      <c r="E475" s="1">
        <f>Tabela5[[#This Row],[Forτa(N)]]/$I$5</f>
        <v>20505538.289903577</v>
      </c>
      <c r="F475" s="1">
        <f>Tabela5[[#This Row],[Tensão(Pa)]]/1000000</f>
        <v>20.505538289903576</v>
      </c>
    </row>
    <row r="476" spans="1:6" x14ac:dyDescent="0.3">
      <c r="A476" s="1">
        <v>48.9</v>
      </c>
      <c r="B476" s="1">
        <v>4.0677000000000003</v>
      </c>
      <c r="C476" s="1">
        <f>Tabela5[[#This Row],[Alongamento(mm/mm)]]/$I$2</f>
        <v>8.135400000000001E-2</v>
      </c>
      <c r="D476" s="1">
        <v>648.59</v>
      </c>
      <c r="E476" s="1">
        <f>Tabela5[[#This Row],[Forτa(N)]]/$I$5</f>
        <v>20673838.55287274</v>
      </c>
      <c r="F476" s="1">
        <f>Tabela5[[#This Row],[Tensão(Pa)]]/1000000</f>
        <v>20.673838552872741</v>
      </c>
    </row>
    <row r="477" spans="1:6" x14ac:dyDescent="0.3">
      <c r="A477" s="1">
        <v>49.033000000000001</v>
      </c>
      <c r="B477" s="1">
        <v>4.0787000000000004</v>
      </c>
      <c r="C477" s="1">
        <f>Tabela5[[#This Row],[Alongamento(mm/mm)]]/$I$2</f>
        <v>8.1574000000000008E-2</v>
      </c>
      <c r="D477" s="1">
        <v>653.86</v>
      </c>
      <c r="E477" s="1">
        <f>Tabela5[[#This Row],[Forτa(N)]]/$I$5</f>
        <v>20841820.065343853</v>
      </c>
      <c r="F477" s="1">
        <f>Tabela5[[#This Row],[Tensão(Pa)]]/1000000</f>
        <v>20.841820065343853</v>
      </c>
    </row>
    <row r="478" spans="1:6" x14ac:dyDescent="0.3">
      <c r="A478" s="1">
        <v>49.167000000000002</v>
      </c>
      <c r="B478" s="1">
        <v>4.0898000000000003</v>
      </c>
      <c r="C478" s="1">
        <f>Tabela5[[#This Row],[Alongamento(mm/mm)]]/$I$2</f>
        <v>8.1796000000000008E-2</v>
      </c>
      <c r="D478" s="1">
        <v>659.13</v>
      </c>
      <c r="E478" s="1">
        <f>Tabela5[[#This Row],[Forτa(N)]]/$I$5</f>
        <v>21009801.577814966</v>
      </c>
      <c r="F478" s="1">
        <f>Tabela5[[#This Row],[Tensão(Pa)]]/1000000</f>
        <v>21.009801577814965</v>
      </c>
    </row>
    <row r="479" spans="1:6" x14ac:dyDescent="0.3">
      <c r="A479" s="1">
        <v>49.3</v>
      </c>
      <c r="B479" s="1">
        <v>4.101</v>
      </c>
      <c r="C479" s="1">
        <f>Tabela5[[#This Row],[Alongamento(mm/mm)]]/$I$2</f>
        <v>8.2019999999999996E-2</v>
      </c>
      <c r="D479" s="1">
        <v>664.41</v>
      </c>
      <c r="E479" s="1">
        <f>Tabela5[[#This Row],[Forτa(N)]]/$I$5</f>
        <v>21178101.840784125</v>
      </c>
      <c r="F479" s="1">
        <f>Tabela5[[#This Row],[Tensão(Pa)]]/1000000</f>
        <v>21.178101840784127</v>
      </c>
    </row>
    <row r="480" spans="1:6" x14ac:dyDescent="0.3">
      <c r="A480" s="1">
        <v>49.433</v>
      </c>
      <c r="B480" s="1">
        <v>4.1120000000000001</v>
      </c>
      <c r="C480" s="1">
        <f>Tabela5[[#This Row],[Alongamento(mm/mm)]]/$I$2</f>
        <v>8.2240000000000008E-2</v>
      </c>
      <c r="D480" s="1">
        <v>669.68</v>
      </c>
      <c r="E480" s="1">
        <f>Tabela5[[#This Row],[Forτa(N)]]/$I$5</f>
        <v>21346083.353255238</v>
      </c>
      <c r="F480" s="1">
        <f>Tabela5[[#This Row],[Tensão(Pa)]]/1000000</f>
        <v>21.346083353255239</v>
      </c>
    </row>
    <row r="481" spans="1:6" x14ac:dyDescent="0.3">
      <c r="A481" s="1">
        <v>49.567</v>
      </c>
      <c r="B481" s="1">
        <v>4.1231999999999998</v>
      </c>
      <c r="C481" s="1">
        <f>Tabela5[[#This Row],[Alongamento(mm/mm)]]/$I$2</f>
        <v>8.2463999999999996E-2</v>
      </c>
      <c r="D481" s="1">
        <v>674.78</v>
      </c>
      <c r="E481" s="1">
        <f>Tabela5[[#This Row],[Forτa(N)]]/$I$5</f>
        <v>21508646.107259542</v>
      </c>
      <c r="F481" s="1">
        <f>Tabela5[[#This Row],[Tensão(Pa)]]/1000000</f>
        <v>21.508646107259541</v>
      </c>
    </row>
    <row r="482" spans="1:6" x14ac:dyDescent="0.3">
      <c r="A482" s="1">
        <v>49.7</v>
      </c>
      <c r="B482" s="1">
        <v>4.1342999999999996</v>
      </c>
      <c r="C482" s="1">
        <f>Tabela5[[#This Row],[Alongamento(mm/mm)]]/$I$2</f>
        <v>8.2685999999999996E-2</v>
      </c>
      <c r="D482" s="1">
        <v>679.88</v>
      </c>
      <c r="E482" s="1">
        <f>Tabela5[[#This Row],[Forτa(N)]]/$I$5</f>
        <v>21671208.861263845</v>
      </c>
      <c r="F482" s="1">
        <f>Tabela5[[#This Row],[Tensão(Pa)]]/1000000</f>
        <v>21.671208861263846</v>
      </c>
    </row>
    <row r="483" spans="1:6" x14ac:dyDescent="0.3">
      <c r="A483" s="1">
        <v>49.832999999999998</v>
      </c>
      <c r="B483" s="1">
        <v>4.1455000000000002</v>
      </c>
      <c r="C483" s="1">
        <f>Tabela5[[#This Row],[Alongamento(mm/mm)]]/$I$2</f>
        <v>8.2909999999999998E-2</v>
      </c>
      <c r="D483" s="1">
        <v>684.99</v>
      </c>
      <c r="E483" s="1">
        <f>Tabela5[[#This Row],[Forτa(N)]]/$I$5</f>
        <v>21834090.365766197</v>
      </c>
      <c r="F483" s="1">
        <f>Tabela5[[#This Row],[Tensão(Pa)]]/1000000</f>
        <v>21.834090365766198</v>
      </c>
    </row>
    <row r="484" spans="1:6" x14ac:dyDescent="0.3">
      <c r="A484" s="1">
        <v>49.966999999999999</v>
      </c>
      <c r="B484" s="1">
        <v>4.1563999999999997</v>
      </c>
      <c r="C484" s="1">
        <f>Tabela5[[#This Row],[Alongamento(mm/mm)]]/$I$2</f>
        <v>8.3127999999999994E-2</v>
      </c>
      <c r="D484" s="1">
        <v>690.09</v>
      </c>
      <c r="E484" s="1">
        <f>Tabela5[[#This Row],[Forτa(N)]]/$I$5</f>
        <v>21996653.119770501</v>
      </c>
      <c r="F484" s="1">
        <f>Tabela5[[#This Row],[Tensão(Pa)]]/1000000</f>
        <v>21.9966531197705</v>
      </c>
    </row>
    <row r="485" spans="1:6" x14ac:dyDescent="0.3">
      <c r="A485" s="1">
        <v>50.1</v>
      </c>
      <c r="B485" s="1">
        <v>4.1677</v>
      </c>
      <c r="C485" s="1">
        <f>Tabela5[[#This Row],[Alongamento(mm/mm)]]/$I$2</f>
        <v>8.3353999999999998E-2</v>
      </c>
      <c r="D485" s="1">
        <v>695.19</v>
      </c>
      <c r="E485" s="1">
        <f>Tabela5[[#This Row],[Forτa(N)]]/$I$5</f>
        <v>22159215.873774804</v>
      </c>
      <c r="F485" s="1">
        <f>Tabela5[[#This Row],[Tensão(Pa)]]/1000000</f>
        <v>22.159215873774805</v>
      </c>
    </row>
    <row r="486" spans="1:6" x14ac:dyDescent="0.3">
      <c r="A486" s="1">
        <v>50.232999999999997</v>
      </c>
      <c r="B486" s="1">
        <v>4.1787999999999998</v>
      </c>
      <c r="C486" s="1">
        <f>Tabela5[[#This Row],[Alongamento(mm/mm)]]/$I$2</f>
        <v>8.3575999999999998E-2</v>
      </c>
      <c r="D486" s="1">
        <v>700.3</v>
      </c>
      <c r="E486" s="1">
        <f>Tabela5[[#This Row],[Forτa(N)]]/$I$5</f>
        <v>22322097.378277153</v>
      </c>
      <c r="F486" s="1">
        <f>Tabela5[[#This Row],[Tensão(Pa)]]/1000000</f>
        <v>22.322097378277153</v>
      </c>
    </row>
    <row r="487" spans="1:6" x14ac:dyDescent="0.3">
      <c r="A487" s="1">
        <v>50.383000000000003</v>
      </c>
      <c r="B487" s="1">
        <v>4.1913</v>
      </c>
      <c r="C487" s="1">
        <f>Tabela5[[#This Row],[Alongamento(mm/mm)]]/$I$2</f>
        <v>8.3825999999999998E-2</v>
      </c>
      <c r="D487" s="1">
        <v>705.91</v>
      </c>
      <c r="E487" s="1">
        <f>Tabela5[[#This Row],[Forτa(N)]]/$I$5</f>
        <v>22500916.407681886</v>
      </c>
      <c r="F487" s="1">
        <f>Tabela5[[#This Row],[Tensão(Pa)]]/1000000</f>
        <v>22.500916407681885</v>
      </c>
    </row>
    <row r="488" spans="1:6" x14ac:dyDescent="0.3">
      <c r="A488" s="1">
        <v>50.533000000000001</v>
      </c>
      <c r="B488" s="1">
        <v>4.2037000000000004</v>
      </c>
      <c r="C488" s="1">
        <f>Tabela5[[#This Row],[Alongamento(mm/mm)]]/$I$2</f>
        <v>8.407400000000001E-2</v>
      </c>
      <c r="D488" s="1">
        <v>711.69</v>
      </c>
      <c r="E488" s="1">
        <f>Tabela5[[#This Row],[Forτa(N)]]/$I$5</f>
        <v>22685154.195553433</v>
      </c>
      <c r="F488" s="1">
        <f>Tabela5[[#This Row],[Tensão(Pa)]]/1000000</f>
        <v>22.685154195553434</v>
      </c>
    </row>
    <row r="489" spans="1:6" x14ac:dyDescent="0.3">
      <c r="A489" s="1">
        <v>50.683</v>
      </c>
      <c r="B489" s="1">
        <v>4.2163000000000004</v>
      </c>
      <c r="C489" s="1">
        <f>Tabela5[[#This Row],[Alongamento(mm/mm)]]/$I$2</f>
        <v>8.4326000000000012E-2</v>
      </c>
      <c r="D489" s="1">
        <v>717.48</v>
      </c>
      <c r="E489" s="1">
        <f>Tabela5[[#This Row],[Forτa(N)]]/$I$5</f>
        <v>22869710.733923025</v>
      </c>
      <c r="F489" s="1">
        <f>Tabela5[[#This Row],[Tensão(Pa)]]/1000000</f>
        <v>22.869710733923025</v>
      </c>
    </row>
    <row r="490" spans="1:6" x14ac:dyDescent="0.3">
      <c r="A490" s="1">
        <v>50.832999999999998</v>
      </c>
      <c r="B490" s="1">
        <v>4.2286999999999999</v>
      </c>
      <c r="C490" s="1">
        <f>Tabela5[[#This Row],[Alongamento(mm/mm)]]/$I$2</f>
        <v>8.4573999999999996E-2</v>
      </c>
      <c r="D490" s="1">
        <v>723.26</v>
      </c>
      <c r="E490" s="1">
        <f>Tabela5[[#This Row],[Forτa(N)]]/$I$5</f>
        <v>23053948.521794565</v>
      </c>
      <c r="F490" s="1">
        <f>Tabela5[[#This Row],[Tensão(Pa)]]/1000000</f>
        <v>23.053948521794567</v>
      </c>
    </row>
    <row r="491" spans="1:6" x14ac:dyDescent="0.3">
      <c r="A491" s="1">
        <v>50.982999999999997</v>
      </c>
      <c r="B491" s="1">
        <v>4.2412000000000001</v>
      </c>
      <c r="C491" s="1">
        <f>Tabela5[[#This Row],[Alongamento(mm/mm)]]/$I$2</f>
        <v>8.4823999999999997E-2</v>
      </c>
      <c r="D491" s="1">
        <v>729.04</v>
      </c>
      <c r="E491" s="1">
        <f>Tabela5[[#This Row],[Forτa(N)]]/$I$5</f>
        <v>23238186.309666108</v>
      </c>
      <c r="F491" s="1">
        <f>Tabela5[[#This Row],[Tensão(Pa)]]/1000000</f>
        <v>23.238186309666109</v>
      </c>
    </row>
    <row r="492" spans="1:6" x14ac:dyDescent="0.3">
      <c r="A492" s="1">
        <v>51.133000000000003</v>
      </c>
      <c r="B492" s="1">
        <v>4.2538</v>
      </c>
      <c r="C492" s="1">
        <f>Tabela5[[#This Row],[Alongamento(mm/mm)]]/$I$2</f>
        <v>8.5075999999999999E-2</v>
      </c>
      <c r="D492" s="1">
        <v>734.83</v>
      </c>
      <c r="E492" s="1">
        <f>Tabela5[[#This Row],[Forτa(N)]]/$I$5</f>
        <v>23422742.848035704</v>
      </c>
      <c r="F492" s="1">
        <f>Tabela5[[#This Row],[Tensão(Pa)]]/1000000</f>
        <v>23.422742848035703</v>
      </c>
    </row>
    <row r="493" spans="1:6" x14ac:dyDescent="0.3">
      <c r="A493" s="1">
        <v>51.283000000000001</v>
      </c>
      <c r="B493" s="1">
        <v>4.2662000000000004</v>
      </c>
      <c r="C493" s="1">
        <f>Tabela5[[#This Row],[Alongamento(mm/mm)]]/$I$2</f>
        <v>8.5324000000000011E-2</v>
      </c>
      <c r="D493" s="1">
        <v>740.61</v>
      </c>
      <c r="E493" s="1">
        <f>Tabela5[[#This Row],[Forτa(N)]]/$I$5</f>
        <v>23606980.635907244</v>
      </c>
      <c r="F493" s="1">
        <f>Tabela5[[#This Row],[Tensão(Pa)]]/1000000</f>
        <v>23.606980635907245</v>
      </c>
    </row>
    <row r="494" spans="1:6" x14ac:dyDescent="0.3">
      <c r="A494" s="1">
        <v>51.433</v>
      </c>
      <c r="B494" s="1">
        <v>4.2788000000000004</v>
      </c>
      <c r="C494" s="1">
        <f>Tabela5[[#This Row],[Alongamento(mm/mm)]]/$I$2</f>
        <v>8.5576000000000013E-2</v>
      </c>
      <c r="D494" s="1">
        <v>746.39</v>
      </c>
      <c r="E494" s="1">
        <f>Tabela5[[#This Row],[Forτa(N)]]/$I$5</f>
        <v>23791218.423778787</v>
      </c>
      <c r="F494" s="1">
        <f>Tabela5[[#This Row],[Tensão(Pa)]]/1000000</f>
        <v>23.791218423778787</v>
      </c>
    </row>
    <row r="495" spans="1:6" x14ac:dyDescent="0.3">
      <c r="A495" s="1">
        <v>51.582999999999998</v>
      </c>
      <c r="B495" s="1">
        <v>4.2911999999999999</v>
      </c>
      <c r="C495" s="1">
        <f>Tabela5[[#This Row],[Alongamento(mm/mm)]]/$I$2</f>
        <v>8.5823999999999998E-2</v>
      </c>
      <c r="D495" s="1">
        <v>752.35</v>
      </c>
      <c r="E495" s="1">
        <f>Tabela5[[#This Row],[Forτa(N)]]/$I$5</f>
        <v>23981193.72061519</v>
      </c>
      <c r="F495" s="1">
        <f>Tabela5[[#This Row],[Tensão(Pa)]]/1000000</f>
        <v>23.981193720615188</v>
      </c>
    </row>
    <row r="496" spans="1:6" x14ac:dyDescent="0.3">
      <c r="A496" s="1">
        <v>51.732999999999997</v>
      </c>
      <c r="B496" s="1">
        <v>4.3037000000000001</v>
      </c>
      <c r="C496" s="1">
        <f>Tabela5[[#This Row],[Alongamento(mm/mm)]]/$I$2</f>
        <v>8.6073999999999998E-2</v>
      </c>
      <c r="D496" s="1">
        <v>758.13</v>
      </c>
      <c r="E496" s="1">
        <f>Tabela5[[#This Row],[Forτa(N)]]/$I$5</f>
        <v>24165431.508486733</v>
      </c>
      <c r="F496" s="1">
        <f>Tabela5[[#This Row],[Tensão(Pa)]]/1000000</f>
        <v>24.165431508486733</v>
      </c>
    </row>
    <row r="497" spans="1:6" x14ac:dyDescent="0.3">
      <c r="A497" s="1">
        <v>51.883000000000003</v>
      </c>
      <c r="B497" s="1">
        <v>4.3163</v>
      </c>
      <c r="C497" s="1">
        <f>Tabela5[[#This Row],[Alongamento(mm/mm)]]/$I$2</f>
        <v>8.6326E-2</v>
      </c>
      <c r="D497" s="1">
        <v>763.91</v>
      </c>
      <c r="E497" s="1">
        <f>Tabela5[[#This Row],[Forτa(N)]]/$I$5</f>
        <v>24349669.296358276</v>
      </c>
      <c r="F497" s="1">
        <f>Tabela5[[#This Row],[Tensão(Pa)]]/1000000</f>
        <v>24.349669296358275</v>
      </c>
    </row>
    <row r="498" spans="1:6" x14ac:dyDescent="0.3">
      <c r="A498" s="1">
        <v>52.033000000000001</v>
      </c>
      <c r="B498" s="1">
        <v>4.3288000000000002</v>
      </c>
      <c r="C498" s="1">
        <f>Tabela5[[#This Row],[Alongamento(mm/mm)]]/$I$2</f>
        <v>8.6576E-2</v>
      </c>
      <c r="D498" s="1">
        <v>769.7</v>
      </c>
      <c r="E498" s="1">
        <f>Tabela5[[#This Row],[Forτa(N)]]/$I$5</f>
        <v>24534225.834727868</v>
      </c>
      <c r="F498" s="1">
        <f>Tabela5[[#This Row],[Tensão(Pa)]]/1000000</f>
        <v>24.53422583472787</v>
      </c>
    </row>
    <row r="499" spans="1:6" x14ac:dyDescent="0.3">
      <c r="A499" s="1">
        <v>52.183</v>
      </c>
      <c r="B499" s="1">
        <v>4.3411999999999997</v>
      </c>
      <c r="C499" s="1">
        <f>Tabela5[[#This Row],[Alongamento(mm/mm)]]/$I$2</f>
        <v>8.6823999999999998E-2</v>
      </c>
      <c r="D499" s="1">
        <v>775.48</v>
      </c>
      <c r="E499" s="1">
        <f>Tabela5[[#This Row],[Forτa(N)]]/$I$5</f>
        <v>24718463.622599412</v>
      </c>
      <c r="F499" s="1">
        <f>Tabela5[[#This Row],[Tensão(Pa)]]/1000000</f>
        <v>24.718463622599412</v>
      </c>
    </row>
    <row r="500" spans="1:6" x14ac:dyDescent="0.3">
      <c r="A500" s="1">
        <v>52.332999999999998</v>
      </c>
      <c r="B500" s="1">
        <v>4.3537999999999997</v>
      </c>
      <c r="C500" s="1">
        <f>Tabela5[[#This Row],[Alongamento(mm/mm)]]/$I$2</f>
        <v>8.7075999999999987E-2</v>
      </c>
      <c r="D500" s="1">
        <v>781.26</v>
      </c>
      <c r="E500" s="1">
        <f>Tabela5[[#This Row],[Forτa(N)]]/$I$5</f>
        <v>24902701.410470955</v>
      </c>
      <c r="F500" s="1">
        <f>Tabela5[[#This Row],[Tensão(Pa)]]/1000000</f>
        <v>24.902701410470954</v>
      </c>
    </row>
    <row r="501" spans="1:6" x14ac:dyDescent="0.3">
      <c r="A501" s="1">
        <v>52.482999999999997</v>
      </c>
      <c r="B501" s="1">
        <v>4.3662999999999998</v>
      </c>
      <c r="C501" s="1">
        <f>Tabela5[[#This Row],[Alongamento(mm/mm)]]/$I$2</f>
        <v>8.7326000000000001E-2</v>
      </c>
      <c r="D501" s="1">
        <v>787.22</v>
      </c>
      <c r="E501" s="1">
        <f>Tabela5[[#This Row],[Forτa(N)]]/$I$5</f>
        <v>25092676.707307357</v>
      </c>
      <c r="F501" s="1">
        <f>Tabela5[[#This Row],[Tensão(Pa)]]/1000000</f>
        <v>25.092676707307358</v>
      </c>
    </row>
    <row r="502" spans="1:6" x14ac:dyDescent="0.3">
      <c r="A502" s="1">
        <v>52.65</v>
      </c>
      <c r="B502" s="1">
        <v>4.3800999999999997</v>
      </c>
      <c r="C502" s="1">
        <f>Tabela5[[#This Row],[Alongamento(mm/mm)]]/$I$2</f>
        <v>8.7601999999999999E-2</v>
      </c>
      <c r="D502" s="1">
        <v>793.68</v>
      </c>
      <c r="E502" s="1">
        <f>Tabela5[[#This Row],[Forτa(N)]]/$I$5</f>
        <v>25298589.529046141</v>
      </c>
      <c r="F502" s="1">
        <f>Tabela5[[#This Row],[Tensão(Pa)]]/1000000</f>
        <v>25.29858952904614</v>
      </c>
    </row>
    <row r="503" spans="1:6" x14ac:dyDescent="0.3">
      <c r="A503" s="1">
        <v>52.817</v>
      </c>
      <c r="B503" s="1">
        <v>4.3940999999999999</v>
      </c>
      <c r="C503" s="1">
        <f>Tabela5[[#This Row],[Alongamento(mm/mm)]]/$I$2</f>
        <v>8.7882000000000002E-2</v>
      </c>
      <c r="D503" s="1">
        <v>800.31</v>
      </c>
      <c r="E503" s="1">
        <f>Tabela5[[#This Row],[Forτa(N)]]/$I$5</f>
        <v>25509921.109251734</v>
      </c>
      <c r="F503" s="1">
        <f>Tabela5[[#This Row],[Tensão(Pa)]]/1000000</f>
        <v>25.509921109251735</v>
      </c>
    </row>
    <row r="504" spans="1:6" x14ac:dyDescent="0.3">
      <c r="A504" s="1">
        <v>52.982999999999997</v>
      </c>
      <c r="B504" s="1">
        <v>4.4080000000000004</v>
      </c>
      <c r="C504" s="1">
        <f>Tabela5[[#This Row],[Alongamento(mm/mm)]]/$I$2</f>
        <v>8.8160000000000002E-2</v>
      </c>
      <c r="D504" s="1">
        <v>806.78</v>
      </c>
      <c r="E504" s="1">
        <f>Tabela5[[#This Row],[Forτa(N)]]/$I$5</f>
        <v>25716152.681488566</v>
      </c>
      <c r="F504" s="1">
        <f>Tabela5[[#This Row],[Tensão(Pa)]]/1000000</f>
        <v>25.716152681488566</v>
      </c>
    </row>
    <row r="505" spans="1:6" x14ac:dyDescent="0.3">
      <c r="A505" s="1">
        <v>53.15</v>
      </c>
      <c r="B505" s="1">
        <v>4.4218000000000002</v>
      </c>
      <c r="C505" s="1">
        <f>Tabela5[[#This Row],[Alongamento(mm/mm)]]/$I$2</f>
        <v>8.8436000000000001E-2</v>
      </c>
      <c r="D505" s="1">
        <v>813.24</v>
      </c>
      <c r="E505" s="1">
        <f>Tabela5[[#This Row],[Forτa(N)]]/$I$5</f>
        <v>25922065.503227349</v>
      </c>
      <c r="F505" s="1">
        <f>Tabela5[[#This Row],[Tensão(Pa)]]/1000000</f>
        <v>25.922065503227348</v>
      </c>
    </row>
    <row r="506" spans="1:6" x14ac:dyDescent="0.3">
      <c r="A506" s="1">
        <v>53.317</v>
      </c>
      <c r="B506" s="1">
        <v>4.4356</v>
      </c>
      <c r="C506" s="1">
        <f>Tabela5[[#This Row],[Alongamento(mm/mm)]]/$I$2</f>
        <v>8.8711999999999999E-2</v>
      </c>
      <c r="D506" s="1">
        <v>819.88</v>
      </c>
      <c r="E506" s="1">
        <f>Tabela5[[#This Row],[Forτa(N)]]/$I$5</f>
        <v>26133715.833930992</v>
      </c>
      <c r="F506" s="1">
        <f>Tabela5[[#This Row],[Tensão(Pa)]]/1000000</f>
        <v>26.133715833930992</v>
      </c>
    </row>
    <row r="507" spans="1:6" x14ac:dyDescent="0.3">
      <c r="A507" s="1">
        <v>53.466999999999999</v>
      </c>
      <c r="B507" s="1">
        <v>4.4482999999999997</v>
      </c>
      <c r="C507" s="1">
        <f>Tabela5[[#This Row],[Alongamento(mm/mm)]]/$I$2</f>
        <v>8.896599999999999E-2</v>
      </c>
      <c r="D507" s="1">
        <v>826</v>
      </c>
      <c r="E507" s="1">
        <f>Tabela5[[#This Row],[Forτa(N)]]/$I$5</f>
        <v>26328791.138736155</v>
      </c>
      <c r="F507" s="1">
        <f>Tabela5[[#This Row],[Tensão(Pa)]]/1000000</f>
        <v>26.328791138736154</v>
      </c>
    </row>
    <row r="508" spans="1:6" x14ac:dyDescent="0.3">
      <c r="A508" s="1">
        <v>53.616999999999997</v>
      </c>
      <c r="B508" s="1">
        <v>4.4607000000000001</v>
      </c>
      <c r="C508" s="1">
        <f>Tabela5[[#This Row],[Alongamento(mm/mm)]]/$I$2</f>
        <v>8.9214000000000002E-2</v>
      </c>
      <c r="D508" s="1">
        <v>832.12</v>
      </c>
      <c r="E508" s="1">
        <f>Tabela5[[#This Row],[Forτa(N)]]/$I$5</f>
        <v>26523866.443541318</v>
      </c>
      <c r="F508" s="1">
        <f>Tabela5[[#This Row],[Tensão(Pa)]]/1000000</f>
        <v>26.523866443541319</v>
      </c>
    </row>
    <row r="509" spans="1:6" x14ac:dyDescent="0.3">
      <c r="A509" s="1">
        <v>53.783000000000001</v>
      </c>
      <c r="B509" s="1">
        <v>4.4745999999999997</v>
      </c>
      <c r="C509" s="1">
        <f>Tabela5[[#This Row],[Alongamento(mm/mm)]]/$I$2</f>
        <v>8.9491999999999988E-2</v>
      </c>
      <c r="D509" s="1">
        <v>838.93</v>
      </c>
      <c r="E509" s="1">
        <f>Tabela5[[#This Row],[Forτa(N)]]/$I$5</f>
        <v>26740935.53271177</v>
      </c>
      <c r="F509" s="1">
        <f>Tabela5[[#This Row],[Tensão(Pa)]]/1000000</f>
        <v>26.74093553271177</v>
      </c>
    </row>
    <row r="510" spans="1:6" x14ac:dyDescent="0.3">
      <c r="A510" s="1">
        <v>53.95</v>
      </c>
      <c r="B510" s="1">
        <v>4.4885000000000002</v>
      </c>
      <c r="C510" s="1">
        <f>Tabela5[[#This Row],[Alongamento(mm/mm)]]/$I$2</f>
        <v>8.9770000000000003E-2</v>
      </c>
      <c r="D510" s="1">
        <v>845.73</v>
      </c>
      <c r="E510" s="1">
        <f>Tabela5[[#This Row],[Forτa(N)]]/$I$5</f>
        <v>26957685.871384177</v>
      </c>
      <c r="F510" s="1">
        <f>Tabela5[[#This Row],[Tensão(Pa)]]/1000000</f>
        <v>26.957685871384179</v>
      </c>
    </row>
    <row r="511" spans="1:6" x14ac:dyDescent="0.3">
      <c r="A511" s="1">
        <v>54.116999999999997</v>
      </c>
      <c r="B511" s="1">
        <v>4.5023999999999997</v>
      </c>
      <c r="C511" s="1">
        <f>Tabela5[[#This Row],[Alongamento(mm/mm)]]/$I$2</f>
        <v>9.0047999999999989E-2</v>
      </c>
      <c r="D511" s="1">
        <v>852.54</v>
      </c>
      <c r="E511" s="1">
        <f>Tabela5[[#This Row],[Forτa(N)]]/$I$5</f>
        <v>27174754.960554626</v>
      </c>
      <c r="F511" s="1">
        <f>Tabela5[[#This Row],[Tensão(Pa)]]/1000000</f>
        <v>27.174754960554626</v>
      </c>
    </row>
    <row r="512" spans="1:6" x14ac:dyDescent="0.3">
      <c r="A512" s="1">
        <v>54.283000000000001</v>
      </c>
      <c r="B512" s="1">
        <v>4.5163000000000002</v>
      </c>
      <c r="C512" s="1">
        <f>Tabela5[[#This Row],[Alongamento(mm/mm)]]/$I$2</f>
        <v>9.0326000000000004E-2</v>
      </c>
      <c r="D512" s="1">
        <v>859.34</v>
      </c>
      <c r="E512" s="1">
        <f>Tabela5[[#This Row],[Forτa(N)]]/$I$5</f>
        <v>27391505.299227033</v>
      </c>
      <c r="F512" s="1">
        <f>Tabela5[[#This Row],[Tensão(Pa)]]/1000000</f>
        <v>27.391505299227031</v>
      </c>
    </row>
    <row r="513" spans="1:6" x14ac:dyDescent="0.3">
      <c r="A513" s="1">
        <v>54.45</v>
      </c>
      <c r="B513" s="1">
        <v>4.5301999999999998</v>
      </c>
      <c r="C513" s="1">
        <f>Tabela5[[#This Row],[Alongamento(mm/mm)]]/$I$2</f>
        <v>9.060399999999999E-2</v>
      </c>
      <c r="D513" s="1">
        <v>866.31</v>
      </c>
      <c r="E513" s="1">
        <f>Tabela5[[#This Row],[Forτa(N)]]/$I$5</f>
        <v>27613674.396366242</v>
      </c>
      <c r="F513" s="1">
        <f>Tabela5[[#This Row],[Tensão(Pa)]]/1000000</f>
        <v>27.613674396366243</v>
      </c>
    </row>
    <row r="514" spans="1:6" x14ac:dyDescent="0.3">
      <c r="A514" s="1">
        <v>54.616999999999997</v>
      </c>
      <c r="B514" s="1">
        <v>4.5439999999999996</v>
      </c>
      <c r="C514" s="1">
        <f>Tabela5[[#This Row],[Alongamento(mm/mm)]]/$I$2</f>
        <v>9.0879999999999989E-2</v>
      </c>
      <c r="D514" s="1">
        <v>873.12</v>
      </c>
      <c r="E514" s="1">
        <f>Tabela5[[#This Row],[Forτa(N)]]/$I$5</f>
        <v>27830743.485536698</v>
      </c>
      <c r="F514" s="1">
        <f>Tabela5[[#This Row],[Tensão(Pa)]]/1000000</f>
        <v>27.830743485536697</v>
      </c>
    </row>
    <row r="515" spans="1:6" x14ac:dyDescent="0.3">
      <c r="A515" s="1">
        <v>54.783000000000001</v>
      </c>
      <c r="B515" s="1">
        <v>4.5579999999999998</v>
      </c>
      <c r="C515" s="1">
        <f>Tabela5[[#This Row],[Alongamento(mm/mm)]]/$I$2</f>
        <v>9.1159999999999991E-2</v>
      </c>
      <c r="D515" s="1">
        <v>880.09</v>
      </c>
      <c r="E515" s="1">
        <f>Tabela5[[#This Row],[Forτa(N)]]/$I$5</f>
        <v>28052912.582675911</v>
      </c>
      <c r="F515" s="1">
        <f>Tabela5[[#This Row],[Tensão(Pa)]]/1000000</f>
        <v>28.052912582675912</v>
      </c>
    </row>
    <row r="516" spans="1:6" x14ac:dyDescent="0.3">
      <c r="A516" s="1">
        <v>54.95</v>
      </c>
      <c r="B516" s="1">
        <v>4.5717999999999996</v>
      </c>
      <c r="C516" s="1">
        <f>Tabela5[[#This Row],[Alongamento(mm/mm)]]/$I$2</f>
        <v>9.143599999999999E-2</v>
      </c>
      <c r="D516" s="1">
        <v>886.9</v>
      </c>
      <c r="E516" s="1">
        <f>Tabela5[[#This Row],[Forτa(N)]]/$I$5</f>
        <v>28269981.671846364</v>
      </c>
      <c r="F516" s="1">
        <f>Tabela5[[#This Row],[Tensão(Pa)]]/1000000</f>
        <v>28.269981671846363</v>
      </c>
    </row>
    <row r="517" spans="1:6" x14ac:dyDescent="0.3">
      <c r="A517" s="1">
        <v>55.116999999999997</v>
      </c>
      <c r="B517" s="1">
        <v>4.5857000000000001</v>
      </c>
      <c r="C517" s="1">
        <f>Tabela5[[#This Row],[Alongamento(mm/mm)]]/$I$2</f>
        <v>9.1714000000000004E-2</v>
      </c>
      <c r="D517" s="1">
        <v>893.87</v>
      </c>
      <c r="E517" s="1">
        <f>Tabela5[[#This Row],[Forτa(N)]]/$I$5</f>
        <v>28492150.768985577</v>
      </c>
      <c r="F517" s="1">
        <f>Tabela5[[#This Row],[Tensão(Pa)]]/1000000</f>
        <v>28.492150768985578</v>
      </c>
    </row>
    <row r="518" spans="1:6" x14ac:dyDescent="0.3">
      <c r="A518" s="1">
        <v>55.3</v>
      </c>
      <c r="B518" s="1">
        <v>4.601</v>
      </c>
      <c r="C518" s="1">
        <f>Tabela5[[#This Row],[Alongamento(mm/mm)]]/$I$2</f>
        <v>9.2020000000000005E-2</v>
      </c>
      <c r="D518" s="1">
        <v>901.18</v>
      </c>
      <c r="E518" s="1">
        <f>Tabela5[[#This Row],[Forτa(N)]]/$I$5</f>
        <v>28725157.38305841</v>
      </c>
      <c r="F518" s="1">
        <f>Tabela5[[#This Row],[Tensão(Pa)]]/1000000</f>
        <v>28.725157383058409</v>
      </c>
    </row>
    <row r="519" spans="1:6" x14ac:dyDescent="0.3">
      <c r="A519" s="1">
        <v>55.466999999999999</v>
      </c>
      <c r="B519" s="1">
        <v>4.6147999999999998</v>
      </c>
      <c r="C519" s="1">
        <f>Tabela5[[#This Row],[Alongamento(mm/mm)]]/$I$2</f>
        <v>9.2295999999999989E-2</v>
      </c>
      <c r="D519" s="1">
        <v>908.16</v>
      </c>
      <c r="E519" s="1">
        <f>Tabela5[[#This Row],[Forτa(N)]]/$I$5</f>
        <v>28947645.230695672</v>
      </c>
      <c r="F519" s="1">
        <f>Tabela5[[#This Row],[Tensão(Pa)]]/1000000</f>
        <v>28.947645230695674</v>
      </c>
    </row>
    <row r="520" spans="1:6" x14ac:dyDescent="0.3">
      <c r="A520" s="1">
        <v>55.633000000000003</v>
      </c>
      <c r="B520" s="1">
        <v>4.6288</v>
      </c>
      <c r="C520" s="1">
        <f>Tabela5[[#This Row],[Alongamento(mm/mm)]]/$I$2</f>
        <v>9.2576000000000006E-2</v>
      </c>
      <c r="D520" s="1">
        <v>914.96</v>
      </c>
      <c r="E520" s="1">
        <f>Tabela5[[#This Row],[Forτa(N)]]/$I$5</f>
        <v>29164395.569368079</v>
      </c>
      <c r="F520" s="1">
        <f>Tabela5[[#This Row],[Tensão(Pa)]]/1000000</f>
        <v>29.164395569368079</v>
      </c>
    </row>
    <row r="521" spans="1:6" x14ac:dyDescent="0.3">
      <c r="A521" s="1">
        <v>55.817</v>
      </c>
      <c r="B521" s="1">
        <v>4.6440999999999999</v>
      </c>
      <c r="C521" s="1">
        <f>Tabela5[[#This Row],[Alongamento(mm/mm)]]/$I$2</f>
        <v>9.2881999999999992E-2</v>
      </c>
      <c r="D521" s="1">
        <v>922.45</v>
      </c>
      <c r="E521" s="1">
        <f>Tabela5[[#This Row],[Forτa(N)]]/$I$5</f>
        <v>29403139.692405771</v>
      </c>
      <c r="F521" s="1">
        <f>Tabela5[[#This Row],[Tensão(Pa)]]/1000000</f>
        <v>29.403139692405773</v>
      </c>
    </row>
    <row r="522" spans="1:6" x14ac:dyDescent="0.3">
      <c r="A522" s="1">
        <v>56</v>
      </c>
      <c r="B522" s="1">
        <v>4.6593</v>
      </c>
      <c r="C522" s="1">
        <f>Tabela5[[#This Row],[Alongamento(mm/mm)]]/$I$2</f>
        <v>9.3186000000000005E-2</v>
      </c>
      <c r="D522" s="1">
        <v>929.93</v>
      </c>
      <c r="E522" s="1">
        <f>Tabela5[[#This Row],[Forτa(N)]]/$I$5</f>
        <v>29641565.064945415</v>
      </c>
      <c r="F522" s="1">
        <f>Tabela5[[#This Row],[Tensão(Pa)]]/1000000</f>
        <v>29.641565064945414</v>
      </c>
    </row>
    <row r="523" spans="1:6" x14ac:dyDescent="0.3">
      <c r="A523" s="1">
        <v>56.183</v>
      </c>
      <c r="B523" s="1">
        <v>4.6745999999999999</v>
      </c>
      <c r="C523" s="1">
        <f>Tabela5[[#This Row],[Alongamento(mm/mm)]]/$I$2</f>
        <v>9.3491999999999992E-2</v>
      </c>
      <c r="D523" s="1">
        <v>937.41</v>
      </c>
      <c r="E523" s="1">
        <f>Tabela5[[#This Row],[Forτa(N)]]/$I$5</f>
        <v>29879990.437485058</v>
      </c>
      <c r="F523" s="1">
        <f>Tabela5[[#This Row],[Tensão(Pa)]]/1000000</f>
        <v>29.879990437485059</v>
      </c>
    </row>
    <row r="524" spans="1:6" x14ac:dyDescent="0.3">
      <c r="A524" s="1">
        <v>56.366999999999997</v>
      </c>
      <c r="B524" s="1">
        <v>4.6898</v>
      </c>
      <c r="C524" s="1">
        <f>Tabela5[[#This Row],[Alongamento(mm/mm)]]/$I$2</f>
        <v>9.3796000000000004E-2</v>
      </c>
      <c r="D524" s="1">
        <v>944.9</v>
      </c>
      <c r="E524" s="1">
        <f>Tabela5[[#This Row],[Forτa(N)]]/$I$5</f>
        <v>30118734.56052275</v>
      </c>
      <c r="F524" s="1">
        <f>Tabela5[[#This Row],[Tensão(Pa)]]/1000000</f>
        <v>30.11873456052275</v>
      </c>
    </row>
    <row r="525" spans="1:6" x14ac:dyDescent="0.3">
      <c r="A525" s="1">
        <v>56.55</v>
      </c>
      <c r="B525" s="1">
        <v>4.7050999999999998</v>
      </c>
      <c r="C525" s="1">
        <f>Tabela5[[#This Row],[Alongamento(mm/mm)]]/$I$2</f>
        <v>9.4101999999999991E-2</v>
      </c>
      <c r="D525" s="1">
        <v>952.38</v>
      </c>
      <c r="E525" s="1">
        <f>Tabela5[[#This Row],[Forτa(N)]]/$I$5</f>
        <v>30357159.933062397</v>
      </c>
      <c r="F525" s="1">
        <f>Tabela5[[#This Row],[Tensão(Pa)]]/1000000</f>
        <v>30.357159933062398</v>
      </c>
    </row>
    <row r="526" spans="1:6" x14ac:dyDescent="0.3">
      <c r="A526" s="1">
        <v>56.732999999999997</v>
      </c>
      <c r="B526" s="1">
        <v>4.7203999999999997</v>
      </c>
      <c r="C526" s="1">
        <f>Tabela5[[#This Row],[Alongamento(mm/mm)]]/$I$2</f>
        <v>9.4407999999999992E-2</v>
      </c>
      <c r="D526" s="1">
        <v>959.87</v>
      </c>
      <c r="E526" s="1">
        <f>Tabela5[[#This Row],[Forτa(N)]]/$I$5</f>
        <v>30595904.056100089</v>
      </c>
      <c r="F526" s="1">
        <f>Tabela5[[#This Row],[Tensão(Pa)]]/1000000</f>
        <v>30.595904056100089</v>
      </c>
    </row>
    <row r="527" spans="1:6" x14ac:dyDescent="0.3">
      <c r="A527" s="1">
        <v>56.917000000000002</v>
      </c>
      <c r="B527" s="1">
        <v>4.7356999999999996</v>
      </c>
      <c r="C527" s="1">
        <f>Tabela5[[#This Row],[Alongamento(mm/mm)]]/$I$2</f>
        <v>9.4713999999999993E-2</v>
      </c>
      <c r="D527" s="1">
        <v>967.35</v>
      </c>
      <c r="E527" s="1">
        <f>Tabela5[[#This Row],[Forτa(N)]]/$I$5</f>
        <v>30834329.428639736</v>
      </c>
      <c r="F527" s="1">
        <f>Tabela5[[#This Row],[Tensão(Pa)]]/1000000</f>
        <v>30.834329428639737</v>
      </c>
    </row>
    <row r="528" spans="1:6" x14ac:dyDescent="0.3">
      <c r="A528" s="1">
        <v>57.1</v>
      </c>
      <c r="B528" s="1">
        <v>4.7510000000000003</v>
      </c>
      <c r="C528" s="1">
        <f>Tabela5[[#This Row],[Alongamento(mm/mm)]]/$I$2</f>
        <v>9.5020000000000007E-2</v>
      </c>
      <c r="D528" s="1">
        <v>974.84</v>
      </c>
      <c r="E528" s="1">
        <f>Tabela5[[#This Row],[Forτa(N)]]/$I$5</f>
        <v>31073073.551677428</v>
      </c>
      <c r="F528" s="1">
        <f>Tabela5[[#This Row],[Tensão(Pa)]]/1000000</f>
        <v>31.073073551677428</v>
      </c>
    </row>
    <row r="529" spans="1:6" x14ac:dyDescent="0.3">
      <c r="A529" s="1">
        <v>57.283000000000001</v>
      </c>
      <c r="B529" s="1">
        <v>4.7662000000000004</v>
      </c>
      <c r="C529" s="1">
        <f>Tabela5[[#This Row],[Alongamento(mm/mm)]]/$I$2</f>
        <v>9.5324000000000006E-2</v>
      </c>
      <c r="D529" s="1">
        <v>982.49</v>
      </c>
      <c r="E529" s="1">
        <f>Tabela5[[#This Row],[Forτa(N)]]/$I$5</f>
        <v>31316917.682683881</v>
      </c>
      <c r="F529" s="1">
        <f>Tabela5[[#This Row],[Tensão(Pa)]]/1000000</f>
        <v>31.316917682683883</v>
      </c>
    </row>
    <row r="530" spans="1:6" x14ac:dyDescent="0.3">
      <c r="A530" s="1">
        <v>57.466999999999999</v>
      </c>
      <c r="B530" s="1">
        <v>4.7816000000000001</v>
      </c>
      <c r="C530" s="1">
        <f>Tabela5[[#This Row],[Alongamento(mm/mm)]]/$I$2</f>
        <v>9.5631999999999995E-2</v>
      </c>
      <c r="D530" s="1">
        <v>989.98</v>
      </c>
      <c r="E530" s="1">
        <f>Tabela5[[#This Row],[Forτa(N)]]/$I$5</f>
        <v>31555661.805721574</v>
      </c>
      <c r="F530" s="1">
        <f>Tabela5[[#This Row],[Tensão(Pa)]]/1000000</f>
        <v>31.555661805721574</v>
      </c>
    </row>
    <row r="531" spans="1:6" x14ac:dyDescent="0.3">
      <c r="A531" s="1">
        <v>57.65</v>
      </c>
      <c r="B531" s="1">
        <v>4.7968999999999999</v>
      </c>
      <c r="C531" s="1">
        <f>Tabela5[[#This Row],[Alongamento(mm/mm)]]/$I$2</f>
        <v>9.5937999999999996E-2</v>
      </c>
      <c r="D531" s="1">
        <v>997.46</v>
      </c>
      <c r="E531" s="1">
        <f>Tabela5[[#This Row],[Forτa(N)]]/$I$5</f>
        <v>31794087.17826122</v>
      </c>
      <c r="F531" s="1">
        <f>Tabela5[[#This Row],[Tensão(Pa)]]/1000000</f>
        <v>31.794087178261222</v>
      </c>
    </row>
    <row r="532" spans="1:6" x14ac:dyDescent="0.3">
      <c r="A532" s="1">
        <v>57.832999999999998</v>
      </c>
      <c r="B532" s="1">
        <v>4.8121</v>
      </c>
      <c r="C532" s="1">
        <f>Tabela5[[#This Row],[Alongamento(mm/mm)]]/$I$2</f>
        <v>9.6241999999999994E-2</v>
      </c>
      <c r="D532" s="1">
        <v>1004.9</v>
      </c>
      <c r="E532" s="1">
        <f>Tabela5[[#This Row],[Forτa(N)]]/$I$5</f>
        <v>32031237.548808672</v>
      </c>
      <c r="F532" s="1">
        <f>Tabela5[[#This Row],[Tensão(Pa)]]/1000000</f>
        <v>32.031237548808669</v>
      </c>
    </row>
    <row r="533" spans="1:6" x14ac:dyDescent="0.3">
      <c r="A533" s="1">
        <v>58.033000000000001</v>
      </c>
      <c r="B533" s="1">
        <v>4.8288000000000002</v>
      </c>
      <c r="C533" s="1">
        <f>Tabela5[[#This Row],[Alongamento(mm/mm)]]/$I$2</f>
        <v>9.6576000000000009E-2</v>
      </c>
      <c r="D533" s="1">
        <v>1013.3</v>
      </c>
      <c r="E533" s="1">
        <f>Tabela5[[#This Row],[Forτa(N)]]/$I$5</f>
        <v>32298987.9671687</v>
      </c>
      <c r="F533" s="1">
        <f>Tabela5[[#This Row],[Tensão(Pa)]]/1000000</f>
        <v>32.298987967168699</v>
      </c>
    </row>
    <row r="534" spans="1:6" x14ac:dyDescent="0.3">
      <c r="A534" s="1">
        <v>58.232999999999997</v>
      </c>
      <c r="B534" s="1">
        <v>4.8453999999999997</v>
      </c>
      <c r="C534" s="1">
        <f>Tabela5[[#This Row],[Alongamento(mm/mm)]]/$I$2</f>
        <v>9.6907999999999994E-2</v>
      </c>
      <c r="D534" s="1">
        <v>1021.6</v>
      </c>
      <c r="E534" s="1">
        <f>Tabela5[[#This Row],[Forτa(N)]]/$I$5</f>
        <v>32563550.880548254</v>
      </c>
      <c r="F534" s="1">
        <f>Tabela5[[#This Row],[Tensão(Pa)]]/1000000</f>
        <v>32.563550880548256</v>
      </c>
    </row>
    <row r="535" spans="1:6" x14ac:dyDescent="0.3">
      <c r="A535" s="1">
        <v>58.433</v>
      </c>
      <c r="B535" s="1">
        <v>4.8620999999999999</v>
      </c>
      <c r="C535" s="1">
        <f>Tabela5[[#This Row],[Alongamento(mm/mm)]]/$I$2</f>
        <v>9.7241999999999995E-2</v>
      </c>
      <c r="D535" s="1">
        <v>1029.8</v>
      </c>
      <c r="E535" s="1">
        <f>Tabela5[[#This Row],[Forτa(N)]]/$I$5</f>
        <v>32824926.288947325</v>
      </c>
      <c r="F535" s="1">
        <f>Tabela5[[#This Row],[Tensão(Pa)]]/1000000</f>
        <v>32.824926288947324</v>
      </c>
    </row>
    <row r="536" spans="1:6" x14ac:dyDescent="0.3">
      <c r="A536" s="1">
        <v>58.633000000000003</v>
      </c>
      <c r="B536" s="1">
        <v>4.8788</v>
      </c>
      <c r="C536" s="1">
        <f>Tabela5[[#This Row],[Alongamento(mm/mm)]]/$I$2</f>
        <v>9.7575999999999996E-2</v>
      </c>
      <c r="D536" s="1">
        <v>1038.0999999999999</v>
      </c>
      <c r="E536" s="1">
        <f>Tabela5[[#This Row],[Forτa(N)]]/$I$5</f>
        <v>33089489.202326879</v>
      </c>
      <c r="F536" s="1">
        <f>Tabela5[[#This Row],[Tensão(Pa)]]/1000000</f>
        <v>33.089489202326881</v>
      </c>
    </row>
    <row r="537" spans="1:6" x14ac:dyDescent="0.3">
      <c r="A537" s="1">
        <v>58.832999999999998</v>
      </c>
      <c r="B537" s="1">
        <v>4.8954000000000004</v>
      </c>
      <c r="C537" s="1">
        <f>Tabela5[[#This Row],[Alongamento(mm/mm)]]/$I$2</f>
        <v>9.7908000000000009E-2</v>
      </c>
      <c r="D537" s="1">
        <v>1046.3</v>
      </c>
      <c r="E537" s="1">
        <f>Tabela5[[#This Row],[Forτa(N)]]/$I$5</f>
        <v>33350864.610725954</v>
      </c>
      <c r="F537" s="1">
        <f>Tabela5[[#This Row],[Tensão(Pa)]]/1000000</f>
        <v>33.350864610725957</v>
      </c>
    </row>
    <row r="538" spans="1:6" x14ac:dyDescent="0.3">
      <c r="A538" s="1">
        <v>59.033000000000001</v>
      </c>
      <c r="B538" s="1">
        <v>4.9120999999999997</v>
      </c>
      <c r="C538" s="1">
        <f>Tabela5[[#This Row],[Alongamento(mm/mm)]]/$I$2</f>
        <v>9.8241999999999996E-2</v>
      </c>
      <c r="D538" s="1">
        <v>1054.8</v>
      </c>
      <c r="E538" s="1">
        <f>Tabela5[[#This Row],[Forτa(N)]]/$I$5</f>
        <v>33621802.534066461</v>
      </c>
      <c r="F538" s="1">
        <f>Tabela5[[#This Row],[Tensão(Pa)]]/1000000</f>
        <v>33.621802534066461</v>
      </c>
    </row>
    <row r="539" spans="1:6" x14ac:dyDescent="0.3">
      <c r="A539" s="1">
        <v>59.232999999999997</v>
      </c>
      <c r="B539" s="1">
        <v>4.9287999999999998</v>
      </c>
      <c r="C539" s="1">
        <f>Tabela5[[#This Row],[Alongamento(mm/mm)]]/$I$2</f>
        <v>9.8575999999999997E-2</v>
      </c>
      <c r="D539" s="1">
        <v>1063.3</v>
      </c>
      <c r="E539" s="1">
        <f>Tabela5[[#This Row],[Forτa(N)]]/$I$5</f>
        <v>33892740.457406968</v>
      </c>
      <c r="F539" s="1">
        <f>Tabela5[[#This Row],[Tensão(Pa)]]/1000000</f>
        <v>33.892740457406966</v>
      </c>
    </row>
    <row r="540" spans="1:6" x14ac:dyDescent="0.3">
      <c r="A540" s="1">
        <v>59.433</v>
      </c>
      <c r="B540" s="1">
        <v>4.9455</v>
      </c>
      <c r="C540" s="1">
        <f>Tabela5[[#This Row],[Alongamento(mm/mm)]]/$I$2</f>
        <v>9.8909999999999998E-2</v>
      </c>
      <c r="D540" s="1">
        <v>1071.8</v>
      </c>
      <c r="E540" s="1">
        <f>Tabela5[[#This Row],[Forτa(N)]]/$I$5</f>
        <v>34163678.380747467</v>
      </c>
      <c r="F540" s="1">
        <f>Tabela5[[#This Row],[Tensão(Pa)]]/1000000</f>
        <v>34.16367838074747</v>
      </c>
    </row>
    <row r="541" spans="1:6" x14ac:dyDescent="0.3">
      <c r="A541" s="1">
        <v>59.633000000000003</v>
      </c>
      <c r="B541" s="1">
        <v>4.9621000000000004</v>
      </c>
      <c r="C541" s="1">
        <f>Tabela5[[#This Row],[Alongamento(mm/mm)]]/$I$2</f>
        <v>9.9242000000000011E-2</v>
      </c>
      <c r="D541" s="1">
        <v>1080.3</v>
      </c>
      <c r="E541" s="1">
        <f>Tabela5[[#This Row],[Forτa(N)]]/$I$5</f>
        <v>34434616.304087974</v>
      </c>
      <c r="F541" s="1">
        <f>Tabela5[[#This Row],[Tensão(Pa)]]/1000000</f>
        <v>34.434616304087974</v>
      </c>
    </row>
    <row r="542" spans="1:6" x14ac:dyDescent="0.3">
      <c r="A542" s="1">
        <v>59.832999999999998</v>
      </c>
      <c r="B542" s="1">
        <v>4.9786999999999999</v>
      </c>
      <c r="C542" s="1">
        <f>Tabela5[[#This Row],[Alongamento(mm/mm)]]/$I$2</f>
        <v>9.9573999999999996E-2</v>
      </c>
      <c r="D542" s="1">
        <v>1089</v>
      </c>
      <c r="E542" s="1">
        <f>Tabela5[[#This Row],[Forτa(N)]]/$I$5</f>
        <v>34711929.237389438</v>
      </c>
      <c r="F542" s="1">
        <f>Tabela5[[#This Row],[Tensão(Pa)]]/1000000</f>
        <v>34.711929237389441</v>
      </c>
    </row>
    <row r="543" spans="1:6" x14ac:dyDescent="0.3">
      <c r="A543" s="1">
        <v>60.033000000000001</v>
      </c>
      <c r="B543" s="1">
        <v>4.9954000000000001</v>
      </c>
      <c r="C543" s="1">
        <f>Tabela5[[#This Row],[Alongamento(mm/mm)]]/$I$2</f>
        <v>9.9907999999999997E-2</v>
      </c>
      <c r="D543" s="1">
        <v>1097.5999999999999</v>
      </c>
      <c r="E543" s="1">
        <f>Tabela5[[#This Row],[Forτa(N)]]/$I$5</f>
        <v>34986054.665710412</v>
      </c>
      <c r="F543" s="1">
        <f>Tabela5[[#This Row],[Tensão(Pa)]]/1000000</f>
        <v>34.986054665710412</v>
      </c>
    </row>
    <row r="544" spans="1:6" x14ac:dyDescent="0.3">
      <c r="A544" s="1">
        <v>60.232999999999997</v>
      </c>
      <c r="B544" s="1">
        <v>5.0121000000000002</v>
      </c>
      <c r="C544" s="1">
        <f>Tabela5[[#This Row],[Alongamento(mm/mm)]]/$I$2</f>
        <v>0.100242</v>
      </c>
      <c r="D544" s="1">
        <v>1106.5</v>
      </c>
      <c r="E544" s="1">
        <f>Tabela5[[#This Row],[Forτa(N)]]/$I$5</f>
        <v>35269742.608972825</v>
      </c>
      <c r="F544" s="1">
        <f>Tabela5[[#This Row],[Tensão(Pa)]]/1000000</f>
        <v>35.269742608972827</v>
      </c>
    </row>
    <row r="545" spans="1:6" x14ac:dyDescent="0.3">
      <c r="A545" s="1">
        <v>60.433</v>
      </c>
      <c r="B545" s="1">
        <v>5.0288000000000004</v>
      </c>
      <c r="C545" s="1">
        <f>Tabela5[[#This Row],[Alongamento(mm/mm)]]/$I$2</f>
        <v>0.10057600000000001</v>
      </c>
      <c r="D545" s="1">
        <v>1115.3</v>
      </c>
      <c r="E545" s="1">
        <f>Tabela5[[#This Row],[Forτa(N)]]/$I$5</f>
        <v>35550243.047254764</v>
      </c>
      <c r="F545" s="1">
        <f>Tabela5[[#This Row],[Tensão(Pa)]]/1000000</f>
        <v>35.55024304725476</v>
      </c>
    </row>
    <row r="546" spans="1:6" x14ac:dyDescent="0.3">
      <c r="A546" s="1">
        <v>60.633000000000003</v>
      </c>
      <c r="B546" s="1">
        <v>5.0453999999999999</v>
      </c>
      <c r="C546" s="1">
        <f>Tabela5[[#This Row],[Alongamento(mm/mm)]]/$I$2</f>
        <v>0.100908</v>
      </c>
      <c r="D546" s="1">
        <v>1124.2</v>
      </c>
      <c r="E546" s="1">
        <f>Tabela5[[#This Row],[Forτa(N)]]/$I$5</f>
        <v>35833930.990517177</v>
      </c>
      <c r="F546" s="1">
        <f>Tabela5[[#This Row],[Tensão(Pa)]]/1000000</f>
        <v>35.833930990517175</v>
      </c>
    </row>
    <row r="547" spans="1:6" x14ac:dyDescent="0.3">
      <c r="A547" s="1">
        <v>60.832999999999998</v>
      </c>
      <c r="B547" s="1">
        <v>5.0621</v>
      </c>
      <c r="C547" s="1">
        <f>Tabela5[[#This Row],[Alongamento(mm/mm)]]/$I$2</f>
        <v>0.101242</v>
      </c>
      <c r="D547" s="1">
        <v>1132.9000000000001</v>
      </c>
      <c r="E547" s="1">
        <f>Tabela5[[#This Row],[Forτa(N)]]/$I$5</f>
        <v>36111243.923818633</v>
      </c>
      <c r="F547" s="1">
        <f>Tabela5[[#This Row],[Tensão(Pa)]]/1000000</f>
        <v>36.111243923818634</v>
      </c>
    </row>
    <row r="548" spans="1:6" x14ac:dyDescent="0.3">
      <c r="A548" s="1">
        <v>61.033000000000001</v>
      </c>
      <c r="B548" s="1">
        <v>5.0787000000000004</v>
      </c>
      <c r="C548" s="1">
        <f>Tabela5[[#This Row],[Alongamento(mm/mm)]]/$I$2</f>
        <v>0.10157400000000001</v>
      </c>
      <c r="D548" s="1">
        <v>1141.7</v>
      </c>
      <c r="E548" s="1">
        <f>Tabela5[[#This Row],[Forτa(N)]]/$I$5</f>
        <v>36391744.362100571</v>
      </c>
      <c r="F548" s="1">
        <f>Tabela5[[#This Row],[Tensão(Pa)]]/1000000</f>
        <v>36.391744362100575</v>
      </c>
    </row>
    <row r="549" spans="1:6" x14ac:dyDescent="0.3">
      <c r="A549" s="1">
        <v>61.25</v>
      </c>
      <c r="B549" s="1">
        <v>5.0968999999999998</v>
      </c>
      <c r="C549" s="1">
        <f>Tabela5[[#This Row],[Alongamento(mm/mm)]]/$I$2</f>
        <v>0.101938</v>
      </c>
      <c r="D549" s="1">
        <v>1151.0999999999999</v>
      </c>
      <c r="E549" s="1">
        <f>Tabela5[[#This Row],[Forτa(N)]]/$I$5</f>
        <v>36691369.830265358</v>
      </c>
      <c r="F549" s="1">
        <f>Tabela5[[#This Row],[Tensão(Pa)]]/1000000</f>
        <v>36.691369830265359</v>
      </c>
    </row>
    <row r="550" spans="1:6" x14ac:dyDescent="0.3">
      <c r="A550" s="1">
        <v>61.45</v>
      </c>
      <c r="B550" s="1">
        <v>5.1134000000000004</v>
      </c>
      <c r="C550" s="1">
        <f>Tabela5[[#This Row],[Alongamento(mm/mm)]]/$I$2</f>
        <v>0.10226800000000001</v>
      </c>
      <c r="D550" s="1">
        <v>1159.9000000000001</v>
      </c>
      <c r="E550" s="1">
        <f>Tabela5[[#This Row],[Forτa(N)]]/$I$5</f>
        <v>36971870.268547297</v>
      </c>
      <c r="F550" s="1">
        <f>Tabela5[[#This Row],[Tensão(Pa)]]/1000000</f>
        <v>36.971870268547299</v>
      </c>
    </row>
    <row r="551" spans="1:6" x14ac:dyDescent="0.3">
      <c r="A551" s="1">
        <v>61.667000000000002</v>
      </c>
      <c r="B551" s="1">
        <v>5.1315999999999997</v>
      </c>
      <c r="C551" s="1">
        <f>Tabela5[[#This Row],[Alongamento(mm/mm)]]/$I$2</f>
        <v>0.102632</v>
      </c>
      <c r="D551" s="1">
        <v>1169.4000000000001</v>
      </c>
      <c r="E551" s="1">
        <f>Tabela5[[#This Row],[Forτa(N)]]/$I$5</f>
        <v>37274683.241692573</v>
      </c>
      <c r="F551" s="1">
        <f>Tabela5[[#This Row],[Tensão(Pa)]]/1000000</f>
        <v>37.274683241692571</v>
      </c>
    </row>
    <row r="552" spans="1:6" x14ac:dyDescent="0.3">
      <c r="A552" s="1">
        <v>61.883000000000003</v>
      </c>
      <c r="B552" s="1">
        <v>5.1496000000000004</v>
      </c>
      <c r="C552" s="1">
        <f>Tabela5[[#This Row],[Alongamento(mm/mm)]]/$I$2</f>
        <v>0.10299200000000001</v>
      </c>
      <c r="D552" s="1">
        <v>1178.5999999999999</v>
      </c>
      <c r="E552" s="1">
        <f>Tabela5[[#This Row],[Forτa(N)]]/$I$5</f>
        <v>37567933.699896403</v>
      </c>
      <c r="F552" s="1">
        <f>Tabela5[[#This Row],[Tensão(Pa)]]/1000000</f>
        <v>37.5679336998964</v>
      </c>
    </row>
    <row r="553" spans="1:6" x14ac:dyDescent="0.3">
      <c r="A553" s="1">
        <v>62.1</v>
      </c>
      <c r="B553" s="1">
        <v>5.1677</v>
      </c>
      <c r="C553" s="1">
        <f>Tabela5[[#This Row],[Alongamento(mm/mm)]]/$I$2</f>
        <v>0.103354</v>
      </c>
      <c r="D553" s="1">
        <v>1187.8</v>
      </c>
      <c r="E553" s="1">
        <f>Tabela5[[#This Row],[Forτa(N)]]/$I$5</f>
        <v>37861184.158100247</v>
      </c>
      <c r="F553" s="1">
        <f>Tabela5[[#This Row],[Tensão(Pa)]]/1000000</f>
        <v>37.861184158100251</v>
      </c>
    </row>
    <row r="554" spans="1:6" x14ac:dyDescent="0.3">
      <c r="A554" s="1">
        <v>62.317</v>
      </c>
      <c r="B554" s="1">
        <v>5.1856999999999998</v>
      </c>
      <c r="C554" s="1">
        <f>Tabela5[[#This Row],[Alongamento(mm/mm)]]/$I$2</f>
        <v>0.103714</v>
      </c>
      <c r="D554" s="1">
        <v>1197.2</v>
      </c>
      <c r="E554" s="1">
        <f>Tabela5[[#This Row],[Forτa(N)]]/$I$5</f>
        <v>38160809.626265042</v>
      </c>
      <c r="F554" s="1">
        <f>Tabela5[[#This Row],[Tensão(Pa)]]/1000000</f>
        <v>38.160809626265042</v>
      </c>
    </row>
    <row r="555" spans="1:6" x14ac:dyDescent="0.3">
      <c r="A555" s="1">
        <v>62.55</v>
      </c>
      <c r="B555" s="1">
        <v>5.2050999999999998</v>
      </c>
      <c r="C555" s="1">
        <f>Tabela5[[#This Row],[Alongamento(mm/mm)]]/$I$2</f>
        <v>0.104102</v>
      </c>
      <c r="D555" s="1">
        <v>1206.9000000000001</v>
      </c>
      <c r="E555" s="1">
        <f>Tabela5[[#This Row],[Forτa(N)]]/$I$5</f>
        <v>38469997.609371267</v>
      </c>
      <c r="F555" s="1">
        <f>Tabela5[[#This Row],[Tensão(Pa)]]/1000000</f>
        <v>38.469997609371269</v>
      </c>
    </row>
    <row r="556" spans="1:6" x14ac:dyDescent="0.3">
      <c r="A556" s="1">
        <v>62.767000000000003</v>
      </c>
      <c r="B556" s="1">
        <v>5.2233000000000001</v>
      </c>
      <c r="C556" s="1">
        <f>Tabela5[[#This Row],[Alongamento(mm/mm)]]/$I$2</f>
        <v>0.104466</v>
      </c>
      <c r="D556" s="1">
        <v>1216.2</v>
      </c>
      <c r="E556" s="1">
        <f>Tabela5[[#This Row],[Forτa(N)]]/$I$5</f>
        <v>38766435.572555587</v>
      </c>
      <c r="F556" s="1">
        <f>Tabela5[[#This Row],[Tensão(Pa)]]/1000000</f>
        <v>38.766435572555586</v>
      </c>
    </row>
    <row r="557" spans="1:6" x14ac:dyDescent="0.3">
      <c r="A557" s="1">
        <v>62.982999999999997</v>
      </c>
      <c r="B557" s="1">
        <v>5.2412999999999998</v>
      </c>
      <c r="C557" s="1">
        <f>Tabela5[[#This Row],[Alongamento(mm/mm)]]/$I$2</f>
        <v>0.104826</v>
      </c>
      <c r="D557" s="1">
        <v>1225.4000000000001</v>
      </c>
      <c r="E557" s="1">
        <f>Tabela5[[#This Row],[Forτa(N)]]/$I$5</f>
        <v>39059686.030759431</v>
      </c>
      <c r="F557" s="1">
        <f>Tabela5[[#This Row],[Tensão(Pa)]]/1000000</f>
        <v>39.05968603075943</v>
      </c>
    </row>
    <row r="558" spans="1:6" x14ac:dyDescent="0.3">
      <c r="A558" s="1">
        <v>63.2</v>
      </c>
      <c r="B558" s="1">
        <v>5.2592999999999996</v>
      </c>
      <c r="C558" s="1">
        <f>Tabela5[[#This Row],[Alongamento(mm/mm)]]/$I$2</f>
        <v>0.10518599999999999</v>
      </c>
      <c r="D558" s="1">
        <v>1234.9000000000001</v>
      </c>
      <c r="E558" s="1">
        <f>Tabela5[[#This Row],[Forτa(N)]]/$I$5</f>
        <v>39362499.0039047</v>
      </c>
      <c r="F558" s="1">
        <f>Tabela5[[#This Row],[Tensão(Pa)]]/1000000</f>
        <v>39.362499003904702</v>
      </c>
    </row>
    <row r="559" spans="1:6" x14ac:dyDescent="0.3">
      <c r="A559" s="1">
        <v>63.433</v>
      </c>
      <c r="B559" s="1">
        <v>5.2786999999999997</v>
      </c>
      <c r="C559" s="1">
        <f>Tabela5[[#This Row],[Alongamento(mm/mm)]]/$I$2</f>
        <v>0.105574</v>
      </c>
      <c r="D559" s="1">
        <v>1245</v>
      </c>
      <c r="E559" s="1">
        <f>Tabela5[[#This Row],[Forτa(N)]]/$I$5</f>
        <v>39684437.006932825</v>
      </c>
      <c r="F559" s="1">
        <f>Tabela5[[#This Row],[Tensão(Pa)]]/1000000</f>
        <v>39.684437006932825</v>
      </c>
    </row>
    <row r="560" spans="1:6" x14ac:dyDescent="0.3">
      <c r="A560" s="1">
        <v>63.667000000000002</v>
      </c>
      <c r="B560" s="1">
        <v>5.2981999999999996</v>
      </c>
      <c r="C560" s="1">
        <f>Tabela5[[#This Row],[Alongamento(mm/mm)]]/$I$2</f>
        <v>0.10596399999999999</v>
      </c>
      <c r="D560" s="1">
        <v>1255</v>
      </c>
      <c r="E560" s="1">
        <f>Tabela5[[#This Row],[Forτa(N)]]/$I$5</f>
        <v>40003187.504980482</v>
      </c>
      <c r="F560" s="1">
        <f>Tabela5[[#This Row],[Tensão(Pa)]]/1000000</f>
        <v>40.003187504980481</v>
      </c>
    </row>
    <row r="561" spans="1:6" x14ac:dyDescent="0.3">
      <c r="A561" s="1">
        <v>63.9</v>
      </c>
      <c r="B561" s="1">
        <v>5.3177000000000003</v>
      </c>
      <c r="C561" s="1">
        <f>Tabela5[[#This Row],[Alongamento(mm/mm)]]/$I$2</f>
        <v>0.106354</v>
      </c>
      <c r="D561" s="1">
        <v>1265.2</v>
      </c>
      <c r="E561" s="1">
        <f>Tabela5[[#This Row],[Forτa(N)]]/$I$5</f>
        <v>40328313.012989089</v>
      </c>
      <c r="F561" s="1">
        <f>Tabela5[[#This Row],[Tensão(Pa)]]/1000000</f>
        <v>40.328313012989092</v>
      </c>
    </row>
    <row r="562" spans="1:6" x14ac:dyDescent="0.3">
      <c r="A562" s="1">
        <v>64.132999999999996</v>
      </c>
      <c r="B562" s="1">
        <v>5.3372000000000002</v>
      </c>
      <c r="C562" s="1">
        <f>Tabela5[[#This Row],[Alongamento(mm/mm)]]/$I$2</f>
        <v>0.10674400000000001</v>
      </c>
      <c r="D562" s="1">
        <v>1275.0999999999999</v>
      </c>
      <c r="E562" s="1">
        <f>Tabela5[[#This Row],[Forτa(N)]]/$I$5</f>
        <v>40643876.006056257</v>
      </c>
      <c r="F562" s="1">
        <f>Tabela5[[#This Row],[Tensão(Pa)]]/1000000</f>
        <v>40.64387600605626</v>
      </c>
    </row>
    <row r="563" spans="1:6" x14ac:dyDescent="0.3">
      <c r="A563" s="1">
        <v>64.367000000000004</v>
      </c>
      <c r="B563" s="1">
        <v>5.3564999999999996</v>
      </c>
      <c r="C563" s="1">
        <f>Tabela5[[#This Row],[Alongamento(mm/mm)]]/$I$2</f>
        <v>0.10712999999999999</v>
      </c>
      <c r="D563" s="1">
        <v>1285.3</v>
      </c>
      <c r="E563" s="1">
        <f>Tabela5[[#This Row],[Forτa(N)]]/$I$5</f>
        <v>40969001.514064863</v>
      </c>
      <c r="F563" s="1">
        <f>Tabela5[[#This Row],[Tensão(Pa)]]/1000000</f>
        <v>40.969001514064864</v>
      </c>
    </row>
    <row r="564" spans="1:6" x14ac:dyDescent="0.3">
      <c r="A564" s="1">
        <v>64.599999999999994</v>
      </c>
      <c r="B564" s="1">
        <v>5.3760000000000003</v>
      </c>
      <c r="C564" s="1">
        <f>Tabela5[[#This Row],[Alongamento(mm/mm)]]/$I$2</f>
        <v>0.10752</v>
      </c>
      <c r="D564" s="1">
        <v>1295.5</v>
      </c>
      <c r="E564" s="1">
        <f>Tabela5[[#This Row],[Forτa(N)]]/$I$5</f>
        <v>41294127.022073478</v>
      </c>
      <c r="F564" s="1">
        <f>Tabela5[[#This Row],[Tensão(Pa)]]/1000000</f>
        <v>41.294127022073475</v>
      </c>
    </row>
    <row r="565" spans="1:6" x14ac:dyDescent="0.3">
      <c r="A565" s="1">
        <v>64.832999999999998</v>
      </c>
      <c r="B565" s="1">
        <v>5.3954000000000004</v>
      </c>
      <c r="C565" s="1">
        <f>Tabela5[[#This Row],[Alongamento(mm/mm)]]/$I$2</f>
        <v>0.107908</v>
      </c>
      <c r="D565" s="1">
        <v>1305.5</v>
      </c>
      <c r="E565" s="1">
        <f>Tabela5[[#This Row],[Forτa(N)]]/$I$5</f>
        <v>41612877.520121127</v>
      </c>
      <c r="F565" s="1">
        <f>Tabela5[[#This Row],[Tensão(Pa)]]/1000000</f>
        <v>41.612877520121124</v>
      </c>
    </row>
    <row r="566" spans="1:6" x14ac:dyDescent="0.3">
      <c r="A566" s="1">
        <v>65.066999999999993</v>
      </c>
      <c r="B566" s="1">
        <v>5.4149000000000003</v>
      </c>
      <c r="C566" s="1">
        <f>Tabela5[[#This Row],[Alongamento(mm/mm)]]/$I$2</f>
        <v>0.10829800000000001</v>
      </c>
      <c r="D566" s="1">
        <v>1315.7</v>
      </c>
      <c r="E566" s="1">
        <f>Tabela5[[#This Row],[Forτa(N)]]/$I$5</f>
        <v>41938003.028129734</v>
      </c>
      <c r="F566" s="1">
        <f>Tabela5[[#This Row],[Tensão(Pa)]]/1000000</f>
        <v>41.938003028129735</v>
      </c>
    </row>
    <row r="567" spans="1:6" x14ac:dyDescent="0.3">
      <c r="A567" s="1">
        <v>65.316999999999993</v>
      </c>
      <c r="B567" s="1">
        <v>5.4356999999999998</v>
      </c>
      <c r="C567" s="1">
        <f>Tabela5[[#This Row],[Alongamento(mm/mm)]]/$I$2</f>
        <v>0.10871399999999999</v>
      </c>
      <c r="D567" s="1">
        <v>1326.4</v>
      </c>
      <c r="E567" s="1">
        <f>Tabela5[[#This Row],[Forτa(N)]]/$I$5</f>
        <v>42279066.061040729</v>
      </c>
      <c r="F567" s="1">
        <f>Tabela5[[#This Row],[Tensão(Pa)]]/1000000</f>
        <v>42.27906606104073</v>
      </c>
    </row>
    <row r="568" spans="1:6" x14ac:dyDescent="0.3">
      <c r="A568" s="1">
        <v>65.566999999999993</v>
      </c>
      <c r="B568" s="1">
        <v>5.4565000000000001</v>
      </c>
      <c r="C568" s="1">
        <f>Tabela5[[#This Row],[Alongamento(mm/mm)]]/$I$2</f>
        <v>0.10913</v>
      </c>
      <c r="D568" s="1">
        <v>1337.3</v>
      </c>
      <c r="E568" s="1">
        <f>Tabela5[[#This Row],[Forτa(N)]]/$I$5</f>
        <v>42626504.103912666</v>
      </c>
      <c r="F568" s="1">
        <f>Tabela5[[#This Row],[Tensão(Pa)]]/1000000</f>
        <v>42.626504103912666</v>
      </c>
    </row>
    <row r="569" spans="1:6" x14ac:dyDescent="0.3">
      <c r="A569" s="1">
        <v>65.8</v>
      </c>
      <c r="B569" s="1">
        <v>5.476</v>
      </c>
      <c r="C569" s="1">
        <f>Tabela5[[#This Row],[Alongamento(mm/mm)]]/$I$2</f>
        <v>0.10952000000000001</v>
      </c>
      <c r="D569" s="1">
        <v>1347.7</v>
      </c>
      <c r="E569" s="1">
        <f>Tabela5[[#This Row],[Forτa(N)]]/$I$5</f>
        <v>42958004.621882223</v>
      </c>
      <c r="F569" s="1">
        <f>Tabela5[[#This Row],[Tensão(Pa)]]/1000000</f>
        <v>42.958004621882225</v>
      </c>
    </row>
    <row r="570" spans="1:6" x14ac:dyDescent="0.3">
      <c r="A570" s="1">
        <v>66.033000000000001</v>
      </c>
      <c r="B570" s="1">
        <v>5.4954000000000001</v>
      </c>
      <c r="C570" s="1">
        <f>Tabela5[[#This Row],[Alongamento(mm/mm)]]/$I$2</f>
        <v>0.10990800000000001</v>
      </c>
      <c r="D570" s="1">
        <v>1358.2</v>
      </c>
      <c r="E570" s="1">
        <f>Tabela5[[#This Row],[Forτa(N)]]/$I$5</f>
        <v>43292692.644832261</v>
      </c>
      <c r="F570" s="1">
        <f>Tabela5[[#This Row],[Tensão(Pa)]]/1000000</f>
        <v>43.292692644832258</v>
      </c>
    </row>
    <row r="571" spans="1:6" x14ac:dyDescent="0.3">
      <c r="A571" s="1">
        <v>66.283000000000001</v>
      </c>
      <c r="B571" s="1">
        <v>5.5163000000000002</v>
      </c>
      <c r="C571" s="1">
        <f>Tabela5[[#This Row],[Alongamento(mm/mm)]]/$I$2</f>
        <v>0.11032600000000001</v>
      </c>
      <c r="D571" s="1">
        <v>1369.5</v>
      </c>
      <c r="E571" s="1">
        <f>Tabela5[[#This Row],[Forτa(N)]]/$I$5</f>
        <v>43652880.707626112</v>
      </c>
      <c r="F571" s="1">
        <f>Tabela5[[#This Row],[Tensão(Pa)]]/1000000</f>
        <v>43.65288070762611</v>
      </c>
    </row>
    <row r="572" spans="1:6" x14ac:dyDescent="0.3">
      <c r="A572" s="1">
        <v>66.533000000000001</v>
      </c>
      <c r="B572" s="1">
        <v>5.5369999999999999</v>
      </c>
      <c r="C572" s="1">
        <f>Tabela5[[#This Row],[Alongamento(mm/mm)]]/$I$2</f>
        <v>0.11074000000000001</v>
      </c>
      <c r="D572" s="1">
        <v>1380.5</v>
      </c>
      <c r="E572" s="1">
        <f>Tabela5[[#This Row],[Forτa(N)]]/$I$5</f>
        <v>44003506.255478524</v>
      </c>
      <c r="F572" s="1">
        <f>Tabela5[[#This Row],[Tensão(Pa)]]/1000000</f>
        <v>44.003506255478527</v>
      </c>
    </row>
    <row r="573" spans="1:6" x14ac:dyDescent="0.3">
      <c r="A573" s="1">
        <v>66.783000000000001</v>
      </c>
      <c r="B573" s="1">
        <v>5.5579000000000001</v>
      </c>
      <c r="C573" s="1">
        <f>Tabela5[[#This Row],[Alongamento(mm/mm)]]/$I$2</f>
        <v>0.11115800000000001</v>
      </c>
      <c r="D573" s="1">
        <v>1391.7</v>
      </c>
      <c r="E573" s="1">
        <f>Tabela5[[#This Row],[Forτa(N)]]/$I$5</f>
        <v>44360506.8132919</v>
      </c>
      <c r="F573" s="1">
        <f>Tabela5[[#This Row],[Tensão(Pa)]]/1000000</f>
        <v>44.360506813291899</v>
      </c>
    </row>
    <row r="574" spans="1:6" x14ac:dyDescent="0.3">
      <c r="A574" s="1">
        <v>67.016999999999996</v>
      </c>
      <c r="B574" s="1">
        <v>5.5773000000000001</v>
      </c>
      <c r="C574" s="1">
        <f>Tabela5[[#This Row],[Alongamento(mm/mm)]]/$I$2</f>
        <v>0.11154600000000001</v>
      </c>
      <c r="D574" s="1">
        <v>1402.3</v>
      </c>
      <c r="E574" s="1">
        <f>Tabela5[[#This Row],[Forτa(N)]]/$I$5</f>
        <v>44698382.341222413</v>
      </c>
      <c r="F574" s="1">
        <f>Tabela5[[#This Row],[Tensão(Pa)]]/1000000</f>
        <v>44.698382341222413</v>
      </c>
    </row>
    <row r="575" spans="1:6" x14ac:dyDescent="0.3">
      <c r="A575" s="1">
        <v>67.266999999999996</v>
      </c>
      <c r="B575" s="1">
        <v>5.5982000000000003</v>
      </c>
      <c r="C575" s="1">
        <f>Tabela5[[#This Row],[Alongamento(mm/mm)]]/$I$2</f>
        <v>0.11196400000000001</v>
      </c>
      <c r="D575" s="1">
        <v>1413.5</v>
      </c>
      <c r="E575" s="1">
        <f>Tabela5[[#This Row],[Forτa(N)]]/$I$5</f>
        <v>45055382.899035782</v>
      </c>
      <c r="F575" s="1">
        <f>Tabela5[[#This Row],[Tensão(Pa)]]/1000000</f>
        <v>45.055382899035784</v>
      </c>
    </row>
    <row r="576" spans="1:6" x14ac:dyDescent="0.3">
      <c r="A576" s="1">
        <v>67.516999999999996</v>
      </c>
      <c r="B576" s="1">
        <v>5.6189999999999998</v>
      </c>
      <c r="C576" s="1">
        <f>Tabela5[[#This Row],[Alongamento(mm/mm)]]/$I$2</f>
        <v>0.11237999999999999</v>
      </c>
      <c r="D576" s="1">
        <v>1424.7</v>
      </c>
      <c r="E576" s="1">
        <f>Tabela5[[#This Row],[Forτa(N)]]/$I$5</f>
        <v>45412383.456849158</v>
      </c>
      <c r="F576" s="1">
        <f>Tabela5[[#This Row],[Tensão(Pa)]]/1000000</f>
        <v>45.412383456849156</v>
      </c>
    </row>
    <row r="577" spans="1:6" x14ac:dyDescent="0.3">
      <c r="A577" s="1">
        <v>67.766999999999996</v>
      </c>
      <c r="B577" s="1">
        <v>5.6398999999999999</v>
      </c>
      <c r="C577" s="1">
        <f>Tabela5[[#This Row],[Alongamento(mm/mm)]]/$I$2</f>
        <v>0.112798</v>
      </c>
      <c r="D577" s="1">
        <v>1435.6</v>
      </c>
      <c r="E577" s="1">
        <f>Tabela5[[#This Row],[Forτa(N)]]/$I$5</f>
        <v>45759821.499721095</v>
      </c>
      <c r="F577" s="1">
        <f>Tabela5[[#This Row],[Tensão(Pa)]]/1000000</f>
        <v>45.759821499721092</v>
      </c>
    </row>
    <row r="578" spans="1:6" x14ac:dyDescent="0.3">
      <c r="A578" s="1">
        <v>68.016999999999996</v>
      </c>
      <c r="B578" s="1">
        <v>5.6605999999999996</v>
      </c>
      <c r="C578" s="1">
        <f>Tabela5[[#This Row],[Alongamento(mm/mm)]]/$I$2</f>
        <v>0.11321199999999999</v>
      </c>
      <c r="D578" s="1">
        <v>1446.5</v>
      </c>
      <c r="E578" s="1">
        <f>Tabela5[[#This Row],[Forτa(N)]]/$I$5</f>
        <v>46107259.54259304</v>
      </c>
      <c r="F578" s="1">
        <f>Tabela5[[#This Row],[Tensão(Pa)]]/1000000</f>
        <v>46.107259542593042</v>
      </c>
    </row>
    <row r="579" spans="1:6" x14ac:dyDescent="0.3">
      <c r="A579" s="1">
        <v>68.283000000000001</v>
      </c>
      <c r="B579" s="1">
        <v>5.6829999999999998</v>
      </c>
      <c r="C579" s="1">
        <f>Tabela5[[#This Row],[Alongamento(mm/mm)]]/$I$2</f>
        <v>0.11366</v>
      </c>
      <c r="D579" s="1">
        <v>1458.4</v>
      </c>
      <c r="E579" s="1">
        <f>Tabela5[[#This Row],[Forτa(N)]]/$I$5</f>
        <v>46486572.635269746</v>
      </c>
      <c r="F579" s="1">
        <f>Tabela5[[#This Row],[Tensão(Pa)]]/1000000</f>
        <v>46.486572635269745</v>
      </c>
    </row>
    <row r="580" spans="1:6" x14ac:dyDescent="0.3">
      <c r="A580" s="1">
        <v>68.55</v>
      </c>
      <c r="B580" s="1">
        <v>5.7051999999999996</v>
      </c>
      <c r="C580" s="1">
        <f>Tabela5[[#This Row],[Alongamento(mm/mm)]]/$I$2</f>
        <v>0.114104</v>
      </c>
      <c r="D580" s="1">
        <v>1470</v>
      </c>
      <c r="E580" s="1">
        <f>Tabela5[[#This Row],[Forτa(N)]]/$I$5</f>
        <v>46856323.213005021</v>
      </c>
      <c r="F580" s="1">
        <f>Tabela5[[#This Row],[Tensão(Pa)]]/1000000</f>
        <v>46.85632321300502</v>
      </c>
    </row>
    <row r="581" spans="1:6" x14ac:dyDescent="0.3">
      <c r="A581" s="1">
        <v>68.816999999999993</v>
      </c>
      <c r="B581" s="1">
        <v>5.7274000000000003</v>
      </c>
      <c r="C581" s="1">
        <f>Tabela5[[#This Row],[Alongamento(mm/mm)]]/$I$2</f>
        <v>0.11454800000000001</v>
      </c>
      <c r="D581" s="1">
        <v>1481.7</v>
      </c>
      <c r="E581" s="1">
        <f>Tabela5[[#This Row],[Forτa(N)]]/$I$5</f>
        <v>47229261.295720778</v>
      </c>
      <c r="F581" s="1">
        <f>Tabela5[[#This Row],[Tensão(Pa)]]/1000000</f>
        <v>47.229261295720775</v>
      </c>
    </row>
    <row r="582" spans="1:6" x14ac:dyDescent="0.3">
      <c r="A582" s="1">
        <v>69.082999999999998</v>
      </c>
      <c r="B582" s="1">
        <v>5.7496</v>
      </c>
      <c r="C582" s="1">
        <f>Tabela5[[#This Row],[Alongamento(mm/mm)]]/$I$2</f>
        <v>0.114992</v>
      </c>
      <c r="D582" s="1">
        <v>1493.5</v>
      </c>
      <c r="E582" s="1">
        <f>Tabela5[[#This Row],[Forτa(N)]]/$I$5</f>
        <v>47605386.88341701</v>
      </c>
      <c r="F582" s="1">
        <f>Tabela5[[#This Row],[Tensão(Pa)]]/1000000</f>
        <v>47.605386883417012</v>
      </c>
    </row>
    <row r="583" spans="1:6" x14ac:dyDescent="0.3">
      <c r="A583" s="1">
        <v>69.349999999999994</v>
      </c>
      <c r="B583" s="1">
        <v>5.7717999999999998</v>
      </c>
      <c r="C583" s="1">
        <f>Tabela5[[#This Row],[Alongamento(mm/mm)]]/$I$2</f>
        <v>0.115436</v>
      </c>
      <c r="D583" s="1">
        <v>1505.2</v>
      </c>
      <c r="E583" s="1">
        <f>Tabela5[[#This Row],[Forτa(N)]]/$I$5</f>
        <v>47978324.96613276</v>
      </c>
      <c r="F583" s="1">
        <f>Tabela5[[#This Row],[Tensão(Pa)]]/1000000</f>
        <v>47.97832496613276</v>
      </c>
    </row>
    <row r="584" spans="1:6" x14ac:dyDescent="0.3">
      <c r="A584" s="1">
        <v>69.617000000000004</v>
      </c>
      <c r="B584" s="1">
        <v>5.7941000000000003</v>
      </c>
      <c r="C584" s="1">
        <f>Tabela5[[#This Row],[Alongamento(mm/mm)]]/$I$2</f>
        <v>0.115882</v>
      </c>
      <c r="D584" s="1">
        <v>1516.8</v>
      </c>
      <c r="E584" s="1">
        <f>Tabela5[[#This Row],[Forτa(N)]]/$I$5</f>
        <v>48348075.543868035</v>
      </c>
      <c r="F584" s="1">
        <f>Tabela5[[#This Row],[Tensão(Pa)]]/1000000</f>
        <v>48.348075543868035</v>
      </c>
    </row>
    <row r="585" spans="1:6" x14ac:dyDescent="0.3">
      <c r="A585" s="1">
        <v>69.882999999999996</v>
      </c>
      <c r="B585" s="1">
        <v>5.8162000000000003</v>
      </c>
      <c r="C585" s="1">
        <f>Tabela5[[#This Row],[Alongamento(mm/mm)]]/$I$2</f>
        <v>0.11632400000000001</v>
      </c>
      <c r="D585" s="1">
        <v>1528.3</v>
      </c>
      <c r="E585" s="1">
        <f>Tabela5[[#This Row],[Forτa(N)]]/$I$5</f>
        <v>48714638.616622843</v>
      </c>
      <c r="F585" s="1">
        <f>Tabela5[[#This Row],[Tensão(Pa)]]/1000000</f>
        <v>48.714638616622842</v>
      </c>
    </row>
    <row r="586" spans="1:6" x14ac:dyDescent="0.3">
      <c r="A586" s="1">
        <v>70.167000000000002</v>
      </c>
      <c r="B586" s="1">
        <v>5.8399000000000001</v>
      </c>
      <c r="C586" s="1">
        <f>Tabela5[[#This Row],[Alongamento(mm/mm)]]/$I$2</f>
        <v>0.116798</v>
      </c>
      <c r="D586" s="1">
        <v>1540.8</v>
      </c>
      <c r="E586" s="1">
        <f>Tabela5[[#This Row],[Forτa(N)]]/$I$5</f>
        <v>49113076.739182405</v>
      </c>
      <c r="F586" s="1">
        <f>Tabela5[[#This Row],[Tensão(Pa)]]/1000000</f>
        <v>49.113076739182404</v>
      </c>
    </row>
    <row r="587" spans="1:6" x14ac:dyDescent="0.3">
      <c r="A587" s="1">
        <v>70.45</v>
      </c>
      <c r="B587" s="1">
        <v>5.8634000000000004</v>
      </c>
      <c r="C587" s="1">
        <f>Tabela5[[#This Row],[Alongamento(mm/mm)]]/$I$2</f>
        <v>0.11726800000000001</v>
      </c>
      <c r="D587" s="1">
        <v>1553</v>
      </c>
      <c r="E587" s="1">
        <f>Tabela5[[#This Row],[Forτa(N)]]/$I$5</f>
        <v>49501952.346800543</v>
      </c>
      <c r="F587" s="1">
        <f>Tabela5[[#This Row],[Tensão(Pa)]]/1000000</f>
        <v>49.501952346800543</v>
      </c>
    </row>
    <row r="588" spans="1:6" x14ac:dyDescent="0.3">
      <c r="A588" s="1">
        <v>70.733000000000004</v>
      </c>
      <c r="B588" s="1">
        <v>5.8871000000000002</v>
      </c>
      <c r="C588" s="1">
        <f>Tabela5[[#This Row],[Alongamento(mm/mm)]]/$I$2</f>
        <v>0.117742</v>
      </c>
      <c r="D588" s="1">
        <v>1565.2</v>
      </c>
      <c r="E588" s="1">
        <f>Tabela5[[#This Row],[Forτa(N)]]/$I$5</f>
        <v>49890827.954418682</v>
      </c>
      <c r="F588" s="1">
        <f>Tabela5[[#This Row],[Tensão(Pa)]]/1000000</f>
        <v>49.890827954418683</v>
      </c>
    </row>
    <row r="589" spans="1:6" x14ac:dyDescent="0.3">
      <c r="A589" s="1">
        <v>71.016999999999996</v>
      </c>
      <c r="B589" s="1">
        <v>5.9107000000000003</v>
      </c>
      <c r="C589" s="1">
        <f>Tabela5[[#This Row],[Alongamento(mm/mm)]]/$I$2</f>
        <v>0.118214</v>
      </c>
      <c r="D589" s="1">
        <v>1577.8</v>
      </c>
      <c r="E589" s="1">
        <f>Tabela5[[#This Row],[Forτa(N)]]/$I$5</f>
        <v>50292453.581958726</v>
      </c>
      <c r="F589" s="1">
        <f>Tabela5[[#This Row],[Tensão(Pa)]]/1000000</f>
        <v>50.292453581958725</v>
      </c>
    </row>
    <row r="590" spans="1:6" x14ac:dyDescent="0.3">
      <c r="A590" s="1">
        <v>71.3</v>
      </c>
      <c r="B590" s="1">
        <v>5.9343000000000004</v>
      </c>
      <c r="C590" s="1">
        <f>Tabela5[[#This Row],[Alongamento(mm/mm)]]/$I$2</f>
        <v>0.11868600000000001</v>
      </c>
      <c r="D590" s="1">
        <v>1590.3</v>
      </c>
      <c r="E590" s="1">
        <f>Tabela5[[#This Row],[Forτa(N)]]/$I$5</f>
        <v>50690891.704518288</v>
      </c>
      <c r="F590" s="1">
        <f>Tabela5[[#This Row],[Tensão(Pa)]]/1000000</f>
        <v>50.690891704518286</v>
      </c>
    </row>
    <row r="591" spans="1:6" x14ac:dyDescent="0.3">
      <c r="A591" s="1">
        <v>71.582999999999998</v>
      </c>
      <c r="B591" s="1">
        <v>5.9579000000000004</v>
      </c>
      <c r="C591" s="1">
        <f>Tabela5[[#This Row],[Alongamento(mm/mm)]]/$I$2</f>
        <v>0.11915800000000001</v>
      </c>
      <c r="D591" s="1">
        <v>1603</v>
      </c>
      <c r="E591" s="1">
        <f>Tabela5[[#This Row],[Forτa(N)]]/$I$5</f>
        <v>51095704.837038808</v>
      </c>
      <c r="F591" s="1">
        <f>Tabela5[[#This Row],[Tensão(Pa)]]/1000000</f>
        <v>51.095704837038809</v>
      </c>
    </row>
    <row r="592" spans="1:6" x14ac:dyDescent="0.3">
      <c r="A592" s="1">
        <v>71.867000000000004</v>
      </c>
      <c r="B592" s="1">
        <v>5.9814999999999996</v>
      </c>
      <c r="C592" s="1">
        <f>Tabela5[[#This Row],[Alongamento(mm/mm)]]/$I$2</f>
        <v>0.11962999999999999</v>
      </c>
      <c r="D592" s="1">
        <v>1615.6</v>
      </c>
      <c r="E592" s="1">
        <f>Tabela5[[#This Row],[Forτa(N)]]/$I$5</f>
        <v>51497330.464578852</v>
      </c>
      <c r="F592" s="1">
        <f>Tabela5[[#This Row],[Tensão(Pa)]]/1000000</f>
        <v>51.497330464578852</v>
      </c>
    </row>
    <row r="593" spans="1:6" x14ac:dyDescent="0.3">
      <c r="A593" s="1">
        <v>72.150000000000006</v>
      </c>
      <c r="B593" s="1">
        <v>6.0052000000000003</v>
      </c>
      <c r="C593" s="1">
        <f>Tabela5[[#This Row],[Alongamento(mm/mm)]]/$I$2</f>
        <v>0.120104</v>
      </c>
      <c r="D593" s="1">
        <v>1628.2</v>
      </c>
      <c r="E593" s="1">
        <f>Tabela5[[#This Row],[Forτa(N)]]/$I$5</f>
        <v>51898956.092118897</v>
      </c>
      <c r="F593" s="1">
        <f>Tabela5[[#This Row],[Tensão(Pa)]]/1000000</f>
        <v>51.898956092118894</v>
      </c>
    </row>
    <row r="594" spans="1:6" x14ac:dyDescent="0.3">
      <c r="A594" s="1">
        <v>72.433000000000007</v>
      </c>
      <c r="B594" s="1">
        <v>6.0288000000000004</v>
      </c>
      <c r="C594" s="1">
        <f>Tabela5[[#This Row],[Alongamento(mm/mm)]]/$I$2</f>
        <v>0.120576</v>
      </c>
      <c r="D594" s="1">
        <v>1640.8</v>
      </c>
      <c r="E594" s="1">
        <f>Tabela5[[#This Row],[Forτa(N)]]/$I$5</f>
        <v>52300581.719658941</v>
      </c>
      <c r="F594" s="1">
        <f>Tabela5[[#This Row],[Tensão(Pa)]]/1000000</f>
        <v>52.300581719658943</v>
      </c>
    </row>
    <row r="595" spans="1:6" x14ac:dyDescent="0.3">
      <c r="A595" s="1">
        <v>72.716999999999999</v>
      </c>
      <c r="B595" s="1">
        <v>6.0523999999999996</v>
      </c>
      <c r="C595" s="1">
        <f>Tabela5[[#This Row],[Alongamento(mm/mm)]]/$I$2</f>
        <v>0.12104799999999999</v>
      </c>
      <c r="D595" s="1">
        <v>1653.5</v>
      </c>
      <c r="E595" s="1">
        <f>Tabela5[[#This Row],[Forτa(N)]]/$I$5</f>
        <v>52705394.85217946</v>
      </c>
      <c r="F595" s="1">
        <f>Tabela5[[#This Row],[Tensão(Pa)]]/1000000</f>
        <v>52.70539485217946</v>
      </c>
    </row>
    <row r="596" spans="1:6" x14ac:dyDescent="0.3">
      <c r="A596" s="1">
        <v>73</v>
      </c>
      <c r="B596" s="1">
        <v>6.0759999999999996</v>
      </c>
      <c r="C596" s="1">
        <f>Tabela5[[#This Row],[Alongamento(mm/mm)]]/$I$2</f>
        <v>0.12151999999999999</v>
      </c>
      <c r="D596" s="1">
        <v>1666.3</v>
      </c>
      <c r="E596" s="1">
        <f>Tabela5[[#This Row],[Forτa(N)]]/$I$5</f>
        <v>53113395.489680454</v>
      </c>
      <c r="F596" s="1">
        <f>Tabela5[[#This Row],[Tensão(Pa)]]/1000000</f>
        <v>53.113395489680457</v>
      </c>
    </row>
    <row r="597" spans="1:6" x14ac:dyDescent="0.3">
      <c r="A597" s="1">
        <v>73.3</v>
      </c>
      <c r="B597" s="1">
        <v>6.101</v>
      </c>
      <c r="C597" s="1">
        <f>Tabela5[[#This Row],[Alongamento(mm/mm)]]/$I$2</f>
        <v>0.12202</v>
      </c>
      <c r="D597" s="1">
        <v>1679.6</v>
      </c>
      <c r="E597" s="1">
        <f>Tabela5[[#This Row],[Forτa(N)]]/$I$5</f>
        <v>53537333.652083829</v>
      </c>
      <c r="F597" s="1">
        <f>Tabela5[[#This Row],[Tensão(Pa)]]/1000000</f>
        <v>53.537333652083831</v>
      </c>
    </row>
    <row r="598" spans="1:6" x14ac:dyDescent="0.3">
      <c r="A598" s="1">
        <v>73.599999999999994</v>
      </c>
      <c r="B598" s="1">
        <v>6.1258999999999997</v>
      </c>
      <c r="C598" s="1">
        <f>Tabela5[[#This Row],[Alongamento(mm/mm)]]/$I$2</f>
        <v>0.12251799999999999</v>
      </c>
      <c r="D598" s="1">
        <v>1692.8</v>
      </c>
      <c r="E598" s="1">
        <f>Tabela5[[#This Row],[Forτa(N)]]/$I$5</f>
        <v>53958084.309506737</v>
      </c>
      <c r="F598" s="1">
        <f>Tabela5[[#This Row],[Tensão(Pa)]]/1000000</f>
        <v>53.958084309506738</v>
      </c>
    </row>
    <row r="599" spans="1:6" x14ac:dyDescent="0.3">
      <c r="A599" s="1">
        <v>73.900000000000006</v>
      </c>
      <c r="B599" s="1">
        <v>6.1509999999999998</v>
      </c>
      <c r="C599" s="1">
        <f>Tabela5[[#This Row],[Alongamento(mm/mm)]]/$I$2</f>
        <v>0.12301999999999999</v>
      </c>
      <c r="D599" s="1">
        <v>1705.8</v>
      </c>
      <c r="E599" s="1">
        <f>Tabela5[[#This Row],[Forτa(N)]]/$I$5</f>
        <v>54372459.956968687</v>
      </c>
      <c r="F599" s="1">
        <f>Tabela5[[#This Row],[Tensão(Pa)]]/1000000</f>
        <v>54.37245995696869</v>
      </c>
    </row>
    <row r="600" spans="1:6" x14ac:dyDescent="0.3">
      <c r="A600" s="1">
        <v>74.216999999999999</v>
      </c>
      <c r="B600" s="1">
        <v>6.1773999999999996</v>
      </c>
      <c r="C600" s="1">
        <f>Tabela5[[#This Row],[Alongamento(mm/mm)]]/$I$2</f>
        <v>0.12354799999999999</v>
      </c>
      <c r="D600" s="1">
        <v>1719</v>
      </c>
      <c r="E600" s="1">
        <f>Tabela5[[#This Row],[Forτa(N)]]/$I$5</f>
        <v>54793210.614391588</v>
      </c>
      <c r="F600" s="1">
        <f>Tabela5[[#This Row],[Tensão(Pa)]]/1000000</f>
        <v>54.79321061439159</v>
      </c>
    </row>
    <row r="601" spans="1:6" x14ac:dyDescent="0.3">
      <c r="A601" s="1">
        <v>74.533000000000001</v>
      </c>
      <c r="B601" s="1">
        <v>6.2037000000000004</v>
      </c>
      <c r="C601" s="1">
        <f>Tabela5[[#This Row],[Alongamento(mm/mm)]]/$I$2</f>
        <v>0.124074</v>
      </c>
      <c r="D601" s="1">
        <v>1732.3</v>
      </c>
      <c r="E601" s="1">
        <f>Tabela5[[#This Row],[Forτa(N)]]/$I$5</f>
        <v>55217148.776794963</v>
      </c>
      <c r="F601" s="1">
        <f>Tabela5[[#This Row],[Tensão(Pa)]]/1000000</f>
        <v>55.217148776794964</v>
      </c>
    </row>
    <row r="602" spans="1:6" x14ac:dyDescent="0.3">
      <c r="A602" s="1">
        <v>74.849999999999994</v>
      </c>
      <c r="B602" s="1">
        <v>6.2301000000000002</v>
      </c>
      <c r="C602" s="1">
        <f>Tabela5[[#This Row],[Alongamento(mm/mm)]]/$I$2</f>
        <v>0.124602</v>
      </c>
      <c r="D602" s="1">
        <v>1745.6</v>
      </c>
      <c r="E602" s="1">
        <f>Tabela5[[#This Row],[Forτa(N)]]/$I$5</f>
        <v>55641086.939198345</v>
      </c>
      <c r="F602" s="1">
        <f>Tabela5[[#This Row],[Tensão(Pa)]]/1000000</f>
        <v>55.641086939198345</v>
      </c>
    </row>
    <row r="603" spans="1:6" x14ac:dyDescent="0.3">
      <c r="A603" s="1">
        <v>75.183000000000007</v>
      </c>
      <c r="B603" s="1">
        <v>6.258</v>
      </c>
      <c r="C603" s="1">
        <f>Tabela5[[#This Row],[Alongamento(mm/mm)]]/$I$2</f>
        <v>0.12515999999999999</v>
      </c>
      <c r="D603" s="1">
        <v>1759.2</v>
      </c>
      <c r="E603" s="1">
        <f>Tabela5[[#This Row],[Forτa(N)]]/$I$5</f>
        <v>56074587.616543159</v>
      </c>
      <c r="F603" s="1">
        <f>Tabela5[[#This Row],[Tensão(Pa)]]/1000000</f>
        <v>56.074587616543155</v>
      </c>
    </row>
    <row r="604" spans="1:6" x14ac:dyDescent="0.3">
      <c r="A604" s="1">
        <v>75.516999999999996</v>
      </c>
      <c r="B604" s="1">
        <v>6.2857000000000003</v>
      </c>
      <c r="C604" s="1">
        <f>Tabela5[[#This Row],[Alongamento(mm/mm)]]/$I$2</f>
        <v>0.12571399999999999</v>
      </c>
      <c r="D604" s="1">
        <v>1772.8</v>
      </c>
      <c r="E604" s="1">
        <f>Tabela5[[#This Row],[Forτa(N)]]/$I$5</f>
        <v>56508088.293887958</v>
      </c>
      <c r="F604" s="1">
        <f>Tabela5[[#This Row],[Tensão(Pa)]]/1000000</f>
        <v>56.508088293887958</v>
      </c>
    </row>
    <row r="605" spans="1:6" x14ac:dyDescent="0.3">
      <c r="A605" s="1">
        <v>75.849999999999994</v>
      </c>
      <c r="B605" s="1">
        <v>6.3135000000000003</v>
      </c>
      <c r="C605" s="1">
        <f>Tabela5[[#This Row],[Alongamento(mm/mm)]]/$I$2</f>
        <v>0.12626999999999999</v>
      </c>
      <c r="D605" s="1">
        <v>1786.4</v>
      </c>
      <c r="E605" s="1">
        <f>Tabela5[[#This Row],[Forτa(N)]]/$I$5</f>
        <v>56941588.971232772</v>
      </c>
      <c r="F605" s="1">
        <f>Tabela5[[#This Row],[Tensão(Pa)]]/1000000</f>
        <v>56.941588971232775</v>
      </c>
    </row>
    <row r="606" spans="1:6" x14ac:dyDescent="0.3">
      <c r="A606" s="1">
        <v>76.2</v>
      </c>
      <c r="B606" s="1">
        <v>6.3426</v>
      </c>
      <c r="C606" s="1">
        <f>Tabela5[[#This Row],[Alongamento(mm/mm)]]/$I$2</f>
        <v>0.12685199999999999</v>
      </c>
      <c r="D606" s="1">
        <v>1800.5</v>
      </c>
      <c r="E606" s="1">
        <f>Tabela5[[#This Row],[Forτa(N)]]/$I$5</f>
        <v>57391027.173479959</v>
      </c>
      <c r="F606" s="1">
        <f>Tabela5[[#This Row],[Tensão(Pa)]]/1000000</f>
        <v>57.391027173479962</v>
      </c>
    </row>
    <row r="607" spans="1:6" x14ac:dyDescent="0.3">
      <c r="A607" s="1">
        <v>76.55</v>
      </c>
      <c r="B607" s="1">
        <v>6.3719000000000001</v>
      </c>
      <c r="C607" s="1">
        <f>Tabela5[[#This Row],[Alongamento(mm/mm)]]/$I$2</f>
        <v>0.127438</v>
      </c>
      <c r="D607" s="1">
        <v>1814.4</v>
      </c>
      <c r="E607" s="1">
        <f>Tabela5[[#This Row],[Forτa(N)]]/$I$5</f>
        <v>57834090.365766205</v>
      </c>
      <c r="F607" s="1">
        <f>Tabela5[[#This Row],[Tensão(Pa)]]/1000000</f>
        <v>57.834090365766208</v>
      </c>
    </row>
    <row r="608" spans="1:6" x14ac:dyDescent="0.3">
      <c r="A608" s="1">
        <v>76.917000000000002</v>
      </c>
      <c r="B608" s="1">
        <v>6.4024000000000001</v>
      </c>
      <c r="C608" s="1">
        <f>Tabela5[[#This Row],[Alongamento(mm/mm)]]/$I$2</f>
        <v>0.128048</v>
      </c>
      <c r="D608" s="1">
        <v>1828.9</v>
      </c>
      <c r="E608" s="1">
        <f>Tabela5[[#This Row],[Forτa(N)]]/$I$5</f>
        <v>58296278.587935299</v>
      </c>
      <c r="F608" s="1">
        <f>Tabela5[[#This Row],[Tensão(Pa)]]/1000000</f>
        <v>58.296278587935298</v>
      </c>
    </row>
    <row r="609" spans="1:6" x14ac:dyDescent="0.3">
      <c r="A609" s="1">
        <v>77.283000000000001</v>
      </c>
      <c r="B609" s="1">
        <v>6.4329000000000001</v>
      </c>
      <c r="C609" s="1">
        <f>Tabela5[[#This Row],[Alongamento(mm/mm)]]/$I$2</f>
        <v>0.12865799999999999</v>
      </c>
      <c r="D609" s="1">
        <v>1843.4</v>
      </c>
      <c r="E609" s="1">
        <f>Tabela5[[#This Row],[Forτa(N)]]/$I$5</f>
        <v>58758466.8101044</v>
      </c>
      <c r="F609" s="1">
        <f>Tabela5[[#This Row],[Tensão(Pa)]]/1000000</f>
        <v>58.758466810104402</v>
      </c>
    </row>
    <row r="610" spans="1:6" x14ac:dyDescent="0.3">
      <c r="A610" s="1">
        <v>77.650000000000006</v>
      </c>
      <c r="B610" s="1">
        <v>6.4634</v>
      </c>
      <c r="C610" s="1">
        <f>Tabela5[[#This Row],[Alongamento(mm/mm)]]/$I$2</f>
        <v>0.12926799999999999</v>
      </c>
      <c r="D610" s="1">
        <v>1857.6</v>
      </c>
      <c r="E610" s="1">
        <f>Tabela5[[#This Row],[Forτa(N)]]/$I$5</f>
        <v>59211092.517332062</v>
      </c>
      <c r="F610" s="1">
        <f>Tabela5[[#This Row],[Tensão(Pa)]]/1000000</f>
        <v>59.211092517332062</v>
      </c>
    </row>
    <row r="611" spans="1:6" x14ac:dyDescent="0.3">
      <c r="A611" s="1">
        <v>78.016999999999996</v>
      </c>
      <c r="B611" s="1">
        <v>6.4941000000000004</v>
      </c>
      <c r="C611" s="1">
        <f>Tabela5[[#This Row],[Alongamento(mm/mm)]]/$I$2</f>
        <v>0.129882</v>
      </c>
      <c r="D611" s="1">
        <v>1871.9</v>
      </c>
      <c r="E611" s="1">
        <f>Tabela5[[#This Row],[Forτa(N)]]/$I$5</f>
        <v>59666905.729540206</v>
      </c>
      <c r="F611" s="1">
        <f>Tabela5[[#This Row],[Tensão(Pa)]]/1000000</f>
        <v>59.666905729540204</v>
      </c>
    </row>
    <row r="612" spans="1:6" x14ac:dyDescent="0.3">
      <c r="A612" s="1">
        <v>78.400000000000006</v>
      </c>
      <c r="B612" s="1">
        <v>6.5259999999999998</v>
      </c>
      <c r="C612" s="1">
        <f>Tabela5[[#This Row],[Alongamento(mm/mm)]]/$I$2</f>
        <v>0.13052</v>
      </c>
      <c r="D612" s="1">
        <v>1886.7</v>
      </c>
      <c r="E612" s="1">
        <f>Tabela5[[#This Row],[Forτa(N)]]/$I$5</f>
        <v>60138656.466650732</v>
      </c>
      <c r="F612" s="1">
        <f>Tabela5[[#This Row],[Tensão(Pa)]]/1000000</f>
        <v>60.13865646665073</v>
      </c>
    </row>
    <row r="613" spans="1:6" x14ac:dyDescent="0.3">
      <c r="A613" s="1">
        <v>78.783000000000001</v>
      </c>
      <c r="B613" s="1">
        <v>6.5579999999999998</v>
      </c>
      <c r="C613" s="1">
        <f>Tabela5[[#This Row],[Alongamento(mm/mm)]]/$I$2</f>
        <v>0.13116</v>
      </c>
      <c r="D613" s="1">
        <v>1901.4</v>
      </c>
      <c r="E613" s="1">
        <f>Tabela5[[#This Row],[Forτa(N)]]/$I$5</f>
        <v>60607219.698780783</v>
      </c>
      <c r="F613" s="1">
        <f>Tabela5[[#This Row],[Tensão(Pa)]]/1000000</f>
        <v>60.607219698780781</v>
      </c>
    </row>
    <row r="614" spans="1:6" x14ac:dyDescent="0.3">
      <c r="A614" s="1">
        <v>79.183000000000007</v>
      </c>
      <c r="B614" s="1">
        <v>6.5911999999999997</v>
      </c>
      <c r="C614" s="1">
        <f>Tabela5[[#This Row],[Alongamento(mm/mm)]]/$I$2</f>
        <v>0.131824</v>
      </c>
      <c r="D614" s="1">
        <v>1916.3</v>
      </c>
      <c r="E614" s="1">
        <f>Tabela5[[#This Row],[Forτa(N)]]/$I$5</f>
        <v>61082157.940871783</v>
      </c>
      <c r="F614" s="1">
        <f>Tabela5[[#This Row],[Tensão(Pa)]]/1000000</f>
        <v>61.082157940871781</v>
      </c>
    </row>
    <row r="615" spans="1:6" x14ac:dyDescent="0.3">
      <c r="A615" s="1">
        <v>79.599999999999994</v>
      </c>
      <c r="B615" s="1">
        <v>6.6260000000000003</v>
      </c>
      <c r="C615" s="1">
        <f>Tabela5[[#This Row],[Alongamento(mm/mm)]]/$I$2</f>
        <v>0.13252</v>
      </c>
      <c r="D615" s="1">
        <v>1931.5</v>
      </c>
      <c r="E615" s="1">
        <f>Tabela5[[#This Row],[Forτa(N)]]/$I$5</f>
        <v>61566658.697904222</v>
      </c>
      <c r="F615" s="1">
        <f>Tabela5[[#This Row],[Tensão(Pa)]]/1000000</f>
        <v>61.566658697904224</v>
      </c>
    </row>
    <row r="616" spans="1:6" x14ac:dyDescent="0.3">
      <c r="A616" s="1">
        <v>80.05</v>
      </c>
      <c r="B616" s="1">
        <v>6.6635</v>
      </c>
      <c r="C616" s="1">
        <f>Tabela5[[#This Row],[Alongamento(mm/mm)]]/$I$2</f>
        <v>0.13327</v>
      </c>
      <c r="D616" s="1">
        <v>1946.8</v>
      </c>
      <c r="E616" s="1">
        <f>Tabela5[[#This Row],[Forτa(N)]]/$I$5</f>
        <v>62054346.959917128</v>
      </c>
      <c r="F616" s="1">
        <f>Tabela5[[#This Row],[Tensão(Pa)]]/1000000</f>
        <v>62.054346959917126</v>
      </c>
    </row>
    <row r="617" spans="1:6" x14ac:dyDescent="0.3">
      <c r="A617" s="1">
        <v>80.5</v>
      </c>
      <c r="B617" s="1">
        <v>6.7008999999999999</v>
      </c>
      <c r="C617" s="1">
        <f>Tabela5[[#This Row],[Alongamento(mm/mm)]]/$I$2</f>
        <v>0.134018</v>
      </c>
      <c r="D617" s="1">
        <v>1961.9</v>
      </c>
      <c r="E617" s="1">
        <f>Tabela5[[#This Row],[Forτa(N)]]/$I$5</f>
        <v>62535660.211969085</v>
      </c>
      <c r="F617" s="1">
        <f>Tabela5[[#This Row],[Tensão(Pa)]]/1000000</f>
        <v>62.535660211969088</v>
      </c>
    </row>
    <row r="618" spans="1:6" x14ac:dyDescent="0.3">
      <c r="A618" s="1">
        <v>80.983000000000004</v>
      </c>
      <c r="B618" s="1">
        <v>6.7412000000000001</v>
      </c>
      <c r="C618" s="1">
        <f>Tabela5[[#This Row],[Alongamento(mm/mm)]]/$I$2</f>
        <v>0.134824</v>
      </c>
      <c r="D618" s="1">
        <v>1977.6</v>
      </c>
      <c r="E618" s="1">
        <f>Tabela5[[#This Row],[Forτa(N)]]/$I$5</f>
        <v>63036098.493903898</v>
      </c>
      <c r="F618" s="1">
        <f>Tabela5[[#This Row],[Tensão(Pa)]]/1000000</f>
        <v>63.0360984939039</v>
      </c>
    </row>
    <row r="619" spans="1:6" x14ac:dyDescent="0.3">
      <c r="A619" s="1">
        <v>81.483000000000004</v>
      </c>
      <c r="B619" s="1">
        <v>6.7828999999999997</v>
      </c>
      <c r="C619" s="1">
        <f>Tabela5[[#This Row],[Alongamento(mm/mm)]]/$I$2</f>
        <v>0.135658</v>
      </c>
      <c r="D619" s="1">
        <v>1992</v>
      </c>
      <c r="E619" s="1">
        <f>Tabela5[[#This Row],[Forτa(N)]]/$I$5</f>
        <v>63495099.211092524</v>
      </c>
      <c r="F619" s="1">
        <f>Tabela5[[#This Row],[Tensão(Pa)]]/1000000</f>
        <v>63.495099211092523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C584-9EF8-4F9D-A40C-31A036A58663}">
  <dimension ref="A1:K627"/>
  <sheetViews>
    <sheetView tabSelected="1" workbookViewId="0">
      <selection sqref="A1:K1048576"/>
    </sheetView>
  </sheetViews>
  <sheetFormatPr defaultRowHeight="14.4" x14ac:dyDescent="0.3"/>
  <cols>
    <col min="1" max="1" width="11.33203125" style="1" bestFit="1" customWidth="1"/>
    <col min="2" max="2" width="21.88671875" style="1" customWidth="1"/>
    <col min="3" max="3" width="21.33203125" customWidth="1"/>
    <col min="4" max="4" width="9.88671875" style="1" customWidth="1"/>
    <col min="5" max="5" width="11.88671875" customWidth="1"/>
    <col min="6" max="6" width="13.5546875" customWidth="1"/>
    <col min="8" max="8" width="9.88671875" bestFit="1" customWidth="1"/>
    <col min="9" max="9" width="14.109375" customWidth="1"/>
    <col min="10" max="10" width="9" customWidth="1"/>
    <col min="11" max="11" width="10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>
        <v>0.15</v>
      </c>
      <c r="B2" s="1">
        <v>6.6071000000000003E-3</v>
      </c>
      <c r="C2" s="1">
        <f>Tabela1[[#This Row],[Alongamento(mm/mm)]]/$I$2</f>
        <v>1.32142E-4</v>
      </c>
      <c r="D2" s="1">
        <v>0</v>
      </c>
      <c r="E2" s="1">
        <f>Tabela1[[#This Row],[Força(N)]]/$I$5</f>
        <v>0</v>
      </c>
      <c r="F2" s="1">
        <f>Tabela1[[#This Row],[Tensão(Pa)]]/1000000</f>
        <v>0</v>
      </c>
      <c r="H2" t="s">
        <v>10</v>
      </c>
      <c r="I2">
        <v>50</v>
      </c>
      <c r="J2">
        <v>12.83</v>
      </c>
      <c r="K2">
        <v>3.26</v>
      </c>
    </row>
    <row r="3" spans="1:11" x14ac:dyDescent="0.3">
      <c r="A3" s="1">
        <v>9.25</v>
      </c>
      <c r="B3" s="1">
        <v>0.76390999999999998</v>
      </c>
      <c r="C3" s="1">
        <f>Tabela1[[#This Row],[Alongamento(mm/mm)]]/$I$2</f>
        <v>1.5278199999999999E-2</v>
      </c>
      <c r="D3" s="1">
        <v>7.3141999999999996</v>
      </c>
      <c r="E3" s="1">
        <f>Tabela1[[#This Row],[Força(N)]]/$I$5</f>
        <v>233140.48928201452</v>
      </c>
      <c r="F3" s="1">
        <f>Tabela1[[#This Row],[Tensão(Pa)]]/1000000</f>
        <v>0.23314048928201453</v>
      </c>
      <c r="H3" t="s">
        <v>11</v>
      </c>
      <c r="I3">
        <v>0.05</v>
      </c>
      <c r="J3">
        <v>1.3349999999999999E-2</v>
      </c>
      <c r="K3">
        <v>2.3500000000000001E-3</v>
      </c>
    </row>
    <row r="4" spans="1:11" x14ac:dyDescent="0.3">
      <c r="A4" s="1">
        <v>9.3332999999999995</v>
      </c>
      <c r="B4" s="1">
        <v>0.77080000000000004</v>
      </c>
      <c r="C4" s="1">
        <f>Tabela1[[#This Row],[Alongamento(mm/mm)]]/$I$2</f>
        <v>1.5416000000000001E-2</v>
      </c>
      <c r="D4" s="1">
        <v>7.3141999999999996</v>
      </c>
      <c r="E4" s="1">
        <f>Tabela1[[#This Row],[Força(N)]]/$I$5</f>
        <v>233140.48928201452</v>
      </c>
      <c r="F4" s="1">
        <f>Tabela1[[#This Row],[Tensão(Pa)]]/1000000</f>
        <v>0.23314048928201453</v>
      </c>
    </row>
    <row r="5" spans="1:11" x14ac:dyDescent="0.3">
      <c r="A5" s="1">
        <v>9.4167000000000005</v>
      </c>
      <c r="B5" s="1">
        <v>0.77778000000000003</v>
      </c>
      <c r="C5" s="1">
        <f>Tabela1[[#This Row],[Alongamento(mm/mm)]]/$I$2</f>
        <v>1.5555600000000001E-2</v>
      </c>
      <c r="D5" s="1">
        <v>7.3141999999999996</v>
      </c>
      <c r="E5" s="1">
        <f>Tabela1[[#This Row],[Força(N)]]/$I$5</f>
        <v>233140.48928201452</v>
      </c>
      <c r="F5" s="1">
        <f>Tabela1[[#This Row],[Tensão(Pa)]]/1000000</f>
        <v>0.23314048928201453</v>
      </c>
      <c r="H5" t="s">
        <v>12</v>
      </c>
      <c r="I5">
        <v>3.1372499999999998E-5</v>
      </c>
    </row>
    <row r="6" spans="1:11" x14ac:dyDescent="0.3">
      <c r="A6" s="1">
        <v>9.5</v>
      </c>
      <c r="B6" s="1">
        <v>0.78476000000000001</v>
      </c>
      <c r="C6" s="1">
        <f>Tabela1[[#This Row],[Alongamento(mm/mm)]]/$I$2</f>
        <v>1.5695199999999999E-2</v>
      </c>
      <c r="D6" s="1">
        <v>7.3141999999999996</v>
      </c>
      <c r="E6" s="1">
        <f>Tabela1[[#This Row],[Força(N)]]/$I$5</f>
        <v>233140.48928201452</v>
      </c>
      <c r="F6" s="1">
        <f>Tabela1[[#This Row],[Tensão(Pa)]]/1000000</f>
        <v>0.23314048928201453</v>
      </c>
    </row>
    <row r="7" spans="1:11" x14ac:dyDescent="0.3">
      <c r="A7" s="1">
        <v>9.5832999999999995</v>
      </c>
      <c r="B7" s="1">
        <v>0.79164000000000001</v>
      </c>
      <c r="C7" s="1">
        <f>Tabela1[[#This Row],[Alongamento(mm/mm)]]/$I$2</f>
        <v>1.5832800000000001E-2</v>
      </c>
      <c r="D7" s="1">
        <v>7.3141999999999996</v>
      </c>
      <c r="E7" s="1">
        <f>Tabela1[[#This Row],[Força(N)]]/$I$5</f>
        <v>233140.48928201452</v>
      </c>
      <c r="F7" s="1">
        <f>Tabela1[[#This Row],[Tensão(Pa)]]/1000000</f>
        <v>0.23314048928201453</v>
      </c>
    </row>
    <row r="8" spans="1:11" x14ac:dyDescent="0.3">
      <c r="A8" s="1">
        <v>9.6667000000000005</v>
      </c>
      <c r="B8" s="1">
        <v>0.79862</v>
      </c>
      <c r="C8" s="1">
        <f>Tabela1[[#This Row],[Alongamento(mm/mm)]]/$I$2</f>
        <v>1.5972400000000001E-2</v>
      </c>
      <c r="D8" s="1">
        <v>7.3141999999999996</v>
      </c>
      <c r="E8" s="1">
        <f>Tabela1[[#This Row],[Força(N)]]/$I$5</f>
        <v>233140.48928201452</v>
      </c>
      <c r="F8" s="1">
        <f>Tabela1[[#This Row],[Tensão(Pa)]]/1000000</f>
        <v>0.23314048928201453</v>
      </c>
    </row>
    <row r="9" spans="1:11" x14ac:dyDescent="0.3">
      <c r="A9" s="1">
        <v>9.75</v>
      </c>
      <c r="B9" s="1">
        <v>0.80559999999999998</v>
      </c>
      <c r="C9" s="1">
        <f>Tabela1[[#This Row],[Alongamento(mm/mm)]]/$I$2</f>
        <v>1.6112000000000001E-2</v>
      </c>
      <c r="D9" s="1">
        <v>7.3141999999999996</v>
      </c>
      <c r="E9" s="1">
        <f>Tabela1[[#This Row],[Força(N)]]/$I$5</f>
        <v>233140.48928201452</v>
      </c>
      <c r="F9" s="1">
        <f>Tabela1[[#This Row],[Tensão(Pa)]]/1000000</f>
        <v>0.23314048928201453</v>
      </c>
    </row>
    <row r="10" spans="1:11" x14ac:dyDescent="0.3">
      <c r="A10" s="1">
        <v>9.8332999999999995</v>
      </c>
      <c r="B10" s="1">
        <v>0.81257999999999997</v>
      </c>
      <c r="C10" s="1">
        <f>Tabela1[[#This Row],[Alongamento(mm/mm)]]/$I$2</f>
        <v>1.6251599999999998E-2</v>
      </c>
      <c r="D10" s="1">
        <v>7.3141999999999996</v>
      </c>
      <c r="E10" s="1">
        <f>Tabela1[[#This Row],[Força(N)]]/$I$5</f>
        <v>233140.48928201452</v>
      </c>
      <c r="F10" s="1">
        <f>Tabela1[[#This Row],[Tensão(Pa)]]/1000000</f>
        <v>0.23314048928201453</v>
      </c>
    </row>
    <row r="11" spans="1:11" x14ac:dyDescent="0.3">
      <c r="A11" s="1">
        <v>9.9167000000000005</v>
      </c>
      <c r="B11" s="1">
        <v>0.81947000000000003</v>
      </c>
      <c r="C11" s="1">
        <f>Tabela1[[#This Row],[Alongamento(mm/mm)]]/$I$2</f>
        <v>1.6389400000000002E-2</v>
      </c>
      <c r="D11" s="1">
        <v>7.3141999999999996</v>
      </c>
      <c r="E11" s="1">
        <f>Tabela1[[#This Row],[Força(N)]]/$I$5</f>
        <v>233140.48928201452</v>
      </c>
      <c r="F11" s="1">
        <f>Tabela1[[#This Row],[Tensão(Pa)]]/1000000</f>
        <v>0.23314048928201453</v>
      </c>
    </row>
    <row r="12" spans="1:11" x14ac:dyDescent="0.3">
      <c r="A12" s="1">
        <v>10</v>
      </c>
      <c r="B12" s="1">
        <v>0.82645000000000002</v>
      </c>
      <c r="C12" s="1">
        <f>Tabela1[[#This Row],[Alongamento(mm/mm)]]/$I$2</f>
        <v>1.6529000000000002E-2</v>
      </c>
      <c r="D12" s="1">
        <v>7.3141999999999996</v>
      </c>
      <c r="E12" s="1">
        <f>Tabela1[[#This Row],[Força(N)]]/$I$5</f>
        <v>233140.48928201452</v>
      </c>
      <c r="F12" s="1">
        <f>Tabela1[[#This Row],[Tensão(Pa)]]/1000000</f>
        <v>0.23314048928201453</v>
      </c>
    </row>
    <row r="13" spans="1:11" x14ac:dyDescent="0.3">
      <c r="A13" s="1">
        <v>10.083</v>
      </c>
      <c r="B13" s="1">
        <v>0.83333000000000002</v>
      </c>
      <c r="C13" s="1">
        <f>Tabela1[[#This Row],[Alongamento(mm/mm)]]/$I$2</f>
        <v>1.66666E-2</v>
      </c>
      <c r="D13" s="1">
        <v>7.3141999999999996</v>
      </c>
      <c r="E13" s="1">
        <f>Tabela1[[#This Row],[Força(N)]]/$I$5</f>
        <v>233140.48928201452</v>
      </c>
      <c r="F13" s="1">
        <f>Tabela1[[#This Row],[Tensão(Pa)]]/1000000</f>
        <v>0.23314048928201453</v>
      </c>
    </row>
    <row r="14" spans="1:11" x14ac:dyDescent="0.3">
      <c r="A14" s="1">
        <v>10.167</v>
      </c>
      <c r="B14" s="1">
        <v>0.84031</v>
      </c>
      <c r="C14" s="1">
        <f>Tabela1[[#This Row],[Alongamento(mm/mm)]]/$I$2</f>
        <v>1.68062E-2</v>
      </c>
      <c r="D14" s="1">
        <v>7.3141999999999996</v>
      </c>
      <c r="E14" s="1">
        <f>Tabela1[[#This Row],[Força(N)]]/$I$5</f>
        <v>233140.48928201452</v>
      </c>
      <c r="F14" s="1">
        <f>Tabela1[[#This Row],[Tensão(Pa)]]/1000000</f>
        <v>0.23314048928201453</v>
      </c>
    </row>
    <row r="15" spans="1:11" x14ac:dyDescent="0.3">
      <c r="A15" s="1">
        <v>10.25</v>
      </c>
      <c r="B15" s="1">
        <v>0.84719999999999995</v>
      </c>
      <c r="C15" s="1">
        <f>Tabela1[[#This Row],[Alongamento(mm/mm)]]/$I$2</f>
        <v>1.6944000000000001E-2</v>
      </c>
      <c r="D15" s="1">
        <v>7.3141999999999996</v>
      </c>
      <c r="E15" s="1">
        <f>Tabela1[[#This Row],[Força(N)]]/$I$5</f>
        <v>233140.48928201452</v>
      </c>
      <c r="F15" s="1">
        <f>Tabela1[[#This Row],[Tensão(Pa)]]/1000000</f>
        <v>0.23314048928201453</v>
      </c>
    </row>
    <row r="16" spans="1:11" x14ac:dyDescent="0.3">
      <c r="A16" s="1">
        <v>10.333</v>
      </c>
      <c r="B16" s="1">
        <v>0.85426999999999997</v>
      </c>
      <c r="C16" s="1">
        <f>Tabela1[[#This Row],[Alongamento(mm/mm)]]/$I$2</f>
        <v>1.7085400000000001E-2</v>
      </c>
      <c r="D16" s="1">
        <v>7.3141999999999996</v>
      </c>
      <c r="E16" s="1">
        <f>Tabela1[[#This Row],[Força(N)]]/$I$5</f>
        <v>233140.48928201452</v>
      </c>
      <c r="F16" s="1">
        <f>Tabela1[[#This Row],[Tensão(Pa)]]/1000000</f>
        <v>0.23314048928201453</v>
      </c>
    </row>
    <row r="17" spans="1:6" x14ac:dyDescent="0.3">
      <c r="A17" s="1">
        <v>10.417</v>
      </c>
      <c r="B17" s="1">
        <v>0.86116000000000004</v>
      </c>
      <c r="C17" s="1">
        <f>Tabela1[[#This Row],[Alongamento(mm/mm)]]/$I$2</f>
        <v>1.7223200000000001E-2</v>
      </c>
      <c r="D17" s="1">
        <v>7.3141999999999996</v>
      </c>
      <c r="E17" s="1">
        <f>Tabela1[[#This Row],[Força(N)]]/$I$5</f>
        <v>233140.48928201452</v>
      </c>
      <c r="F17" s="1">
        <f>Tabela1[[#This Row],[Tensão(Pa)]]/1000000</f>
        <v>0.23314048928201453</v>
      </c>
    </row>
    <row r="18" spans="1:6" x14ac:dyDescent="0.3">
      <c r="A18" s="1">
        <v>10.5</v>
      </c>
      <c r="B18" s="1">
        <v>0.86814000000000002</v>
      </c>
      <c r="C18" s="1">
        <f>Tabela1[[#This Row],[Alongamento(mm/mm)]]/$I$2</f>
        <v>1.7362800000000001E-2</v>
      </c>
      <c r="D18" s="1">
        <v>7.3141999999999996</v>
      </c>
      <c r="E18" s="1">
        <f>Tabela1[[#This Row],[Força(N)]]/$I$5</f>
        <v>233140.48928201452</v>
      </c>
      <c r="F18" s="1">
        <f>Tabela1[[#This Row],[Tensão(Pa)]]/1000000</f>
        <v>0.23314048928201453</v>
      </c>
    </row>
    <row r="19" spans="1:6" x14ac:dyDescent="0.3">
      <c r="A19" s="1">
        <v>10.583</v>
      </c>
      <c r="B19" s="1">
        <v>0.87502000000000002</v>
      </c>
      <c r="C19" s="1">
        <f>Tabela1[[#This Row],[Alongamento(mm/mm)]]/$I$2</f>
        <v>1.7500399999999999E-2</v>
      </c>
      <c r="D19" s="1">
        <v>7.4843000000000002</v>
      </c>
      <c r="E19" s="1">
        <f>Tabela1[[#This Row],[Força(N)]]/$I$5</f>
        <v>238562.4352538051</v>
      </c>
      <c r="F19" s="1">
        <f>Tabela1[[#This Row],[Tensão(Pa)]]/1000000</f>
        <v>0.23856243525380511</v>
      </c>
    </row>
    <row r="20" spans="1:6" x14ac:dyDescent="0.3">
      <c r="A20" s="1">
        <v>10.667</v>
      </c>
      <c r="B20" s="1">
        <v>0.88200000000000001</v>
      </c>
      <c r="C20" s="1">
        <f>Tabela1[[#This Row],[Alongamento(mm/mm)]]/$I$2</f>
        <v>1.7639999999999999E-2</v>
      </c>
      <c r="D20" s="1">
        <v>7.4843000000000002</v>
      </c>
      <c r="E20" s="1">
        <f>Tabela1[[#This Row],[Força(N)]]/$I$5</f>
        <v>238562.4352538051</v>
      </c>
      <c r="F20" s="1">
        <f>Tabela1[[#This Row],[Tensão(Pa)]]/1000000</f>
        <v>0.23856243525380511</v>
      </c>
    </row>
    <row r="21" spans="1:6" x14ac:dyDescent="0.3">
      <c r="A21" s="1">
        <v>10.75</v>
      </c>
      <c r="B21" s="1">
        <v>0.88888999999999996</v>
      </c>
      <c r="C21" s="1">
        <f>Tabela1[[#This Row],[Alongamento(mm/mm)]]/$I$2</f>
        <v>1.77778E-2</v>
      </c>
      <c r="D21" s="1">
        <v>7.3141999999999996</v>
      </c>
      <c r="E21" s="1">
        <f>Tabela1[[#This Row],[Força(N)]]/$I$5</f>
        <v>233140.48928201452</v>
      </c>
      <c r="F21" s="1">
        <f>Tabela1[[#This Row],[Tensão(Pa)]]/1000000</f>
        <v>0.23314048928201453</v>
      </c>
    </row>
    <row r="22" spans="1:6" x14ac:dyDescent="0.3">
      <c r="A22" s="1">
        <v>10.833</v>
      </c>
      <c r="B22" s="1">
        <v>0.89587000000000006</v>
      </c>
      <c r="C22" s="1">
        <f>Tabela1[[#This Row],[Alongamento(mm/mm)]]/$I$2</f>
        <v>1.79174E-2</v>
      </c>
      <c r="D22" s="1">
        <v>7.4843000000000002</v>
      </c>
      <c r="E22" s="1">
        <f>Tabela1[[#This Row],[Força(N)]]/$I$5</f>
        <v>238562.4352538051</v>
      </c>
      <c r="F22" s="1">
        <f>Tabela1[[#This Row],[Tensão(Pa)]]/1000000</f>
        <v>0.23856243525380511</v>
      </c>
    </row>
    <row r="23" spans="1:6" x14ac:dyDescent="0.3">
      <c r="A23" s="1">
        <v>10.917</v>
      </c>
      <c r="B23" s="1">
        <v>0.90285000000000004</v>
      </c>
      <c r="C23" s="1">
        <f>Tabela1[[#This Row],[Alongamento(mm/mm)]]/$I$2</f>
        <v>1.8057E-2</v>
      </c>
      <c r="D23" s="1">
        <v>7.4843000000000002</v>
      </c>
      <c r="E23" s="1">
        <f>Tabela1[[#This Row],[Força(N)]]/$I$5</f>
        <v>238562.4352538051</v>
      </c>
      <c r="F23" s="1">
        <f>Tabela1[[#This Row],[Tensão(Pa)]]/1000000</f>
        <v>0.23856243525380511</v>
      </c>
    </row>
    <row r="24" spans="1:6" x14ac:dyDescent="0.3">
      <c r="A24" s="1">
        <v>11.016999999999999</v>
      </c>
      <c r="B24" s="1">
        <v>0.91113</v>
      </c>
      <c r="C24" s="1">
        <f>Tabela1[[#This Row],[Alongamento(mm/mm)]]/$I$2</f>
        <v>1.8222599999999999E-2</v>
      </c>
      <c r="D24" s="1">
        <v>7.4843000000000002</v>
      </c>
      <c r="E24" s="1">
        <f>Tabela1[[#This Row],[Força(N)]]/$I$5</f>
        <v>238562.4352538051</v>
      </c>
      <c r="F24" s="1">
        <f>Tabela1[[#This Row],[Tensão(Pa)]]/1000000</f>
        <v>0.23856243525380511</v>
      </c>
    </row>
    <row r="25" spans="1:6" x14ac:dyDescent="0.3">
      <c r="A25" s="1">
        <v>11.117000000000001</v>
      </c>
      <c r="B25" s="1">
        <v>0.91940999999999995</v>
      </c>
      <c r="C25" s="1">
        <f>Tabela1[[#This Row],[Alongamento(mm/mm)]]/$I$2</f>
        <v>1.83882E-2</v>
      </c>
      <c r="D25" s="1">
        <v>7.4843000000000002</v>
      </c>
      <c r="E25" s="1">
        <f>Tabela1[[#This Row],[Força(N)]]/$I$5</f>
        <v>238562.4352538051</v>
      </c>
      <c r="F25" s="1">
        <f>Tabela1[[#This Row],[Tensão(Pa)]]/1000000</f>
        <v>0.23856243525380511</v>
      </c>
    </row>
    <row r="26" spans="1:6" x14ac:dyDescent="0.3">
      <c r="A26" s="1">
        <v>11.217000000000001</v>
      </c>
      <c r="B26" s="1">
        <v>0.92779</v>
      </c>
      <c r="C26" s="1">
        <f>Tabela1[[#This Row],[Alongamento(mm/mm)]]/$I$2</f>
        <v>1.8555800000000001E-2</v>
      </c>
      <c r="D26" s="1">
        <v>7.4843000000000002</v>
      </c>
      <c r="E26" s="1">
        <f>Tabela1[[#This Row],[Força(N)]]/$I$5</f>
        <v>238562.4352538051</v>
      </c>
      <c r="F26" s="1">
        <f>Tabela1[[#This Row],[Tensão(Pa)]]/1000000</f>
        <v>0.23856243525380511</v>
      </c>
    </row>
    <row r="27" spans="1:6" x14ac:dyDescent="0.3">
      <c r="A27" s="1">
        <v>11.317</v>
      </c>
      <c r="B27" s="1">
        <v>0.93606999999999996</v>
      </c>
      <c r="C27" s="1">
        <f>Tabela1[[#This Row],[Alongamento(mm/mm)]]/$I$2</f>
        <v>1.8721399999999999E-2</v>
      </c>
      <c r="D27" s="1">
        <v>7.4843000000000002</v>
      </c>
      <c r="E27" s="1">
        <f>Tabela1[[#This Row],[Força(N)]]/$I$5</f>
        <v>238562.4352538051</v>
      </c>
      <c r="F27" s="1">
        <f>Tabela1[[#This Row],[Tensão(Pa)]]/1000000</f>
        <v>0.23856243525380511</v>
      </c>
    </row>
    <row r="28" spans="1:6" x14ac:dyDescent="0.3">
      <c r="A28" s="1">
        <v>11.417</v>
      </c>
      <c r="B28" s="1">
        <v>0.94454000000000005</v>
      </c>
      <c r="C28" s="1">
        <f>Tabela1[[#This Row],[Alongamento(mm/mm)]]/$I$2</f>
        <v>1.8890799999999999E-2</v>
      </c>
      <c r="D28" s="1">
        <v>7.4843000000000002</v>
      </c>
      <c r="E28" s="1">
        <f>Tabela1[[#This Row],[Força(N)]]/$I$5</f>
        <v>238562.4352538051</v>
      </c>
      <c r="F28" s="1">
        <f>Tabela1[[#This Row],[Tensão(Pa)]]/1000000</f>
        <v>0.23856243525380511</v>
      </c>
    </row>
    <row r="29" spans="1:6" x14ac:dyDescent="0.3">
      <c r="A29" s="1">
        <v>11.516999999999999</v>
      </c>
      <c r="B29" s="1">
        <v>0.95282</v>
      </c>
      <c r="C29" s="1">
        <f>Tabela1[[#This Row],[Alongamento(mm/mm)]]/$I$2</f>
        <v>1.9056400000000001E-2</v>
      </c>
      <c r="D29" s="1">
        <v>7.4843000000000002</v>
      </c>
      <c r="E29" s="1">
        <f>Tabela1[[#This Row],[Força(N)]]/$I$5</f>
        <v>238562.4352538051</v>
      </c>
      <c r="F29" s="1">
        <f>Tabela1[[#This Row],[Tensão(Pa)]]/1000000</f>
        <v>0.23856243525380511</v>
      </c>
    </row>
    <row r="30" spans="1:6" x14ac:dyDescent="0.3">
      <c r="A30" s="1">
        <v>11.617000000000001</v>
      </c>
      <c r="B30" s="1">
        <v>0.96120000000000005</v>
      </c>
      <c r="C30" s="1">
        <f>Tabela1[[#This Row],[Alongamento(mm/mm)]]/$I$2</f>
        <v>1.9224000000000002E-2</v>
      </c>
      <c r="D30" s="1">
        <v>7.6543999999999999</v>
      </c>
      <c r="E30" s="1">
        <f>Tabela1[[#This Row],[Força(N)]]/$I$5</f>
        <v>243984.38122559569</v>
      </c>
      <c r="F30" s="1">
        <f>Tabela1[[#This Row],[Tensão(Pa)]]/1000000</f>
        <v>0.24398438122559568</v>
      </c>
    </row>
    <row r="31" spans="1:6" x14ac:dyDescent="0.3">
      <c r="A31" s="1">
        <v>11.717000000000001</v>
      </c>
      <c r="B31" s="1">
        <v>0.96948000000000001</v>
      </c>
      <c r="C31" s="1">
        <f>Tabela1[[#This Row],[Alongamento(mm/mm)]]/$I$2</f>
        <v>1.93896E-2</v>
      </c>
      <c r="D31" s="1">
        <v>7.6543999999999999</v>
      </c>
      <c r="E31" s="1">
        <f>Tabela1[[#This Row],[Força(N)]]/$I$5</f>
        <v>243984.38122559569</v>
      </c>
      <c r="F31" s="1">
        <f>Tabela1[[#This Row],[Tensão(Pa)]]/1000000</f>
        <v>0.24398438122559568</v>
      </c>
    </row>
    <row r="32" spans="1:6" x14ac:dyDescent="0.3">
      <c r="A32" s="1">
        <v>11.817</v>
      </c>
      <c r="B32" s="1">
        <v>0.97775999999999996</v>
      </c>
      <c r="C32" s="1">
        <f>Tabela1[[#This Row],[Alongamento(mm/mm)]]/$I$2</f>
        <v>1.9555199999999998E-2</v>
      </c>
      <c r="D32" s="1">
        <v>7.6543999999999999</v>
      </c>
      <c r="E32" s="1">
        <f>Tabela1[[#This Row],[Força(N)]]/$I$5</f>
        <v>243984.38122559569</v>
      </c>
      <c r="F32" s="1">
        <f>Tabela1[[#This Row],[Tensão(Pa)]]/1000000</f>
        <v>0.24398438122559568</v>
      </c>
    </row>
    <row r="33" spans="1:6" x14ac:dyDescent="0.3">
      <c r="A33" s="1">
        <v>11.917</v>
      </c>
      <c r="B33" s="1">
        <v>0.98614000000000002</v>
      </c>
      <c r="C33" s="1">
        <f>Tabela1[[#This Row],[Alongamento(mm/mm)]]/$I$2</f>
        <v>1.9722799999999999E-2</v>
      </c>
      <c r="D33" s="1">
        <v>7.6543999999999999</v>
      </c>
      <c r="E33" s="1">
        <f>Tabela1[[#This Row],[Força(N)]]/$I$5</f>
        <v>243984.38122559569</v>
      </c>
      <c r="F33" s="1">
        <f>Tabela1[[#This Row],[Tensão(Pa)]]/1000000</f>
        <v>0.24398438122559568</v>
      </c>
    </row>
    <row r="34" spans="1:6" x14ac:dyDescent="0.3">
      <c r="A34" s="1">
        <v>12.016999999999999</v>
      </c>
      <c r="B34" s="1">
        <v>0.99451000000000001</v>
      </c>
      <c r="C34" s="1">
        <f>Tabela1[[#This Row],[Alongamento(mm/mm)]]/$I$2</f>
        <v>1.98902E-2</v>
      </c>
      <c r="D34" s="1">
        <v>7.6543999999999999</v>
      </c>
      <c r="E34" s="1">
        <f>Tabela1[[#This Row],[Força(N)]]/$I$5</f>
        <v>243984.38122559569</v>
      </c>
      <c r="F34" s="1">
        <f>Tabela1[[#This Row],[Tensão(Pa)]]/1000000</f>
        <v>0.24398438122559568</v>
      </c>
    </row>
    <row r="35" spans="1:6" x14ac:dyDescent="0.3">
      <c r="A35" s="1">
        <v>12.117000000000001</v>
      </c>
      <c r="B35" s="1">
        <v>1.0027999999999999</v>
      </c>
      <c r="C35" s="1">
        <f>Tabela1[[#This Row],[Alongamento(mm/mm)]]/$I$2</f>
        <v>2.0055999999999997E-2</v>
      </c>
      <c r="D35" s="1">
        <v>7.6543999999999999</v>
      </c>
      <c r="E35" s="1">
        <f>Tabela1[[#This Row],[Força(N)]]/$I$5</f>
        <v>243984.38122559569</v>
      </c>
      <c r="F35" s="1">
        <f>Tabela1[[#This Row],[Tensão(Pa)]]/1000000</f>
        <v>0.24398438122559568</v>
      </c>
    </row>
    <row r="36" spans="1:6" x14ac:dyDescent="0.3">
      <c r="A36" s="1">
        <v>12.217000000000001</v>
      </c>
      <c r="B36" s="1">
        <v>1.0112000000000001</v>
      </c>
      <c r="C36" s="1">
        <f>Tabela1[[#This Row],[Alongamento(mm/mm)]]/$I$2</f>
        <v>2.0224000000000002E-2</v>
      </c>
      <c r="D36" s="1">
        <v>7.6543999999999999</v>
      </c>
      <c r="E36" s="1">
        <f>Tabela1[[#This Row],[Força(N)]]/$I$5</f>
        <v>243984.38122559569</v>
      </c>
      <c r="F36" s="1">
        <f>Tabela1[[#This Row],[Tensão(Pa)]]/1000000</f>
        <v>0.24398438122559568</v>
      </c>
    </row>
    <row r="37" spans="1:6" x14ac:dyDescent="0.3">
      <c r="A37" s="1">
        <v>12.317</v>
      </c>
      <c r="B37" s="1">
        <v>1.0195000000000001</v>
      </c>
      <c r="C37" s="1">
        <f>Tabela1[[#This Row],[Alongamento(mm/mm)]]/$I$2</f>
        <v>2.0390000000000002E-2</v>
      </c>
      <c r="D37" s="1">
        <v>7.6543999999999999</v>
      </c>
      <c r="E37" s="1">
        <f>Tabela1[[#This Row],[Força(N)]]/$I$5</f>
        <v>243984.38122559569</v>
      </c>
      <c r="F37" s="1">
        <f>Tabela1[[#This Row],[Tensão(Pa)]]/1000000</f>
        <v>0.24398438122559568</v>
      </c>
    </row>
    <row r="38" spans="1:6" x14ac:dyDescent="0.3">
      <c r="A38" s="1">
        <v>12.417</v>
      </c>
      <c r="B38" s="1">
        <v>1.0278</v>
      </c>
      <c r="C38" s="1">
        <f>Tabela1[[#This Row],[Alongamento(mm/mm)]]/$I$2</f>
        <v>2.0556000000000001E-2</v>
      </c>
      <c r="D38" s="1">
        <v>7.6543999999999999</v>
      </c>
      <c r="E38" s="1">
        <f>Tabela1[[#This Row],[Força(N)]]/$I$5</f>
        <v>243984.38122559569</v>
      </c>
      <c r="F38" s="1">
        <f>Tabela1[[#This Row],[Tensão(Pa)]]/1000000</f>
        <v>0.24398438122559568</v>
      </c>
    </row>
    <row r="39" spans="1:6" x14ac:dyDescent="0.3">
      <c r="A39" s="1">
        <v>12.516999999999999</v>
      </c>
      <c r="B39" s="1">
        <v>1.0361</v>
      </c>
      <c r="C39" s="1">
        <f>Tabela1[[#This Row],[Alongamento(mm/mm)]]/$I$2</f>
        <v>2.0722000000000001E-2</v>
      </c>
      <c r="D39" s="1">
        <v>7.8244999999999996</v>
      </c>
      <c r="E39" s="1">
        <f>Tabela1[[#This Row],[Força(N)]]/$I$5</f>
        <v>249406.32719738624</v>
      </c>
      <c r="F39" s="1">
        <f>Tabela1[[#This Row],[Tensão(Pa)]]/1000000</f>
        <v>0.24940632719738623</v>
      </c>
    </row>
    <row r="40" spans="1:6" x14ac:dyDescent="0.3">
      <c r="A40" s="1">
        <v>12.617000000000001</v>
      </c>
      <c r="B40" s="1">
        <v>1.0445</v>
      </c>
      <c r="C40" s="1">
        <f>Tabela1[[#This Row],[Alongamento(mm/mm)]]/$I$2</f>
        <v>2.0889999999999999E-2</v>
      </c>
      <c r="D40" s="1">
        <v>7.8244999999999996</v>
      </c>
      <c r="E40" s="1">
        <f>Tabela1[[#This Row],[Força(N)]]/$I$5</f>
        <v>249406.32719738624</v>
      </c>
      <c r="F40" s="1">
        <f>Tabela1[[#This Row],[Tensão(Pa)]]/1000000</f>
        <v>0.24940632719738623</v>
      </c>
    </row>
    <row r="41" spans="1:6" x14ac:dyDescent="0.3">
      <c r="A41" s="1">
        <v>12.717000000000001</v>
      </c>
      <c r="B41" s="1">
        <v>1.0528999999999999</v>
      </c>
      <c r="C41" s="1">
        <f>Tabela1[[#This Row],[Alongamento(mm/mm)]]/$I$2</f>
        <v>2.1058E-2</v>
      </c>
      <c r="D41" s="1">
        <v>7.8244999999999996</v>
      </c>
      <c r="E41" s="1">
        <f>Tabela1[[#This Row],[Força(N)]]/$I$5</f>
        <v>249406.32719738624</v>
      </c>
      <c r="F41" s="1">
        <f>Tabela1[[#This Row],[Tensão(Pa)]]/1000000</f>
        <v>0.24940632719738623</v>
      </c>
    </row>
    <row r="42" spans="1:6" x14ac:dyDescent="0.3">
      <c r="A42" s="1">
        <v>12.817</v>
      </c>
      <c r="B42" s="1">
        <v>1.0610999999999999</v>
      </c>
      <c r="C42" s="1">
        <f>Tabela1[[#This Row],[Alongamento(mm/mm)]]/$I$2</f>
        <v>2.1221999999999998E-2</v>
      </c>
      <c r="D42" s="1">
        <v>7.8244999999999996</v>
      </c>
      <c r="E42" s="1">
        <f>Tabela1[[#This Row],[Força(N)]]/$I$5</f>
        <v>249406.32719738624</v>
      </c>
      <c r="F42" s="1">
        <f>Tabela1[[#This Row],[Tensão(Pa)]]/1000000</f>
        <v>0.24940632719738623</v>
      </c>
    </row>
    <row r="43" spans="1:6" x14ac:dyDescent="0.3">
      <c r="A43" s="1">
        <v>12.917</v>
      </c>
      <c r="B43" s="1">
        <v>1.0694999999999999</v>
      </c>
      <c r="C43" s="1">
        <f>Tabela1[[#This Row],[Alongamento(mm/mm)]]/$I$2</f>
        <v>2.1389999999999999E-2</v>
      </c>
      <c r="D43" s="1">
        <v>7.8244999999999996</v>
      </c>
      <c r="E43" s="1">
        <f>Tabela1[[#This Row],[Força(N)]]/$I$5</f>
        <v>249406.32719738624</v>
      </c>
      <c r="F43" s="1">
        <f>Tabela1[[#This Row],[Tensão(Pa)]]/1000000</f>
        <v>0.24940632719738623</v>
      </c>
    </row>
    <row r="44" spans="1:6" x14ac:dyDescent="0.3">
      <c r="A44" s="1">
        <v>13.016999999999999</v>
      </c>
      <c r="B44" s="1">
        <v>1.0778000000000001</v>
      </c>
      <c r="C44" s="1">
        <f>Tabela1[[#This Row],[Alongamento(mm/mm)]]/$I$2</f>
        <v>2.1556000000000002E-2</v>
      </c>
      <c r="D44" s="1">
        <v>7.8244999999999996</v>
      </c>
      <c r="E44" s="1">
        <f>Tabela1[[#This Row],[Força(N)]]/$I$5</f>
        <v>249406.32719738624</v>
      </c>
      <c r="F44" s="1">
        <f>Tabela1[[#This Row],[Tensão(Pa)]]/1000000</f>
        <v>0.24940632719738623</v>
      </c>
    </row>
    <row r="45" spans="1:6" x14ac:dyDescent="0.3">
      <c r="A45" s="1">
        <v>13.132999999999999</v>
      </c>
      <c r="B45" s="1">
        <v>1.0874999999999999</v>
      </c>
      <c r="C45" s="1">
        <f>Tabela1[[#This Row],[Alongamento(mm/mm)]]/$I$2</f>
        <v>2.1749999999999999E-2</v>
      </c>
      <c r="D45" s="1">
        <v>7.8244999999999996</v>
      </c>
      <c r="E45" s="1">
        <f>Tabela1[[#This Row],[Força(N)]]/$I$5</f>
        <v>249406.32719738624</v>
      </c>
      <c r="F45" s="1">
        <f>Tabela1[[#This Row],[Tensão(Pa)]]/1000000</f>
        <v>0.24940632719738623</v>
      </c>
    </row>
    <row r="46" spans="1:6" x14ac:dyDescent="0.3">
      <c r="A46" s="1">
        <v>13.25</v>
      </c>
      <c r="B46" s="1">
        <v>1.0972</v>
      </c>
      <c r="C46" s="1">
        <f>Tabela1[[#This Row],[Alongamento(mm/mm)]]/$I$2</f>
        <v>2.1943999999999998E-2</v>
      </c>
      <c r="D46" s="1">
        <v>7.9946000000000002</v>
      </c>
      <c r="E46" s="1">
        <f>Tabela1[[#This Row],[Força(N)]]/$I$5</f>
        <v>254828.27316917686</v>
      </c>
      <c r="F46" s="1">
        <f>Tabela1[[#This Row],[Tensão(Pa)]]/1000000</f>
        <v>0.25482827316917683</v>
      </c>
    </row>
    <row r="47" spans="1:6" x14ac:dyDescent="0.3">
      <c r="A47" s="1">
        <v>13.367000000000001</v>
      </c>
      <c r="B47" s="1">
        <v>1.1069</v>
      </c>
      <c r="C47" s="1">
        <f>Tabela1[[#This Row],[Alongamento(mm/mm)]]/$I$2</f>
        <v>2.2138000000000001E-2</v>
      </c>
      <c r="D47" s="1">
        <v>7.9946000000000002</v>
      </c>
      <c r="E47" s="1">
        <f>Tabela1[[#This Row],[Força(N)]]/$I$5</f>
        <v>254828.27316917686</v>
      </c>
      <c r="F47" s="1">
        <f>Tabela1[[#This Row],[Tensão(Pa)]]/1000000</f>
        <v>0.25482827316917683</v>
      </c>
    </row>
    <row r="48" spans="1:6" x14ac:dyDescent="0.3">
      <c r="A48" s="1">
        <v>13.483000000000001</v>
      </c>
      <c r="B48" s="1">
        <v>1.1167</v>
      </c>
      <c r="C48" s="1">
        <f>Tabela1[[#This Row],[Alongamento(mm/mm)]]/$I$2</f>
        <v>2.2334E-2</v>
      </c>
      <c r="D48" s="1">
        <v>7.9946000000000002</v>
      </c>
      <c r="E48" s="1">
        <f>Tabela1[[#This Row],[Força(N)]]/$I$5</f>
        <v>254828.27316917686</v>
      </c>
      <c r="F48" s="1">
        <f>Tabela1[[#This Row],[Tensão(Pa)]]/1000000</f>
        <v>0.25482827316917683</v>
      </c>
    </row>
    <row r="49" spans="1:6" x14ac:dyDescent="0.3">
      <c r="A49" s="1">
        <v>13.6</v>
      </c>
      <c r="B49" s="1">
        <v>1.1264000000000001</v>
      </c>
      <c r="C49" s="1">
        <f>Tabela1[[#This Row],[Alongamento(mm/mm)]]/$I$2</f>
        <v>2.2528000000000003E-2</v>
      </c>
      <c r="D49" s="1">
        <v>7.9946000000000002</v>
      </c>
      <c r="E49" s="1">
        <f>Tabela1[[#This Row],[Força(N)]]/$I$5</f>
        <v>254828.27316917686</v>
      </c>
      <c r="F49" s="1">
        <f>Tabela1[[#This Row],[Tensão(Pa)]]/1000000</f>
        <v>0.25482827316917683</v>
      </c>
    </row>
    <row r="50" spans="1:6" x14ac:dyDescent="0.3">
      <c r="A50" s="1">
        <v>13.717000000000001</v>
      </c>
      <c r="B50" s="1">
        <v>1.1361000000000001</v>
      </c>
      <c r="C50" s="1">
        <f>Tabela1[[#This Row],[Alongamento(mm/mm)]]/$I$2</f>
        <v>2.2722000000000003E-2</v>
      </c>
      <c r="D50" s="1">
        <v>8.1646999999999998</v>
      </c>
      <c r="E50" s="1">
        <f>Tabela1[[#This Row],[Força(N)]]/$I$5</f>
        <v>260250.21914096741</v>
      </c>
      <c r="F50" s="1">
        <f>Tabela1[[#This Row],[Tensão(Pa)]]/1000000</f>
        <v>0.26025021914096741</v>
      </c>
    </row>
    <row r="51" spans="1:6" x14ac:dyDescent="0.3">
      <c r="A51" s="1">
        <v>13.833</v>
      </c>
      <c r="B51" s="1">
        <v>1.1458999999999999</v>
      </c>
      <c r="C51" s="1">
        <f>Tabela1[[#This Row],[Alongamento(mm/mm)]]/$I$2</f>
        <v>2.2917999999999997E-2</v>
      </c>
      <c r="D51" s="1">
        <v>8.3347999999999995</v>
      </c>
      <c r="E51" s="1">
        <f>Tabela1[[#This Row],[Força(N)]]/$I$5</f>
        <v>265672.165112758</v>
      </c>
      <c r="F51" s="1">
        <f>Tabela1[[#This Row],[Tensão(Pa)]]/1000000</f>
        <v>0.26567216511275799</v>
      </c>
    </row>
    <row r="52" spans="1:6" x14ac:dyDescent="0.3">
      <c r="A52" s="1">
        <v>13.95</v>
      </c>
      <c r="B52" s="1">
        <v>1.1556</v>
      </c>
      <c r="C52" s="1">
        <f>Tabela1[[#This Row],[Alongamento(mm/mm)]]/$I$2</f>
        <v>2.3112000000000001E-2</v>
      </c>
      <c r="D52" s="1">
        <v>8.3347999999999995</v>
      </c>
      <c r="E52" s="1">
        <f>Tabela1[[#This Row],[Força(N)]]/$I$5</f>
        <v>265672.165112758</v>
      </c>
      <c r="F52" s="1">
        <f>Tabela1[[#This Row],[Tensão(Pa)]]/1000000</f>
        <v>0.26567216511275799</v>
      </c>
    </row>
    <row r="53" spans="1:6" x14ac:dyDescent="0.3">
      <c r="A53" s="1">
        <v>14.067</v>
      </c>
      <c r="B53" s="1">
        <v>1.1653</v>
      </c>
      <c r="C53" s="1">
        <f>Tabela1[[#This Row],[Alongamento(mm/mm)]]/$I$2</f>
        <v>2.3306E-2</v>
      </c>
      <c r="D53" s="1">
        <v>8.5048999999999992</v>
      </c>
      <c r="E53" s="1">
        <f>Tabela1[[#This Row],[Força(N)]]/$I$5</f>
        <v>271094.11108454858</v>
      </c>
      <c r="F53" s="1">
        <f>Tabela1[[#This Row],[Tensão(Pa)]]/1000000</f>
        <v>0.27109411108454856</v>
      </c>
    </row>
    <row r="54" spans="1:6" x14ac:dyDescent="0.3">
      <c r="A54" s="1">
        <v>14.183</v>
      </c>
      <c r="B54" s="1">
        <v>1.175</v>
      </c>
      <c r="C54" s="1">
        <f>Tabela1[[#This Row],[Alongamento(mm/mm)]]/$I$2</f>
        <v>2.35E-2</v>
      </c>
      <c r="D54" s="1">
        <v>8.5048999999999992</v>
      </c>
      <c r="E54" s="1">
        <f>Tabela1[[#This Row],[Força(N)]]/$I$5</f>
        <v>271094.11108454858</v>
      </c>
      <c r="F54" s="1">
        <f>Tabela1[[#This Row],[Tensão(Pa)]]/1000000</f>
        <v>0.27109411108454856</v>
      </c>
    </row>
    <row r="55" spans="1:6" x14ac:dyDescent="0.3">
      <c r="A55" s="1">
        <v>14.3</v>
      </c>
      <c r="B55" s="1">
        <v>1.1848000000000001</v>
      </c>
      <c r="C55" s="1">
        <f>Tabela1[[#This Row],[Alongamento(mm/mm)]]/$I$2</f>
        <v>2.3696000000000002E-2</v>
      </c>
      <c r="D55" s="1">
        <v>8.5048999999999992</v>
      </c>
      <c r="E55" s="1">
        <f>Tabela1[[#This Row],[Força(N)]]/$I$5</f>
        <v>271094.11108454858</v>
      </c>
      <c r="F55" s="1">
        <f>Tabela1[[#This Row],[Tensão(Pa)]]/1000000</f>
        <v>0.27109411108454856</v>
      </c>
    </row>
    <row r="56" spans="1:6" x14ac:dyDescent="0.3">
      <c r="A56" s="1">
        <v>14.417</v>
      </c>
      <c r="B56" s="1">
        <v>1.1944999999999999</v>
      </c>
      <c r="C56" s="1">
        <f>Tabela1[[#This Row],[Alongamento(mm/mm)]]/$I$2</f>
        <v>2.3889999999999998E-2</v>
      </c>
      <c r="D56" s="1">
        <v>8.6750000000000007</v>
      </c>
      <c r="E56" s="1">
        <f>Tabela1[[#This Row],[Força(N)]]/$I$5</f>
        <v>276516.05705633917</v>
      </c>
      <c r="F56" s="1">
        <f>Tabela1[[#This Row],[Tensão(Pa)]]/1000000</f>
        <v>0.27651605705633919</v>
      </c>
    </row>
    <row r="57" spans="1:6" x14ac:dyDescent="0.3">
      <c r="A57" s="1">
        <v>14.532999999999999</v>
      </c>
      <c r="B57" s="1">
        <v>1.2041999999999999</v>
      </c>
      <c r="C57" s="1">
        <f>Tabela1[[#This Row],[Alongamento(mm/mm)]]/$I$2</f>
        <v>2.4083999999999998E-2</v>
      </c>
      <c r="D57" s="1">
        <v>9.0152000000000001</v>
      </c>
      <c r="E57" s="1">
        <f>Tabela1[[#This Row],[Força(N)]]/$I$5</f>
        <v>287359.94899992034</v>
      </c>
      <c r="F57" s="1">
        <f>Tabela1[[#This Row],[Tensão(Pa)]]/1000000</f>
        <v>0.28735994899992034</v>
      </c>
    </row>
    <row r="58" spans="1:6" x14ac:dyDescent="0.3">
      <c r="A58" s="1">
        <v>14.65</v>
      </c>
      <c r="B58" s="1">
        <v>1.2139</v>
      </c>
      <c r="C58" s="1">
        <f>Tabela1[[#This Row],[Alongamento(mm/mm)]]/$I$2</f>
        <v>2.4278000000000001E-2</v>
      </c>
      <c r="D58" s="1">
        <v>9.3553999999999995</v>
      </c>
      <c r="E58" s="1">
        <f>Tabela1[[#This Row],[Força(N)]]/$I$5</f>
        <v>298203.84094350145</v>
      </c>
      <c r="F58" s="1">
        <f>Tabela1[[#This Row],[Tensão(Pa)]]/1000000</f>
        <v>0.29820384094350144</v>
      </c>
    </row>
    <row r="59" spans="1:6" x14ac:dyDescent="0.3">
      <c r="A59" s="1">
        <v>14.766999999999999</v>
      </c>
      <c r="B59" s="1">
        <v>1.2237</v>
      </c>
      <c r="C59" s="1">
        <f>Tabela1[[#This Row],[Alongamento(mm/mm)]]/$I$2</f>
        <v>2.4473999999999999E-2</v>
      </c>
      <c r="D59" s="1">
        <v>9.6956000000000007</v>
      </c>
      <c r="E59" s="1">
        <f>Tabela1[[#This Row],[Força(N)]]/$I$5</f>
        <v>309047.73288708268</v>
      </c>
      <c r="F59" s="1">
        <f>Tabela1[[#This Row],[Tensão(Pa)]]/1000000</f>
        <v>0.30904773288708265</v>
      </c>
    </row>
    <row r="60" spans="1:6" x14ac:dyDescent="0.3">
      <c r="A60" s="1">
        <v>14.882999999999999</v>
      </c>
      <c r="B60" s="1">
        <v>1.2334000000000001</v>
      </c>
      <c r="C60" s="1">
        <f>Tabela1[[#This Row],[Alongamento(mm/mm)]]/$I$2</f>
        <v>2.4668000000000002E-2</v>
      </c>
      <c r="D60" s="1">
        <v>9.3553999999999995</v>
      </c>
      <c r="E60" s="1">
        <f>Tabela1[[#This Row],[Força(N)]]/$I$5</f>
        <v>298203.84094350145</v>
      </c>
      <c r="F60" s="1">
        <f>Tabela1[[#This Row],[Tensão(Pa)]]/1000000</f>
        <v>0.29820384094350144</v>
      </c>
    </row>
    <row r="61" spans="1:6" x14ac:dyDescent="0.3">
      <c r="A61" s="1">
        <v>15</v>
      </c>
      <c r="B61" s="1">
        <v>1.2431000000000001</v>
      </c>
      <c r="C61" s="1">
        <f>Tabela1[[#This Row],[Alongamento(mm/mm)]]/$I$2</f>
        <v>2.4862000000000002E-2</v>
      </c>
      <c r="D61" s="1">
        <v>9.0152000000000001</v>
      </c>
      <c r="E61" s="1">
        <f>Tabela1[[#This Row],[Força(N)]]/$I$5</f>
        <v>287359.94899992034</v>
      </c>
      <c r="F61" s="1">
        <f>Tabela1[[#This Row],[Tensão(Pa)]]/1000000</f>
        <v>0.28735994899992034</v>
      </c>
    </row>
    <row r="62" spans="1:6" x14ac:dyDescent="0.3">
      <c r="A62" s="1">
        <v>15.117000000000001</v>
      </c>
      <c r="B62" s="1">
        <v>1.2527999999999999</v>
      </c>
      <c r="C62" s="1">
        <f>Tabela1[[#This Row],[Alongamento(mm/mm)]]/$I$2</f>
        <v>2.5055999999999998E-2</v>
      </c>
      <c r="D62" s="1">
        <v>8.8451000000000004</v>
      </c>
      <c r="E62" s="1">
        <f>Tabela1[[#This Row],[Força(N)]]/$I$5</f>
        <v>281938.00302812975</v>
      </c>
      <c r="F62" s="1">
        <f>Tabela1[[#This Row],[Tensão(Pa)]]/1000000</f>
        <v>0.28193800302812977</v>
      </c>
    </row>
    <row r="63" spans="1:6" x14ac:dyDescent="0.3">
      <c r="A63" s="1">
        <v>15.25</v>
      </c>
      <c r="B63" s="1">
        <v>1.2639</v>
      </c>
      <c r="C63" s="1">
        <f>Tabela1[[#This Row],[Alongamento(mm/mm)]]/$I$2</f>
        <v>2.5278000000000002E-2</v>
      </c>
      <c r="D63" s="1">
        <v>8.8451000000000004</v>
      </c>
      <c r="E63" s="1">
        <f>Tabela1[[#This Row],[Força(N)]]/$I$5</f>
        <v>281938.00302812975</v>
      </c>
      <c r="F63" s="1">
        <f>Tabela1[[#This Row],[Tensão(Pa)]]/1000000</f>
        <v>0.28193800302812977</v>
      </c>
    </row>
    <row r="64" spans="1:6" x14ac:dyDescent="0.3">
      <c r="A64" s="1">
        <v>15.382999999999999</v>
      </c>
      <c r="B64" s="1">
        <v>1.2750999999999999</v>
      </c>
      <c r="C64" s="1">
        <f>Tabela1[[#This Row],[Alongamento(mm/mm)]]/$I$2</f>
        <v>2.5501999999999997E-2</v>
      </c>
      <c r="D64" s="1">
        <v>8.8451000000000004</v>
      </c>
      <c r="E64" s="1">
        <f>Tabela1[[#This Row],[Força(N)]]/$I$5</f>
        <v>281938.00302812975</v>
      </c>
      <c r="F64" s="1">
        <f>Tabela1[[#This Row],[Tensão(Pa)]]/1000000</f>
        <v>0.28193800302812977</v>
      </c>
    </row>
    <row r="65" spans="1:6" x14ac:dyDescent="0.3">
      <c r="A65" s="1">
        <v>15.516999999999999</v>
      </c>
      <c r="B65" s="1">
        <v>1.2862</v>
      </c>
      <c r="C65" s="1">
        <f>Tabela1[[#This Row],[Alongamento(mm/mm)]]/$I$2</f>
        <v>2.5724E-2</v>
      </c>
      <c r="D65" s="1">
        <v>9.1852999999999998</v>
      </c>
      <c r="E65" s="1">
        <f>Tabela1[[#This Row],[Força(N)]]/$I$5</f>
        <v>292781.89497171092</v>
      </c>
      <c r="F65" s="1">
        <f>Tabela1[[#This Row],[Tensão(Pa)]]/1000000</f>
        <v>0.29278189497171092</v>
      </c>
    </row>
    <row r="66" spans="1:6" x14ac:dyDescent="0.3">
      <c r="A66" s="1">
        <v>15.65</v>
      </c>
      <c r="B66" s="1">
        <v>1.2971999999999999</v>
      </c>
      <c r="C66" s="1">
        <f>Tabela1[[#This Row],[Alongamento(mm/mm)]]/$I$2</f>
        <v>2.5943999999999998E-2</v>
      </c>
      <c r="D66" s="1">
        <v>9.5254999999999992</v>
      </c>
      <c r="E66" s="1">
        <f>Tabela1[[#This Row],[Força(N)]]/$I$5</f>
        <v>303625.78691529203</v>
      </c>
      <c r="F66" s="1">
        <f>Tabela1[[#This Row],[Tensão(Pa)]]/1000000</f>
        <v>0.30362578691529202</v>
      </c>
    </row>
    <row r="67" spans="1:6" x14ac:dyDescent="0.3">
      <c r="A67" s="1">
        <v>15.782999999999999</v>
      </c>
      <c r="B67" s="1">
        <v>1.3083</v>
      </c>
      <c r="C67" s="1">
        <f>Tabela1[[#This Row],[Alongamento(mm/mm)]]/$I$2</f>
        <v>2.6166000000000002E-2</v>
      </c>
      <c r="D67" s="1">
        <v>10.036</v>
      </c>
      <c r="E67" s="1">
        <f>Tabela1[[#This Row],[Força(N)]]/$I$5</f>
        <v>319897.99984062475</v>
      </c>
      <c r="F67" s="1">
        <f>Tabela1[[#This Row],[Tensão(Pa)]]/1000000</f>
        <v>0.31989799984062472</v>
      </c>
    </row>
    <row r="68" spans="1:6" x14ac:dyDescent="0.3">
      <c r="A68" s="1">
        <v>15.917</v>
      </c>
      <c r="B68" s="1">
        <v>1.3194999999999999</v>
      </c>
      <c r="C68" s="1">
        <f>Tabela1[[#This Row],[Alongamento(mm/mm)]]/$I$2</f>
        <v>2.6389999999999997E-2</v>
      </c>
      <c r="D68" s="1">
        <v>10.375999999999999</v>
      </c>
      <c r="E68" s="1">
        <f>Tabela1[[#This Row],[Força(N)]]/$I$5</f>
        <v>330735.51677424496</v>
      </c>
      <c r="F68" s="1">
        <f>Tabela1[[#This Row],[Tensão(Pa)]]/1000000</f>
        <v>0.33073551677424495</v>
      </c>
    </row>
    <row r="69" spans="1:6" x14ac:dyDescent="0.3">
      <c r="A69" s="1">
        <v>16.05</v>
      </c>
      <c r="B69" s="1">
        <v>1.3306</v>
      </c>
      <c r="C69" s="1">
        <f>Tabela1[[#This Row],[Alongamento(mm/mm)]]/$I$2</f>
        <v>2.6612E-2</v>
      </c>
      <c r="D69" s="1">
        <v>10.715999999999999</v>
      </c>
      <c r="E69" s="1">
        <f>Tabela1[[#This Row],[Força(N)]]/$I$5</f>
        <v>341573.03370786516</v>
      </c>
      <c r="F69" s="1">
        <f>Tabela1[[#This Row],[Tensão(Pa)]]/1000000</f>
        <v>0.34157303370786518</v>
      </c>
    </row>
    <row r="70" spans="1:6" x14ac:dyDescent="0.3">
      <c r="A70" s="1">
        <v>16.183</v>
      </c>
      <c r="B70" s="1">
        <v>1.3416999999999999</v>
      </c>
      <c r="C70" s="1">
        <f>Tabela1[[#This Row],[Alongamento(mm/mm)]]/$I$2</f>
        <v>2.6833999999999997E-2</v>
      </c>
      <c r="D70" s="1">
        <v>11.055999999999999</v>
      </c>
      <c r="E70" s="1">
        <f>Tabela1[[#This Row],[Força(N)]]/$I$5</f>
        <v>352410.55064148537</v>
      </c>
      <c r="F70" s="1">
        <f>Tabela1[[#This Row],[Tensão(Pa)]]/1000000</f>
        <v>0.35241055064148535</v>
      </c>
    </row>
    <row r="71" spans="1:6" x14ac:dyDescent="0.3">
      <c r="A71" s="1">
        <v>16.317</v>
      </c>
      <c r="B71" s="1">
        <v>1.3529</v>
      </c>
      <c r="C71" s="1">
        <f>Tabela1[[#This Row],[Alongamento(mm/mm)]]/$I$2</f>
        <v>2.7057999999999999E-2</v>
      </c>
      <c r="D71" s="1">
        <v>11.055999999999999</v>
      </c>
      <c r="E71" s="1">
        <f>Tabela1[[#This Row],[Força(N)]]/$I$5</f>
        <v>352410.55064148537</v>
      </c>
      <c r="F71" s="1">
        <f>Tabela1[[#This Row],[Tensão(Pa)]]/1000000</f>
        <v>0.35241055064148535</v>
      </c>
    </row>
    <row r="72" spans="1:6" x14ac:dyDescent="0.3">
      <c r="A72" s="1">
        <v>16.45</v>
      </c>
      <c r="B72" s="1">
        <v>1.3640000000000001</v>
      </c>
      <c r="C72" s="1">
        <f>Tabela1[[#This Row],[Alongamento(mm/mm)]]/$I$2</f>
        <v>2.7280000000000002E-2</v>
      </c>
      <c r="D72" s="1">
        <v>11.055999999999999</v>
      </c>
      <c r="E72" s="1">
        <f>Tabela1[[#This Row],[Força(N)]]/$I$5</f>
        <v>352410.55064148537</v>
      </c>
      <c r="F72" s="1">
        <f>Tabela1[[#This Row],[Tensão(Pa)]]/1000000</f>
        <v>0.35241055064148535</v>
      </c>
    </row>
    <row r="73" spans="1:6" x14ac:dyDescent="0.3">
      <c r="A73" s="1">
        <v>16.582999999999998</v>
      </c>
      <c r="B73" s="1">
        <v>1.375</v>
      </c>
      <c r="C73" s="1">
        <f>Tabela1[[#This Row],[Alongamento(mm/mm)]]/$I$2</f>
        <v>2.75E-2</v>
      </c>
      <c r="D73" s="1">
        <v>11.055999999999999</v>
      </c>
      <c r="E73" s="1">
        <f>Tabela1[[#This Row],[Força(N)]]/$I$5</f>
        <v>352410.55064148537</v>
      </c>
      <c r="F73" s="1">
        <f>Tabela1[[#This Row],[Tensão(Pa)]]/1000000</f>
        <v>0.35241055064148535</v>
      </c>
    </row>
    <row r="74" spans="1:6" x14ac:dyDescent="0.3">
      <c r="A74" s="1">
        <v>16.716999999999999</v>
      </c>
      <c r="B74" s="1">
        <v>1.3861000000000001</v>
      </c>
      <c r="C74" s="1">
        <f>Tabela1[[#This Row],[Alongamento(mm/mm)]]/$I$2</f>
        <v>2.7722000000000004E-2</v>
      </c>
      <c r="D74" s="1">
        <v>11.227</v>
      </c>
      <c r="E74" s="1">
        <f>Tabela1[[#This Row],[Força(N)]]/$I$5</f>
        <v>357861.18415810028</v>
      </c>
      <c r="F74" s="1">
        <f>Tabela1[[#This Row],[Tensão(Pa)]]/1000000</f>
        <v>0.35786118415810025</v>
      </c>
    </row>
    <row r="75" spans="1:6" x14ac:dyDescent="0.3">
      <c r="A75" s="1">
        <v>16.850000000000001</v>
      </c>
      <c r="B75" s="1">
        <v>1.3973</v>
      </c>
      <c r="C75" s="1">
        <f>Tabela1[[#This Row],[Alongamento(mm/mm)]]/$I$2</f>
        <v>2.7945999999999999E-2</v>
      </c>
      <c r="D75" s="1">
        <v>11.055999999999999</v>
      </c>
      <c r="E75" s="1">
        <f>Tabela1[[#This Row],[Força(N)]]/$I$5</f>
        <v>352410.55064148537</v>
      </c>
      <c r="F75" s="1">
        <f>Tabela1[[#This Row],[Tensão(Pa)]]/1000000</f>
        <v>0.35241055064148535</v>
      </c>
    </row>
    <row r="76" spans="1:6" x14ac:dyDescent="0.3">
      <c r="A76" s="1">
        <v>16.983000000000001</v>
      </c>
      <c r="B76" s="1">
        <v>1.4083000000000001</v>
      </c>
      <c r="C76" s="1">
        <f>Tabela1[[#This Row],[Alongamento(mm/mm)]]/$I$2</f>
        <v>2.8166000000000004E-2</v>
      </c>
      <c r="D76" s="1">
        <v>11.055999999999999</v>
      </c>
      <c r="E76" s="1">
        <f>Tabela1[[#This Row],[Força(N)]]/$I$5</f>
        <v>352410.55064148537</v>
      </c>
      <c r="F76" s="1">
        <f>Tabela1[[#This Row],[Tensão(Pa)]]/1000000</f>
        <v>0.35241055064148535</v>
      </c>
    </row>
    <row r="77" spans="1:6" x14ac:dyDescent="0.3">
      <c r="A77" s="1">
        <v>17.117000000000001</v>
      </c>
      <c r="B77" s="1">
        <v>1.4195</v>
      </c>
      <c r="C77" s="1">
        <f>Tabela1[[#This Row],[Alongamento(mm/mm)]]/$I$2</f>
        <v>2.8389999999999999E-2</v>
      </c>
      <c r="D77" s="1">
        <v>11.055999999999999</v>
      </c>
      <c r="E77" s="1">
        <f>Tabela1[[#This Row],[Força(N)]]/$I$5</f>
        <v>352410.55064148537</v>
      </c>
      <c r="F77" s="1">
        <f>Tabela1[[#This Row],[Tensão(Pa)]]/1000000</f>
        <v>0.35241055064148535</v>
      </c>
    </row>
    <row r="78" spans="1:6" x14ac:dyDescent="0.3">
      <c r="A78" s="1">
        <v>17.25</v>
      </c>
      <c r="B78" s="1">
        <v>1.4306000000000001</v>
      </c>
      <c r="C78" s="1">
        <f>Tabela1[[#This Row],[Alongamento(mm/mm)]]/$I$2</f>
        <v>2.8612000000000002E-2</v>
      </c>
      <c r="D78" s="1">
        <v>11.055999999999999</v>
      </c>
      <c r="E78" s="1">
        <f>Tabela1[[#This Row],[Força(N)]]/$I$5</f>
        <v>352410.55064148537</v>
      </c>
      <c r="F78" s="1">
        <f>Tabela1[[#This Row],[Tensão(Pa)]]/1000000</f>
        <v>0.35241055064148535</v>
      </c>
    </row>
    <row r="79" spans="1:6" x14ac:dyDescent="0.3">
      <c r="A79" s="1">
        <v>17.382999999999999</v>
      </c>
      <c r="B79" s="1">
        <v>1.4417</v>
      </c>
      <c r="C79" s="1">
        <f>Tabela1[[#This Row],[Alongamento(mm/mm)]]/$I$2</f>
        <v>2.8833999999999999E-2</v>
      </c>
      <c r="D79" s="1">
        <v>11.055999999999999</v>
      </c>
      <c r="E79" s="1">
        <f>Tabela1[[#This Row],[Força(N)]]/$I$5</f>
        <v>352410.55064148537</v>
      </c>
      <c r="F79" s="1">
        <f>Tabela1[[#This Row],[Tensão(Pa)]]/1000000</f>
        <v>0.35241055064148535</v>
      </c>
    </row>
    <row r="80" spans="1:6" x14ac:dyDescent="0.3">
      <c r="A80" s="1">
        <v>17.533000000000001</v>
      </c>
      <c r="B80" s="1">
        <v>1.4541999999999999</v>
      </c>
      <c r="C80" s="1">
        <f>Tabela1[[#This Row],[Alongamento(mm/mm)]]/$I$2</f>
        <v>2.9083999999999999E-2</v>
      </c>
      <c r="D80" s="1">
        <v>11.397</v>
      </c>
      <c r="E80" s="1">
        <f>Tabela1[[#This Row],[Força(N)]]/$I$5</f>
        <v>363279.94262491039</v>
      </c>
      <c r="F80" s="1">
        <f>Tabela1[[#This Row],[Tensão(Pa)]]/1000000</f>
        <v>0.36327994262491037</v>
      </c>
    </row>
    <row r="81" spans="1:6" x14ac:dyDescent="0.3">
      <c r="A81" s="1">
        <v>17.683</v>
      </c>
      <c r="B81" s="1">
        <v>1.4668000000000001</v>
      </c>
      <c r="C81" s="1">
        <f>Tabela1[[#This Row],[Alongamento(mm/mm)]]/$I$2</f>
        <v>2.9336000000000001E-2</v>
      </c>
      <c r="D81" s="1">
        <v>11.397</v>
      </c>
      <c r="E81" s="1">
        <f>Tabela1[[#This Row],[Força(N)]]/$I$5</f>
        <v>363279.94262491039</v>
      </c>
      <c r="F81" s="1">
        <f>Tabela1[[#This Row],[Tensão(Pa)]]/1000000</f>
        <v>0.36327994262491037</v>
      </c>
    </row>
    <row r="82" spans="1:6" x14ac:dyDescent="0.3">
      <c r="A82" s="1">
        <v>17.832999999999998</v>
      </c>
      <c r="B82" s="1">
        <v>1.4792000000000001</v>
      </c>
      <c r="C82" s="1">
        <f>Tabela1[[#This Row],[Alongamento(mm/mm)]]/$I$2</f>
        <v>2.9584000000000003E-2</v>
      </c>
      <c r="D82" s="1">
        <v>11.397</v>
      </c>
      <c r="E82" s="1">
        <f>Tabela1[[#This Row],[Força(N)]]/$I$5</f>
        <v>363279.94262491039</v>
      </c>
      <c r="F82" s="1">
        <f>Tabela1[[#This Row],[Tensão(Pa)]]/1000000</f>
        <v>0.36327994262491037</v>
      </c>
    </row>
    <row r="83" spans="1:6" x14ac:dyDescent="0.3">
      <c r="A83" s="1">
        <v>17.95</v>
      </c>
      <c r="B83" s="1">
        <v>1.4888999999999999</v>
      </c>
      <c r="C83" s="1">
        <f>Tabela1[[#This Row],[Alongamento(mm/mm)]]/$I$2</f>
        <v>2.9777999999999999E-2</v>
      </c>
      <c r="D83" s="1">
        <v>12.077</v>
      </c>
      <c r="E83" s="1">
        <f>Tabela1[[#This Row],[Força(N)]]/$I$5</f>
        <v>384954.9764921508</v>
      </c>
      <c r="F83" s="1">
        <f>Tabela1[[#This Row],[Tensão(Pa)]]/1000000</f>
        <v>0.38495497649215082</v>
      </c>
    </row>
    <row r="84" spans="1:6" x14ac:dyDescent="0.3">
      <c r="A84" s="1">
        <v>18.082999999999998</v>
      </c>
      <c r="B84" s="1">
        <v>1.5</v>
      </c>
      <c r="C84" s="1">
        <f>Tabela1[[#This Row],[Alongamento(mm/mm)]]/$I$2</f>
        <v>0.03</v>
      </c>
      <c r="D84" s="1">
        <v>12.757</v>
      </c>
      <c r="E84" s="1">
        <f>Tabela1[[#This Row],[Força(N)]]/$I$5</f>
        <v>406630.01035939122</v>
      </c>
      <c r="F84" s="1">
        <f>Tabela1[[#This Row],[Tensão(Pa)]]/1000000</f>
        <v>0.40663001035939123</v>
      </c>
    </row>
    <row r="85" spans="1:6" x14ac:dyDescent="0.3">
      <c r="A85" s="1">
        <v>18.233000000000001</v>
      </c>
      <c r="B85" s="1">
        <v>1.5125999999999999</v>
      </c>
      <c r="C85" s="1">
        <f>Tabela1[[#This Row],[Alongamento(mm/mm)]]/$I$2</f>
        <v>3.0251999999999998E-2</v>
      </c>
      <c r="D85" s="1">
        <v>12.928000000000001</v>
      </c>
      <c r="E85" s="1">
        <f>Tabela1[[#This Row],[Força(N)]]/$I$5</f>
        <v>412080.64387600613</v>
      </c>
      <c r="F85" s="1">
        <f>Tabela1[[#This Row],[Tensão(Pa)]]/1000000</f>
        <v>0.41208064387600613</v>
      </c>
    </row>
    <row r="86" spans="1:6" x14ac:dyDescent="0.3">
      <c r="A86" s="1">
        <v>18.382999999999999</v>
      </c>
      <c r="B86" s="1">
        <v>1.5248999999999999</v>
      </c>
      <c r="C86" s="1">
        <f>Tabela1[[#This Row],[Alongamento(mm/mm)]]/$I$2</f>
        <v>3.0497999999999997E-2</v>
      </c>
      <c r="D86" s="1">
        <v>13.098000000000001</v>
      </c>
      <c r="E86" s="1">
        <f>Tabela1[[#This Row],[Força(N)]]/$I$5</f>
        <v>417499.40234281623</v>
      </c>
      <c r="F86" s="1">
        <f>Tabela1[[#This Row],[Tensão(Pa)]]/1000000</f>
        <v>0.41749940234281624</v>
      </c>
    </row>
    <row r="87" spans="1:6" x14ac:dyDescent="0.3">
      <c r="A87" s="1">
        <v>18.533000000000001</v>
      </c>
      <c r="B87" s="1">
        <v>1.5375000000000001</v>
      </c>
      <c r="C87" s="1">
        <f>Tabela1[[#This Row],[Alongamento(mm/mm)]]/$I$2</f>
        <v>3.0750000000000003E-2</v>
      </c>
      <c r="D87" s="1">
        <v>13.438000000000001</v>
      </c>
      <c r="E87" s="1">
        <f>Tabela1[[#This Row],[Força(N)]]/$I$5</f>
        <v>428336.91927643644</v>
      </c>
      <c r="F87" s="1">
        <f>Tabela1[[#This Row],[Tensão(Pa)]]/1000000</f>
        <v>0.42833691927643647</v>
      </c>
    </row>
    <row r="88" spans="1:6" x14ac:dyDescent="0.3">
      <c r="A88" s="1">
        <v>18.683</v>
      </c>
      <c r="B88" s="1">
        <v>1.5501</v>
      </c>
      <c r="C88" s="1">
        <f>Tabela1[[#This Row],[Alongamento(mm/mm)]]/$I$2</f>
        <v>3.1002000000000002E-2</v>
      </c>
      <c r="D88" s="1">
        <v>13.438000000000001</v>
      </c>
      <c r="E88" s="1">
        <f>Tabela1[[#This Row],[Força(N)]]/$I$5</f>
        <v>428336.91927643644</v>
      </c>
      <c r="F88" s="1">
        <f>Tabela1[[#This Row],[Tensão(Pa)]]/1000000</f>
        <v>0.42833691927643647</v>
      </c>
    </row>
    <row r="89" spans="1:6" x14ac:dyDescent="0.3">
      <c r="A89" s="1">
        <v>18.832999999999998</v>
      </c>
      <c r="B89" s="1">
        <v>1.5625</v>
      </c>
      <c r="C89" s="1">
        <f>Tabela1[[#This Row],[Alongamento(mm/mm)]]/$I$2</f>
        <v>3.125E-2</v>
      </c>
      <c r="D89" s="1">
        <v>13.608000000000001</v>
      </c>
      <c r="E89" s="1">
        <f>Tabela1[[#This Row],[Força(N)]]/$I$5</f>
        <v>433755.67774324649</v>
      </c>
      <c r="F89" s="1">
        <f>Tabela1[[#This Row],[Tensão(Pa)]]/1000000</f>
        <v>0.43375567774324647</v>
      </c>
    </row>
    <row r="90" spans="1:6" x14ac:dyDescent="0.3">
      <c r="A90" s="1">
        <v>18.983000000000001</v>
      </c>
      <c r="B90" s="1">
        <v>1.575</v>
      </c>
      <c r="C90" s="1">
        <f>Tabela1[[#This Row],[Alongamento(mm/mm)]]/$I$2</f>
        <v>3.15E-2</v>
      </c>
      <c r="D90" s="1">
        <v>13.608000000000001</v>
      </c>
      <c r="E90" s="1">
        <f>Tabela1[[#This Row],[Força(N)]]/$I$5</f>
        <v>433755.67774324649</v>
      </c>
      <c r="F90" s="1">
        <f>Tabela1[[#This Row],[Tensão(Pa)]]/1000000</f>
        <v>0.43375567774324647</v>
      </c>
    </row>
    <row r="91" spans="1:6" x14ac:dyDescent="0.3">
      <c r="A91" s="1">
        <v>19.132999999999999</v>
      </c>
      <c r="B91" s="1">
        <v>1.5874999999999999</v>
      </c>
      <c r="C91" s="1">
        <f>Tabela1[[#This Row],[Alongamento(mm/mm)]]/$I$2</f>
        <v>3.175E-2</v>
      </c>
      <c r="D91" s="1">
        <v>13.778</v>
      </c>
      <c r="E91" s="1">
        <f>Tabela1[[#This Row],[Força(N)]]/$I$5</f>
        <v>439174.43621005659</v>
      </c>
      <c r="F91" s="1">
        <f>Tabela1[[#This Row],[Tensão(Pa)]]/1000000</f>
        <v>0.43917443621005658</v>
      </c>
    </row>
    <row r="92" spans="1:6" x14ac:dyDescent="0.3">
      <c r="A92" s="1">
        <v>19.283000000000001</v>
      </c>
      <c r="B92" s="1">
        <v>1.6</v>
      </c>
      <c r="C92" s="1">
        <f>Tabela1[[#This Row],[Alongamento(mm/mm)]]/$I$2</f>
        <v>3.2000000000000001E-2</v>
      </c>
      <c r="D92" s="1">
        <v>13.778</v>
      </c>
      <c r="E92" s="1">
        <f>Tabela1[[#This Row],[Força(N)]]/$I$5</f>
        <v>439174.43621005659</v>
      </c>
      <c r="F92" s="1">
        <f>Tabela1[[#This Row],[Tensão(Pa)]]/1000000</f>
        <v>0.43917443621005658</v>
      </c>
    </row>
    <row r="93" spans="1:6" x14ac:dyDescent="0.3">
      <c r="A93" s="1">
        <v>19.433</v>
      </c>
      <c r="B93" s="1">
        <v>1.6125</v>
      </c>
      <c r="C93" s="1">
        <f>Tabela1[[#This Row],[Alongamento(mm/mm)]]/$I$2</f>
        <v>3.2250000000000001E-2</v>
      </c>
      <c r="D93" s="1">
        <v>13.608000000000001</v>
      </c>
      <c r="E93" s="1">
        <f>Tabela1[[#This Row],[Força(N)]]/$I$5</f>
        <v>433755.67774324649</v>
      </c>
      <c r="F93" s="1">
        <f>Tabela1[[#This Row],[Tensão(Pa)]]/1000000</f>
        <v>0.43375567774324647</v>
      </c>
    </row>
    <row r="94" spans="1:6" x14ac:dyDescent="0.3">
      <c r="A94" s="1">
        <v>19.600000000000001</v>
      </c>
      <c r="B94" s="1">
        <v>1.6265000000000001</v>
      </c>
      <c r="C94" s="1">
        <f>Tabela1[[#This Row],[Alongamento(mm/mm)]]/$I$2</f>
        <v>3.2530000000000003E-2</v>
      </c>
      <c r="D94" s="1">
        <v>13.608000000000001</v>
      </c>
      <c r="E94" s="1">
        <f>Tabela1[[#This Row],[Força(N)]]/$I$5</f>
        <v>433755.67774324649</v>
      </c>
      <c r="F94" s="1">
        <f>Tabela1[[#This Row],[Tensão(Pa)]]/1000000</f>
        <v>0.43375567774324647</v>
      </c>
    </row>
    <row r="95" spans="1:6" x14ac:dyDescent="0.3">
      <c r="A95" s="1">
        <v>19.766999999999999</v>
      </c>
      <c r="B95" s="1">
        <v>1.6402000000000001</v>
      </c>
      <c r="C95" s="1">
        <f>Tabela1[[#This Row],[Alongamento(mm/mm)]]/$I$2</f>
        <v>3.2804E-2</v>
      </c>
      <c r="D95" s="1">
        <v>13.608000000000001</v>
      </c>
      <c r="E95" s="1">
        <f>Tabela1[[#This Row],[Força(N)]]/$I$5</f>
        <v>433755.67774324649</v>
      </c>
      <c r="F95" s="1">
        <f>Tabela1[[#This Row],[Tensão(Pa)]]/1000000</f>
        <v>0.43375567774324647</v>
      </c>
    </row>
    <row r="96" spans="1:6" x14ac:dyDescent="0.3">
      <c r="A96" s="1">
        <v>19.933</v>
      </c>
      <c r="B96" s="1">
        <v>1.6541999999999999</v>
      </c>
      <c r="C96" s="1">
        <f>Tabela1[[#This Row],[Alongamento(mm/mm)]]/$I$2</f>
        <v>3.3083999999999995E-2</v>
      </c>
      <c r="D96" s="1">
        <v>13.608000000000001</v>
      </c>
      <c r="E96" s="1">
        <f>Tabela1[[#This Row],[Força(N)]]/$I$5</f>
        <v>433755.67774324649</v>
      </c>
      <c r="F96" s="1">
        <f>Tabela1[[#This Row],[Tensão(Pa)]]/1000000</f>
        <v>0.43375567774324647</v>
      </c>
    </row>
    <row r="97" spans="1:6" x14ac:dyDescent="0.3">
      <c r="A97" s="1">
        <v>20.100000000000001</v>
      </c>
      <c r="B97" s="1">
        <v>1.6680999999999999</v>
      </c>
      <c r="C97" s="1">
        <f>Tabela1[[#This Row],[Alongamento(mm/mm)]]/$I$2</f>
        <v>3.3361999999999996E-2</v>
      </c>
      <c r="D97" s="1">
        <v>13.608000000000001</v>
      </c>
      <c r="E97" s="1">
        <f>Tabela1[[#This Row],[Força(N)]]/$I$5</f>
        <v>433755.67774324649</v>
      </c>
      <c r="F97" s="1">
        <f>Tabela1[[#This Row],[Tensão(Pa)]]/1000000</f>
        <v>0.43375567774324647</v>
      </c>
    </row>
    <row r="98" spans="1:6" x14ac:dyDescent="0.3">
      <c r="A98" s="1">
        <v>20.266999999999999</v>
      </c>
      <c r="B98" s="1">
        <v>1.6819999999999999</v>
      </c>
      <c r="C98" s="1">
        <f>Tabela1[[#This Row],[Alongamento(mm/mm)]]/$I$2</f>
        <v>3.3639999999999996E-2</v>
      </c>
      <c r="D98" s="1">
        <v>13.608000000000001</v>
      </c>
      <c r="E98" s="1">
        <f>Tabela1[[#This Row],[Força(N)]]/$I$5</f>
        <v>433755.67774324649</v>
      </c>
      <c r="F98" s="1">
        <f>Tabela1[[#This Row],[Tensão(Pa)]]/1000000</f>
        <v>0.43375567774324647</v>
      </c>
    </row>
    <row r="99" spans="1:6" x14ac:dyDescent="0.3">
      <c r="A99" s="1">
        <v>20.433</v>
      </c>
      <c r="B99" s="1">
        <v>1.6959</v>
      </c>
      <c r="C99" s="1">
        <f>Tabela1[[#This Row],[Alongamento(mm/mm)]]/$I$2</f>
        <v>3.3917999999999997E-2</v>
      </c>
      <c r="D99" s="1">
        <v>13.608000000000001</v>
      </c>
      <c r="E99" s="1">
        <f>Tabela1[[#This Row],[Força(N)]]/$I$5</f>
        <v>433755.67774324649</v>
      </c>
      <c r="F99" s="1">
        <f>Tabela1[[#This Row],[Tensão(Pa)]]/1000000</f>
        <v>0.43375567774324647</v>
      </c>
    </row>
    <row r="100" spans="1:6" x14ac:dyDescent="0.3">
      <c r="A100" s="1">
        <v>20.6</v>
      </c>
      <c r="B100" s="1">
        <v>1.7098</v>
      </c>
      <c r="C100" s="1">
        <f>Tabela1[[#This Row],[Alongamento(mm/mm)]]/$I$2</f>
        <v>3.4195999999999997E-2</v>
      </c>
      <c r="D100" s="1">
        <v>13.608000000000001</v>
      </c>
      <c r="E100" s="1">
        <f>Tabela1[[#This Row],[Força(N)]]/$I$5</f>
        <v>433755.67774324649</v>
      </c>
      <c r="F100" s="1">
        <f>Tabela1[[#This Row],[Tensão(Pa)]]/1000000</f>
        <v>0.43375567774324647</v>
      </c>
    </row>
    <row r="101" spans="1:6" x14ac:dyDescent="0.3">
      <c r="A101" s="1">
        <v>20.766999999999999</v>
      </c>
      <c r="B101" s="1">
        <v>1.7236</v>
      </c>
      <c r="C101" s="1">
        <f>Tabela1[[#This Row],[Alongamento(mm/mm)]]/$I$2</f>
        <v>3.4472000000000003E-2</v>
      </c>
      <c r="D101" s="1">
        <v>13.608000000000001</v>
      </c>
      <c r="E101" s="1">
        <f>Tabela1[[#This Row],[Força(N)]]/$I$5</f>
        <v>433755.67774324649</v>
      </c>
      <c r="F101" s="1">
        <f>Tabela1[[#This Row],[Tensão(Pa)]]/1000000</f>
        <v>0.43375567774324647</v>
      </c>
    </row>
    <row r="102" spans="1:6" x14ac:dyDescent="0.3">
      <c r="A102" s="1">
        <v>20.933</v>
      </c>
      <c r="B102" s="1">
        <v>1.7375</v>
      </c>
      <c r="C102" s="1">
        <f>Tabela1[[#This Row],[Alongamento(mm/mm)]]/$I$2</f>
        <v>3.4750000000000003E-2</v>
      </c>
      <c r="D102" s="1">
        <v>13.778</v>
      </c>
      <c r="E102" s="1">
        <f>Tabela1[[#This Row],[Força(N)]]/$I$5</f>
        <v>439174.43621005659</v>
      </c>
      <c r="F102" s="1">
        <f>Tabela1[[#This Row],[Tensão(Pa)]]/1000000</f>
        <v>0.43917443621005658</v>
      </c>
    </row>
    <row r="103" spans="1:6" x14ac:dyDescent="0.3">
      <c r="A103" s="1">
        <v>21.1</v>
      </c>
      <c r="B103" s="1">
        <v>1.7514000000000001</v>
      </c>
      <c r="C103" s="1">
        <f>Tabela1[[#This Row],[Alongamento(mm/mm)]]/$I$2</f>
        <v>3.5028000000000004E-2</v>
      </c>
      <c r="D103" s="1">
        <v>13.778</v>
      </c>
      <c r="E103" s="1">
        <f>Tabela1[[#This Row],[Força(N)]]/$I$5</f>
        <v>439174.43621005659</v>
      </c>
      <c r="F103" s="1">
        <f>Tabela1[[#This Row],[Tensão(Pa)]]/1000000</f>
        <v>0.43917443621005658</v>
      </c>
    </row>
    <row r="104" spans="1:6" x14ac:dyDescent="0.3">
      <c r="A104" s="1">
        <v>21.266999999999999</v>
      </c>
      <c r="B104" s="1">
        <v>1.7653000000000001</v>
      </c>
      <c r="C104" s="1">
        <f>Tabela1[[#This Row],[Alongamento(mm/mm)]]/$I$2</f>
        <v>3.5306000000000004E-2</v>
      </c>
      <c r="D104" s="1">
        <v>13.778</v>
      </c>
      <c r="E104" s="1">
        <f>Tabela1[[#This Row],[Força(N)]]/$I$5</f>
        <v>439174.43621005659</v>
      </c>
      <c r="F104" s="1">
        <f>Tabela1[[#This Row],[Tensão(Pa)]]/1000000</f>
        <v>0.43917443621005658</v>
      </c>
    </row>
    <row r="105" spans="1:6" x14ac:dyDescent="0.3">
      <c r="A105" s="1">
        <v>21.433</v>
      </c>
      <c r="B105" s="1">
        <v>1.7791999999999999</v>
      </c>
      <c r="C105" s="1">
        <f>Tabela1[[#This Row],[Alongamento(mm/mm)]]/$I$2</f>
        <v>3.5583999999999998E-2</v>
      </c>
      <c r="D105" s="1">
        <v>13.778</v>
      </c>
      <c r="E105" s="1">
        <f>Tabela1[[#This Row],[Força(N)]]/$I$5</f>
        <v>439174.43621005659</v>
      </c>
      <c r="F105" s="1">
        <f>Tabela1[[#This Row],[Tensão(Pa)]]/1000000</f>
        <v>0.43917443621005658</v>
      </c>
    </row>
    <row r="106" spans="1:6" x14ac:dyDescent="0.3">
      <c r="A106" s="1">
        <v>21.6</v>
      </c>
      <c r="B106" s="1">
        <v>1.7930999999999999</v>
      </c>
      <c r="C106" s="1">
        <f>Tabela1[[#This Row],[Alongamento(mm/mm)]]/$I$2</f>
        <v>3.5861999999999998E-2</v>
      </c>
      <c r="D106" s="1">
        <v>13.948</v>
      </c>
      <c r="E106" s="1">
        <f>Tabela1[[#This Row],[Força(N)]]/$I$5</f>
        <v>444593.1946768667</v>
      </c>
      <c r="F106" s="1">
        <f>Tabela1[[#This Row],[Tensão(Pa)]]/1000000</f>
        <v>0.4445931946768667</v>
      </c>
    </row>
    <row r="107" spans="1:6" x14ac:dyDescent="0.3">
      <c r="A107" s="1">
        <v>21.783000000000001</v>
      </c>
      <c r="B107" s="1">
        <v>1.8084</v>
      </c>
      <c r="C107" s="1">
        <f>Tabela1[[#This Row],[Alongamento(mm/mm)]]/$I$2</f>
        <v>3.6167999999999999E-2</v>
      </c>
      <c r="D107" s="1">
        <v>13.948</v>
      </c>
      <c r="E107" s="1">
        <f>Tabela1[[#This Row],[Força(N)]]/$I$5</f>
        <v>444593.1946768667</v>
      </c>
      <c r="F107" s="1">
        <f>Tabela1[[#This Row],[Tensão(Pa)]]/1000000</f>
        <v>0.4445931946768667</v>
      </c>
    </row>
    <row r="108" spans="1:6" x14ac:dyDescent="0.3">
      <c r="A108" s="1">
        <v>21.966999999999999</v>
      </c>
      <c r="B108" s="1">
        <v>1.8237000000000001</v>
      </c>
      <c r="C108" s="1">
        <f>Tabela1[[#This Row],[Alongamento(mm/mm)]]/$I$2</f>
        <v>3.6473999999999999E-2</v>
      </c>
      <c r="D108" s="1">
        <v>13.948</v>
      </c>
      <c r="E108" s="1">
        <f>Tabela1[[#This Row],[Força(N)]]/$I$5</f>
        <v>444593.1946768667</v>
      </c>
      <c r="F108" s="1">
        <f>Tabela1[[#This Row],[Tensão(Pa)]]/1000000</f>
        <v>0.4445931946768667</v>
      </c>
    </row>
    <row r="109" spans="1:6" x14ac:dyDescent="0.3">
      <c r="A109" s="1">
        <v>22.15</v>
      </c>
      <c r="B109" s="1">
        <v>1.8389</v>
      </c>
      <c r="C109" s="1">
        <f>Tabela1[[#This Row],[Alongamento(mm/mm)]]/$I$2</f>
        <v>3.6777999999999998E-2</v>
      </c>
      <c r="D109" s="1">
        <v>13.948</v>
      </c>
      <c r="E109" s="1">
        <f>Tabela1[[#This Row],[Força(N)]]/$I$5</f>
        <v>444593.1946768667</v>
      </c>
      <c r="F109" s="1">
        <f>Tabela1[[#This Row],[Tensão(Pa)]]/1000000</f>
        <v>0.4445931946768667</v>
      </c>
    </row>
    <row r="110" spans="1:6" x14ac:dyDescent="0.3">
      <c r="A110" s="1">
        <v>22.332999999999998</v>
      </c>
      <c r="B110" s="1">
        <v>1.8542000000000001</v>
      </c>
      <c r="C110" s="1">
        <f>Tabela1[[#This Row],[Alongamento(mm/mm)]]/$I$2</f>
        <v>3.7083999999999999E-2</v>
      </c>
      <c r="D110" s="1">
        <v>14.118</v>
      </c>
      <c r="E110" s="1">
        <f>Tabela1[[#This Row],[Força(N)]]/$I$5</f>
        <v>450011.9531436768</v>
      </c>
      <c r="F110" s="1">
        <f>Tabela1[[#This Row],[Tensão(Pa)]]/1000000</f>
        <v>0.45001195314367681</v>
      </c>
    </row>
    <row r="111" spans="1:6" x14ac:dyDescent="0.3">
      <c r="A111" s="1">
        <v>22.516999999999999</v>
      </c>
      <c r="B111" s="1">
        <v>1.8694999999999999</v>
      </c>
      <c r="C111" s="1">
        <f>Tabela1[[#This Row],[Alongamento(mm/mm)]]/$I$2</f>
        <v>3.739E-2</v>
      </c>
      <c r="D111" s="1">
        <v>14.118</v>
      </c>
      <c r="E111" s="1">
        <f>Tabela1[[#This Row],[Força(N)]]/$I$5</f>
        <v>450011.9531436768</v>
      </c>
      <c r="F111" s="1">
        <f>Tabela1[[#This Row],[Tensão(Pa)]]/1000000</f>
        <v>0.45001195314367681</v>
      </c>
    </row>
    <row r="112" spans="1:6" x14ac:dyDescent="0.3">
      <c r="A112" s="1">
        <v>22.7</v>
      </c>
      <c r="B112" s="1">
        <v>1.8848</v>
      </c>
      <c r="C112" s="1">
        <f>Tabela1[[#This Row],[Alongamento(mm/mm)]]/$I$2</f>
        <v>3.7696E-2</v>
      </c>
      <c r="D112" s="1">
        <v>14.288</v>
      </c>
      <c r="E112" s="1">
        <f>Tabela1[[#This Row],[Força(N)]]/$I$5</f>
        <v>455430.71161048691</v>
      </c>
      <c r="F112" s="1">
        <f>Tabela1[[#This Row],[Tensão(Pa)]]/1000000</f>
        <v>0.45543071161048693</v>
      </c>
    </row>
    <row r="113" spans="1:6" x14ac:dyDescent="0.3">
      <c r="A113" s="1">
        <v>22.882999999999999</v>
      </c>
      <c r="B113" s="1">
        <v>1.9000999999999999</v>
      </c>
      <c r="C113" s="1">
        <f>Tabela1[[#This Row],[Alongamento(mm/mm)]]/$I$2</f>
        <v>3.8002000000000001E-2</v>
      </c>
      <c r="D113" s="1">
        <v>14.458</v>
      </c>
      <c r="E113" s="1">
        <f>Tabela1[[#This Row],[Força(N)]]/$I$5</f>
        <v>460849.47007729701</v>
      </c>
      <c r="F113" s="1">
        <f>Tabela1[[#This Row],[Tensão(Pa)]]/1000000</f>
        <v>0.46084947007729699</v>
      </c>
    </row>
    <row r="114" spans="1:6" x14ac:dyDescent="0.3">
      <c r="A114" s="1">
        <v>23.067</v>
      </c>
      <c r="B114" s="1">
        <v>1.9153</v>
      </c>
      <c r="C114" s="1">
        <f>Tabela1[[#This Row],[Alongamento(mm/mm)]]/$I$2</f>
        <v>3.8306E-2</v>
      </c>
      <c r="D114" s="1">
        <v>14.458</v>
      </c>
      <c r="E114" s="1">
        <f>Tabela1[[#This Row],[Força(N)]]/$I$5</f>
        <v>460849.47007729701</v>
      </c>
      <c r="F114" s="1">
        <f>Tabela1[[#This Row],[Tensão(Pa)]]/1000000</f>
        <v>0.46084947007729699</v>
      </c>
    </row>
    <row r="115" spans="1:6" x14ac:dyDescent="0.3">
      <c r="A115" s="1">
        <v>23.25</v>
      </c>
      <c r="B115" s="1">
        <v>1.9307000000000001</v>
      </c>
      <c r="C115" s="1">
        <f>Tabela1[[#This Row],[Alongamento(mm/mm)]]/$I$2</f>
        <v>3.8614000000000002E-2</v>
      </c>
      <c r="D115" s="1">
        <v>14.798999999999999</v>
      </c>
      <c r="E115" s="1">
        <f>Tabela1[[#This Row],[Força(N)]]/$I$5</f>
        <v>471718.86206072196</v>
      </c>
      <c r="F115" s="1">
        <f>Tabela1[[#This Row],[Tensão(Pa)]]/1000000</f>
        <v>0.47171886206072194</v>
      </c>
    </row>
    <row r="116" spans="1:6" x14ac:dyDescent="0.3">
      <c r="A116" s="1">
        <v>23.4</v>
      </c>
      <c r="B116" s="1">
        <v>1.9431</v>
      </c>
      <c r="C116" s="1">
        <f>Tabela1[[#This Row],[Alongamento(mm/mm)]]/$I$2</f>
        <v>3.8862000000000001E-2</v>
      </c>
      <c r="D116" s="1">
        <v>15.478999999999999</v>
      </c>
      <c r="E116" s="1">
        <f>Tabela1[[#This Row],[Força(N)]]/$I$5</f>
        <v>493393.89592796238</v>
      </c>
      <c r="F116" s="1">
        <f>Tabela1[[#This Row],[Tensão(Pa)]]/1000000</f>
        <v>0.4933938959279624</v>
      </c>
    </row>
    <row r="117" spans="1:6" x14ac:dyDescent="0.3">
      <c r="A117" s="1">
        <v>23.516999999999999</v>
      </c>
      <c r="B117" s="1">
        <v>1.9528000000000001</v>
      </c>
      <c r="C117" s="1">
        <f>Tabela1[[#This Row],[Alongamento(mm/mm)]]/$I$2</f>
        <v>3.9056E-2</v>
      </c>
      <c r="D117" s="1">
        <v>16.158999999999999</v>
      </c>
      <c r="E117" s="1">
        <f>Tabela1[[#This Row],[Força(N)]]/$I$5</f>
        <v>515068.9297952028</v>
      </c>
      <c r="F117" s="1">
        <f>Tabela1[[#This Row],[Tensão(Pa)]]/1000000</f>
        <v>0.5150689297952028</v>
      </c>
    </row>
    <row r="118" spans="1:6" x14ac:dyDescent="0.3">
      <c r="A118" s="1">
        <v>23.617000000000001</v>
      </c>
      <c r="B118" s="1">
        <v>1.9612000000000001</v>
      </c>
      <c r="C118" s="1">
        <f>Tabela1[[#This Row],[Alongamento(mm/mm)]]/$I$2</f>
        <v>3.9224000000000002E-2</v>
      </c>
      <c r="D118" s="1">
        <v>16.84</v>
      </c>
      <c r="E118" s="1">
        <f>Tabela1[[#This Row],[Força(N)]]/$I$5</f>
        <v>536775.83871224802</v>
      </c>
      <c r="F118" s="1">
        <f>Tabela1[[#This Row],[Tensão(Pa)]]/1000000</f>
        <v>0.53677583871224799</v>
      </c>
    </row>
    <row r="119" spans="1:6" x14ac:dyDescent="0.3">
      <c r="A119" s="1">
        <v>23.7</v>
      </c>
      <c r="B119" s="1">
        <v>1.9681999999999999</v>
      </c>
      <c r="C119" s="1">
        <f>Tabela1[[#This Row],[Alongamento(mm/mm)]]/$I$2</f>
        <v>3.9363999999999996E-2</v>
      </c>
      <c r="D119" s="1">
        <v>17.52</v>
      </c>
      <c r="E119" s="1">
        <f>Tabela1[[#This Row],[Força(N)]]/$I$5</f>
        <v>558450.87257948844</v>
      </c>
      <c r="F119" s="1">
        <f>Tabela1[[#This Row],[Tensão(Pa)]]/1000000</f>
        <v>0.55845087257948844</v>
      </c>
    </row>
    <row r="120" spans="1:6" x14ac:dyDescent="0.3">
      <c r="A120" s="1">
        <v>23.8</v>
      </c>
      <c r="B120" s="1">
        <v>1.9764999999999999</v>
      </c>
      <c r="C120" s="1">
        <f>Tabela1[[#This Row],[Alongamento(mm/mm)]]/$I$2</f>
        <v>3.9529999999999996E-2</v>
      </c>
      <c r="D120" s="1">
        <v>18.201000000000001</v>
      </c>
      <c r="E120" s="1">
        <f>Tabela1[[#This Row],[Força(N)]]/$I$5</f>
        <v>580157.78149653366</v>
      </c>
      <c r="F120" s="1">
        <f>Tabela1[[#This Row],[Tensão(Pa)]]/1000000</f>
        <v>0.58015778149653363</v>
      </c>
    </row>
    <row r="121" spans="1:6" x14ac:dyDescent="0.3">
      <c r="A121" s="1">
        <v>23.933</v>
      </c>
      <c r="B121" s="1">
        <v>1.9875</v>
      </c>
      <c r="C121" s="1">
        <f>Tabela1[[#This Row],[Alongamento(mm/mm)]]/$I$2</f>
        <v>3.9750000000000001E-2</v>
      </c>
      <c r="D121" s="1">
        <v>18.881</v>
      </c>
      <c r="E121" s="1">
        <f>Tabela1[[#This Row],[Força(N)]]/$I$5</f>
        <v>601832.81536377408</v>
      </c>
      <c r="F121" s="1">
        <f>Tabela1[[#This Row],[Tensão(Pa)]]/1000000</f>
        <v>0.60183281536377409</v>
      </c>
    </row>
    <row r="122" spans="1:6" x14ac:dyDescent="0.3">
      <c r="A122" s="1">
        <v>24.05</v>
      </c>
      <c r="B122" s="1">
        <v>1.9972000000000001</v>
      </c>
      <c r="C122" s="1">
        <f>Tabela1[[#This Row],[Alongamento(mm/mm)]]/$I$2</f>
        <v>3.9944E-2</v>
      </c>
      <c r="D122" s="1">
        <v>19.561</v>
      </c>
      <c r="E122" s="1">
        <f>Tabela1[[#This Row],[Força(N)]]/$I$5</f>
        <v>623507.84923101449</v>
      </c>
      <c r="F122" s="1">
        <f>Tabela1[[#This Row],[Tensão(Pa)]]/1000000</f>
        <v>0.62350784923101454</v>
      </c>
    </row>
    <row r="123" spans="1:6" x14ac:dyDescent="0.3">
      <c r="A123" s="1">
        <v>24.2</v>
      </c>
      <c r="B123" s="1">
        <v>2.0097999999999998</v>
      </c>
      <c r="C123" s="1">
        <f>Tabela1[[#This Row],[Alongamento(mm/mm)]]/$I$2</f>
        <v>4.0195999999999996E-2</v>
      </c>
      <c r="D123" s="1">
        <v>20.242000000000001</v>
      </c>
      <c r="E123" s="1">
        <f>Tabela1[[#This Row],[Força(N)]]/$I$5</f>
        <v>645214.75814805971</v>
      </c>
      <c r="F123" s="1">
        <f>Tabela1[[#This Row],[Tensão(Pa)]]/1000000</f>
        <v>0.64521475814805973</v>
      </c>
    </row>
    <row r="124" spans="1:6" x14ac:dyDescent="0.3">
      <c r="A124" s="1">
        <v>24.332999999999998</v>
      </c>
      <c r="B124" s="1">
        <v>2.0207999999999999</v>
      </c>
      <c r="C124" s="1">
        <f>Tabela1[[#This Row],[Alongamento(mm/mm)]]/$I$2</f>
        <v>4.0416000000000001E-2</v>
      </c>
      <c r="D124" s="1">
        <v>20.922000000000001</v>
      </c>
      <c r="E124" s="1">
        <f>Tabela1[[#This Row],[Força(N)]]/$I$5</f>
        <v>666889.79201530013</v>
      </c>
      <c r="F124" s="1">
        <f>Tabela1[[#This Row],[Tensão(Pa)]]/1000000</f>
        <v>0.66688979201530019</v>
      </c>
    </row>
    <row r="125" spans="1:6" x14ac:dyDescent="0.3">
      <c r="A125" s="1">
        <v>24.45</v>
      </c>
      <c r="B125" s="1">
        <v>2.0306000000000002</v>
      </c>
      <c r="C125" s="1">
        <f>Tabela1[[#This Row],[Alongamento(mm/mm)]]/$I$2</f>
        <v>4.0612000000000002E-2</v>
      </c>
      <c r="D125" s="1">
        <v>21.603000000000002</v>
      </c>
      <c r="E125" s="1">
        <f>Tabela1[[#This Row],[Força(N)]]/$I$5</f>
        <v>688596.70093234535</v>
      </c>
      <c r="F125" s="1">
        <f>Tabela1[[#This Row],[Tensão(Pa)]]/1000000</f>
        <v>0.68859670093234537</v>
      </c>
    </row>
    <row r="126" spans="1:6" x14ac:dyDescent="0.3">
      <c r="A126" s="1">
        <v>24.617000000000001</v>
      </c>
      <c r="B126" s="1">
        <v>2.0445000000000002</v>
      </c>
      <c r="C126" s="1">
        <f>Tabela1[[#This Row],[Alongamento(mm/mm)]]/$I$2</f>
        <v>4.0890000000000003E-2</v>
      </c>
      <c r="D126" s="1">
        <v>22.283000000000001</v>
      </c>
      <c r="E126" s="1">
        <f>Tabela1[[#This Row],[Força(N)]]/$I$5</f>
        <v>710271.73479958565</v>
      </c>
      <c r="F126" s="1">
        <f>Tabela1[[#This Row],[Tensão(Pa)]]/1000000</f>
        <v>0.71027173479958561</v>
      </c>
    </row>
    <row r="127" spans="1:6" x14ac:dyDescent="0.3">
      <c r="A127" s="1">
        <v>24.7</v>
      </c>
      <c r="B127" s="1">
        <v>2.0514999999999999</v>
      </c>
      <c r="C127" s="1">
        <f>Tabela1[[#This Row],[Alongamento(mm/mm)]]/$I$2</f>
        <v>4.1029999999999997E-2</v>
      </c>
      <c r="D127" s="1">
        <v>22.963000000000001</v>
      </c>
      <c r="E127" s="1">
        <f>Tabela1[[#This Row],[Força(N)]]/$I$5</f>
        <v>731946.76866682607</v>
      </c>
      <c r="F127" s="1">
        <f>Tabela1[[#This Row],[Tensão(Pa)]]/1000000</f>
        <v>0.73194676866682606</v>
      </c>
    </row>
    <row r="128" spans="1:6" x14ac:dyDescent="0.3">
      <c r="A128" s="1">
        <v>24.817</v>
      </c>
      <c r="B128" s="1">
        <v>2.0611000000000002</v>
      </c>
      <c r="C128" s="1">
        <f>Tabela1[[#This Row],[Alongamento(mm/mm)]]/$I$2</f>
        <v>4.1222000000000002E-2</v>
      </c>
      <c r="D128" s="1">
        <v>23.643999999999998</v>
      </c>
      <c r="E128" s="1">
        <f>Tabela1[[#This Row],[Força(N)]]/$I$5</f>
        <v>753653.67758387118</v>
      </c>
      <c r="F128" s="1">
        <f>Tabela1[[#This Row],[Tensão(Pa)]]/1000000</f>
        <v>0.75365367758387114</v>
      </c>
    </row>
    <row r="129" spans="1:6" x14ac:dyDescent="0.3">
      <c r="A129" s="1">
        <v>24.933</v>
      </c>
      <c r="B129" s="1">
        <v>2.0709</v>
      </c>
      <c r="C129" s="1">
        <f>Tabela1[[#This Row],[Alongamento(mm/mm)]]/$I$2</f>
        <v>4.1417999999999996E-2</v>
      </c>
      <c r="D129" s="1">
        <v>24.324000000000002</v>
      </c>
      <c r="E129" s="1">
        <f>Tabela1[[#This Row],[Força(N)]]/$I$5</f>
        <v>775328.71145111171</v>
      </c>
      <c r="F129" s="1">
        <f>Tabela1[[#This Row],[Tensão(Pa)]]/1000000</f>
        <v>0.77532871145111171</v>
      </c>
    </row>
    <row r="130" spans="1:6" x14ac:dyDescent="0.3">
      <c r="A130" s="1">
        <v>25.033000000000001</v>
      </c>
      <c r="B130" s="1">
        <v>2.0792000000000002</v>
      </c>
      <c r="C130" s="1">
        <f>Tabela1[[#This Row],[Alongamento(mm/mm)]]/$I$2</f>
        <v>4.1584000000000003E-2</v>
      </c>
      <c r="D130" s="1">
        <v>25.004999999999999</v>
      </c>
      <c r="E130" s="1">
        <f>Tabela1[[#This Row],[Força(N)]]/$I$5</f>
        <v>797035.62036815681</v>
      </c>
      <c r="F130" s="1">
        <f>Tabela1[[#This Row],[Tensão(Pa)]]/1000000</f>
        <v>0.79703562036815678</v>
      </c>
    </row>
    <row r="131" spans="1:6" x14ac:dyDescent="0.3">
      <c r="A131" s="1">
        <v>25.15</v>
      </c>
      <c r="B131" s="1">
        <v>2.0889000000000002</v>
      </c>
      <c r="C131" s="1">
        <f>Tabela1[[#This Row],[Alongamento(mm/mm)]]/$I$2</f>
        <v>4.1778000000000003E-2</v>
      </c>
      <c r="D131" s="1">
        <v>25.855</v>
      </c>
      <c r="E131" s="1">
        <f>Tabela1[[#This Row],[Força(N)]]/$I$5</f>
        <v>824129.41270220745</v>
      </c>
      <c r="F131" s="1">
        <f>Tabela1[[#This Row],[Tensão(Pa)]]/1000000</f>
        <v>0.82412941270220741</v>
      </c>
    </row>
    <row r="132" spans="1:6" x14ac:dyDescent="0.3">
      <c r="A132" s="1">
        <v>25.266999999999999</v>
      </c>
      <c r="B132" s="1">
        <v>2.0985999999999998</v>
      </c>
      <c r="C132" s="1">
        <f>Tabela1[[#This Row],[Alongamento(mm/mm)]]/$I$2</f>
        <v>4.1971999999999995E-2</v>
      </c>
      <c r="D132" s="1">
        <v>26.535</v>
      </c>
      <c r="E132" s="1">
        <f>Tabela1[[#This Row],[Força(N)]]/$I$5</f>
        <v>845804.44656944787</v>
      </c>
      <c r="F132" s="1">
        <f>Tabela1[[#This Row],[Tensão(Pa)]]/1000000</f>
        <v>0.84580444656944787</v>
      </c>
    </row>
    <row r="133" spans="1:6" x14ac:dyDescent="0.3">
      <c r="A133" s="1">
        <v>25.367000000000001</v>
      </c>
      <c r="B133" s="1">
        <v>2.1070000000000002</v>
      </c>
      <c r="C133" s="1">
        <f>Tabela1[[#This Row],[Alongamento(mm/mm)]]/$I$2</f>
        <v>4.2140000000000004E-2</v>
      </c>
      <c r="D133" s="1">
        <v>27.216000000000001</v>
      </c>
      <c r="E133" s="1">
        <f>Tabela1[[#This Row],[Força(N)]]/$I$5</f>
        <v>867511.35548649298</v>
      </c>
      <c r="F133" s="1">
        <f>Tabela1[[#This Row],[Tensão(Pa)]]/1000000</f>
        <v>0.86751135548649294</v>
      </c>
    </row>
    <row r="134" spans="1:6" x14ac:dyDescent="0.3">
      <c r="A134" s="1">
        <v>25.483000000000001</v>
      </c>
      <c r="B134" s="1">
        <v>2.1166999999999998</v>
      </c>
      <c r="C134" s="1">
        <f>Tabela1[[#This Row],[Alongamento(mm/mm)]]/$I$2</f>
        <v>4.2333999999999997E-2</v>
      </c>
      <c r="D134" s="1">
        <v>27.896000000000001</v>
      </c>
      <c r="E134" s="1">
        <f>Tabela1[[#This Row],[Força(N)]]/$I$5</f>
        <v>889186.38935373339</v>
      </c>
      <c r="F134" s="1">
        <f>Tabela1[[#This Row],[Tensão(Pa)]]/1000000</f>
        <v>0.8891863893537334</v>
      </c>
    </row>
    <row r="135" spans="1:6" x14ac:dyDescent="0.3">
      <c r="A135" s="1">
        <v>25.582999999999998</v>
      </c>
      <c r="B135" s="1">
        <v>2.125</v>
      </c>
      <c r="C135" s="1">
        <f>Tabela1[[#This Row],[Alongamento(mm/mm)]]/$I$2</f>
        <v>4.2500000000000003E-2</v>
      </c>
      <c r="D135" s="1">
        <v>28.577000000000002</v>
      </c>
      <c r="E135" s="1">
        <f>Tabela1[[#This Row],[Força(N)]]/$I$5</f>
        <v>910893.29827077861</v>
      </c>
      <c r="F135" s="1">
        <f>Tabela1[[#This Row],[Tensão(Pa)]]/1000000</f>
        <v>0.91089329827077858</v>
      </c>
    </row>
    <row r="136" spans="1:6" x14ac:dyDescent="0.3">
      <c r="A136" s="1">
        <v>25.683</v>
      </c>
      <c r="B136" s="1">
        <v>2.1334</v>
      </c>
      <c r="C136" s="1">
        <f>Tabela1[[#This Row],[Alongamento(mm/mm)]]/$I$2</f>
        <v>4.2667999999999998E-2</v>
      </c>
      <c r="D136" s="1">
        <v>29.257000000000001</v>
      </c>
      <c r="E136" s="1">
        <f>Tabela1[[#This Row],[Força(N)]]/$I$5</f>
        <v>932568.33213801903</v>
      </c>
      <c r="F136" s="1">
        <f>Tabela1[[#This Row],[Tensão(Pa)]]/1000000</f>
        <v>0.93256833213801904</v>
      </c>
    </row>
    <row r="137" spans="1:6" x14ac:dyDescent="0.3">
      <c r="A137" s="1">
        <v>25.783000000000001</v>
      </c>
      <c r="B137" s="1">
        <v>2.1417000000000002</v>
      </c>
      <c r="C137" s="1">
        <f>Tabela1[[#This Row],[Alongamento(mm/mm)]]/$I$2</f>
        <v>4.2834000000000004E-2</v>
      </c>
      <c r="D137" s="1">
        <v>29.937000000000001</v>
      </c>
      <c r="E137" s="1">
        <f>Tabela1[[#This Row],[Força(N)]]/$I$5</f>
        <v>954243.36600525945</v>
      </c>
      <c r="F137" s="1">
        <f>Tabela1[[#This Row],[Tensão(Pa)]]/1000000</f>
        <v>0.9542433660052595</v>
      </c>
    </row>
    <row r="138" spans="1:6" x14ac:dyDescent="0.3">
      <c r="A138" s="1">
        <v>25.882999999999999</v>
      </c>
      <c r="B138" s="1">
        <v>2.15</v>
      </c>
      <c r="C138" s="1">
        <f>Tabela1[[#This Row],[Alongamento(mm/mm)]]/$I$2</f>
        <v>4.2999999999999997E-2</v>
      </c>
      <c r="D138" s="1">
        <v>30.617999999999999</v>
      </c>
      <c r="E138" s="1">
        <f>Tabela1[[#This Row],[Força(N)]]/$I$5</f>
        <v>975950.27492230455</v>
      </c>
      <c r="F138" s="1">
        <f>Tabela1[[#This Row],[Tensão(Pa)]]/1000000</f>
        <v>0.97595027492230457</v>
      </c>
    </row>
    <row r="139" spans="1:6" x14ac:dyDescent="0.3">
      <c r="A139" s="1">
        <v>25.983000000000001</v>
      </c>
      <c r="B139" s="1">
        <v>2.1583999999999999</v>
      </c>
      <c r="C139" s="1">
        <f>Tabela1[[#This Row],[Alongamento(mm/mm)]]/$I$2</f>
        <v>4.3167999999999998E-2</v>
      </c>
      <c r="D139" s="1">
        <v>31.297999999999998</v>
      </c>
      <c r="E139" s="1">
        <f>Tabela1[[#This Row],[Força(N)]]/$I$5</f>
        <v>997625.30878954497</v>
      </c>
      <c r="F139" s="1">
        <f>Tabela1[[#This Row],[Tensão(Pa)]]/1000000</f>
        <v>0.99762530878954492</v>
      </c>
    </row>
    <row r="140" spans="1:6" x14ac:dyDescent="0.3">
      <c r="A140" s="1">
        <v>26.082999999999998</v>
      </c>
      <c r="B140" s="1">
        <v>2.1667000000000001</v>
      </c>
      <c r="C140" s="1">
        <f>Tabela1[[#This Row],[Alongamento(mm/mm)]]/$I$2</f>
        <v>4.3334000000000004E-2</v>
      </c>
      <c r="D140" s="1">
        <v>31.978999999999999</v>
      </c>
      <c r="E140" s="1">
        <f>Tabela1[[#This Row],[Força(N)]]/$I$5</f>
        <v>1019332.2177065902</v>
      </c>
      <c r="F140" s="1">
        <f>Tabela1[[#This Row],[Tensão(Pa)]]/1000000</f>
        <v>1.0193322177065902</v>
      </c>
    </row>
    <row r="141" spans="1:6" x14ac:dyDescent="0.3">
      <c r="A141" s="1">
        <v>26.183</v>
      </c>
      <c r="B141" s="1">
        <v>2.1749999999999998</v>
      </c>
      <c r="C141" s="1">
        <f>Tabela1[[#This Row],[Alongamento(mm/mm)]]/$I$2</f>
        <v>4.3499999999999997E-2</v>
      </c>
      <c r="D141" s="1">
        <v>32.658999999999999</v>
      </c>
      <c r="E141" s="1">
        <f>Tabela1[[#This Row],[Força(N)]]/$I$5</f>
        <v>1041007.2515738306</v>
      </c>
      <c r="F141" s="1">
        <f>Tabela1[[#This Row],[Tensão(Pa)]]/1000000</f>
        <v>1.0410072515738307</v>
      </c>
    </row>
    <row r="142" spans="1:6" x14ac:dyDescent="0.3">
      <c r="A142" s="1">
        <v>26.283000000000001</v>
      </c>
      <c r="B142" s="1">
        <v>2.1833</v>
      </c>
      <c r="C142" s="1">
        <f>Tabela1[[#This Row],[Alongamento(mm/mm)]]/$I$2</f>
        <v>4.3666000000000003E-2</v>
      </c>
      <c r="D142" s="1">
        <v>33.338999999999999</v>
      </c>
      <c r="E142" s="1">
        <f>Tabela1[[#This Row],[Força(N)]]/$I$5</f>
        <v>1062682.285441071</v>
      </c>
      <c r="F142" s="1">
        <f>Tabela1[[#This Row],[Tensão(Pa)]]/1000000</f>
        <v>1.0626822854410711</v>
      </c>
    </row>
    <row r="143" spans="1:6" x14ac:dyDescent="0.3">
      <c r="A143" s="1">
        <v>26.382999999999999</v>
      </c>
      <c r="B143" s="1">
        <v>2.1917</v>
      </c>
      <c r="C143" s="1">
        <f>Tabela1[[#This Row],[Alongamento(mm/mm)]]/$I$2</f>
        <v>4.3833999999999998E-2</v>
      </c>
      <c r="D143" s="1">
        <v>34.020000000000003</v>
      </c>
      <c r="E143" s="1">
        <f>Tabela1[[#This Row],[Força(N)]]/$I$5</f>
        <v>1084389.1943581162</v>
      </c>
      <c r="F143" s="1">
        <f>Tabela1[[#This Row],[Tensão(Pa)]]/1000000</f>
        <v>1.0843891943581163</v>
      </c>
    </row>
    <row r="144" spans="1:6" x14ac:dyDescent="0.3">
      <c r="A144" s="1">
        <v>26.483000000000001</v>
      </c>
      <c r="B144" s="1">
        <v>2.2000999999999999</v>
      </c>
      <c r="C144" s="1">
        <f>Tabela1[[#This Row],[Alongamento(mm/mm)]]/$I$2</f>
        <v>4.4001999999999999E-2</v>
      </c>
      <c r="D144" s="1">
        <v>34.700000000000003</v>
      </c>
      <c r="E144" s="1">
        <f>Tabela1[[#This Row],[Força(N)]]/$I$5</f>
        <v>1106064.2282253567</v>
      </c>
      <c r="F144" s="1">
        <f>Tabela1[[#This Row],[Tensão(Pa)]]/1000000</f>
        <v>1.1060642282253568</v>
      </c>
    </row>
    <row r="145" spans="1:6" x14ac:dyDescent="0.3">
      <c r="A145" s="1">
        <v>26.567</v>
      </c>
      <c r="B145" s="1">
        <v>2.2069999999999999</v>
      </c>
      <c r="C145" s="1">
        <f>Tabela1[[#This Row],[Alongamento(mm/mm)]]/$I$2</f>
        <v>4.4139999999999999E-2</v>
      </c>
      <c r="D145" s="1">
        <v>35.381</v>
      </c>
      <c r="E145" s="1">
        <f>Tabela1[[#This Row],[Força(N)]]/$I$5</f>
        <v>1127771.1371424019</v>
      </c>
      <c r="F145" s="1">
        <f>Tabela1[[#This Row],[Tensão(Pa)]]/1000000</f>
        <v>1.127771137142402</v>
      </c>
    </row>
    <row r="146" spans="1:6" x14ac:dyDescent="0.3">
      <c r="A146" s="1">
        <v>26.667000000000002</v>
      </c>
      <c r="B146" s="1">
        <v>2.2153</v>
      </c>
      <c r="C146" s="1">
        <f>Tabela1[[#This Row],[Alongamento(mm/mm)]]/$I$2</f>
        <v>4.4305999999999998E-2</v>
      </c>
      <c r="D146" s="1">
        <v>36.061</v>
      </c>
      <c r="E146" s="1">
        <f>Tabela1[[#This Row],[Força(N)]]/$I$5</f>
        <v>1149446.1710096423</v>
      </c>
      <c r="F146" s="1">
        <f>Tabela1[[#This Row],[Tensão(Pa)]]/1000000</f>
        <v>1.1494461710096424</v>
      </c>
    </row>
    <row r="147" spans="1:6" x14ac:dyDescent="0.3">
      <c r="A147" s="1">
        <v>26.75</v>
      </c>
      <c r="B147" s="1">
        <v>2.2222</v>
      </c>
      <c r="C147" s="1">
        <f>Tabela1[[#This Row],[Alongamento(mm/mm)]]/$I$2</f>
        <v>4.4443999999999997E-2</v>
      </c>
      <c r="D147" s="1">
        <v>36.741</v>
      </c>
      <c r="E147" s="1">
        <f>Tabela1[[#This Row],[Força(N)]]/$I$5</f>
        <v>1171121.2048768827</v>
      </c>
      <c r="F147" s="1">
        <f>Tabela1[[#This Row],[Tensão(Pa)]]/1000000</f>
        <v>1.1711212048768826</v>
      </c>
    </row>
    <row r="148" spans="1:6" x14ac:dyDescent="0.3">
      <c r="A148" s="1">
        <v>26.85</v>
      </c>
      <c r="B148" s="1">
        <v>2.2305999999999999</v>
      </c>
      <c r="C148" s="1">
        <f>Tabela1[[#This Row],[Alongamento(mm/mm)]]/$I$2</f>
        <v>4.4611999999999999E-2</v>
      </c>
      <c r="D148" s="1">
        <v>37.421999999999997</v>
      </c>
      <c r="E148" s="1">
        <f>Tabela1[[#This Row],[Força(N)]]/$I$5</f>
        <v>1192828.1137939277</v>
      </c>
      <c r="F148" s="1">
        <f>Tabela1[[#This Row],[Tensão(Pa)]]/1000000</f>
        <v>1.1928281137939276</v>
      </c>
    </row>
    <row r="149" spans="1:6" x14ac:dyDescent="0.3">
      <c r="A149" s="1">
        <v>26.933</v>
      </c>
      <c r="B149" s="1">
        <v>2.2376</v>
      </c>
      <c r="C149" s="1">
        <f>Tabela1[[#This Row],[Alongamento(mm/mm)]]/$I$2</f>
        <v>4.4752E-2</v>
      </c>
      <c r="D149" s="1">
        <v>38.101999999999997</v>
      </c>
      <c r="E149" s="1">
        <f>Tabela1[[#This Row],[Força(N)]]/$I$5</f>
        <v>1214503.1476611681</v>
      </c>
      <c r="F149" s="1">
        <f>Tabela1[[#This Row],[Tensão(Pa)]]/1000000</f>
        <v>1.2145031476611681</v>
      </c>
    </row>
    <row r="150" spans="1:6" x14ac:dyDescent="0.3">
      <c r="A150" s="1">
        <v>27.033000000000001</v>
      </c>
      <c r="B150" s="1">
        <v>2.2458999999999998</v>
      </c>
      <c r="C150" s="1">
        <f>Tabela1[[#This Row],[Alongamento(mm/mm)]]/$I$2</f>
        <v>4.4917999999999993E-2</v>
      </c>
      <c r="D150" s="1">
        <v>38.783000000000001</v>
      </c>
      <c r="E150" s="1">
        <f>Tabela1[[#This Row],[Força(N)]]/$I$5</f>
        <v>1236210.0565782136</v>
      </c>
      <c r="F150" s="1">
        <f>Tabela1[[#This Row],[Tensão(Pa)]]/1000000</f>
        <v>1.2362100565782135</v>
      </c>
    </row>
    <row r="151" spans="1:6" x14ac:dyDescent="0.3">
      <c r="A151" s="1">
        <v>27.117000000000001</v>
      </c>
      <c r="B151" s="1">
        <v>2.2528000000000001</v>
      </c>
      <c r="C151" s="1">
        <f>Tabela1[[#This Row],[Alongamento(mm/mm)]]/$I$2</f>
        <v>4.5056000000000006E-2</v>
      </c>
      <c r="D151" s="1">
        <v>39.463000000000001</v>
      </c>
      <c r="E151" s="1">
        <f>Tabela1[[#This Row],[Força(N)]]/$I$5</f>
        <v>1257885.090445454</v>
      </c>
      <c r="F151" s="1">
        <f>Tabela1[[#This Row],[Tensão(Pa)]]/1000000</f>
        <v>1.2578850904454539</v>
      </c>
    </row>
    <row r="152" spans="1:6" x14ac:dyDescent="0.3">
      <c r="A152" s="1">
        <v>27.216999999999999</v>
      </c>
      <c r="B152" s="1">
        <v>2.2610999999999999</v>
      </c>
      <c r="C152" s="1">
        <f>Tabela1[[#This Row],[Alongamento(mm/mm)]]/$I$2</f>
        <v>4.5221999999999998E-2</v>
      </c>
      <c r="D152" s="1">
        <v>40.143000000000001</v>
      </c>
      <c r="E152" s="1">
        <f>Tabela1[[#This Row],[Força(N)]]/$I$5</f>
        <v>1279560.1243126944</v>
      </c>
      <c r="F152" s="1">
        <f>Tabela1[[#This Row],[Tensão(Pa)]]/1000000</f>
        <v>1.2795601243126944</v>
      </c>
    </row>
    <row r="153" spans="1:6" x14ac:dyDescent="0.3">
      <c r="A153" s="1">
        <v>27.317</v>
      </c>
      <c r="B153" s="1">
        <v>2.2694000000000001</v>
      </c>
      <c r="C153" s="1">
        <f>Tabela1[[#This Row],[Alongamento(mm/mm)]]/$I$2</f>
        <v>4.5388000000000005E-2</v>
      </c>
      <c r="D153" s="1">
        <v>40.823999999999998</v>
      </c>
      <c r="E153" s="1">
        <f>Tabela1[[#This Row],[Força(N)]]/$I$5</f>
        <v>1301267.0332297394</v>
      </c>
      <c r="F153" s="1">
        <f>Tabela1[[#This Row],[Tensão(Pa)]]/1000000</f>
        <v>1.3012670332297394</v>
      </c>
    </row>
    <row r="154" spans="1:6" x14ac:dyDescent="0.3">
      <c r="A154" s="1">
        <v>27.4</v>
      </c>
      <c r="B154" s="1">
        <v>2.2764000000000002</v>
      </c>
      <c r="C154" s="1">
        <f>Tabela1[[#This Row],[Alongamento(mm/mm)]]/$I$2</f>
        <v>4.5528000000000006E-2</v>
      </c>
      <c r="D154" s="1">
        <v>41.503999999999998</v>
      </c>
      <c r="E154" s="1">
        <f>Tabela1[[#This Row],[Força(N)]]/$I$5</f>
        <v>1322942.0670969798</v>
      </c>
      <c r="F154" s="1">
        <f>Tabela1[[#This Row],[Tensão(Pa)]]/1000000</f>
        <v>1.3229420670969798</v>
      </c>
    </row>
    <row r="155" spans="1:6" x14ac:dyDescent="0.3">
      <c r="A155" s="1">
        <v>27.483000000000001</v>
      </c>
      <c r="B155" s="1">
        <v>2.2833999999999999</v>
      </c>
      <c r="C155" s="1">
        <f>Tabela1[[#This Row],[Alongamento(mm/mm)]]/$I$2</f>
        <v>4.5668E-2</v>
      </c>
      <c r="D155" s="1">
        <v>42.185000000000002</v>
      </c>
      <c r="E155" s="1">
        <f>Tabela1[[#This Row],[Força(N)]]/$I$5</f>
        <v>1344648.9760140253</v>
      </c>
      <c r="F155" s="1">
        <f>Tabela1[[#This Row],[Tensão(Pa)]]/1000000</f>
        <v>1.3446489760140252</v>
      </c>
    </row>
    <row r="156" spans="1:6" x14ac:dyDescent="0.3">
      <c r="A156" s="1">
        <v>27.582999999999998</v>
      </c>
      <c r="B156" s="1">
        <v>2.2915999999999999</v>
      </c>
      <c r="C156" s="1">
        <f>Tabela1[[#This Row],[Alongamento(mm/mm)]]/$I$2</f>
        <v>4.5831999999999998E-2</v>
      </c>
      <c r="D156" s="1">
        <v>42.865000000000002</v>
      </c>
      <c r="E156" s="1">
        <f>Tabela1[[#This Row],[Força(N)]]/$I$5</f>
        <v>1366324.0098812657</v>
      </c>
      <c r="F156" s="1">
        <f>Tabela1[[#This Row],[Tensão(Pa)]]/1000000</f>
        <v>1.3663240098812657</v>
      </c>
    </row>
    <row r="157" spans="1:6" x14ac:dyDescent="0.3">
      <c r="A157" s="1">
        <v>27.667000000000002</v>
      </c>
      <c r="B157" s="1">
        <v>2.2986</v>
      </c>
      <c r="C157" s="1">
        <f>Tabela1[[#This Row],[Alongamento(mm/mm)]]/$I$2</f>
        <v>4.5971999999999999E-2</v>
      </c>
      <c r="D157" s="1">
        <v>43.545000000000002</v>
      </c>
      <c r="E157" s="1">
        <f>Tabela1[[#This Row],[Força(N)]]/$I$5</f>
        <v>1387999.0437485059</v>
      </c>
      <c r="F157" s="1">
        <f>Tabela1[[#This Row],[Tensão(Pa)]]/1000000</f>
        <v>1.3879990437485059</v>
      </c>
    </row>
    <row r="158" spans="1:6" x14ac:dyDescent="0.3">
      <c r="A158" s="1">
        <v>27.766999999999999</v>
      </c>
      <c r="B158" s="1">
        <v>2.3069999999999999</v>
      </c>
      <c r="C158" s="1">
        <f>Tabela1[[#This Row],[Alongamento(mm/mm)]]/$I$2</f>
        <v>4.614E-2</v>
      </c>
      <c r="D158" s="1">
        <v>44.225999999999999</v>
      </c>
      <c r="E158" s="1">
        <f>Tabela1[[#This Row],[Força(N)]]/$I$5</f>
        <v>1409705.9526655511</v>
      </c>
      <c r="F158" s="1">
        <f>Tabela1[[#This Row],[Tensão(Pa)]]/1000000</f>
        <v>1.4097059526655511</v>
      </c>
    </row>
    <row r="159" spans="1:6" x14ac:dyDescent="0.3">
      <c r="A159" s="1">
        <v>27.85</v>
      </c>
      <c r="B159" s="1">
        <v>2.3138999999999998</v>
      </c>
      <c r="C159" s="1">
        <f>Tabela1[[#This Row],[Alongamento(mm/mm)]]/$I$2</f>
        <v>4.6278E-2</v>
      </c>
      <c r="D159" s="1">
        <v>44.905999999999999</v>
      </c>
      <c r="E159" s="1">
        <f>Tabela1[[#This Row],[Força(N)]]/$I$5</f>
        <v>1431380.9865327915</v>
      </c>
      <c r="F159" s="1">
        <f>Tabela1[[#This Row],[Tensão(Pa)]]/1000000</f>
        <v>1.4313809865327916</v>
      </c>
    </row>
    <row r="160" spans="1:6" x14ac:dyDescent="0.3">
      <c r="A160" s="1">
        <v>27.933</v>
      </c>
      <c r="B160" s="1">
        <v>2.3208000000000002</v>
      </c>
      <c r="C160" s="1">
        <f>Tabela1[[#This Row],[Alongamento(mm/mm)]]/$I$2</f>
        <v>4.6416000000000006E-2</v>
      </c>
      <c r="D160" s="1">
        <v>45.585999999999999</v>
      </c>
      <c r="E160" s="1">
        <f>Tabela1[[#This Row],[Força(N)]]/$I$5</f>
        <v>1453056.0204000319</v>
      </c>
      <c r="F160" s="1">
        <f>Tabela1[[#This Row],[Tensão(Pa)]]/1000000</f>
        <v>1.453056020400032</v>
      </c>
    </row>
    <row r="161" spans="1:6" x14ac:dyDescent="0.3">
      <c r="A161" s="1">
        <v>28.016999999999999</v>
      </c>
      <c r="B161" s="1">
        <v>2.3277999999999999</v>
      </c>
      <c r="C161" s="1">
        <f>Tabela1[[#This Row],[Alongamento(mm/mm)]]/$I$2</f>
        <v>4.6556E-2</v>
      </c>
      <c r="D161" s="1">
        <v>46.267000000000003</v>
      </c>
      <c r="E161" s="1">
        <f>Tabela1[[#This Row],[Força(N)]]/$I$5</f>
        <v>1474762.9293170772</v>
      </c>
      <c r="F161" s="1">
        <f>Tabela1[[#This Row],[Tensão(Pa)]]/1000000</f>
        <v>1.4747629293170772</v>
      </c>
    </row>
    <row r="162" spans="1:6" x14ac:dyDescent="0.3">
      <c r="A162" s="1">
        <v>28.1</v>
      </c>
      <c r="B162" s="1">
        <v>2.3348</v>
      </c>
      <c r="C162" s="1">
        <f>Tabela1[[#This Row],[Alongamento(mm/mm)]]/$I$2</f>
        <v>4.6696000000000001E-2</v>
      </c>
      <c r="D162" s="1">
        <v>46.947000000000003</v>
      </c>
      <c r="E162" s="1">
        <f>Tabela1[[#This Row],[Força(N)]]/$I$5</f>
        <v>1496437.9631843176</v>
      </c>
      <c r="F162" s="1">
        <f>Tabela1[[#This Row],[Tensão(Pa)]]/1000000</f>
        <v>1.4964379631843177</v>
      </c>
    </row>
    <row r="163" spans="1:6" x14ac:dyDescent="0.3">
      <c r="A163" s="1">
        <v>28.183</v>
      </c>
      <c r="B163" s="1">
        <v>2.3416999999999999</v>
      </c>
      <c r="C163" s="1">
        <f>Tabela1[[#This Row],[Alongamento(mm/mm)]]/$I$2</f>
        <v>4.6834000000000001E-2</v>
      </c>
      <c r="D163" s="1">
        <v>47.628</v>
      </c>
      <c r="E163" s="1">
        <f>Tabela1[[#This Row],[Força(N)]]/$I$5</f>
        <v>1518144.8721013628</v>
      </c>
      <c r="F163" s="1">
        <f>Tabela1[[#This Row],[Tensão(Pa)]]/1000000</f>
        <v>1.5181448721013628</v>
      </c>
    </row>
    <row r="164" spans="1:6" x14ac:dyDescent="0.3">
      <c r="A164" s="1">
        <v>28.266999999999999</v>
      </c>
      <c r="B164" s="1">
        <v>2.3487</v>
      </c>
      <c r="C164" s="1">
        <f>Tabela1[[#This Row],[Alongamento(mm/mm)]]/$I$2</f>
        <v>4.6974000000000002E-2</v>
      </c>
      <c r="D164" s="1">
        <v>48.308</v>
      </c>
      <c r="E164" s="1">
        <f>Tabela1[[#This Row],[Força(N)]]/$I$5</f>
        <v>1539819.9059686032</v>
      </c>
      <c r="F164" s="1">
        <f>Tabela1[[#This Row],[Tensão(Pa)]]/1000000</f>
        <v>1.5398199059686033</v>
      </c>
    </row>
    <row r="165" spans="1:6" x14ac:dyDescent="0.3">
      <c r="A165" s="1">
        <v>28.332999999999998</v>
      </c>
      <c r="B165" s="1">
        <v>2.3542999999999998</v>
      </c>
      <c r="C165" s="1">
        <f>Tabela1[[#This Row],[Alongamento(mm/mm)]]/$I$2</f>
        <v>4.7085999999999996E-2</v>
      </c>
      <c r="D165" s="1">
        <v>48.988</v>
      </c>
      <c r="E165" s="1">
        <f>Tabela1[[#This Row],[Força(N)]]/$I$5</f>
        <v>1561494.9398358436</v>
      </c>
      <c r="F165" s="1">
        <f>Tabela1[[#This Row],[Tensão(Pa)]]/1000000</f>
        <v>1.5614949398358435</v>
      </c>
    </row>
    <row r="166" spans="1:6" x14ac:dyDescent="0.3">
      <c r="A166" s="1">
        <v>28.417000000000002</v>
      </c>
      <c r="B166" s="1">
        <v>2.3612000000000002</v>
      </c>
      <c r="C166" s="1">
        <f>Tabela1[[#This Row],[Alongamento(mm/mm)]]/$I$2</f>
        <v>4.7224000000000002E-2</v>
      </c>
      <c r="D166" s="1">
        <v>49.668999999999997</v>
      </c>
      <c r="E166" s="1">
        <f>Tabela1[[#This Row],[Força(N)]]/$I$5</f>
        <v>1583201.8487528886</v>
      </c>
      <c r="F166" s="1">
        <f>Tabela1[[#This Row],[Tensão(Pa)]]/1000000</f>
        <v>1.5832018487528887</v>
      </c>
    </row>
    <row r="167" spans="1:6" x14ac:dyDescent="0.3">
      <c r="A167" s="1">
        <v>28.483000000000001</v>
      </c>
      <c r="B167" s="1">
        <v>2.3666999999999998</v>
      </c>
      <c r="C167" s="1">
        <f>Tabela1[[#This Row],[Alongamento(mm/mm)]]/$I$2</f>
        <v>4.7333999999999994E-2</v>
      </c>
      <c r="D167" s="1">
        <v>50.348999999999997</v>
      </c>
      <c r="E167" s="1">
        <f>Tabela1[[#This Row],[Força(N)]]/$I$5</f>
        <v>1604876.882620129</v>
      </c>
      <c r="F167" s="1">
        <f>Tabela1[[#This Row],[Tensão(Pa)]]/1000000</f>
        <v>1.604876882620129</v>
      </c>
    </row>
    <row r="168" spans="1:6" x14ac:dyDescent="0.3">
      <c r="A168" s="1">
        <v>28.567</v>
      </c>
      <c r="B168" s="1">
        <v>2.3736000000000002</v>
      </c>
      <c r="C168" s="1">
        <f>Tabela1[[#This Row],[Alongamento(mm/mm)]]/$I$2</f>
        <v>4.7472E-2</v>
      </c>
      <c r="D168" s="1">
        <v>51.03</v>
      </c>
      <c r="E168" s="1">
        <f>Tabela1[[#This Row],[Força(N)]]/$I$5</f>
        <v>1626583.7915371745</v>
      </c>
      <c r="F168" s="1">
        <f>Tabela1[[#This Row],[Tensão(Pa)]]/1000000</f>
        <v>1.6265837915371746</v>
      </c>
    </row>
    <row r="169" spans="1:6" x14ac:dyDescent="0.3">
      <c r="A169" s="1">
        <v>28.632999999999999</v>
      </c>
      <c r="B169" s="1">
        <v>2.3792</v>
      </c>
      <c r="C169" s="1">
        <f>Tabela1[[#This Row],[Alongamento(mm/mm)]]/$I$2</f>
        <v>4.7584000000000001E-2</v>
      </c>
      <c r="D169" s="1">
        <v>51.71</v>
      </c>
      <c r="E169" s="1">
        <f>Tabela1[[#This Row],[Força(N)]]/$I$5</f>
        <v>1648258.8254044149</v>
      </c>
      <c r="F169" s="1">
        <f>Tabela1[[#This Row],[Tensão(Pa)]]/1000000</f>
        <v>1.6482588254044148</v>
      </c>
    </row>
    <row r="170" spans="1:6" x14ac:dyDescent="0.3">
      <c r="A170" s="1">
        <v>28.716999999999999</v>
      </c>
      <c r="B170" s="1">
        <v>2.3862000000000001</v>
      </c>
      <c r="C170" s="1">
        <f>Tabela1[[#This Row],[Alongamento(mm/mm)]]/$I$2</f>
        <v>4.7724000000000003E-2</v>
      </c>
      <c r="D170" s="1">
        <v>52.39</v>
      </c>
      <c r="E170" s="1">
        <f>Tabela1[[#This Row],[Força(N)]]/$I$5</f>
        <v>1669933.8592716553</v>
      </c>
      <c r="F170" s="1">
        <f>Tabela1[[#This Row],[Tensão(Pa)]]/1000000</f>
        <v>1.6699338592716553</v>
      </c>
    </row>
    <row r="171" spans="1:6" x14ac:dyDescent="0.3">
      <c r="A171" s="1">
        <v>28.783000000000001</v>
      </c>
      <c r="B171" s="1">
        <v>2.3917000000000002</v>
      </c>
      <c r="C171" s="1">
        <f>Tabela1[[#This Row],[Alongamento(mm/mm)]]/$I$2</f>
        <v>4.7834000000000002E-2</v>
      </c>
      <c r="D171" s="1">
        <v>53.070999999999998</v>
      </c>
      <c r="E171" s="1">
        <f>Tabela1[[#This Row],[Força(N)]]/$I$5</f>
        <v>1691640.7681887003</v>
      </c>
      <c r="F171" s="1">
        <f>Tabela1[[#This Row],[Tensão(Pa)]]/1000000</f>
        <v>1.6916407681887002</v>
      </c>
    </row>
    <row r="172" spans="1:6" x14ac:dyDescent="0.3">
      <c r="A172" s="1">
        <v>28.85</v>
      </c>
      <c r="B172" s="1">
        <v>2.3973</v>
      </c>
      <c r="C172" s="1">
        <f>Tabela1[[#This Row],[Alongamento(mm/mm)]]/$I$2</f>
        <v>4.7946000000000003E-2</v>
      </c>
      <c r="D172" s="1">
        <v>53.750999999999998</v>
      </c>
      <c r="E172" s="1">
        <f>Tabela1[[#This Row],[Força(N)]]/$I$5</f>
        <v>1713315.8020559407</v>
      </c>
      <c r="F172" s="1">
        <f>Tabela1[[#This Row],[Tensão(Pa)]]/1000000</f>
        <v>1.7133158020559407</v>
      </c>
    </row>
    <row r="173" spans="1:6" x14ac:dyDescent="0.3">
      <c r="A173" s="1">
        <v>28.917000000000002</v>
      </c>
      <c r="B173" s="1">
        <v>2.4028999999999998</v>
      </c>
      <c r="C173" s="1">
        <f>Tabela1[[#This Row],[Alongamento(mm/mm)]]/$I$2</f>
        <v>4.8057999999999997E-2</v>
      </c>
      <c r="D173" s="1">
        <v>54.432000000000002</v>
      </c>
      <c r="E173" s="1">
        <f>Tabela1[[#This Row],[Força(N)]]/$I$5</f>
        <v>1735022.710972986</v>
      </c>
      <c r="F173" s="1">
        <f>Tabela1[[#This Row],[Tensão(Pa)]]/1000000</f>
        <v>1.7350227109729859</v>
      </c>
    </row>
    <row r="174" spans="1:6" x14ac:dyDescent="0.3">
      <c r="A174" s="1">
        <v>28.983000000000001</v>
      </c>
      <c r="B174" s="1">
        <v>2.4083000000000001</v>
      </c>
      <c r="C174" s="1">
        <f>Tabela1[[#This Row],[Alongamento(mm/mm)]]/$I$2</f>
        <v>4.8166E-2</v>
      </c>
      <c r="D174" s="1">
        <v>55.112000000000002</v>
      </c>
      <c r="E174" s="1">
        <f>Tabela1[[#This Row],[Força(N)]]/$I$5</f>
        <v>1756697.7448402264</v>
      </c>
      <c r="F174" s="1">
        <f>Tabela1[[#This Row],[Tensão(Pa)]]/1000000</f>
        <v>1.7566977448402263</v>
      </c>
    </row>
    <row r="175" spans="1:6" x14ac:dyDescent="0.3">
      <c r="A175" s="1">
        <v>29.05</v>
      </c>
      <c r="B175" s="1">
        <v>2.4138000000000002</v>
      </c>
      <c r="C175" s="1">
        <f>Tabela1[[#This Row],[Alongamento(mm/mm)]]/$I$2</f>
        <v>4.8276000000000006E-2</v>
      </c>
      <c r="D175" s="1">
        <v>55.792000000000002</v>
      </c>
      <c r="E175" s="1">
        <f>Tabela1[[#This Row],[Força(N)]]/$I$5</f>
        <v>1778372.7787074668</v>
      </c>
      <c r="F175" s="1">
        <f>Tabela1[[#This Row],[Tensão(Pa)]]/1000000</f>
        <v>1.7783727787074668</v>
      </c>
    </row>
    <row r="176" spans="1:6" x14ac:dyDescent="0.3">
      <c r="A176" s="1">
        <v>29.132999999999999</v>
      </c>
      <c r="B176" s="1">
        <v>2.4207999999999998</v>
      </c>
      <c r="C176" s="1">
        <f>Tabela1[[#This Row],[Alongamento(mm/mm)]]/$I$2</f>
        <v>4.8415999999999994E-2</v>
      </c>
      <c r="D176" s="1">
        <v>56.472999999999999</v>
      </c>
      <c r="E176" s="1">
        <f>Tabela1[[#This Row],[Força(N)]]/$I$5</f>
        <v>1800079.687624512</v>
      </c>
      <c r="F176" s="1">
        <f>Tabela1[[#This Row],[Tensão(Pa)]]/1000000</f>
        <v>1.800079687624512</v>
      </c>
    </row>
    <row r="177" spans="1:6" x14ac:dyDescent="0.3">
      <c r="A177" s="1">
        <v>29.2</v>
      </c>
      <c r="B177" s="1">
        <v>2.4264000000000001</v>
      </c>
      <c r="C177" s="1">
        <f>Tabela1[[#This Row],[Alongamento(mm/mm)]]/$I$2</f>
        <v>4.8528000000000002E-2</v>
      </c>
      <c r="D177" s="1">
        <v>57.152999999999999</v>
      </c>
      <c r="E177" s="1">
        <f>Tabela1[[#This Row],[Força(N)]]/$I$5</f>
        <v>1821754.7214917524</v>
      </c>
      <c r="F177" s="1">
        <f>Tabela1[[#This Row],[Tensão(Pa)]]/1000000</f>
        <v>1.8217547214917524</v>
      </c>
    </row>
    <row r="178" spans="1:6" x14ac:dyDescent="0.3">
      <c r="A178" s="1">
        <v>29.266999999999999</v>
      </c>
      <c r="B178" s="1">
        <v>2.4319999999999999</v>
      </c>
      <c r="C178" s="1">
        <f>Tabela1[[#This Row],[Alongamento(mm/mm)]]/$I$2</f>
        <v>4.8639999999999996E-2</v>
      </c>
      <c r="D178" s="1">
        <v>57.834000000000003</v>
      </c>
      <c r="E178" s="1">
        <f>Tabela1[[#This Row],[Força(N)]]/$I$5</f>
        <v>1843461.6304087976</v>
      </c>
      <c r="F178" s="1">
        <f>Tabela1[[#This Row],[Tensão(Pa)]]/1000000</f>
        <v>1.8434616304087976</v>
      </c>
    </row>
    <row r="179" spans="1:6" x14ac:dyDescent="0.3">
      <c r="A179" s="1">
        <v>29.332999999999998</v>
      </c>
      <c r="B179" s="1">
        <v>2.4376000000000002</v>
      </c>
      <c r="C179" s="1">
        <f>Tabela1[[#This Row],[Alongamento(mm/mm)]]/$I$2</f>
        <v>4.8752000000000004E-2</v>
      </c>
      <c r="D179" s="1">
        <v>58.514000000000003</v>
      </c>
      <c r="E179" s="1">
        <f>Tabela1[[#This Row],[Força(N)]]/$I$5</f>
        <v>1865136.6642760381</v>
      </c>
      <c r="F179" s="1">
        <f>Tabela1[[#This Row],[Tensão(Pa)]]/1000000</f>
        <v>1.8651366642760381</v>
      </c>
    </row>
    <row r="180" spans="1:6" x14ac:dyDescent="0.3">
      <c r="A180" s="1">
        <v>29.417000000000002</v>
      </c>
      <c r="B180" s="1">
        <v>2.4443999999999999</v>
      </c>
      <c r="C180" s="1">
        <f>Tabela1[[#This Row],[Alongamento(mm/mm)]]/$I$2</f>
        <v>4.8888000000000001E-2</v>
      </c>
      <c r="D180" s="1">
        <v>59.194000000000003</v>
      </c>
      <c r="E180" s="1">
        <f>Tabela1[[#This Row],[Força(N)]]/$I$5</f>
        <v>1886811.6981432785</v>
      </c>
      <c r="F180" s="1">
        <f>Tabela1[[#This Row],[Tensão(Pa)]]/1000000</f>
        <v>1.8868116981432785</v>
      </c>
    </row>
    <row r="181" spans="1:6" x14ac:dyDescent="0.3">
      <c r="A181" s="1">
        <v>29.483000000000001</v>
      </c>
      <c r="B181" s="1">
        <v>2.4500000000000002</v>
      </c>
      <c r="C181" s="1">
        <f>Tabela1[[#This Row],[Alongamento(mm/mm)]]/$I$2</f>
        <v>4.9000000000000002E-2</v>
      </c>
      <c r="D181" s="1">
        <v>60.045000000000002</v>
      </c>
      <c r="E181" s="1">
        <f>Tabela1[[#This Row],[Força(N)]]/$I$5</f>
        <v>1913937.3655271337</v>
      </c>
      <c r="F181" s="1">
        <f>Tabela1[[#This Row],[Tensão(Pa)]]/1000000</f>
        <v>1.9139373655271337</v>
      </c>
    </row>
    <row r="182" spans="1:6" x14ac:dyDescent="0.3">
      <c r="A182" s="1">
        <v>29.55</v>
      </c>
      <c r="B182" s="1">
        <v>2.4554999999999998</v>
      </c>
      <c r="C182" s="1">
        <f>Tabela1[[#This Row],[Alongamento(mm/mm)]]/$I$2</f>
        <v>4.9109999999999994E-2</v>
      </c>
      <c r="D182" s="1">
        <v>60.725000000000001</v>
      </c>
      <c r="E182" s="1">
        <f>Tabela1[[#This Row],[Força(N)]]/$I$5</f>
        <v>1935612.3993943741</v>
      </c>
      <c r="F182" s="1">
        <f>Tabela1[[#This Row],[Tensão(Pa)]]/1000000</f>
        <v>1.9356123993943741</v>
      </c>
    </row>
    <row r="183" spans="1:6" x14ac:dyDescent="0.3">
      <c r="A183" s="1">
        <v>29.617000000000001</v>
      </c>
      <c r="B183" s="1">
        <v>2.4611000000000001</v>
      </c>
      <c r="C183" s="1">
        <f>Tabela1[[#This Row],[Alongamento(mm/mm)]]/$I$2</f>
        <v>4.9222000000000002E-2</v>
      </c>
      <c r="D183" s="1">
        <v>61.405999999999999</v>
      </c>
      <c r="E183" s="1">
        <f>Tabela1[[#This Row],[Força(N)]]/$I$5</f>
        <v>1957319.3083114193</v>
      </c>
      <c r="F183" s="1">
        <f>Tabela1[[#This Row],[Tensão(Pa)]]/1000000</f>
        <v>1.9573193083114193</v>
      </c>
    </row>
    <row r="184" spans="1:6" x14ac:dyDescent="0.3">
      <c r="A184" s="1">
        <v>29.667000000000002</v>
      </c>
      <c r="B184" s="1">
        <v>2.4653999999999998</v>
      </c>
      <c r="C184" s="1">
        <f>Tabela1[[#This Row],[Alongamento(mm/mm)]]/$I$2</f>
        <v>4.9307999999999998E-2</v>
      </c>
      <c r="D184" s="1">
        <v>62.085999999999999</v>
      </c>
      <c r="E184" s="1">
        <f>Tabela1[[#This Row],[Força(N)]]/$I$5</f>
        <v>1978994.3421786597</v>
      </c>
      <c r="F184" s="1">
        <f>Tabela1[[#This Row],[Tensão(Pa)]]/1000000</f>
        <v>1.9789943421786598</v>
      </c>
    </row>
    <row r="185" spans="1:6" x14ac:dyDescent="0.3">
      <c r="A185" s="1">
        <v>29.733000000000001</v>
      </c>
      <c r="B185" s="1">
        <v>2.4708999999999999</v>
      </c>
      <c r="C185" s="1">
        <f>Tabela1[[#This Row],[Alongamento(mm/mm)]]/$I$2</f>
        <v>4.9417999999999997E-2</v>
      </c>
      <c r="D185" s="1">
        <v>62.765999999999998</v>
      </c>
      <c r="E185" s="1">
        <f>Tabela1[[#This Row],[Força(N)]]/$I$5</f>
        <v>2000669.3760459002</v>
      </c>
      <c r="F185" s="1">
        <f>Tabela1[[#This Row],[Tensão(Pa)]]/1000000</f>
        <v>2.0006693760459</v>
      </c>
    </row>
    <row r="186" spans="1:6" x14ac:dyDescent="0.3">
      <c r="A186" s="1">
        <v>29.783000000000001</v>
      </c>
      <c r="B186" s="1">
        <v>2.4750999999999999</v>
      </c>
      <c r="C186" s="1">
        <f>Tabela1[[#This Row],[Alongamento(mm/mm)]]/$I$2</f>
        <v>4.9501999999999997E-2</v>
      </c>
      <c r="D186" s="1">
        <v>63.447000000000003</v>
      </c>
      <c r="E186" s="1">
        <f>Tabela1[[#This Row],[Força(N)]]/$I$5</f>
        <v>2022376.2849629454</v>
      </c>
      <c r="F186" s="1">
        <f>Tabela1[[#This Row],[Tensão(Pa)]]/1000000</f>
        <v>2.0223762849629452</v>
      </c>
    </row>
    <row r="187" spans="1:6" x14ac:dyDescent="0.3">
      <c r="A187" s="1">
        <v>29.85</v>
      </c>
      <c r="B187" s="1">
        <v>2.4805999999999999</v>
      </c>
      <c r="C187" s="1">
        <f>Tabela1[[#This Row],[Alongamento(mm/mm)]]/$I$2</f>
        <v>4.9611999999999996E-2</v>
      </c>
      <c r="D187" s="1">
        <v>64.296999999999997</v>
      </c>
      <c r="E187" s="1">
        <f>Tabela1[[#This Row],[Força(N)]]/$I$5</f>
        <v>2049470.0772969958</v>
      </c>
      <c r="F187" s="1">
        <f>Tabela1[[#This Row],[Tensão(Pa)]]/1000000</f>
        <v>2.0494700772969958</v>
      </c>
    </row>
    <row r="188" spans="1:6" x14ac:dyDescent="0.3">
      <c r="A188" s="1">
        <v>29.917000000000002</v>
      </c>
      <c r="B188" s="1">
        <v>2.4861</v>
      </c>
      <c r="C188" s="1">
        <f>Tabela1[[#This Row],[Alongamento(mm/mm)]]/$I$2</f>
        <v>4.9722000000000002E-2</v>
      </c>
      <c r="D188" s="1">
        <v>65.147999999999996</v>
      </c>
      <c r="E188" s="1">
        <f>Tabela1[[#This Row],[Força(N)]]/$I$5</f>
        <v>2076595.744680851</v>
      </c>
      <c r="F188" s="1">
        <f>Tabela1[[#This Row],[Tensão(Pa)]]/1000000</f>
        <v>2.076595744680851</v>
      </c>
    </row>
    <row r="189" spans="1:6" x14ac:dyDescent="0.3">
      <c r="A189" s="1">
        <v>29.983000000000001</v>
      </c>
      <c r="B189" s="1">
        <v>2.4916</v>
      </c>
      <c r="C189" s="1">
        <f>Tabela1[[#This Row],[Alongamento(mm/mm)]]/$I$2</f>
        <v>4.9832000000000001E-2</v>
      </c>
      <c r="D189" s="1">
        <v>65.828000000000003</v>
      </c>
      <c r="E189" s="1">
        <f>Tabela1[[#This Row],[Força(N)]]/$I$5</f>
        <v>2098270.7785480917</v>
      </c>
      <c r="F189" s="1">
        <f>Tabela1[[#This Row],[Tensão(Pa)]]/1000000</f>
        <v>2.0982707785480916</v>
      </c>
    </row>
    <row r="190" spans="1:6" x14ac:dyDescent="0.3">
      <c r="A190" s="1">
        <v>30.033000000000001</v>
      </c>
      <c r="B190" s="1">
        <v>2.4958999999999998</v>
      </c>
      <c r="C190" s="1">
        <f>Tabela1[[#This Row],[Alongamento(mm/mm)]]/$I$2</f>
        <v>4.9917999999999997E-2</v>
      </c>
      <c r="D190" s="1">
        <v>66.509</v>
      </c>
      <c r="E190" s="1">
        <f>Tabela1[[#This Row],[Força(N)]]/$I$5</f>
        <v>2119977.6874651369</v>
      </c>
      <c r="F190" s="1">
        <f>Tabela1[[#This Row],[Tensão(Pa)]]/1000000</f>
        <v>2.1199776874651368</v>
      </c>
    </row>
    <row r="191" spans="1:6" x14ac:dyDescent="0.3">
      <c r="A191" s="1">
        <v>30.1</v>
      </c>
      <c r="B191" s="1">
        <v>2.5013999999999998</v>
      </c>
      <c r="C191" s="1">
        <f>Tabela1[[#This Row],[Alongamento(mm/mm)]]/$I$2</f>
        <v>5.0027999999999996E-2</v>
      </c>
      <c r="D191" s="1">
        <v>67.188999999999993</v>
      </c>
      <c r="E191" s="1">
        <f>Tabela1[[#This Row],[Força(N)]]/$I$5</f>
        <v>2141652.7213323768</v>
      </c>
      <c r="F191" s="1">
        <f>Tabela1[[#This Row],[Tensão(Pa)]]/1000000</f>
        <v>2.1416527213323766</v>
      </c>
    </row>
    <row r="192" spans="1:6" x14ac:dyDescent="0.3">
      <c r="A192" s="1">
        <v>30.15</v>
      </c>
      <c r="B192" s="1">
        <v>2.5055999999999998</v>
      </c>
      <c r="C192" s="1">
        <f>Tabela1[[#This Row],[Alongamento(mm/mm)]]/$I$2</f>
        <v>5.0111999999999997E-2</v>
      </c>
      <c r="D192" s="1">
        <v>67.869</v>
      </c>
      <c r="E192" s="1">
        <f>Tabela1[[#This Row],[Força(N)]]/$I$5</f>
        <v>2163327.7551996177</v>
      </c>
      <c r="F192" s="1">
        <f>Tabela1[[#This Row],[Tensão(Pa)]]/1000000</f>
        <v>2.1633277551996177</v>
      </c>
    </row>
    <row r="193" spans="1:6" x14ac:dyDescent="0.3">
      <c r="A193" s="1">
        <v>30.216999999999999</v>
      </c>
      <c r="B193" s="1">
        <v>2.5112000000000001</v>
      </c>
      <c r="C193" s="1">
        <f>Tabela1[[#This Row],[Alongamento(mm/mm)]]/$I$2</f>
        <v>5.0224000000000005E-2</v>
      </c>
      <c r="D193" s="1">
        <v>68.72</v>
      </c>
      <c r="E193" s="1">
        <f>Tabela1[[#This Row],[Força(N)]]/$I$5</f>
        <v>2190453.4225834729</v>
      </c>
      <c r="F193" s="1">
        <f>Tabela1[[#This Row],[Tensão(Pa)]]/1000000</f>
        <v>2.1904534225834729</v>
      </c>
    </row>
    <row r="194" spans="1:6" x14ac:dyDescent="0.3">
      <c r="A194" s="1">
        <v>30.283000000000001</v>
      </c>
      <c r="B194" s="1">
        <v>2.5167999999999999</v>
      </c>
      <c r="C194" s="1">
        <f>Tabela1[[#This Row],[Alongamento(mm/mm)]]/$I$2</f>
        <v>5.0335999999999999E-2</v>
      </c>
      <c r="D194" s="1">
        <v>69.400000000000006</v>
      </c>
      <c r="E194" s="1">
        <f>Tabela1[[#This Row],[Força(N)]]/$I$5</f>
        <v>2212128.4564507133</v>
      </c>
      <c r="F194" s="1">
        <f>Tabela1[[#This Row],[Tensão(Pa)]]/1000000</f>
        <v>2.2121284564507135</v>
      </c>
    </row>
    <row r="195" spans="1:6" x14ac:dyDescent="0.3">
      <c r="A195" s="1">
        <v>30.332999999999998</v>
      </c>
      <c r="B195" s="1">
        <v>2.5207999999999999</v>
      </c>
      <c r="C195" s="1">
        <f>Tabela1[[#This Row],[Alongamento(mm/mm)]]/$I$2</f>
        <v>5.0415999999999996E-2</v>
      </c>
      <c r="D195" s="1">
        <v>70.081000000000003</v>
      </c>
      <c r="E195" s="1">
        <f>Tabela1[[#This Row],[Força(N)]]/$I$5</f>
        <v>2233835.3653677586</v>
      </c>
      <c r="F195" s="1">
        <f>Tabela1[[#This Row],[Tensão(Pa)]]/1000000</f>
        <v>2.2338353653677587</v>
      </c>
    </row>
    <row r="196" spans="1:6" x14ac:dyDescent="0.3">
      <c r="A196" s="1">
        <v>30.382999999999999</v>
      </c>
      <c r="B196" s="1">
        <v>2.5249999999999999</v>
      </c>
      <c r="C196" s="1">
        <f>Tabela1[[#This Row],[Alongamento(mm/mm)]]/$I$2</f>
        <v>5.0499999999999996E-2</v>
      </c>
      <c r="D196" s="1">
        <v>70.760999999999996</v>
      </c>
      <c r="E196" s="1">
        <f>Tabela1[[#This Row],[Força(N)]]/$I$5</f>
        <v>2255510.399234999</v>
      </c>
      <c r="F196" s="1">
        <f>Tabela1[[#This Row],[Tensão(Pa)]]/1000000</f>
        <v>2.255510399234999</v>
      </c>
    </row>
    <row r="197" spans="1:6" x14ac:dyDescent="0.3">
      <c r="A197" s="1">
        <v>30.45</v>
      </c>
      <c r="B197" s="1">
        <v>2.5306000000000002</v>
      </c>
      <c r="C197" s="1">
        <f>Tabela1[[#This Row],[Alongamento(mm/mm)]]/$I$2</f>
        <v>5.0612000000000004E-2</v>
      </c>
      <c r="D197" s="1">
        <v>71.611999999999995</v>
      </c>
      <c r="E197" s="1">
        <f>Tabela1[[#This Row],[Força(N)]]/$I$5</f>
        <v>2282636.0666188542</v>
      </c>
      <c r="F197" s="1">
        <f>Tabela1[[#This Row],[Tensão(Pa)]]/1000000</f>
        <v>2.2826360666188541</v>
      </c>
    </row>
    <row r="198" spans="1:6" x14ac:dyDescent="0.3">
      <c r="A198" s="1">
        <v>30.516999999999999</v>
      </c>
      <c r="B198" s="1">
        <v>2.5362</v>
      </c>
      <c r="C198" s="1">
        <f>Tabela1[[#This Row],[Alongamento(mm/mm)]]/$I$2</f>
        <v>5.0723999999999998E-2</v>
      </c>
      <c r="D198" s="1">
        <v>72.292000000000002</v>
      </c>
      <c r="E198" s="1">
        <f>Tabela1[[#This Row],[Força(N)]]/$I$5</f>
        <v>2304311.1004860946</v>
      </c>
      <c r="F198" s="1">
        <f>Tabela1[[#This Row],[Tensão(Pa)]]/1000000</f>
        <v>2.3043111004860948</v>
      </c>
    </row>
    <row r="199" spans="1:6" x14ac:dyDescent="0.3">
      <c r="A199" s="1">
        <v>30.567</v>
      </c>
      <c r="B199" s="1">
        <v>2.5404</v>
      </c>
      <c r="C199" s="1">
        <f>Tabela1[[#This Row],[Alongamento(mm/mm)]]/$I$2</f>
        <v>5.0807999999999999E-2</v>
      </c>
      <c r="D199" s="1">
        <v>72.971999999999994</v>
      </c>
      <c r="E199" s="1">
        <f>Tabela1[[#This Row],[Força(N)]]/$I$5</f>
        <v>2325986.134353335</v>
      </c>
      <c r="F199" s="1">
        <f>Tabela1[[#This Row],[Tensão(Pa)]]/1000000</f>
        <v>2.325986134353335</v>
      </c>
    </row>
    <row r="200" spans="1:6" x14ac:dyDescent="0.3">
      <c r="A200" s="1">
        <v>30.632999999999999</v>
      </c>
      <c r="B200" s="1">
        <v>2.5459000000000001</v>
      </c>
      <c r="C200" s="1">
        <f>Tabela1[[#This Row],[Alongamento(mm/mm)]]/$I$2</f>
        <v>5.0917999999999998E-2</v>
      </c>
      <c r="D200" s="1">
        <v>73.822999999999993</v>
      </c>
      <c r="E200" s="1">
        <f>Tabela1[[#This Row],[Força(N)]]/$I$5</f>
        <v>2353111.8017371902</v>
      </c>
      <c r="F200" s="1">
        <f>Tabela1[[#This Row],[Tensão(Pa)]]/1000000</f>
        <v>2.3531118017371901</v>
      </c>
    </row>
    <row r="201" spans="1:6" x14ac:dyDescent="0.3">
      <c r="A201" s="1">
        <v>30.7</v>
      </c>
      <c r="B201" s="1">
        <v>2.5514999999999999</v>
      </c>
      <c r="C201" s="1">
        <f>Tabela1[[#This Row],[Alongamento(mm/mm)]]/$I$2</f>
        <v>5.1029999999999999E-2</v>
      </c>
      <c r="D201" s="1">
        <v>74.673000000000002</v>
      </c>
      <c r="E201" s="1">
        <f>Tabela1[[#This Row],[Força(N)]]/$I$5</f>
        <v>2380205.5940712411</v>
      </c>
      <c r="F201" s="1">
        <f>Tabela1[[#This Row],[Tensão(Pa)]]/1000000</f>
        <v>2.3802055940712412</v>
      </c>
    </row>
    <row r="202" spans="1:6" x14ac:dyDescent="0.3">
      <c r="A202" s="1">
        <v>30.766999999999999</v>
      </c>
      <c r="B202" s="1">
        <v>2.5569999999999999</v>
      </c>
      <c r="C202" s="1">
        <f>Tabela1[[#This Row],[Alongamento(mm/mm)]]/$I$2</f>
        <v>5.1139999999999998E-2</v>
      </c>
      <c r="D202" s="1">
        <v>75.524000000000001</v>
      </c>
      <c r="E202" s="1">
        <f>Tabela1[[#This Row],[Força(N)]]/$I$5</f>
        <v>2407331.2614550963</v>
      </c>
      <c r="F202" s="1">
        <f>Tabela1[[#This Row],[Tensão(Pa)]]/1000000</f>
        <v>2.4073312614550963</v>
      </c>
    </row>
    <row r="203" spans="1:6" x14ac:dyDescent="0.3">
      <c r="A203" s="1">
        <v>30.832999999999998</v>
      </c>
      <c r="B203" s="1">
        <v>2.5625</v>
      </c>
      <c r="C203" s="1">
        <f>Tabela1[[#This Row],[Alongamento(mm/mm)]]/$I$2</f>
        <v>5.1249999999999997E-2</v>
      </c>
      <c r="D203" s="1">
        <v>76.373999999999995</v>
      </c>
      <c r="E203" s="1">
        <f>Tabela1[[#This Row],[Força(N)]]/$I$5</f>
        <v>2434425.0537891467</v>
      </c>
      <c r="F203" s="1">
        <f>Tabela1[[#This Row],[Tensão(Pa)]]/1000000</f>
        <v>2.4344250537891465</v>
      </c>
    </row>
    <row r="204" spans="1:6" x14ac:dyDescent="0.3">
      <c r="A204" s="1">
        <v>30.9</v>
      </c>
      <c r="B204" s="1">
        <v>2.5680999999999998</v>
      </c>
      <c r="C204" s="1">
        <f>Tabela1[[#This Row],[Alongamento(mm/mm)]]/$I$2</f>
        <v>5.1361999999999998E-2</v>
      </c>
      <c r="D204" s="1">
        <v>77.224999999999994</v>
      </c>
      <c r="E204" s="1">
        <f>Tabela1[[#This Row],[Força(N)]]/$I$5</f>
        <v>2461550.7211730019</v>
      </c>
      <c r="F204" s="1">
        <f>Tabela1[[#This Row],[Tensão(Pa)]]/1000000</f>
        <v>2.4615507211730021</v>
      </c>
    </row>
    <row r="205" spans="1:6" x14ac:dyDescent="0.3">
      <c r="A205" s="1">
        <v>30.966999999999999</v>
      </c>
      <c r="B205" s="1">
        <v>2.5737000000000001</v>
      </c>
      <c r="C205" s="1">
        <f>Tabela1[[#This Row],[Alongamento(mm/mm)]]/$I$2</f>
        <v>5.1473999999999999E-2</v>
      </c>
      <c r="D205" s="1">
        <v>78.075000000000003</v>
      </c>
      <c r="E205" s="1">
        <f>Tabela1[[#This Row],[Força(N)]]/$I$5</f>
        <v>2488644.5135070528</v>
      </c>
      <c r="F205" s="1">
        <f>Tabela1[[#This Row],[Tensão(Pa)]]/1000000</f>
        <v>2.4886445135070527</v>
      </c>
    </row>
    <row r="206" spans="1:6" x14ac:dyDescent="0.3">
      <c r="A206" s="1">
        <v>31.016999999999999</v>
      </c>
      <c r="B206" s="1">
        <v>2.5777999999999999</v>
      </c>
      <c r="C206" s="1">
        <f>Tabela1[[#This Row],[Alongamento(mm/mm)]]/$I$2</f>
        <v>5.1555999999999998E-2</v>
      </c>
      <c r="D206" s="1">
        <v>78.756</v>
      </c>
      <c r="E206" s="1">
        <f>Tabela1[[#This Row],[Força(N)]]/$I$5</f>
        <v>2510351.4224240975</v>
      </c>
      <c r="F206" s="1">
        <f>Tabela1[[#This Row],[Tensão(Pa)]]/1000000</f>
        <v>2.5103514224240975</v>
      </c>
    </row>
    <row r="207" spans="1:6" x14ac:dyDescent="0.3">
      <c r="A207" s="1">
        <v>31.067</v>
      </c>
      <c r="B207" s="1">
        <v>2.5819999999999999</v>
      </c>
      <c r="C207" s="1">
        <f>Tabela1[[#This Row],[Alongamento(mm/mm)]]/$I$2</f>
        <v>5.1639999999999998E-2</v>
      </c>
      <c r="D207" s="1">
        <v>79.436000000000007</v>
      </c>
      <c r="E207" s="1">
        <f>Tabela1[[#This Row],[Força(N)]]/$I$5</f>
        <v>2532026.4562913384</v>
      </c>
      <c r="F207" s="1">
        <f>Tabela1[[#This Row],[Tensão(Pa)]]/1000000</f>
        <v>2.5320264562913386</v>
      </c>
    </row>
    <row r="208" spans="1:6" x14ac:dyDescent="0.3">
      <c r="A208" s="1">
        <v>31.132999999999999</v>
      </c>
      <c r="B208" s="1">
        <v>2.5876000000000001</v>
      </c>
      <c r="C208" s="1">
        <f>Tabela1[[#This Row],[Alongamento(mm/mm)]]/$I$2</f>
        <v>5.1751999999999999E-2</v>
      </c>
      <c r="D208" s="1">
        <v>80.117000000000004</v>
      </c>
      <c r="E208" s="1">
        <f>Tabela1[[#This Row],[Força(N)]]/$I$5</f>
        <v>2553733.3652083836</v>
      </c>
      <c r="F208" s="1">
        <f>Tabela1[[#This Row],[Tensão(Pa)]]/1000000</f>
        <v>2.5537333652083838</v>
      </c>
    </row>
    <row r="209" spans="1:6" x14ac:dyDescent="0.3">
      <c r="A209" s="1">
        <v>31.183</v>
      </c>
      <c r="B209" s="1">
        <v>2.5916999999999999</v>
      </c>
      <c r="C209" s="1">
        <f>Tabela1[[#This Row],[Alongamento(mm/mm)]]/$I$2</f>
        <v>5.1833999999999998E-2</v>
      </c>
      <c r="D209" s="1">
        <v>80.796999999999997</v>
      </c>
      <c r="E209" s="1">
        <f>Tabela1[[#This Row],[Força(N)]]/$I$5</f>
        <v>2575408.3990756236</v>
      </c>
      <c r="F209" s="1">
        <f>Tabela1[[#This Row],[Tensão(Pa)]]/1000000</f>
        <v>2.5754083990756236</v>
      </c>
    </row>
    <row r="210" spans="1:6" x14ac:dyDescent="0.3">
      <c r="A210" s="1">
        <v>31.233000000000001</v>
      </c>
      <c r="B210" s="1">
        <v>2.5958999999999999</v>
      </c>
      <c r="C210" s="1">
        <f>Tabela1[[#This Row],[Alongamento(mm/mm)]]/$I$2</f>
        <v>5.1917999999999999E-2</v>
      </c>
      <c r="D210" s="1">
        <v>81.477000000000004</v>
      </c>
      <c r="E210" s="1">
        <f>Tabela1[[#This Row],[Força(N)]]/$I$5</f>
        <v>2597083.432942864</v>
      </c>
      <c r="F210" s="1">
        <f>Tabela1[[#This Row],[Tensão(Pa)]]/1000000</f>
        <v>2.5970834329428638</v>
      </c>
    </row>
    <row r="211" spans="1:6" x14ac:dyDescent="0.3">
      <c r="A211" s="1">
        <v>31.283000000000001</v>
      </c>
      <c r="B211" s="1">
        <v>2.5998999999999999</v>
      </c>
      <c r="C211" s="1">
        <f>Tabela1[[#This Row],[Alongamento(mm/mm)]]/$I$2</f>
        <v>5.1997999999999996E-2</v>
      </c>
      <c r="D211" s="1">
        <v>82.158000000000001</v>
      </c>
      <c r="E211" s="1">
        <f>Tabela1[[#This Row],[Força(N)]]/$I$5</f>
        <v>2618790.3418599092</v>
      </c>
      <c r="F211" s="1">
        <f>Tabela1[[#This Row],[Tensão(Pa)]]/1000000</f>
        <v>2.6187903418599094</v>
      </c>
    </row>
    <row r="212" spans="1:6" x14ac:dyDescent="0.3">
      <c r="A212" s="1">
        <v>31.332999999999998</v>
      </c>
      <c r="B212" s="1">
        <v>2.6042000000000001</v>
      </c>
      <c r="C212" s="1">
        <f>Tabela1[[#This Row],[Alongamento(mm/mm)]]/$I$2</f>
        <v>5.2083999999999998E-2</v>
      </c>
      <c r="D212" s="1">
        <v>82.837999999999994</v>
      </c>
      <c r="E212" s="1">
        <f>Tabela1[[#This Row],[Força(N)]]/$I$5</f>
        <v>2640465.3757271497</v>
      </c>
      <c r="F212" s="1">
        <f>Tabela1[[#This Row],[Tensão(Pa)]]/1000000</f>
        <v>2.6404653757271497</v>
      </c>
    </row>
    <row r="213" spans="1:6" x14ac:dyDescent="0.3">
      <c r="A213" s="1">
        <v>31.382999999999999</v>
      </c>
      <c r="B213" s="1">
        <v>2.6082999999999998</v>
      </c>
      <c r="C213" s="1">
        <f>Tabela1[[#This Row],[Alongamento(mm/mm)]]/$I$2</f>
        <v>5.2165999999999997E-2</v>
      </c>
      <c r="D213" s="1">
        <v>83.519000000000005</v>
      </c>
      <c r="E213" s="1">
        <f>Tabela1[[#This Row],[Força(N)]]/$I$5</f>
        <v>2662172.2846441949</v>
      </c>
      <c r="F213" s="1">
        <f>Tabela1[[#This Row],[Tensão(Pa)]]/1000000</f>
        <v>2.6621722846441949</v>
      </c>
    </row>
    <row r="214" spans="1:6" x14ac:dyDescent="0.3">
      <c r="A214" s="1">
        <v>31.433</v>
      </c>
      <c r="B214" s="1">
        <v>2.6124999999999998</v>
      </c>
      <c r="C214" s="1">
        <f>Tabela1[[#This Row],[Alongamento(mm/mm)]]/$I$2</f>
        <v>5.2249999999999998E-2</v>
      </c>
      <c r="D214" s="1">
        <v>84.198999999999998</v>
      </c>
      <c r="E214" s="1">
        <f>Tabela1[[#This Row],[Força(N)]]/$I$5</f>
        <v>2683847.3185114353</v>
      </c>
      <c r="F214" s="1">
        <f>Tabela1[[#This Row],[Tensão(Pa)]]/1000000</f>
        <v>2.6838473185114351</v>
      </c>
    </row>
    <row r="215" spans="1:6" x14ac:dyDescent="0.3">
      <c r="A215" s="1">
        <v>31.5</v>
      </c>
      <c r="B215" s="1">
        <v>2.6181000000000001</v>
      </c>
      <c r="C215" s="1">
        <f>Tabela1[[#This Row],[Alongamento(mm/mm)]]/$I$2</f>
        <v>5.2361999999999999E-2</v>
      </c>
      <c r="D215" s="1">
        <v>85.049000000000007</v>
      </c>
      <c r="E215" s="1">
        <f>Tabela1[[#This Row],[Força(N)]]/$I$5</f>
        <v>2710941.1108454862</v>
      </c>
      <c r="F215" s="1">
        <f>Tabela1[[#This Row],[Tensão(Pa)]]/1000000</f>
        <v>2.7109411108454862</v>
      </c>
    </row>
    <row r="216" spans="1:6" x14ac:dyDescent="0.3">
      <c r="A216" s="1">
        <v>31.55</v>
      </c>
      <c r="B216" s="1">
        <v>2.6221999999999999</v>
      </c>
      <c r="C216" s="1">
        <f>Tabela1[[#This Row],[Alongamento(mm/mm)]]/$I$2</f>
        <v>5.2443999999999998E-2</v>
      </c>
      <c r="D216" s="1">
        <v>85.73</v>
      </c>
      <c r="E216" s="1">
        <f>Tabela1[[#This Row],[Força(N)]]/$I$5</f>
        <v>2732648.0197625314</v>
      </c>
      <c r="F216" s="1">
        <f>Tabela1[[#This Row],[Tensão(Pa)]]/1000000</f>
        <v>2.7326480197625314</v>
      </c>
    </row>
    <row r="217" spans="1:6" x14ac:dyDescent="0.3">
      <c r="A217" s="1">
        <v>31.617000000000001</v>
      </c>
      <c r="B217" s="1">
        <v>2.6278999999999999</v>
      </c>
      <c r="C217" s="1">
        <f>Tabela1[[#This Row],[Alongamento(mm/mm)]]/$I$2</f>
        <v>5.2558000000000001E-2</v>
      </c>
      <c r="D217" s="1">
        <v>86.58</v>
      </c>
      <c r="E217" s="1">
        <f>Tabela1[[#This Row],[Força(N)]]/$I$5</f>
        <v>2759741.8120965813</v>
      </c>
      <c r="F217" s="1">
        <f>Tabela1[[#This Row],[Tensão(Pa)]]/1000000</f>
        <v>2.7597418120965815</v>
      </c>
    </row>
    <row r="218" spans="1:6" x14ac:dyDescent="0.3">
      <c r="A218" s="1">
        <v>31.667000000000002</v>
      </c>
      <c r="B218" s="1">
        <v>2.6320000000000001</v>
      </c>
      <c r="C218" s="1">
        <f>Tabela1[[#This Row],[Alongamento(mm/mm)]]/$I$2</f>
        <v>5.2639999999999999E-2</v>
      </c>
      <c r="D218" s="1">
        <v>87.260999999999996</v>
      </c>
      <c r="E218" s="1">
        <f>Tabela1[[#This Row],[Força(N)]]/$I$5</f>
        <v>2781448.7210136265</v>
      </c>
      <c r="F218" s="1">
        <f>Tabela1[[#This Row],[Tensão(Pa)]]/1000000</f>
        <v>2.7814487210136267</v>
      </c>
    </row>
    <row r="219" spans="1:6" x14ac:dyDescent="0.3">
      <c r="A219" s="1">
        <v>31.716999999999999</v>
      </c>
      <c r="B219" s="1">
        <v>2.6360999999999999</v>
      </c>
      <c r="C219" s="1">
        <f>Tabela1[[#This Row],[Alongamento(mm/mm)]]/$I$2</f>
        <v>5.2721999999999998E-2</v>
      </c>
      <c r="D219" s="1">
        <v>87.941000000000003</v>
      </c>
      <c r="E219" s="1">
        <f>Tabela1[[#This Row],[Força(N)]]/$I$5</f>
        <v>2803123.7548808674</v>
      </c>
      <c r="F219" s="1">
        <f>Tabela1[[#This Row],[Tensão(Pa)]]/1000000</f>
        <v>2.8031237548808674</v>
      </c>
    </row>
    <row r="220" spans="1:6" x14ac:dyDescent="0.3">
      <c r="A220" s="1">
        <v>31.766999999999999</v>
      </c>
      <c r="B220" s="1">
        <v>2.6402999999999999</v>
      </c>
      <c r="C220" s="1">
        <f>Tabela1[[#This Row],[Alongamento(mm/mm)]]/$I$2</f>
        <v>5.2805999999999999E-2</v>
      </c>
      <c r="D220" s="1">
        <v>88.620999999999995</v>
      </c>
      <c r="E220" s="1">
        <f>Tabela1[[#This Row],[Força(N)]]/$I$5</f>
        <v>2824798.7887481074</v>
      </c>
      <c r="F220" s="1">
        <f>Tabela1[[#This Row],[Tensão(Pa)]]/1000000</f>
        <v>2.8247987887481072</v>
      </c>
    </row>
    <row r="221" spans="1:6" x14ac:dyDescent="0.3">
      <c r="A221" s="1">
        <v>31.817</v>
      </c>
      <c r="B221" s="1">
        <v>2.6444999999999999</v>
      </c>
      <c r="C221" s="1">
        <f>Tabela1[[#This Row],[Alongamento(mm/mm)]]/$I$2</f>
        <v>5.289E-2</v>
      </c>
      <c r="D221" s="1">
        <v>89.302000000000007</v>
      </c>
      <c r="E221" s="1">
        <f>Tabela1[[#This Row],[Força(N)]]/$I$5</f>
        <v>2846505.6976651531</v>
      </c>
      <c r="F221" s="1">
        <f>Tabela1[[#This Row],[Tensão(Pa)]]/1000000</f>
        <v>2.8465056976651533</v>
      </c>
    </row>
    <row r="222" spans="1:6" x14ac:dyDescent="0.3">
      <c r="A222" s="1">
        <v>31.882999999999999</v>
      </c>
      <c r="B222" s="1">
        <v>2.6501000000000001</v>
      </c>
      <c r="C222" s="1">
        <f>Tabela1[[#This Row],[Alongamento(mm/mm)]]/$I$2</f>
        <v>5.3002000000000001E-2</v>
      </c>
      <c r="D222" s="1">
        <v>90.152000000000001</v>
      </c>
      <c r="E222" s="1">
        <f>Tabela1[[#This Row],[Força(N)]]/$I$5</f>
        <v>2873599.4899992035</v>
      </c>
      <c r="F222" s="1">
        <f>Tabela1[[#This Row],[Tensão(Pa)]]/1000000</f>
        <v>2.8735994899992034</v>
      </c>
    </row>
    <row r="223" spans="1:6" x14ac:dyDescent="0.3">
      <c r="A223" s="1">
        <v>31.933</v>
      </c>
      <c r="B223" s="1">
        <v>2.6541999999999999</v>
      </c>
      <c r="C223" s="1">
        <f>Tabela1[[#This Row],[Alongamento(mm/mm)]]/$I$2</f>
        <v>5.3083999999999999E-2</v>
      </c>
      <c r="D223" s="1">
        <v>90.832999999999998</v>
      </c>
      <c r="E223" s="1">
        <f>Tabela1[[#This Row],[Força(N)]]/$I$5</f>
        <v>2895306.3989162482</v>
      </c>
      <c r="F223" s="1">
        <f>Tabela1[[#This Row],[Tensão(Pa)]]/1000000</f>
        <v>2.8953063989162482</v>
      </c>
    </row>
    <row r="224" spans="1:6" x14ac:dyDescent="0.3">
      <c r="A224" s="1">
        <v>31.983000000000001</v>
      </c>
      <c r="B224" s="1">
        <v>2.6583999999999999</v>
      </c>
      <c r="C224" s="1">
        <f>Tabela1[[#This Row],[Alongamento(mm/mm)]]/$I$2</f>
        <v>5.3168E-2</v>
      </c>
      <c r="D224" s="1">
        <v>91.513000000000005</v>
      </c>
      <c r="E224" s="1">
        <f>Tabela1[[#This Row],[Força(N)]]/$I$5</f>
        <v>2916981.4327834891</v>
      </c>
      <c r="F224" s="1">
        <f>Tabela1[[#This Row],[Tensão(Pa)]]/1000000</f>
        <v>2.9169814327834893</v>
      </c>
    </row>
    <row r="225" spans="1:6" x14ac:dyDescent="0.3">
      <c r="A225" s="1">
        <v>32.033000000000001</v>
      </c>
      <c r="B225" s="1">
        <v>2.6625000000000001</v>
      </c>
      <c r="C225" s="1">
        <f>Tabela1[[#This Row],[Alongamento(mm/mm)]]/$I$2</f>
        <v>5.3249999999999999E-2</v>
      </c>
      <c r="D225" s="1">
        <v>92.194000000000003</v>
      </c>
      <c r="E225" s="1">
        <f>Tabela1[[#This Row],[Força(N)]]/$I$5</f>
        <v>2938688.3417005343</v>
      </c>
      <c r="F225" s="1">
        <f>Tabela1[[#This Row],[Tensão(Pa)]]/1000000</f>
        <v>2.9386883417005345</v>
      </c>
    </row>
    <row r="226" spans="1:6" x14ac:dyDescent="0.3">
      <c r="A226" s="1">
        <v>32.082999999999998</v>
      </c>
      <c r="B226" s="1">
        <v>2.6667999999999998</v>
      </c>
      <c r="C226" s="1">
        <f>Tabela1[[#This Row],[Alongamento(mm/mm)]]/$I$2</f>
        <v>5.3335999999999995E-2</v>
      </c>
      <c r="D226" s="1">
        <v>92.873999999999995</v>
      </c>
      <c r="E226" s="1">
        <f>Tabela1[[#This Row],[Força(N)]]/$I$5</f>
        <v>2960363.3755677743</v>
      </c>
      <c r="F226" s="1">
        <f>Tabela1[[#This Row],[Tensão(Pa)]]/1000000</f>
        <v>2.9603633755677743</v>
      </c>
    </row>
    <row r="227" spans="1:6" x14ac:dyDescent="0.3">
      <c r="A227" s="1">
        <v>32.133000000000003</v>
      </c>
      <c r="B227" s="1">
        <v>2.6709000000000001</v>
      </c>
      <c r="C227" s="1">
        <f>Tabela1[[#This Row],[Alongamento(mm/mm)]]/$I$2</f>
        <v>5.3418E-2</v>
      </c>
      <c r="D227" s="1">
        <v>93.724000000000004</v>
      </c>
      <c r="E227" s="1">
        <f>Tabela1[[#This Row],[Força(N)]]/$I$5</f>
        <v>2987457.1679018252</v>
      </c>
      <c r="F227" s="1">
        <f>Tabela1[[#This Row],[Tensão(Pa)]]/1000000</f>
        <v>2.9874571679018254</v>
      </c>
    </row>
    <row r="228" spans="1:6" x14ac:dyDescent="0.3">
      <c r="A228" s="1">
        <v>32.183</v>
      </c>
      <c r="B228" s="1">
        <v>2.6749999999999998</v>
      </c>
      <c r="C228" s="1">
        <f>Tabela1[[#This Row],[Alongamento(mm/mm)]]/$I$2</f>
        <v>5.3499999999999999E-2</v>
      </c>
      <c r="D228" s="1">
        <v>94.405000000000001</v>
      </c>
      <c r="E228" s="1">
        <f>Tabela1[[#This Row],[Força(N)]]/$I$5</f>
        <v>3009164.0768188704</v>
      </c>
      <c r="F228" s="1">
        <f>Tabela1[[#This Row],[Tensão(Pa)]]/1000000</f>
        <v>3.0091640768188705</v>
      </c>
    </row>
    <row r="229" spans="1:6" x14ac:dyDescent="0.3">
      <c r="A229" s="1">
        <v>32.232999999999997</v>
      </c>
      <c r="B229" s="1">
        <v>2.6791999999999998</v>
      </c>
      <c r="C229" s="1">
        <f>Tabela1[[#This Row],[Alongamento(mm/mm)]]/$I$2</f>
        <v>5.3583999999999993E-2</v>
      </c>
      <c r="D229" s="1">
        <v>95.084999999999994</v>
      </c>
      <c r="E229" s="1">
        <f>Tabela1[[#This Row],[Força(N)]]/$I$5</f>
        <v>3030839.1106861103</v>
      </c>
      <c r="F229" s="1">
        <f>Tabela1[[#This Row],[Tensão(Pa)]]/1000000</f>
        <v>3.0308391106861103</v>
      </c>
    </row>
    <row r="230" spans="1:6" x14ac:dyDescent="0.3">
      <c r="A230" s="1">
        <v>32.283000000000001</v>
      </c>
      <c r="B230" s="1">
        <v>2.6833</v>
      </c>
      <c r="C230" s="1">
        <f>Tabela1[[#This Row],[Alongamento(mm/mm)]]/$I$2</f>
        <v>5.3665999999999998E-2</v>
      </c>
      <c r="D230" s="1">
        <v>95.936000000000007</v>
      </c>
      <c r="E230" s="1">
        <f>Tabela1[[#This Row],[Força(N)]]/$I$5</f>
        <v>3057964.778069966</v>
      </c>
      <c r="F230" s="1">
        <f>Tabela1[[#This Row],[Tensão(Pa)]]/1000000</f>
        <v>3.0579647780699659</v>
      </c>
    </row>
    <row r="231" spans="1:6" x14ac:dyDescent="0.3">
      <c r="A231" s="1">
        <v>32.332999999999998</v>
      </c>
      <c r="B231" s="1">
        <v>2.6875</v>
      </c>
      <c r="C231" s="1">
        <f>Tabela1[[#This Row],[Alongamento(mm/mm)]]/$I$2</f>
        <v>5.3749999999999999E-2</v>
      </c>
      <c r="D231" s="1">
        <v>96.616</v>
      </c>
      <c r="E231" s="1">
        <f>Tabela1[[#This Row],[Força(N)]]/$I$5</f>
        <v>3079639.8119372064</v>
      </c>
      <c r="F231" s="1">
        <f>Tabela1[[#This Row],[Tensão(Pa)]]/1000000</f>
        <v>3.0796398119372066</v>
      </c>
    </row>
    <row r="232" spans="1:6" x14ac:dyDescent="0.3">
      <c r="A232" s="1">
        <v>32.383000000000003</v>
      </c>
      <c r="B232" s="1">
        <v>2.6917</v>
      </c>
      <c r="C232" s="1">
        <f>Tabela1[[#This Row],[Alongamento(mm/mm)]]/$I$2</f>
        <v>5.3834E-2</v>
      </c>
      <c r="D232" s="1">
        <v>97.296999999999997</v>
      </c>
      <c r="E232" s="1">
        <f>Tabela1[[#This Row],[Força(N)]]/$I$5</f>
        <v>3101346.7208542516</v>
      </c>
      <c r="F232" s="1">
        <f>Tabela1[[#This Row],[Tensão(Pa)]]/1000000</f>
        <v>3.1013467208542518</v>
      </c>
    </row>
    <row r="233" spans="1:6" x14ac:dyDescent="0.3">
      <c r="A233" s="1">
        <v>32.433</v>
      </c>
      <c r="B233" s="1">
        <v>2.6959</v>
      </c>
      <c r="C233" s="1">
        <f>Tabela1[[#This Row],[Alongamento(mm/mm)]]/$I$2</f>
        <v>5.3918000000000001E-2</v>
      </c>
      <c r="D233" s="1">
        <v>97.977000000000004</v>
      </c>
      <c r="E233" s="1">
        <f>Tabela1[[#This Row],[Força(N)]]/$I$5</f>
        <v>3123021.7547214921</v>
      </c>
      <c r="F233" s="1">
        <f>Tabela1[[#This Row],[Tensão(Pa)]]/1000000</f>
        <v>3.123021754721492</v>
      </c>
    </row>
    <row r="234" spans="1:6" x14ac:dyDescent="0.3">
      <c r="A234" s="1">
        <v>32.482999999999997</v>
      </c>
      <c r="B234" s="1">
        <v>2.7</v>
      </c>
      <c r="C234" s="1">
        <f>Tabela1[[#This Row],[Alongamento(mm/mm)]]/$I$2</f>
        <v>5.4000000000000006E-2</v>
      </c>
      <c r="D234" s="1">
        <v>98.826999999999998</v>
      </c>
      <c r="E234" s="1">
        <f>Tabela1[[#This Row],[Força(N)]]/$I$5</f>
        <v>3150115.5470555425</v>
      </c>
      <c r="F234" s="1">
        <f>Tabela1[[#This Row],[Tensão(Pa)]]/1000000</f>
        <v>3.1501155470555426</v>
      </c>
    </row>
    <row r="235" spans="1:6" x14ac:dyDescent="0.3">
      <c r="A235" s="1">
        <v>32.533000000000001</v>
      </c>
      <c r="B235" s="1">
        <v>2.7042000000000002</v>
      </c>
      <c r="C235" s="1">
        <f>Tabela1[[#This Row],[Alongamento(mm/mm)]]/$I$2</f>
        <v>5.4084E-2</v>
      </c>
      <c r="D235" s="1">
        <v>99.507999999999996</v>
      </c>
      <c r="E235" s="1">
        <f>Tabela1[[#This Row],[Força(N)]]/$I$5</f>
        <v>3171822.4559725877</v>
      </c>
      <c r="F235" s="1">
        <f>Tabela1[[#This Row],[Tensão(Pa)]]/1000000</f>
        <v>3.1718224559725878</v>
      </c>
    </row>
    <row r="236" spans="1:6" x14ac:dyDescent="0.3">
      <c r="A236" s="1">
        <v>32.582999999999998</v>
      </c>
      <c r="B236" s="1">
        <v>2.7084000000000001</v>
      </c>
      <c r="C236" s="1">
        <f>Tabela1[[#This Row],[Alongamento(mm/mm)]]/$I$2</f>
        <v>5.4168000000000001E-2</v>
      </c>
      <c r="D236" s="1">
        <v>100.36</v>
      </c>
      <c r="E236" s="1">
        <f>Tabela1[[#This Row],[Força(N)]]/$I$5</f>
        <v>3198979.9984062477</v>
      </c>
      <c r="F236" s="1">
        <f>Tabela1[[#This Row],[Tensão(Pa)]]/1000000</f>
        <v>3.1989799984062479</v>
      </c>
    </row>
    <row r="237" spans="1:6" x14ac:dyDescent="0.3">
      <c r="A237" s="1">
        <v>32.633000000000003</v>
      </c>
      <c r="B237" s="1">
        <v>2.7124999999999999</v>
      </c>
      <c r="C237" s="1">
        <f>Tabela1[[#This Row],[Alongamento(mm/mm)]]/$I$2</f>
        <v>5.425E-2</v>
      </c>
      <c r="D237" s="1">
        <v>101.04</v>
      </c>
      <c r="E237" s="1">
        <f>Tabela1[[#This Row],[Força(N)]]/$I$5</f>
        <v>3220655.0322734881</v>
      </c>
      <c r="F237" s="1">
        <f>Tabela1[[#This Row],[Tensão(Pa)]]/1000000</f>
        <v>3.2206550322734881</v>
      </c>
    </row>
    <row r="238" spans="1:6" x14ac:dyDescent="0.3">
      <c r="A238" s="1">
        <v>32.683</v>
      </c>
      <c r="B238" s="1">
        <v>2.7166999999999999</v>
      </c>
      <c r="C238" s="1">
        <f>Tabela1[[#This Row],[Alongamento(mm/mm)]]/$I$2</f>
        <v>5.4334E-2</v>
      </c>
      <c r="D238" s="1">
        <v>101.89</v>
      </c>
      <c r="E238" s="1">
        <f>Tabela1[[#This Row],[Força(N)]]/$I$5</f>
        <v>3247748.8246075385</v>
      </c>
      <c r="F238" s="1">
        <f>Tabela1[[#This Row],[Tensão(Pa)]]/1000000</f>
        <v>3.2477488246075383</v>
      </c>
    </row>
    <row r="239" spans="1:6" x14ac:dyDescent="0.3">
      <c r="A239" s="1">
        <v>32.732999999999997</v>
      </c>
      <c r="B239" s="1">
        <v>2.7208999999999999</v>
      </c>
      <c r="C239" s="1">
        <f>Tabela1[[#This Row],[Alongamento(mm/mm)]]/$I$2</f>
        <v>5.4417999999999994E-2</v>
      </c>
      <c r="D239" s="1">
        <v>102.57</v>
      </c>
      <c r="E239" s="1">
        <f>Tabela1[[#This Row],[Força(N)]]/$I$5</f>
        <v>3269423.8584747789</v>
      </c>
      <c r="F239" s="1">
        <f>Tabela1[[#This Row],[Tensão(Pa)]]/1000000</f>
        <v>3.269423858474779</v>
      </c>
    </row>
    <row r="240" spans="1:6" x14ac:dyDescent="0.3">
      <c r="A240" s="1">
        <v>32.783000000000001</v>
      </c>
      <c r="B240" s="1">
        <v>2.7250000000000001</v>
      </c>
      <c r="C240" s="1">
        <f>Tabela1[[#This Row],[Alongamento(mm/mm)]]/$I$2</f>
        <v>5.45E-2</v>
      </c>
      <c r="D240" s="1">
        <v>103.42</v>
      </c>
      <c r="E240" s="1">
        <f>Tabela1[[#This Row],[Força(N)]]/$I$5</f>
        <v>3296517.6508088298</v>
      </c>
      <c r="F240" s="1">
        <f>Tabela1[[#This Row],[Tensão(Pa)]]/1000000</f>
        <v>3.2965176508088296</v>
      </c>
    </row>
    <row r="241" spans="1:6" x14ac:dyDescent="0.3">
      <c r="A241" s="1">
        <v>32.832999999999998</v>
      </c>
      <c r="B241" s="1">
        <v>2.7292000000000001</v>
      </c>
      <c r="C241" s="1">
        <f>Tabela1[[#This Row],[Alongamento(mm/mm)]]/$I$2</f>
        <v>5.4584000000000001E-2</v>
      </c>
      <c r="D241" s="1">
        <v>104.1</v>
      </c>
      <c r="E241" s="1">
        <f>Tabela1[[#This Row],[Força(N)]]/$I$5</f>
        <v>3318192.6846760698</v>
      </c>
      <c r="F241" s="1">
        <f>Tabela1[[#This Row],[Tensão(Pa)]]/1000000</f>
        <v>3.3181926846760699</v>
      </c>
    </row>
    <row r="242" spans="1:6" x14ac:dyDescent="0.3">
      <c r="A242" s="1">
        <v>32.883000000000003</v>
      </c>
      <c r="B242" s="1">
        <v>2.7334000000000001</v>
      </c>
      <c r="C242" s="1">
        <f>Tabela1[[#This Row],[Alongamento(mm/mm)]]/$I$2</f>
        <v>5.4668000000000001E-2</v>
      </c>
      <c r="D242" s="1">
        <v>104.95</v>
      </c>
      <c r="E242" s="1">
        <f>Tabela1[[#This Row],[Força(N)]]/$I$5</f>
        <v>3345286.4770101206</v>
      </c>
      <c r="F242" s="1">
        <f>Tabela1[[#This Row],[Tensão(Pa)]]/1000000</f>
        <v>3.3452864770101205</v>
      </c>
    </row>
    <row r="243" spans="1:6" x14ac:dyDescent="0.3">
      <c r="A243" s="1">
        <v>32.933</v>
      </c>
      <c r="B243" s="1">
        <v>2.7376</v>
      </c>
      <c r="C243" s="1">
        <f>Tabela1[[#This Row],[Alongamento(mm/mm)]]/$I$2</f>
        <v>5.4752000000000002E-2</v>
      </c>
      <c r="D243" s="1">
        <v>105.63</v>
      </c>
      <c r="E243" s="1">
        <f>Tabela1[[#This Row],[Força(N)]]/$I$5</f>
        <v>3366961.5108773606</v>
      </c>
      <c r="F243" s="1">
        <f>Tabela1[[#This Row],[Tensão(Pa)]]/1000000</f>
        <v>3.3669615108773607</v>
      </c>
    </row>
    <row r="244" spans="1:6" x14ac:dyDescent="0.3">
      <c r="A244" s="1">
        <v>32.982999999999997</v>
      </c>
      <c r="B244" s="1">
        <v>2.7416999999999998</v>
      </c>
      <c r="C244" s="1">
        <f>Tabela1[[#This Row],[Alongamento(mm/mm)]]/$I$2</f>
        <v>5.4833999999999994E-2</v>
      </c>
      <c r="D244" s="1">
        <v>106.48</v>
      </c>
      <c r="E244" s="1">
        <f>Tabela1[[#This Row],[Força(N)]]/$I$5</f>
        <v>3394055.3032114115</v>
      </c>
      <c r="F244" s="1">
        <f>Tabela1[[#This Row],[Tensão(Pa)]]/1000000</f>
        <v>3.3940553032114114</v>
      </c>
    </row>
    <row r="245" spans="1:6" x14ac:dyDescent="0.3">
      <c r="A245" s="1">
        <v>33.033000000000001</v>
      </c>
      <c r="B245" s="1">
        <v>2.7458999999999998</v>
      </c>
      <c r="C245" s="1">
        <f>Tabela1[[#This Row],[Alongamento(mm/mm)]]/$I$2</f>
        <v>5.4917999999999995E-2</v>
      </c>
      <c r="D245" s="1">
        <v>107.33</v>
      </c>
      <c r="E245" s="1">
        <f>Tabela1[[#This Row],[Força(N)]]/$I$5</f>
        <v>3421149.0955454619</v>
      </c>
      <c r="F245" s="1">
        <f>Tabela1[[#This Row],[Tensão(Pa)]]/1000000</f>
        <v>3.421149095545462</v>
      </c>
    </row>
    <row r="246" spans="1:6" x14ac:dyDescent="0.3">
      <c r="A246" s="1">
        <v>33.082999999999998</v>
      </c>
      <c r="B246" s="1">
        <v>2.7501000000000002</v>
      </c>
      <c r="C246" s="1">
        <f>Tabela1[[#This Row],[Alongamento(mm/mm)]]/$I$2</f>
        <v>5.5002000000000002E-2</v>
      </c>
      <c r="D246" s="1">
        <v>108.18</v>
      </c>
      <c r="E246" s="1">
        <f>Tabela1[[#This Row],[Força(N)]]/$I$5</f>
        <v>3448242.8878795127</v>
      </c>
      <c r="F246" s="1">
        <f>Tabela1[[#This Row],[Tensão(Pa)]]/1000000</f>
        <v>3.4482428878795126</v>
      </c>
    </row>
    <row r="247" spans="1:6" x14ac:dyDescent="0.3">
      <c r="A247" s="1">
        <v>33.133000000000003</v>
      </c>
      <c r="B247" s="1">
        <v>2.7542</v>
      </c>
      <c r="C247" s="1">
        <f>Tabela1[[#This Row],[Alongamento(mm/mm)]]/$I$2</f>
        <v>5.5084000000000001E-2</v>
      </c>
      <c r="D247" s="1">
        <v>108.86</v>
      </c>
      <c r="E247" s="1">
        <f>Tabela1[[#This Row],[Força(N)]]/$I$5</f>
        <v>3469917.9217467527</v>
      </c>
      <c r="F247" s="1">
        <f>Tabela1[[#This Row],[Tensão(Pa)]]/1000000</f>
        <v>3.4699179217467528</v>
      </c>
    </row>
    <row r="248" spans="1:6" x14ac:dyDescent="0.3">
      <c r="A248" s="1">
        <v>33.167000000000002</v>
      </c>
      <c r="B248" s="1">
        <v>2.7568999999999999</v>
      </c>
      <c r="C248" s="1">
        <f>Tabela1[[#This Row],[Alongamento(mm/mm)]]/$I$2</f>
        <v>5.5138E-2</v>
      </c>
      <c r="D248" s="1">
        <v>109.54</v>
      </c>
      <c r="E248" s="1">
        <f>Tabela1[[#This Row],[Força(N)]]/$I$5</f>
        <v>3491592.9556139936</v>
      </c>
      <c r="F248" s="1">
        <f>Tabela1[[#This Row],[Tensão(Pa)]]/1000000</f>
        <v>3.4915929556139935</v>
      </c>
    </row>
    <row r="249" spans="1:6" x14ac:dyDescent="0.3">
      <c r="A249" s="1">
        <v>33.216999999999999</v>
      </c>
      <c r="B249" s="1">
        <v>2.7610999999999999</v>
      </c>
      <c r="C249" s="1">
        <f>Tabela1[[#This Row],[Alongamento(mm/mm)]]/$I$2</f>
        <v>5.5222E-2</v>
      </c>
      <c r="D249" s="1">
        <v>110.22</v>
      </c>
      <c r="E249" s="1">
        <f>Tabela1[[#This Row],[Força(N)]]/$I$5</f>
        <v>3513267.9894812335</v>
      </c>
      <c r="F249" s="1">
        <f>Tabela1[[#This Row],[Tensão(Pa)]]/1000000</f>
        <v>3.5132679894812333</v>
      </c>
    </row>
    <row r="250" spans="1:6" x14ac:dyDescent="0.3">
      <c r="A250" s="1">
        <v>33.25</v>
      </c>
      <c r="B250" s="1">
        <v>2.7639</v>
      </c>
      <c r="C250" s="1">
        <f>Tabela1[[#This Row],[Alongamento(mm/mm)]]/$I$2</f>
        <v>5.5278000000000001E-2</v>
      </c>
      <c r="D250" s="1">
        <v>110.9</v>
      </c>
      <c r="E250" s="1">
        <f>Tabela1[[#This Row],[Força(N)]]/$I$5</f>
        <v>3534943.0233484744</v>
      </c>
      <c r="F250" s="1">
        <f>Tabela1[[#This Row],[Tensão(Pa)]]/1000000</f>
        <v>3.5349430233484744</v>
      </c>
    </row>
    <row r="251" spans="1:6" x14ac:dyDescent="0.3">
      <c r="A251" s="1">
        <v>33.299999999999997</v>
      </c>
      <c r="B251" s="1">
        <v>2.7681</v>
      </c>
      <c r="C251" s="1">
        <f>Tabela1[[#This Row],[Alongamento(mm/mm)]]/$I$2</f>
        <v>5.5362000000000001E-2</v>
      </c>
      <c r="D251" s="1">
        <v>111.58</v>
      </c>
      <c r="E251" s="1">
        <f>Tabela1[[#This Row],[Força(N)]]/$I$5</f>
        <v>3556618.0572157144</v>
      </c>
      <c r="F251" s="1">
        <f>Tabela1[[#This Row],[Tensão(Pa)]]/1000000</f>
        <v>3.5566180572157142</v>
      </c>
    </row>
    <row r="252" spans="1:6" x14ac:dyDescent="0.3">
      <c r="A252" s="1">
        <v>33.332999999999998</v>
      </c>
      <c r="B252" s="1">
        <v>2.7707999999999999</v>
      </c>
      <c r="C252" s="1">
        <f>Tabela1[[#This Row],[Alongamento(mm/mm)]]/$I$2</f>
        <v>5.5416E-2</v>
      </c>
      <c r="D252" s="1">
        <v>112.27</v>
      </c>
      <c r="E252" s="1">
        <f>Tabela1[[#This Row],[Força(N)]]/$I$5</f>
        <v>3578611.8415810023</v>
      </c>
      <c r="F252" s="1">
        <f>Tabela1[[#This Row],[Tensão(Pa)]]/1000000</f>
        <v>3.5786118415810022</v>
      </c>
    </row>
    <row r="253" spans="1:6" x14ac:dyDescent="0.3">
      <c r="A253" s="1">
        <v>33.383000000000003</v>
      </c>
      <c r="B253" s="1">
        <v>2.7751000000000001</v>
      </c>
      <c r="C253" s="1">
        <f>Tabela1[[#This Row],[Alongamento(mm/mm)]]/$I$2</f>
        <v>5.5502000000000003E-2</v>
      </c>
      <c r="D253" s="1">
        <v>113.12</v>
      </c>
      <c r="E253" s="1">
        <f>Tabela1[[#This Row],[Força(N)]]/$I$5</f>
        <v>3605705.6339150532</v>
      </c>
      <c r="F253" s="1">
        <f>Tabela1[[#This Row],[Tensão(Pa)]]/1000000</f>
        <v>3.6057056339150533</v>
      </c>
    </row>
    <row r="254" spans="1:6" x14ac:dyDescent="0.3">
      <c r="A254" s="1">
        <v>33.433</v>
      </c>
      <c r="B254" s="1">
        <v>2.7791999999999999</v>
      </c>
      <c r="C254" s="1">
        <f>Tabela1[[#This Row],[Alongamento(mm/mm)]]/$I$2</f>
        <v>5.5583999999999995E-2</v>
      </c>
      <c r="D254" s="1">
        <v>113.8</v>
      </c>
      <c r="E254" s="1">
        <f>Tabela1[[#This Row],[Força(N)]]/$I$5</f>
        <v>3627380.6677822936</v>
      </c>
      <c r="F254" s="1">
        <f>Tabela1[[#This Row],[Tensão(Pa)]]/1000000</f>
        <v>3.6273806677822935</v>
      </c>
    </row>
    <row r="255" spans="1:6" x14ac:dyDescent="0.3">
      <c r="A255" s="1">
        <v>33.466999999999999</v>
      </c>
      <c r="B255" s="1">
        <v>2.782</v>
      </c>
      <c r="C255" s="1">
        <f>Tabela1[[#This Row],[Alongamento(mm/mm)]]/$I$2</f>
        <v>5.5640000000000002E-2</v>
      </c>
      <c r="D255" s="1">
        <v>114.48</v>
      </c>
      <c r="E255" s="1">
        <f>Tabela1[[#This Row],[Força(N)]]/$I$5</f>
        <v>3649055.7016495341</v>
      </c>
      <c r="F255" s="1">
        <f>Tabela1[[#This Row],[Tensão(Pa)]]/1000000</f>
        <v>3.6490557016495342</v>
      </c>
    </row>
    <row r="256" spans="1:6" x14ac:dyDescent="0.3">
      <c r="A256" s="1">
        <v>33.517000000000003</v>
      </c>
      <c r="B256" s="1">
        <v>2.7860999999999998</v>
      </c>
      <c r="C256" s="1">
        <f>Tabela1[[#This Row],[Alongamento(mm/mm)]]/$I$2</f>
        <v>5.5721999999999994E-2</v>
      </c>
      <c r="D256" s="1">
        <v>115.33</v>
      </c>
      <c r="E256" s="1">
        <f>Tabela1[[#This Row],[Força(N)]]/$I$5</f>
        <v>3676149.4939835845</v>
      </c>
      <c r="F256" s="1">
        <f>Tabela1[[#This Row],[Tensão(Pa)]]/1000000</f>
        <v>3.6761494939835844</v>
      </c>
    </row>
    <row r="257" spans="1:6" x14ac:dyDescent="0.3">
      <c r="A257" s="1">
        <v>33.567</v>
      </c>
      <c r="B257" s="1">
        <v>2.7902999999999998</v>
      </c>
      <c r="C257" s="1">
        <f>Tabela1[[#This Row],[Alongamento(mm/mm)]]/$I$2</f>
        <v>5.5805999999999994E-2</v>
      </c>
      <c r="D257" s="1">
        <v>116.18</v>
      </c>
      <c r="E257" s="1">
        <f>Tabela1[[#This Row],[Força(N)]]/$I$5</f>
        <v>3703243.2863176353</v>
      </c>
      <c r="F257" s="1">
        <f>Tabela1[[#This Row],[Tensão(Pa)]]/1000000</f>
        <v>3.7032432863176354</v>
      </c>
    </row>
    <row r="258" spans="1:6" x14ac:dyDescent="0.3">
      <c r="A258" s="1">
        <v>33.616999999999997</v>
      </c>
      <c r="B258" s="1">
        <v>2.7944</v>
      </c>
      <c r="C258" s="1">
        <f>Tabela1[[#This Row],[Alongamento(mm/mm)]]/$I$2</f>
        <v>5.5888E-2</v>
      </c>
      <c r="D258" s="1">
        <v>117.03</v>
      </c>
      <c r="E258" s="1">
        <f>Tabela1[[#This Row],[Força(N)]]/$I$5</f>
        <v>3730337.0786516857</v>
      </c>
      <c r="F258" s="1">
        <f>Tabela1[[#This Row],[Tensão(Pa)]]/1000000</f>
        <v>3.7303370786516856</v>
      </c>
    </row>
    <row r="259" spans="1:6" x14ac:dyDescent="0.3">
      <c r="A259" s="1">
        <v>33.667000000000002</v>
      </c>
      <c r="B259" s="1">
        <v>2.7986</v>
      </c>
      <c r="C259" s="1">
        <f>Tabela1[[#This Row],[Alongamento(mm/mm)]]/$I$2</f>
        <v>5.5972000000000001E-2</v>
      </c>
      <c r="D259" s="1">
        <v>117.88</v>
      </c>
      <c r="E259" s="1">
        <f>Tabela1[[#This Row],[Força(N)]]/$I$5</f>
        <v>3757430.8709857361</v>
      </c>
      <c r="F259" s="1">
        <f>Tabela1[[#This Row],[Tensão(Pa)]]/1000000</f>
        <v>3.7574308709857362</v>
      </c>
    </row>
    <row r="260" spans="1:6" x14ac:dyDescent="0.3">
      <c r="A260" s="1">
        <v>33.716999999999999</v>
      </c>
      <c r="B260" s="1">
        <v>2.8027000000000002</v>
      </c>
      <c r="C260" s="1">
        <f>Tabela1[[#This Row],[Alongamento(mm/mm)]]/$I$2</f>
        <v>5.6054000000000007E-2</v>
      </c>
      <c r="D260" s="1">
        <v>118.73</v>
      </c>
      <c r="E260" s="1">
        <f>Tabela1[[#This Row],[Força(N)]]/$I$5</f>
        <v>3784524.663319787</v>
      </c>
      <c r="F260" s="1">
        <f>Tabela1[[#This Row],[Tensão(Pa)]]/1000000</f>
        <v>3.7845246633197869</v>
      </c>
    </row>
    <row r="261" spans="1:6" x14ac:dyDescent="0.3">
      <c r="A261" s="1">
        <v>33.75</v>
      </c>
      <c r="B261" s="1">
        <v>2.8056000000000001</v>
      </c>
      <c r="C261" s="1">
        <f>Tabela1[[#This Row],[Alongamento(mm/mm)]]/$I$2</f>
        <v>5.6112000000000002E-2</v>
      </c>
      <c r="D261" s="1">
        <v>119.41</v>
      </c>
      <c r="E261" s="1">
        <f>Tabela1[[#This Row],[Força(N)]]/$I$5</f>
        <v>3806199.697187027</v>
      </c>
      <c r="F261" s="1">
        <f>Tabela1[[#This Row],[Tensão(Pa)]]/1000000</f>
        <v>3.8061996971870271</v>
      </c>
    </row>
    <row r="262" spans="1:6" x14ac:dyDescent="0.3">
      <c r="A262" s="1">
        <v>33.799999999999997</v>
      </c>
      <c r="B262" s="1">
        <v>2.8098000000000001</v>
      </c>
      <c r="C262" s="1">
        <f>Tabela1[[#This Row],[Alongamento(mm/mm)]]/$I$2</f>
        <v>5.6196000000000003E-2</v>
      </c>
      <c r="D262" s="1">
        <v>120.26</v>
      </c>
      <c r="E262" s="1">
        <f>Tabela1[[#This Row],[Força(N)]]/$I$5</f>
        <v>3833293.4895210778</v>
      </c>
      <c r="F262" s="1">
        <f>Tabela1[[#This Row],[Tensão(Pa)]]/1000000</f>
        <v>3.8332934895210777</v>
      </c>
    </row>
    <row r="263" spans="1:6" x14ac:dyDescent="0.3">
      <c r="A263" s="1">
        <v>33.85</v>
      </c>
      <c r="B263" s="1">
        <v>2.8140000000000001</v>
      </c>
      <c r="C263" s="1">
        <f>Tabela1[[#This Row],[Alongamento(mm/mm)]]/$I$2</f>
        <v>5.6280000000000004E-2</v>
      </c>
      <c r="D263" s="1">
        <v>121.11</v>
      </c>
      <c r="E263" s="1">
        <f>Tabela1[[#This Row],[Força(N)]]/$I$5</f>
        <v>3860387.2818551282</v>
      </c>
      <c r="F263" s="1">
        <f>Tabela1[[#This Row],[Tensão(Pa)]]/1000000</f>
        <v>3.8603872818551284</v>
      </c>
    </row>
    <row r="264" spans="1:6" x14ac:dyDescent="0.3">
      <c r="A264" s="1">
        <v>33.9</v>
      </c>
      <c r="B264" s="1">
        <v>2.8180999999999998</v>
      </c>
      <c r="C264" s="1">
        <f>Tabela1[[#This Row],[Alongamento(mm/mm)]]/$I$2</f>
        <v>5.6361999999999995E-2</v>
      </c>
      <c r="D264" s="1">
        <v>121.96</v>
      </c>
      <c r="E264" s="1">
        <f>Tabela1[[#This Row],[Força(N)]]/$I$5</f>
        <v>3887481.0741891786</v>
      </c>
      <c r="F264" s="1">
        <f>Tabela1[[#This Row],[Tensão(Pa)]]/1000000</f>
        <v>3.8874810741891785</v>
      </c>
    </row>
    <row r="265" spans="1:6" x14ac:dyDescent="0.3">
      <c r="A265" s="1">
        <v>33.950000000000003</v>
      </c>
      <c r="B265" s="1">
        <v>2.8222999999999998</v>
      </c>
      <c r="C265" s="1">
        <f>Tabela1[[#This Row],[Alongamento(mm/mm)]]/$I$2</f>
        <v>5.6445999999999996E-2</v>
      </c>
      <c r="D265" s="1">
        <v>122.81</v>
      </c>
      <c r="E265" s="1">
        <f>Tabela1[[#This Row],[Força(N)]]/$I$5</f>
        <v>3914574.8665232291</v>
      </c>
      <c r="F265" s="1">
        <f>Tabela1[[#This Row],[Tensão(Pa)]]/1000000</f>
        <v>3.9145748665232292</v>
      </c>
    </row>
    <row r="266" spans="1:6" x14ac:dyDescent="0.3">
      <c r="A266" s="1">
        <v>34</v>
      </c>
      <c r="B266" s="1">
        <v>2.8264999999999998</v>
      </c>
      <c r="C266" s="1">
        <f>Tabela1[[#This Row],[Alongamento(mm/mm)]]/$I$2</f>
        <v>5.6529999999999997E-2</v>
      </c>
      <c r="D266" s="1">
        <v>123.66</v>
      </c>
      <c r="E266" s="1">
        <f>Tabela1[[#This Row],[Força(N)]]/$I$5</f>
        <v>3941668.6588572795</v>
      </c>
      <c r="F266" s="1">
        <f>Tabela1[[#This Row],[Tensão(Pa)]]/1000000</f>
        <v>3.9416686588572794</v>
      </c>
    </row>
    <row r="267" spans="1:6" x14ac:dyDescent="0.3">
      <c r="A267" s="1">
        <v>34.033000000000001</v>
      </c>
      <c r="B267" s="1">
        <v>2.8292000000000002</v>
      </c>
      <c r="C267" s="1">
        <f>Tabela1[[#This Row],[Alongamento(mm/mm)]]/$I$2</f>
        <v>5.6584000000000002E-2</v>
      </c>
      <c r="D267" s="1">
        <v>124.34</v>
      </c>
      <c r="E267" s="1">
        <f>Tabela1[[#This Row],[Força(N)]]/$I$5</f>
        <v>3963343.6927245203</v>
      </c>
      <c r="F267" s="1">
        <f>Tabela1[[#This Row],[Tensão(Pa)]]/1000000</f>
        <v>3.9633436927245205</v>
      </c>
    </row>
    <row r="268" spans="1:6" x14ac:dyDescent="0.3">
      <c r="A268" s="1">
        <v>34.082999999999998</v>
      </c>
      <c r="B268" s="1">
        <v>2.8332999999999999</v>
      </c>
      <c r="C268" s="1">
        <f>Tabela1[[#This Row],[Alongamento(mm/mm)]]/$I$2</f>
        <v>5.6666000000000001E-2</v>
      </c>
      <c r="D268" s="1">
        <v>125.19</v>
      </c>
      <c r="E268" s="1">
        <f>Tabela1[[#This Row],[Força(N)]]/$I$5</f>
        <v>3990437.4850585707</v>
      </c>
      <c r="F268" s="1">
        <f>Tabela1[[#This Row],[Tensão(Pa)]]/1000000</f>
        <v>3.9904374850585707</v>
      </c>
    </row>
    <row r="269" spans="1:6" x14ac:dyDescent="0.3">
      <c r="A269" s="1">
        <v>34.133000000000003</v>
      </c>
      <c r="B269" s="1">
        <v>2.8374999999999999</v>
      </c>
      <c r="C269" s="1">
        <f>Tabela1[[#This Row],[Alongamento(mm/mm)]]/$I$2</f>
        <v>5.6749999999999995E-2</v>
      </c>
      <c r="D269" s="1">
        <v>126.04</v>
      </c>
      <c r="E269" s="1">
        <f>Tabela1[[#This Row],[Força(N)]]/$I$5</f>
        <v>4017531.2773926212</v>
      </c>
      <c r="F269" s="1">
        <f>Tabela1[[#This Row],[Tensão(Pa)]]/1000000</f>
        <v>4.0175312773926208</v>
      </c>
    </row>
    <row r="270" spans="1:6" x14ac:dyDescent="0.3">
      <c r="A270" s="1">
        <v>34.167000000000002</v>
      </c>
      <c r="B270" s="1">
        <v>2.8403</v>
      </c>
      <c r="C270" s="1">
        <f>Tabela1[[#This Row],[Alongamento(mm/mm)]]/$I$2</f>
        <v>5.6806000000000002E-2</v>
      </c>
      <c r="D270" s="1">
        <v>126.72</v>
      </c>
      <c r="E270" s="1">
        <f>Tabela1[[#This Row],[Força(N)]]/$I$5</f>
        <v>4039206.3112598616</v>
      </c>
      <c r="F270" s="1">
        <f>Tabela1[[#This Row],[Tensão(Pa)]]/1000000</f>
        <v>4.0392063112598615</v>
      </c>
    </row>
    <row r="271" spans="1:6" x14ac:dyDescent="0.3">
      <c r="A271" s="1">
        <v>34.216999999999999</v>
      </c>
      <c r="B271" s="1">
        <v>2.8445</v>
      </c>
      <c r="C271" s="1">
        <f>Tabela1[[#This Row],[Alongamento(mm/mm)]]/$I$2</f>
        <v>5.6890000000000003E-2</v>
      </c>
      <c r="D271" s="1">
        <v>127.4</v>
      </c>
      <c r="E271" s="1">
        <f>Tabela1[[#This Row],[Força(N)]]/$I$5</f>
        <v>4060881.345127102</v>
      </c>
      <c r="F271" s="1">
        <f>Tabela1[[#This Row],[Tensão(Pa)]]/1000000</f>
        <v>4.0608813451271022</v>
      </c>
    </row>
    <row r="272" spans="1:6" x14ac:dyDescent="0.3">
      <c r="A272" s="1">
        <v>34.25</v>
      </c>
      <c r="B272" s="1">
        <v>2.8473000000000002</v>
      </c>
      <c r="C272" s="1">
        <f>Tabela1[[#This Row],[Alongamento(mm/mm)]]/$I$2</f>
        <v>5.6946000000000004E-2</v>
      </c>
      <c r="D272" s="1">
        <v>128.08000000000001</v>
      </c>
      <c r="E272" s="1">
        <f>Tabela1[[#This Row],[Força(N)]]/$I$5</f>
        <v>4082556.3789943429</v>
      </c>
      <c r="F272" s="1">
        <f>Tabela1[[#This Row],[Tensão(Pa)]]/1000000</f>
        <v>4.0825563789943429</v>
      </c>
    </row>
    <row r="273" spans="1:6" x14ac:dyDescent="0.3">
      <c r="A273" s="1">
        <v>34.283000000000001</v>
      </c>
      <c r="B273" s="1">
        <v>2.85</v>
      </c>
      <c r="C273" s="1">
        <f>Tabela1[[#This Row],[Alongamento(mm/mm)]]/$I$2</f>
        <v>5.7000000000000002E-2</v>
      </c>
      <c r="D273" s="1">
        <v>128.76</v>
      </c>
      <c r="E273" s="1">
        <f>Tabela1[[#This Row],[Força(N)]]/$I$5</f>
        <v>4104231.4128615824</v>
      </c>
      <c r="F273" s="1">
        <f>Tabela1[[#This Row],[Tensão(Pa)]]/1000000</f>
        <v>4.1042314128615827</v>
      </c>
    </row>
    <row r="274" spans="1:6" x14ac:dyDescent="0.3">
      <c r="A274" s="1">
        <v>34.332999999999998</v>
      </c>
      <c r="B274" s="1">
        <v>2.8542000000000001</v>
      </c>
      <c r="C274" s="1">
        <f>Tabela1[[#This Row],[Alongamento(mm/mm)]]/$I$2</f>
        <v>5.7084000000000003E-2</v>
      </c>
      <c r="D274" s="1">
        <v>129.62</v>
      </c>
      <c r="E274" s="1">
        <f>Tabela1[[#This Row],[Força(N)]]/$I$5</f>
        <v>4131643.9556936813</v>
      </c>
      <c r="F274" s="1">
        <f>Tabela1[[#This Row],[Tensão(Pa)]]/1000000</f>
        <v>4.131643955693681</v>
      </c>
    </row>
    <row r="275" spans="1:6" x14ac:dyDescent="0.3">
      <c r="A275" s="1">
        <v>34.383000000000003</v>
      </c>
      <c r="B275" s="1">
        <v>2.8584000000000001</v>
      </c>
      <c r="C275" s="1">
        <f>Tabela1[[#This Row],[Alongamento(mm/mm)]]/$I$2</f>
        <v>5.7168000000000004E-2</v>
      </c>
      <c r="D275" s="1">
        <v>130.47</v>
      </c>
      <c r="E275" s="1">
        <f>Tabela1[[#This Row],[Força(N)]]/$I$5</f>
        <v>4158737.7480277317</v>
      </c>
      <c r="F275" s="1">
        <f>Tabela1[[#This Row],[Tensão(Pa)]]/1000000</f>
        <v>4.1587377480277317</v>
      </c>
    </row>
    <row r="276" spans="1:6" x14ac:dyDescent="0.3">
      <c r="A276" s="1">
        <v>34.417000000000002</v>
      </c>
      <c r="B276" s="1">
        <v>2.8612000000000002</v>
      </c>
      <c r="C276" s="1">
        <f>Tabela1[[#This Row],[Alongamento(mm/mm)]]/$I$2</f>
        <v>5.7224000000000004E-2</v>
      </c>
      <c r="D276" s="1">
        <v>131.15</v>
      </c>
      <c r="E276" s="1">
        <f>Tabela1[[#This Row],[Força(N)]]/$I$5</f>
        <v>4180412.7818949721</v>
      </c>
      <c r="F276" s="1">
        <f>Tabela1[[#This Row],[Tensão(Pa)]]/1000000</f>
        <v>4.1804127818949723</v>
      </c>
    </row>
    <row r="277" spans="1:6" x14ac:dyDescent="0.3">
      <c r="A277" s="1">
        <v>34.482999999999997</v>
      </c>
      <c r="B277" s="1">
        <v>2.8666999999999998</v>
      </c>
      <c r="C277" s="1">
        <f>Tabela1[[#This Row],[Alongamento(mm/mm)]]/$I$2</f>
        <v>5.7333999999999996E-2</v>
      </c>
      <c r="D277" s="1">
        <v>132.34</v>
      </c>
      <c r="E277" s="1">
        <f>Tabela1[[#This Row],[Força(N)]]/$I$5</f>
        <v>4218344.0911626425</v>
      </c>
      <c r="F277" s="1">
        <f>Tabela1[[#This Row],[Tensão(Pa)]]/1000000</f>
        <v>4.2183440911626429</v>
      </c>
    </row>
    <row r="278" spans="1:6" x14ac:dyDescent="0.3">
      <c r="A278" s="1">
        <v>34.549999999999997</v>
      </c>
      <c r="B278" s="1">
        <v>2.8721999999999999</v>
      </c>
      <c r="C278" s="1">
        <f>Tabela1[[#This Row],[Alongamento(mm/mm)]]/$I$2</f>
        <v>5.7443999999999995E-2</v>
      </c>
      <c r="D278" s="1">
        <v>133.53</v>
      </c>
      <c r="E278" s="1">
        <f>Tabela1[[#This Row],[Força(N)]]/$I$5</f>
        <v>4256275.4004303133</v>
      </c>
      <c r="F278" s="1">
        <f>Tabela1[[#This Row],[Tensão(Pa)]]/1000000</f>
        <v>4.2562754004303134</v>
      </c>
    </row>
    <row r="279" spans="1:6" x14ac:dyDescent="0.3">
      <c r="A279" s="1">
        <v>34.616999999999997</v>
      </c>
      <c r="B279" s="1">
        <v>2.8778000000000001</v>
      </c>
      <c r="C279" s="1">
        <f>Tabela1[[#This Row],[Alongamento(mm/mm)]]/$I$2</f>
        <v>5.7556000000000003E-2</v>
      </c>
      <c r="D279" s="1">
        <v>134.72</v>
      </c>
      <c r="E279" s="1">
        <f>Tabela1[[#This Row],[Força(N)]]/$I$5</f>
        <v>4294206.7096979842</v>
      </c>
      <c r="F279" s="1">
        <f>Tabela1[[#This Row],[Tensão(Pa)]]/1000000</f>
        <v>4.2942067096979839</v>
      </c>
    </row>
    <row r="280" spans="1:6" x14ac:dyDescent="0.3">
      <c r="A280" s="1">
        <v>34.683</v>
      </c>
      <c r="B280" s="1">
        <v>2.8834</v>
      </c>
      <c r="C280" s="1">
        <f>Tabela1[[#This Row],[Alongamento(mm/mm)]]/$I$2</f>
        <v>5.7667999999999997E-2</v>
      </c>
      <c r="D280" s="1">
        <v>135.74</v>
      </c>
      <c r="E280" s="1">
        <f>Tabela1[[#This Row],[Força(N)]]/$I$5</f>
        <v>4326719.260498845</v>
      </c>
      <c r="F280" s="1">
        <f>Tabela1[[#This Row],[Tensão(Pa)]]/1000000</f>
        <v>4.3267192604988454</v>
      </c>
    </row>
    <row r="281" spans="1:6" x14ac:dyDescent="0.3">
      <c r="A281" s="1">
        <v>34.732999999999997</v>
      </c>
      <c r="B281" s="1">
        <v>2.8875999999999999</v>
      </c>
      <c r="C281" s="1">
        <f>Tabela1[[#This Row],[Alongamento(mm/mm)]]/$I$2</f>
        <v>5.7751999999999998E-2</v>
      </c>
      <c r="D281" s="1">
        <v>136.76</v>
      </c>
      <c r="E281" s="1">
        <f>Tabela1[[#This Row],[Força(N)]]/$I$5</f>
        <v>4359231.8112997049</v>
      </c>
      <c r="F281" s="1">
        <f>Tabela1[[#This Row],[Tensão(Pa)]]/1000000</f>
        <v>4.3592318112997051</v>
      </c>
    </row>
    <row r="282" spans="1:6" x14ac:dyDescent="0.3">
      <c r="A282" s="1">
        <v>34.799999999999997</v>
      </c>
      <c r="B282" s="1">
        <v>2.8931</v>
      </c>
      <c r="C282" s="1">
        <f>Tabela1[[#This Row],[Alongamento(mm/mm)]]/$I$2</f>
        <v>5.7861999999999997E-2</v>
      </c>
      <c r="D282" s="1">
        <v>137.94999999999999</v>
      </c>
      <c r="E282" s="1">
        <f>Tabela1[[#This Row],[Força(N)]]/$I$5</f>
        <v>4397163.1205673758</v>
      </c>
      <c r="F282" s="1">
        <f>Tabela1[[#This Row],[Tensão(Pa)]]/1000000</f>
        <v>4.3971631205673756</v>
      </c>
    </row>
    <row r="283" spans="1:6" x14ac:dyDescent="0.3">
      <c r="A283" s="1">
        <v>34.866999999999997</v>
      </c>
      <c r="B283" s="1">
        <v>2.8986999999999998</v>
      </c>
      <c r="C283" s="1">
        <f>Tabela1[[#This Row],[Alongamento(mm/mm)]]/$I$2</f>
        <v>5.7973999999999998E-2</v>
      </c>
      <c r="D283" s="1">
        <v>139.13999999999999</v>
      </c>
      <c r="E283" s="1">
        <f>Tabela1[[#This Row],[Força(N)]]/$I$5</f>
        <v>4435094.4298350466</v>
      </c>
      <c r="F283" s="1">
        <f>Tabela1[[#This Row],[Tensão(Pa)]]/1000000</f>
        <v>4.435094429835047</v>
      </c>
    </row>
    <row r="284" spans="1:6" x14ac:dyDescent="0.3">
      <c r="A284" s="1">
        <v>34.933</v>
      </c>
      <c r="B284" s="1">
        <v>2.9041999999999999</v>
      </c>
      <c r="C284" s="1">
        <f>Tabela1[[#This Row],[Alongamento(mm/mm)]]/$I$2</f>
        <v>5.8083999999999997E-2</v>
      </c>
      <c r="D284" s="1">
        <v>140.33000000000001</v>
      </c>
      <c r="E284" s="1">
        <f>Tabela1[[#This Row],[Força(N)]]/$I$5</f>
        <v>4473025.7391027184</v>
      </c>
      <c r="F284" s="1">
        <f>Tabela1[[#This Row],[Tensão(Pa)]]/1000000</f>
        <v>4.4730257391027184</v>
      </c>
    </row>
    <row r="285" spans="1:6" x14ac:dyDescent="0.3">
      <c r="A285" s="1">
        <v>34.982999999999997</v>
      </c>
      <c r="B285" s="1">
        <v>2.9083999999999999</v>
      </c>
      <c r="C285" s="1">
        <f>Tabela1[[#This Row],[Alongamento(mm/mm)]]/$I$2</f>
        <v>5.8167999999999997E-2</v>
      </c>
      <c r="D285" s="1">
        <v>141.35</v>
      </c>
      <c r="E285" s="1">
        <f>Tabela1[[#This Row],[Força(N)]]/$I$5</f>
        <v>4505538.2899035783</v>
      </c>
      <c r="F285" s="1">
        <f>Tabela1[[#This Row],[Tensão(Pa)]]/1000000</f>
        <v>4.5055382899035781</v>
      </c>
    </row>
    <row r="286" spans="1:6" x14ac:dyDescent="0.3">
      <c r="A286" s="1">
        <v>35.049999999999997</v>
      </c>
      <c r="B286" s="1">
        <v>2.9138999999999999</v>
      </c>
      <c r="C286" s="1">
        <f>Tabela1[[#This Row],[Alongamento(mm/mm)]]/$I$2</f>
        <v>5.8277999999999996E-2</v>
      </c>
      <c r="D286" s="1">
        <v>142.54</v>
      </c>
      <c r="E286" s="1">
        <f>Tabela1[[#This Row],[Força(N)]]/$I$5</f>
        <v>4543469.5991712483</v>
      </c>
      <c r="F286" s="1">
        <f>Tabela1[[#This Row],[Tensão(Pa)]]/1000000</f>
        <v>4.5434695991712486</v>
      </c>
    </row>
    <row r="287" spans="1:6" x14ac:dyDescent="0.3">
      <c r="A287" s="1">
        <v>35.116999999999997</v>
      </c>
      <c r="B287" s="1">
        <v>2.9195000000000002</v>
      </c>
      <c r="C287" s="1">
        <f>Tabela1[[#This Row],[Alongamento(mm/mm)]]/$I$2</f>
        <v>5.8390000000000004E-2</v>
      </c>
      <c r="D287" s="1">
        <v>143.72999999999999</v>
      </c>
      <c r="E287" s="1">
        <f>Tabela1[[#This Row],[Força(N)]]/$I$5</f>
        <v>4581400.9084389191</v>
      </c>
      <c r="F287" s="1">
        <f>Tabela1[[#This Row],[Tensão(Pa)]]/1000000</f>
        <v>4.5814009084389191</v>
      </c>
    </row>
    <row r="288" spans="1:6" x14ac:dyDescent="0.3">
      <c r="A288" s="1">
        <v>35.167000000000002</v>
      </c>
      <c r="B288" s="1">
        <v>2.9237000000000002</v>
      </c>
      <c r="C288" s="1">
        <f>Tabela1[[#This Row],[Alongamento(mm/mm)]]/$I$2</f>
        <v>5.8474000000000005E-2</v>
      </c>
      <c r="D288" s="1">
        <v>144.75</v>
      </c>
      <c r="E288" s="1">
        <f>Tabela1[[#This Row],[Força(N)]]/$I$5</f>
        <v>4613913.45923978</v>
      </c>
      <c r="F288" s="1">
        <f>Tabela1[[#This Row],[Tensão(Pa)]]/1000000</f>
        <v>4.6139134592397797</v>
      </c>
    </row>
    <row r="289" spans="1:6" x14ac:dyDescent="0.3">
      <c r="A289" s="1">
        <v>35.232999999999997</v>
      </c>
      <c r="B289" s="1">
        <v>2.9293</v>
      </c>
      <c r="C289" s="1">
        <f>Tabela1[[#This Row],[Alongamento(mm/mm)]]/$I$2</f>
        <v>5.8585999999999999E-2</v>
      </c>
      <c r="D289" s="1">
        <v>145.94</v>
      </c>
      <c r="E289" s="1">
        <f>Tabela1[[#This Row],[Força(N)]]/$I$5</f>
        <v>4651844.7685074508</v>
      </c>
      <c r="F289" s="1">
        <f>Tabela1[[#This Row],[Tensão(Pa)]]/1000000</f>
        <v>4.6518447685074511</v>
      </c>
    </row>
    <row r="290" spans="1:6" x14ac:dyDescent="0.3">
      <c r="A290" s="1">
        <v>35.299999999999997</v>
      </c>
      <c r="B290" s="1">
        <v>2.9348000000000001</v>
      </c>
      <c r="C290" s="1">
        <f>Tabela1[[#This Row],[Alongamento(mm/mm)]]/$I$2</f>
        <v>5.8695999999999998E-2</v>
      </c>
      <c r="D290" s="1">
        <v>147.13999999999999</v>
      </c>
      <c r="E290" s="1">
        <f>Tabela1[[#This Row],[Força(N)]]/$I$5</f>
        <v>4690094.8282731688</v>
      </c>
      <c r="F290" s="1">
        <f>Tabela1[[#This Row],[Tensão(Pa)]]/1000000</f>
        <v>4.6900948282731685</v>
      </c>
    </row>
    <row r="291" spans="1:6" x14ac:dyDescent="0.3">
      <c r="A291" s="1">
        <v>35.35</v>
      </c>
      <c r="B291" s="1">
        <v>2.9390000000000001</v>
      </c>
      <c r="C291" s="1">
        <f>Tabela1[[#This Row],[Alongamento(mm/mm)]]/$I$2</f>
        <v>5.8779999999999999E-2</v>
      </c>
      <c r="D291" s="1">
        <v>148.16</v>
      </c>
      <c r="E291" s="1">
        <f>Tabela1[[#This Row],[Força(N)]]/$I$5</f>
        <v>4722607.3790740296</v>
      </c>
      <c r="F291" s="1">
        <f>Tabela1[[#This Row],[Tensão(Pa)]]/1000000</f>
        <v>4.7226073790740299</v>
      </c>
    </row>
    <row r="292" spans="1:6" x14ac:dyDescent="0.3">
      <c r="A292" s="1">
        <v>35.4</v>
      </c>
      <c r="B292" s="1">
        <v>2.9430999999999998</v>
      </c>
      <c r="C292" s="1">
        <f>Tabela1[[#This Row],[Alongamento(mm/mm)]]/$I$2</f>
        <v>5.8861999999999998E-2</v>
      </c>
      <c r="D292" s="1">
        <v>149.18</v>
      </c>
      <c r="E292" s="1">
        <f>Tabela1[[#This Row],[Força(N)]]/$I$5</f>
        <v>4755119.9298748905</v>
      </c>
      <c r="F292" s="1">
        <f>Tabela1[[#This Row],[Tensão(Pa)]]/1000000</f>
        <v>4.7551199298748905</v>
      </c>
    </row>
    <row r="293" spans="1:6" x14ac:dyDescent="0.3">
      <c r="A293" s="1">
        <v>35.450000000000003</v>
      </c>
      <c r="B293" s="1">
        <v>2.9472</v>
      </c>
      <c r="C293" s="1">
        <f>Tabela1[[#This Row],[Alongamento(mm/mm)]]/$I$2</f>
        <v>5.8944000000000003E-2</v>
      </c>
      <c r="D293" s="1">
        <v>150.19999999999999</v>
      </c>
      <c r="E293" s="1">
        <f>Tabela1[[#This Row],[Força(N)]]/$I$5</f>
        <v>4787632.4806757513</v>
      </c>
      <c r="F293" s="1">
        <f>Tabela1[[#This Row],[Tensão(Pa)]]/1000000</f>
        <v>4.7876324806757511</v>
      </c>
    </row>
    <row r="294" spans="1:6" x14ac:dyDescent="0.3">
      <c r="A294" s="1">
        <v>35.517000000000003</v>
      </c>
      <c r="B294" s="1">
        <v>2.9527999999999999</v>
      </c>
      <c r="C294" s="1">
        <f>Tabela1[[#This Row],[Alongamento(mm/mm)]]/$I$2</f>
        <v>5.9055999999999997E-2</v>
      </c>
      <c r="D294" s="1">
        <v>151.38999999999999</v>
      </c>
      <c r="E294" s="1">
        <f>Tabela1[[#This Row],[Força(N)]]/$I$5</f>
        <v>4825563.7899434213</v>
      </c>
      <c r="F294" s="1">
        <f>Tabela1[[#This Row],[Tensão(Pa)]]/1000000</f>
        <v>4.8255637899434216</v>
      </c>
    </row>
    <row r="295" spans="1:6" x14ac:dyDescent="0.3">
      <c r="A295" s="1">
        <v>35.567</v>
      </c>
      <c r="B295" s="1">
        <v>2.9569000000000001</v>
      </c>
      <c r="C295" s="1">
        <f>Tabela1[[#This Row],[Alongamento(mm/mm)]]/$I$2</f>
        <v>5.9138000000000003E-2</v>
      </c>
      <c r="D295" s="1">
        <v>152.41</v>
      </c>
      <c r="E295" s="1">
        <f>Tabela1[[#This Row],[Força(N)]]/$I$5</f>
        <v>4858076.3407442821</v>
      </c>
      <c r="F295" s="1">
        <f>Tabela1[[#This Row],[Tensão(Pa)]]/1000000</f>
        <v>4.8580763407442822</v>
      </c>
    </row>
    <row r="296" spans="1:6" x14ac:dyDescent="0.3">
      <c r="A296" s="1">
        <v>35.633000000000003</v>
      </c>
      <c r="B296" s="1">
        <v>2.9624999999999999</v>
      </c>
      <c r="C296" s="1">
        <f>Tabela1[[#This Row],[Alongamento(mm/mm)]]/$I$2</f>
        <v>5.9249999999999997E-2</v>
      </c>
      <c r="D296" s="1">
        <v>153.6</v>
      </c>
      <c r="E296" s="1">
        <f>Tabela1[[#This Row],[Força(N)]]/$I$5</f>
        <v>4896007.650011953</v>
      </c>
      <c r="F296" s="1">
        <f>Tabela1[[#This Row],[Tensão(Pa)]]/1000000</f>
        <v>4.8960076500119527</v>
      </c>
    </row>
    <row r="297" spans="1:6" x14ac:dyDescent="0.3">
      <c r="A297" s="1">
        <v>35.683</v>
      </c>
      <c r="B297" s="1">
        <v>2.9666999999999999</v>
      </c>
      <c r="C297" s="1">
        <f>Tabela1[[#This Row],[Alongamento(mm/mm)]]/$I$2</f>
        <v>5.9333999999999998E-2</v>
      </c>
      <c r="D297" s="1">
        <v>154.62</v>
      </c>
      <c r="E297" s="1">
        <f>Tabela1[[#This Row],[Força(N)]]/$I$5</f>
        <v>4928520.2008128138</v>
      </c>
      <c r="F297" s="1">
        <f>Tabela1[[#This Row],[Tensão(Pa)]]/1000000</f>
        <v>4.9285202008128142</v>
      </c>
    </row>
    <row r="298" spans="1:6" x14ac:dyDescent="0.3">
      <c r="A298" s="1">
        <v>35.75</v>
      </c>
      <c r="B298" s="1">
        <v>2.9722</v>
      </c>
      <c r="C298" s="1">
        <f>Tabela1[[#This Row],[Alongamento(mm/mm)]]/$I$2</f>
        <v>5.9443999999999997E-2</v>
      </c>
      <c r="D298" s="1">
        <v>155.81</v>
      </c>
      <c r="E298" s="1">
        <f>Tabela1[[#This Row],[Força(N)]]/$I$5</f>
        <v>4966451.5100804847</v>
      </c>
      <c r="F298" s="1">
        <f>Tabela1[[#This Row],[Tensão(Pa)]]/1000000</f>
        <v>4.9664515100804847</v>
      </c>
    </row>
    <row r="299" spans="1:6" x14ac:dyDescent="0.3">
      <c r="A299" s="1">
        <v>35.799999999999997</v>
      </c>
      <c r="B299" s="1">
        <v>2.9765000000000001</v>
      </c>
      <c r="C299" s="1">
        <f>Tabela1[[#This Row],[Alongamento(mm/mm)]]/$I$2</f>
        <v>5.953E-2</v>
      </c>
      <c r="D299" s="1">
        <v>156.83000000000001</v>
      </c>
      <c r="E299" s="1">
        <f>Tabela1[[#This Row],[Força(N)]]/$I$5</f>
        <v>4998964.0608813455</v>
      </c>
      <c r="F299" s="1">
        <f>Tabela1[[#This Row],[Tensão(Pa)]]/1000000</f>
        <v>4.9989640608813453</v>
      </c>
    </row>
    <row r="300" spans="1:6" x14ac:dyDescent="0.3">
      <c r="A300" s="1">
        <v>35.85</v>
      </c>
      <c r="B300" s="1">
        <v>2.9805999999999999</v>
      </c>
      <c r="C300" s="1">
        <f>Tabela1[[#This Row],[Alongamento(mm/mm)]]/$I$2</f>
        <v>5.9611999999999998E-2</v>
      </c>
      <c r="D300" s="1">
        <v>157.85</v>
      </c>
      <c r="E300" s="1">
        <f>Tabela1[[#This Row],[Força(N)]]/$I$5</f>
        <v>5031476.6116822055</v>
      </c>
      <c r="F300" s="1">
        <f>Tabela1[[#This Row],[Tensão(Pa)]]/1000000</f>
        <v>5.0314766116822058</v>
      </c>
    </row>
    <row r="301" spans="1:6" x14ac:dyDescent="0.3">
      <c r="A301" s="1">
        <v>35.9</v>
      </c>
      <c r="B301" s="1">
        <v>2.9847000000000001</v>
      </c>
      <c r="C301" s="1">
        <f>Tabela1[[#This Row],[Alongamento(mm/mm)]]/$I$2</f>
        <v>5.9694000000000004E-2</v>
      </c>
      <c r="D301" s="1">
        <v>158.87</v>
      </c>
      <c r="E301" s="1">
        <f>Tabela1[[#This Row],[Força(N)]]/$I$5</f>
        <v>5063989.1624830673</v>
      </c>
      <c r="F301" s="1">
        <f>Tabela1[[#This Row],[Tensão(Pa)]]/1000000</f>
        <v>5.0639891624830673</v>
      </c>
    </row>
    <row r="302" spans="1:6" x14ac:dyDescent="0.3">
      <c r="A302" s="1">
        <v>35.966999999999999</v>
      </c>
      <c r="B302" s="1">
        <v>2.9903</v>
      </c>
      <c r="C302" s="1">
        <f>Tabela1[[#This Row],[Alongamento(mm/mm)]]/$I$2</f>
        <v>5.9805999999999998E-2</v>
      </c>
      <c r="D302" s="1">
        <v>160.06</v>
      </c>
      <c r="E302" s="1">
        <f>Tabela1[[#This Row],[Força(N)]]/$I$5</f>
        <v>5101920.4717507372</v>
      </c>
      <c r="F302" s="1">
        <f>Tabela1[[#This Row],[Tensão(Pa)]]/1000000</f>
        <v>5.1019204717507369</v>
      </c>
    </row>
    <row r="303" spans="1:6" x14ac:dyDescent="0.3">
      <c r="A303" s="1">
        <v>36.017000000000003</v>
      </c>
      <c r="B303" s="1">
        <v>2.9944000000000002</v>
      </c>
      <c r="C303" s="1">
        <f>Tabela1[[#This Row],[Alongamento(mm/mm)]]/$I$2</f>
        <v>5.9888000000000004E-2</v>
      </c>
      <c r="D303" s="1">
        <v>161.08000000000001</v>
      </c>
      <c r="E303" s="1">
        <f>Tabela1[[#This Row],[Força(N)]]/$I$5</f>
        <v>5134433.022551598</v>
      </c>
      <c r="F303" s="1">
        <f>Tabela1[[#This Row],[Tensão(Pa)]]/1000000</f>
        <v>5.1344330225515984</v>
      </c>
    </row>
    <row r="304" spans="1:6" x14ac:dyDescent="0.3">
      <c r="A304" s="1">
        <v>36.082999999999998</v>
      </c>
      <c r="B304" s="1">
        <v>3.0001000000000002</v>
      </c>
      <c r="C304" s="1">
        <f>Tabela1[[#This Row],[Alongamento(mm/mm)]]/$I$2</f>
        <v>6.0002000000000007E-2</v>
      </c>
      <c r="D304" s="1">
        <v>162.27000000000001</v>
      </c>
      <c r="E304" s="1">
        <f>Tabela1[[#This Row],[Força(N)]]/$I$5</f>
        <v>5172364.3318192689</v>
      </c>
      <c r="F304" s="1">
        <f>Tabela1[[#This Row],[Tensão(Pa)]]/1000000</f>
        <v>5.1723643318192689</v>
      </c>
    </row>
    <row r="305" spans="1:6" x14ac:dyDescent="0.3">
      <c r="A305" s="1">
        <v>36.133000000000003</v>
      </c>
      <c r="B305" s="1">
        <v>3.0042</v>
      </c>
      <c r="C305" s="1">
        <f>Tabela1[[#This Row],[Alongamento(mm/mm)]]/$I$2</f>
        <v>6.0083999999999999E-2</v>
      </c>
      <c r="D305" s="1">
        <v>163.29</v>
      </c>
      <c r="E305" s="1">
        <f>Tabela1[[#This Row],[Força(N)]]/$I$5</f>
        <v>5204876.8826201288</v>
      </c>
      <c r="F305" s="1">
        <f>Tabela1[[#This Row],[Tensão(Pa)]]/1000000</f>
        <v>5.2048768826201286</v>
      </c>
    </row>
    <row r="306" spans="1:6" x14ac:dyDescent="0.3">
      <c r="A306" s="1">
        <v>36.183</v>
      </c>
      <c r="B306" s="1">
        <v>3.0084</v>
      </c>
      <c r="C306" s="1">
        <f>Tabela1[[#This Row],[Alongamento(mm/mm)]]/$I$2</f>
        <v>6.0167999999999999E-2</v>
      </c>
      <c r="D306" s="1">
        <v>164.32</v>
      </c>
      <c r="E306" s="1">
        <f>Tabela1[[#This Row],[Força(N)]]/$I$5</f>
        <v>5237708.1839190377</v>
      </c>
      <c r="F306" s="1">
        <f>Tabela1[[#This Row],[Tensão(Pa)]]/1000000</f>
        <v>5.2377081839190378</v>
      </c>
    </row>
    <row r="307" spans="1:6" x14ac:dyDescent="0.3">
      <c r="A307" s="1">
        <v>36.25</v>
      </c>
      <c r="B307" s="1">
        <v>3.0139</v>
      </c>
      <c r="C307" s="1">
        <f>Tabela1[[#This Row],[Alongamento(mm/mm)]]/$I$2</f>
        <v>6.0277999999999998E-2</v>
      </c>
      <c r="D307" s="1">
        <v>165.51</v>
      </c>
      <c r="E307" s="1">
        <f>Tabela1[[#This Row],[Força(N)]]/$I$5</f>
        <v>5275639.4931867085</v>
      </c>
      <c r="F307" s="1">
        <f>Tabela1[[#This Row],[Tensão(Pa)]]/1000000</f>
        <v>5.2756394931867083</v>
      </c>
    </row>
    <row r="308" spans="1:6" x14ac:dyDescent="0.3">
      <c r="A308" s="1">
        <v>36.299999999999997</v>
      </c>
      <c r="B308" s="1">
        <v>3.0181</v>
      </c>
      <c r="C308" s="1">
        <f>Tabela1[[#This Row],[Alongamento(mm/mm)]]/$I$2</f>
        <v>6.0361999999999999E-2</v>
      </c>
      <c r="D308" s="1">
        <v>166.53</v>
      </c>
      <c r="E308" s="1">
        <f>Tabela1[[#This Row],[Força(N)]]/$I$5</f>
        <v>5308152.0439875694</v>
      </c>
      <c r="F308" s="1">
        <f>Tabela1[[#This Row],[Tensão(Pa)]]/1000000</f>
        <v>5.3081520439875698</v>
      </c>
    </row>
    <row r="309" spans="1:6" x14ac:dyDescent="0.3">
      <c r="A309" s="1">
        <v>36.35</v>
      </c>
      <c r="B309" s="1">
        <v>3.0222000000000002</v>
      </c>
      <c r="C309" s="1">
        <f>Tabela1[[#This Row],[Alongamento(mm/mm)]]/$I$2</f>
        <v>6.0444000000000005E-2</v>
      </c>
      <c r="D309" s="1">
        <v>167.55</v>
      </c>
      <c r="E309" s="1">
        <f>Tabela1[[#This Row],[Força(N)]]/$I$5</f>
        <v>5340664.5947884303</v>
      </c>
      <c r="F309" s="1">
        <f>Tabela1[[#This Row],[Tensão(Pa)]]/1000000</f>
        <v>5.3406645947884304</v>
      </c>
    </row>
    <row r="310" spans="1:6" x14ac:dyDescent="0.3">
      <c r="A310" s="1">
        <v>36.417000000000002</v>
      </c>
      <c r="B310" s="1">
        <v>3.0278</v>
      </c>
      <c r="C310" s="1">
        <f>Tabela1[[#This Row],[Alongamento(mm/mm)]]/$I$2</f>
        <v>6.0555999999999999E-2</v>
      </c>
      <c r="D310" s="1">
        <v>168.74</v>
      </c>
      <c r="E310" s="1">
        <f>Tabela1[[#This Row],[Força(N)]]/$I$5</f>
        <v>5378595.9040561011</v>
      </c>
      <c r="F310" s="1">
        <f>Tabela1[[#This Row],[Tensão(Pa)]]/1000000</f>
        <v>5.3785959040561009</v>
      </c>
    </row>
    <row r="311" spans="1:6" x14ac:dyDescent="0.3">
      <c r="A311" s="1">
        <v>36.466999999999999</v>
      </c>
      <c r="B311" s="1">
        <v>3.032</v>
      </c>
      <c r="C311" s="1">
        <f>Tabela1[[#This Row],[Alongamento(mm/mm)]]/$I$2</f>
        <v>6.0639999999999999E-2</v>
      </c>
      <c r="D311" s="1">
        <v>169.76</v>
      </c>
      <c r="E311" s="1">
        <f>Tabela1[[#This Row],[Força(N)]]/$I$5</f>
        <v>5411108.454856961</v>
      </c>
      <c r="F311" s="1">
        <f>Tabela1[[#This Row],[Tensão(Pa)]]/1000000</f>
        <v>5.4111084548569615</v>
      </c>
    </row>
    <row r="312" spans="1:6" x14ac:dyDescent="0.3">
      <c r="A312" s="1">
        <v>36.517000000000003</v>
      </c>
      <c r="B312" s="1">
        <v>3.0360999999999998</v>
      </c>
      <c r="C312" s="1">
        <f>Tabela1[[#This Row],[Alongamento(mm/mm)]]/$I$2</f>
        <v>6.0721999999999998E-2</v>
      </c>
      <c r="D312" s="1">
        <v>170.78</v>
      </c>
      <c r="E312" s="1">
        <f>Tabela1[[#This Row],[Força(N)]]/$I$5</f>
        <v>5443621.0056578219</v>
      </c>
      <c r="F312" s="1">
        <f>Tabela1[[#This Row],[Tensão(Pa)]]/1000000</f>
        <v>5.443621005657822</v>
      </c>
    </row>
    <row r="313" spans="1:6" x14ac:dyDescent="0.3">
      <c r="A313" s="1">
        <v>36.567</v>
      </c>
      <c r="B313" s="1">
        <v>3.0402999999999998</v>
      </c>
      <c r="C313" s="1">
        <f>Tabela1[[#This Row],[Alongamento(mm/mm)]]/$I$2</f>
        <v>6.0805999999999999E-2</v>
      </c>
      <c r="D313" s="1">
        <v>171.8</v>
      </c>
      <c r="E313" s="1">
        <f>Tabela1[[#This Row],[Força(N)]]/$I$5</f>
        <v>5476133.5564586828</v>
      </c>
      <c r="F313" s="1">
        <f>Tabela1[[#This Row],[Tensão(Pa)]]/1000000</f>
        <v>5.4761335564586826</v>
      </c>
    </row>
    <row r="314" spans="1:6" x14ac:dyDescent="0.3">
      <c r="A314" s="1">
        <v>36.616999999999997</v>
      </c>
      <c r="B314" s="1">
        <v>3.0445000000000002</v>
      </c>
      <c r="C314" s="1">
        <f>Tabela1[[#This Row],[Alongamento(mm/mm)]]/$I$2</f>
        <v>6.0890000000000007E-2</v>
      </c>
      <c r="D314" s="1">
        <v>172.82</v>
      </c>
      <c r="E314" s="1">
        <f>Tabela1[[#This Row],[Força(N)]]/$I$5</f>
        <v>5508646.1072595427</v>
      </c>
      <c r="F314" s="1">
        <f>Tabela1[[#This Row],[Tensão(Pa)]]/1000000</f>
        <v>5.5086461072595423</v>
      </c>
    </row>
    <row r="315" spans="1:6" x14ac:dyDescent="0.3">
      <c r="A315" s="1">
        <v>36.667000000000002</v>
      </c>
      <c r="B315" s="1">
        <v>3.0487000000000002</v>
      </c>
      <c r="C315" s="1">
        <f>Tabela1[[#This Row],[Alongamento(mm/mm)]]/$I$2</f>
        <v>6.0974E-2</v>
      </c>
      <c r="D315" s="1">
        <v>173.84</v>
      </c>
      <c r="E315" s="1">
        <f>Tabela1[[#This Row],[Força(N)]]/$I$5</f>
        <v>5541158.6580604035</v>
      </c>
      <c r="F315" s="1">
        <f>Tabela1[[#This Row],[Tensão(Pa)]]/1000000</f>
        <v>5.5411586580604038</v>
      </c>
    </row>
    <row r="316" spans="1:6" x14ac:dyDescent="0.3">
      <c r="A316" s="1">
        <v>36.716999999999999</v>
      </c>
      <c r="B316" s="1">
        <v>3.0529000000000002</v>
      </c>
      <c r="C316" s="1">
        <f>Tabela1[[#This Row],[Alongamento(mm/mm)]]/$I$2</f>
        <v>6.1058000000000001E-2</v>
      </c>
      <c r="D316" s="1">
        <v>174.86</v>
      </c>
      <c r="E316" s="1">
        <f>Tabela1[[#This Row],[Força(N)]]/$I$5</f>
        <v>5573671.2088612644</v>
      </c>
      <c r="F316" s="1">
        <f>Tabela1[[#This Row],[Tensão(Pa)]]/1000000</f>
        <v>5.5736712088612643</v>
      </c>
    </row>
    <row r="317" spans="1:6" x14ac:dyDescent="0.3">
      <c r="A317" s="1">
        <v>36.799999999999997</v>
      </c>
      <c r="B317" s="1">
        <v>3.0596999999999999</v>
      </c>
      <c r="C317" s="1">
        <f>Tabela1[[#This Row],[Alongamento(mm/mm)]]/$I$2</f>
        <v>6.1193999999999998E-2</v>
      </c>
      <c r="D317" s="1">
        <v>176.39</v>
      </c>
      <c r="E317" s="1">
        <f>Tabela1[[#This Row],[Força(N)]]/$I$5</f>
        <v>5622440.0350625543</v>
      </c>
      <c r="F317" s="1">
        <f>Tabela1[[#This Row],[Tensão(Pa)]]/1000000</f>
        <v>5.6224400350625539</v>
      </c>
    </row>
    <row r="318" spans="1:6" x14ac:dyDescent="0.3">
      <c r="A318" s="1">
        <v>36.866999999999997</v>
      </c>
      <c r="B318" s="1">
        <v>3.0651999999999999</v>
      </c>
      <c r="C318" s="1">
        <f>Tabela1[[#This Row],[Alongamento(mm/mm)]]/$I$2</f>
        <v>6.1303999999999997E-2</v>
      </c>
      <c r="D318" s="1">
        <v>177.75</v>
      </c>
      <c r="E318" s="1">
        <f>Tabela1[[#This Row],[Força(N)]]/$I$5</f>
        <v>5665790.1027970361</v>
      </c>
      <c r="F318" s="1">
        <f>Tabela1[[#This Row],[Tensão(Pa)]]/1000000</f>
        <v>5.6657901027970361</v>
      </c>
    </row>
    <row r="319" spans="1:6" x14ac:dyDescent="0.3">
      <c r="A319" s="1">
        <v>36.933</v>
      </c>
      <c r="B319" s="1">
        <v>3.0708000000000002</v>
      </c>
      <c r="C319" s="1">
        <f>Tabela1[[#This Row],[Alongamento(mm/mm)]]/$I$2</f>
        <v>6.1416000000000005E-2</v>
      </c>
      <c r="D319" s="1">
        <v>179.28</v>
      </c>
      <c r="E319" s="1">
        <f>Tabela1[[#This Row],[Força(N)]]/$I$5</f>
        <v>5714558.9289983269</v>
      </c>
      <c r="F319" s="1">
        <f>Tabela1[[#This Row],[Tensão(Pa)]]/1000000</f>
        <v>5.7145589289983265</v>
      </c>
    </row>
    <row r="320" spans="1:6" x14ac:dyDescent="0.3">
      <c r="A320" s="1">
        <v>37</v>
      </c>
      <c r="B320" s="1">
        <v>3.0764</v>
      </c>
      <c r="C320" s="1">
        <f>Tabela1[[#This Row],[Alongamento(mm/mm)]]/$I$2</f>
        <v>6.1527999999999999E-2</v>
      </c>
      <c r="D320" s="1">
        <v>180.64</v>
      </c>
      <c r="E320" s="1">
        <f>Tabela1[[#This Row],[Força(N)]]/$I$5</f>
        <v>5757908.9967328077</v>
      </c>
      <c r="F320" s="1">
        <f>Tabela1[[#This Row],[Tensão(Pa)]]/1000000</f>
        <v>5.7579089967328079</v>
      </c>
    </row>
    <row r="321" spans="1:6" x14ac:dyDescent="0.3">
      <c r="A321" s="1">
        <v>37.067</v>
      </c>
      <c r="B321" s="1">
        <v>3.0819000000000001</v>
      </c>
      <c r="C321" s="1">
        <f>Tabela1[[#This Row],[Alongamento(mm/mm)]]/$I$2</f>
        <v>6.1637999999999998E-2</v>
      </c>
      <c r="D321" s="1">
        <v>182.01</v>
      </c>
      <c r="E321" s="1">
        <f>Tabela1[[#This Row],[Força(N)]]/$I$5</f>
        <v>5801577.8149653357</v>
      </c>
      <c r="F321" s="1">
        <f>Tabela1[[#This Row],[Tensão(Pa)]]/1000000</f>
        <v>5.8015778149653361</v>
      </c>
    </row>
    <row r="322" spans="1:6" x14ac:dyDescent="0.3">
      <c r="A322" s="1">
        <v>37.133000000000003</v>
      </c>
      <c r="B322" s="1">
        <v>3.0876000000000001</v>
      </c>
      <c r="C322" s="1">
        <f>Tabela1[[#This Row],[Alongamento(mm/mm)]]/$I$2</f>
        <v>6.1752000000000001E-2</v>
      </c>
      <c r="D322" s="1">
        <v>183.37</v>
      </c>
      <c r="E322" s="1">
        <f>Tabela1[[#This Row],[Força(N)]]/$I$5</f>
        <v>5844927.8826998174</v>
      </c>
      <c r="F322" s="1">
        <f>Tabela1[[#This Row],[Tensão(Pa)]]/1000000</f>
        <v>5.8449278826998174</v>
      </c>
    </row>
    <row r="323" spans="1:6" x14ac:dyDescent="0.3">
      <c r="A323" s="1">
        <v>37.200000000000003</v>
      </c>
      <c r="B323" s="1">
        <v>3.0931999999999999</v>
      </c>
      <c r="C323" s="1">
        <f>Tabela1[[#This Row],[Alongamento(mm/mm)]]/$I$2</f>
        <v>6.1864000000000002E-2</v>
      </c>
      <c r="D323" s="1">
        <v>184.73</v>
      </c>
      <c r="E323" s="1">
        <f>Tabela1[[#This Row],[Força(N)]]/$I$5</f>
        <v>5888277.9504342973</v>
      </c>
      <c r="F323" s="1">
        <f>Tabela1[[#This Row],[Tensão(Pa)]]/1000000</f>
        <v>5.888277950434297</v>
      </c>
    </row>
    <row r="324" spans="1:6" x14ac:dyDescent="0.3">
      <c r="A324" s="1">
        <v>37.267000000000003</v>
      </c>
      <c r="B324" s="1">
        <v>3.0985999999999998</v>
      </c>
      <c r="C324" s="1">
        <f>Tabela1[[#This Row],[Alongamento(mm/mm)]]/$I$2</f>
        <v>6.1971999999999999E-2</v>
      </c>
      <c r="D324" s="1">
        <v>186.09</v>
      </c>
      <c r="E324" s="1">
        <f>Tabela1[[#This Row],[Força(N)]]/$I$5</f>
        <v>5931628.0181687791</v>
      </c>
      <c r="F324" s="1">
        <f>Tabela1[[#This Row],[Tensão(Pa)]]/1000000</f>
        <v>5.9316280181687793</v>
      </c>
    </row>
    <row r="325" spans="1:6" x14ac:dyDescent="0.3">
      <c r="A325" s="1">
        <v>37.332999999999998</v>
      </c>
      <c r="B325" s="1">
        <v>3.1042000000000001</v>
      </c>
      <c r="C325" s="1">
        <f>Tabela1[[#This Row],[Alongamento(mm/mm)]]/$I$2</f>
        <v>6.2084E-2</v>
      </c>
      <c r="D325" s="1">
        <v>187.45</v>
      </c>
      <c r="E325" s="1">
        <f>Tabela1[[#This Row],[Força(N)]]/$I$5</f>
        <v>5974978.085903259</v>
      </c>
      <c r="F325" s="1">
        <f>Tabela1[[#This Row],[Tensão(Pa)]]/1000000</f>
        <v>5.9749780859032589</v>
      </c>
    </row>
    <row r="326" spans="1:6" x14ac:dyDescent="0.3">
      <c r="A326" s="1">
        <v>37.4</v>
      </c>
      <c r="B326" s="1">
        <v>3.1097999999999999</v>
      </c>
      <c r="C326" s="1">
        <f>Tabela1[[#This Row],[Alongamento(mm/mm)]]/$I$2</f>
        <v>6.2196000000000001E-2</v>
      </c>
      <c r="D326" s="1">
        <v>188.81</v>
      </c>
      <c r="E326" s="1">
        <f>Tabela1[[#This Row],[Força(N)]]/$I$5</f>
        <v>6018328.1536377408</v>
      </c>
      <c r="F326" s="1">
        <f>Tabela1[[#This Row],[Tensão(Pa)]]/1000000</f>
        <v>6.0183281536377411</v>
      </c>
    </row>
    <row r="327" spans="1:6" x14ac:dyDescent="0.3">
      <c r="A327" s="1">
        <v>37.466999999999999</v>
      </c>
      <c r="B327" s="1">
        <v>3.1153</v>
      </c>
      <c r="C327" s="1">
        <f>Tabela1[[#This Row],[Alongamento(mm/mm)]]/$I$2</f>
        <v>6.2306E-2</v>
      </c>
      <c r="D327" s="1">
        <v>190.17</v>
      </c>
      <c r="E327" s="1">
        <f>Tabela1[[#This Row],[Força(N)]]/$I$5</f>
        <v>6061678.2213722207</v>
      </c>
      <c r="F327" s="1">
        <f>Tabela1[[#This Row],[Tensão(Pa)]]/1000000</f>
        <v>6.0616782213722207</v>
      </c>
    </row>
    <row r="328" spans="1:6" x14ac:dyDescent="0.3">
      <c r="A328" s="1">
        <v>37.533000000000001</v>
      </c>
      <c r="B328" s="1">
        <v>3.1208999999999998</v>
      </c>
      <c r="C328" s="1">
        <f>Tabela1[[#This Row],[Alongamento(mm/mm)]]/$I$2</f>
        <v>6.2417999999999994E-2</v>
      </c>
      <c r="D328" s="1">
        <v>191.53</v>
      </c>
      <c r="E328" s="1">
        <f>Tabela1[[#This Row],[Força(N)]]/$I$5</f>
        <v>6105028.2891067024</v>
      </c>
      <c r="F328" s="1">
        <f>Tabela1[[#This Row],[Tensão(Pa)]]/1000000</f>
        <v>6.105028289106702</v>
      </c>
    </row>
    <row r="329" spans="1:6" x14ac:dyDescent="0.3">
      <c r="A329" s="1">
        <v>37.6</v>
      </c>
      <c r="B329" s="1">
        <v>3.1265000000000001</v>
      </c>
      <c r="C329" s="1">
        <f>Tabela1[[#This Row],[Alongamento(mm/mm)]]/$I$2</f>
        <v>6.2530000000000002E-2</v>
      </c>
      <c r="D329" s="1">
        <v>193.06</v>
      </c>
      <c r="E329" s="1">
        <f>Tabela1[[#This Row],[Força(N)]]/$I$5</f>
        <v>6153797.1153079933</v>
      </c>
      <c r="F329" s="1">
        <f>Tabela1[[#This Row],[Tensão(Pa)]]/1000000</f>
        <v>6.1537971153079933</v>
      </c>
    </row>
    <row r="330" spans="1:6" x14ac:dyDescent="0.3">
      <c r="A330" s="1">
        <v>37.667000000000002</v>
      </c>
      <c r="B330" s="1">
        <v>3.1320000000000001</v>
      </c>
      <c r="C330" s="1">
        <f>Tabela1[[#This Row],[Alongamento(mm/mm)]]/$I$2</f>
        <v>6.2640000000000001E-2</v>
      </c>
      <c r="D330" s="1">
        <v>194.42</v>
      </c>
      <c r="E330" s="1">
        <f>Tabela1[[#This Row],[Força(N)]]/$I$5</f>
        <v>6197147.1830424732</v>
      </c>
      <c r="F330" s="1">
        <f>Tabela1[[#This Row],[Tensão(Pa)]]/1000000</f>
        <v>6.1971471830424729</v>
      </c>
    </row>
    <row r="331" spans="1:6" x14ac:dyDescent="0.3">
      <c r="A331" s="1">
        <v>37.732999999999997</v>
      </c>
      <c r="B331" s="1">
        <v>3.1375000000000002</v>
      </c>
      <c r="C331" s="1">
        <f>Tabela1[[#This Row],[Alongamento(mm/mm)]]/$I$2</f>
        <v>6.275E-2</v>
      </c>
      <c r="D331" s="1">
        <v>195.78</v>
      </c>
      <c r="E331" s="1">
        <f>Tabela1[[#This Row],[Força(N)]]/$I$5</f>
        <v>6240497.2507769549</v>
      </c>
      <c r="F331" s="1">
        <f>Tabela1[[#This Row],[Tensão(Pa)]]/1000000</f>
        <v>6.2404972507769552</v>
      </c>
    </row>
    <row r="332" spans="1:6" x14ac:dyDescent="0.3">
      <c r="A332" s="1">
        <v>37.799999999999997</v>
      </c>
      <c r="B332" s="1">
        <v>3.1429999999999998</v>
      </c>
      <c r="C332" s="1">
        <f>Tabela1[[#This Row],[Alongamento(mm/mm)]]/$I$2</f>
        <v>6.2859999999999999E-2</v>
      </c>
      <c r="D332" s="1">
        <v>197.31</v>
      </c>
      <c r="E332" s="1">
        <f>Tabela1[[#This Row],[Força(N)]]/$I$5</f>
        <v>6289266.0769782458</v>
      </c>
      <c r="F332" s="1">
        <f>Tabela1[[#This Row],[Tensão(Pa)]]/1000000</f>
        <v>6.2892660769782456</v>
      </c>
    </row>
    <row r="333" spans="1:6" x14ac:dyDescent="0.3">
      <c r="A333" s="1">
        <v>37.866999999999997</v>
      </c>
      <c r="B333" s="1">
        <v>3.1486000000000001</v>
      </c>
      <c r="C333" s="1">
        <f>Tabela1[[#This Row],[Alongamento(mm/mm)]]/$I$2</f>
        <v>6.2972E-2</v>
      </c>
      <c r="D333" s="1">
        <v>198.68</v>
      </c>
      <c r="E333" s="1">
        <f>Tabela1[[#This Row],[Força(N)]]/$I$5</f>
        <v>6332934.8952107746</v>
      </c>
      <c r="F333" s="1">
        <f>Tabela1[[#This Row],[Tensão(Pa)]]/1000000</f>
        <v>6.3329348952107747</v>
      </c>
    </row>
    <row r="334" spans="1:6" x14ac:dyDescent="0.3">
      <c r="A334" s="1">
        <v>37.933</v>
      </c>
      <c r="B334" s="1">
        <v>3.1541999999999999</v>
      </c>
      <c r="C334" s="1">
        <f>Tabela1[[#This Row],[Alongamento(mm/mm)]]/$I$2</f>
        <v>6.3084000000000001E-2</v>
      </c>
      <c r="D334" s="1">
        <v>200.04</v>
      </c>
      <c r="E334" s="1">
        <f>Tabela1[[#This Row],[Força(N)]]/$I$5</f>
        <v>6376284.9629452545</v>
      </c>
      <c r="F334" s="1">
        <f>Tabela1[[#This Row],[Tensão(Pa)]]/1000000</f>
        <v>6.3762849629452543</v>
      </c>
    </row>
    <row r="335" spans="1:6" x14ac:dyDescent="0.3">
      <c r="A335" s="1">
        <v>38</v>
      </c>
      <c r="B335" s="1">
        <v>3.1597</v>
      </c>
      <c r="C335" s="1">
        <f>Tabela1[[#This Row],[Alongamento(mm/mm)]]/$I$2</f>
        <v>6.3194E-2</v>
      </c>
      <c r="D335" s="1">
        <v>201.4</v>
      </c>
      <c r="E335" s="1">
        <f>Tabela1[[#This Row],[Força(N)]]/$I$5</f>
        <v>6419635.0306797363</v>
      </c>
      <c r="F335" s="1">
        <f>Tabela1[[#This Row],[Tensão(Pa)]]/1000000</f>
        <v>6.4196350306797365</v>
      </c>
    </row>
    <row r="336" spans="1:6" x14ac:dyDescent="0.3">
      <c r="A336" s="1">
        <v>38.067</v>
      </c>
      <c r="B336" s="1">
        <v>3.1652999999999998</v>
      </c>
      <c r="C336" s="1">
        <f>Tabela1[[#This Row],[Alongamento(mm/mm)]]/$I$2</f>
        <v>6.3306000000000001E-2</v>
      </c>
      <c r="D336" s="1">
        <v>202.93</v>
      </c>
      <c r="E336" s="1">
        <f>Tabela1[[#This Row],[Força(N)]]/$I$5</f>
        <v>6468403.8568810271</v>
      </c>
      <c r="F336" s="1">
        <f>Tabela1[[#This Row],[Tensão(Pa)]]/1000000</f>
        <v>6.4684038568810269</v>
      </c>
    </row>
    <row r="337" spans="1:6" x14ac:dyDescent="0.3">
      <c r="A337" s="1">
        <v>38.133000000000003</v>
      </c>
      <c r="B337" s="1">
        <v>3.1709000000000001</v>
      </c>
      <c r="C337" s="1">
        <f>Tabela1[[#This Row],[Alongamento(mm/mm)]]/$I$2</f>
        <v>6.3418000000000002E-2</v>
      </c>
      <c r="D337" s="1">
        <v>204.29</v>
      </c>
      <c r="E337" s="1">
        <f>Tabela1[[#This Row],[Força(N)]]/$I$5</f>
        <v>6511753.924615507</v>
      </c>
      <c r="F337" s="1">
        <f>Tabela1[[#This Row],[Tensão(Pa)]]/1000000</f>
        <v>6.5117539246155074</v>
      </c>
    </row>
    <row r="338" spans="1:6" x14ac:dyDescent="0.3">
      <c r="A338" s="1">
        <v>38.200000000000003</v>
      </c>
      <c r="B338" s="1">
        <v>3.1764000000000001</v>
      </c>
      <c r="C338" s="1">
        <f>Tabela1[[#This Row],[Alongamento(mm/mm)]]/$I$2</f>
        <v>6.3528000000000001E-2</v>
      </c>
      <c r="D338" s="1">
        <v>205.65</v>
      </c>
      <c r="E338" s="1">
        <f>Tabela1[[#This Row],[Força(N)]]/$I$5</f>
        <v>6555103.9923499888</v>
      </c>
      <c r="F338" s="1">
        <f>Tabela1[[#This Row],[Tensão(Pa)]]/1000000</f>
        <v>6.5551039923499888</v>
      </c>
    </row>
    <row r="339" spans="1:6" x14ac:dyDescent="0.3">
      <c r="A339" s="1">
        <v>38.267000000000003</v>
      </c>
      <c r="B339" s="1">
        <v>3.1819999999999999</v>
      </c>
      <c r="C339" s="1">
        <f>Tabela1[[#This Row],[Alongamento(mm/mm)]]/$I$2</f>
        <v>6.3640000000000002E-2</v>
      </c>
      <c r="D339" s="1">
        <v>207.01</v>
      </c>
      <c r="E339" s="1">
        <f>Tabela1[[#This Row],[Força(N)]]/$I$5</f>
        <v>6598454.0600844687</v>
      </c>
      <c r="F339" s="1">
        <f>Tabela1[[#This Row],[Tensão(Pa)]]/1000000</f>
        <v>6.5984540600844683</v>
      </c>
    </row>
    <row r="340" spans="1:6" x14ac:dyDescent="0.3">
      <c r="A340" s="1">
        <v>38.332999999999998</v>
      </c>
      <c r="B340" s="1">
        <v>3.1876000000000002</v>
      </c>
      <c r="C340" s="1">
        <f>Tabela1[[#This Row],[Alongamento(mm/mm)]]/$I$2</f>
        <v>6.3752000000000003E-2</v>
      </c>
      <c r="D340" s="1">
        <v>208.54</v>
      </c>
      <c r="E340" s="1">
        <f>Tabela1[[#This Row],[Força(N)]]/$I$5</f>
        <v>6647222.8862857595</v>
      </c>
      <c r="F340" s="1">
        <f>Tabela1[[#This Row],[Tensão(Pa)]]/1000000</f>
        <v>6.6472228862857596</v>
      </c>
    </row>
    <row r="341" spans="1:6" x14ac:dyDescent="0.3">
      <c r="A341" s="1">
        <v>38.4</v>
      </c>
      <c r="B341" s="1">
        <v>3.1930999999999998</v>
      </c>
      <c r="C341" s="1">
        <f>Tabela1[[#This Row],[Alongamento(mm/mm)]]/$I$2</f>
        <v>6.3862000000000002E-2</v>
      </c>
      <c r="D341" s="1">
        <v>209.9</v>
      </c>
      <c r="E341" s="1">
        <f>Tabela1[[#This Row],[Força(N)]]/$I$5</f>
        <v>6690572.9540202413</v>
      </c>
      <c r="F341" s="1">
        <f>Tabela1[[#This Row],[Tensão(Pa)]]/1000000</f>
        <v>6.690572954020241</v>
      </c>
    </row>
    <row r="342" spans="1:6" x14ac:dyDescent="0.3">
      <c r="A342" s="1">
        <v>38.466999999999999</v>
      </c>
      <c r="B342" s="1">
        <v>3.1987000000000001</v>
      </c>
      <c r="C342" s="1">
        <f>Tabela1[[#This Row],[Alongamento(mm/mm)]]/$I$2</f>
        <v>6.3974000000000003E-2</v>
      </c>
      <c r="D342" s="1">
        <v>211.43</v>
      </c>
      <c r="E342" s="1">
        <f>Tabela1[[#This Row],[Força(N)]]/$I$5</f>
        <v>6739341.7802215321</v>
      </c>
      <c r="F342" s="1">
        <f>Tabela1[[#This Row],[Tensão(Pa)]]/1000000</f>
        <v>6.7393417802215323</v>
      </c>
    </row>
    <row r="343" spans="1:6" x14ac:dyDescent="0.3">
      <c r="A343" s="1">
        <v>38.533000000000001</v>
      </c>
      <c r="B343" s="1">
        <v>3.2042000000000002</v>
      </c>
      <c r="C343" s="1">
        <f>Tabela1[[#This Row],[Alongamento(mm/mm)]]/$I$2</f>
        <v>6.4084000000000002E-2</v>
      </c>
      <c r="D343" s="1">
        <v>212.79</v>
      </c>
      <c r="E343" s="1">
        <f>Tabela1[[#This Row],[Força(N)]]/$I$5</f>
        <v>6782691.8479560129</v>
      </c>
      <c r="F343" s="1">
        <f>Tabela1[[#This Row],[Tensão(Pa)]]/1000000</f>
        <v>6.7826918479560128</v>
      </c>
    </row>
    <row r="344" spans="1:6" x14ac:dyDescent="0.3">
      <c r="A344" s="1">
        <v>38.6</v>
      </c>
      <c r="B344" s="1">
        <v>3.2098</v>
      </c>
      <c r="C344" s="1">
        <f>Tabela1[[#This Row],[Alongamento(mm/mm)]]/$I$2</f>
        <v>6.4196000000000003E-2</v>
      </c>
      <c r="D344" s="1">
        <v>214.32</v>
      </c>
      <c r="E344" s="1">
        <f>Tabela1[[#This Row],[Força(N)]]/$I$5</f>
        <v>6831460.6741573038</v>
      </c>
      <c r="F344" s="1">
        <f>Tabela1[[#This Row],[Tensão(Pa)]]/1000000</f>
        <v>6.8314606741573041</v>
      </c>
    </row>
    <row r="345" spans="1:6" x14ac:dyDescent="0.3">
      <c r="A345" s="1">
        <v>38.667000000000002</v>
      </c>
      <c r="B345" s="1">
        <v>3.2153</v>
      </c>
      <c r="C345" s="1">
        <f>Tabela1[[#This Row],[Alongamento(mm/mm)]]/$I$2</f>
        <v>6.4306000000000002E-2</v>
      </c>
      <c r="D345" s="1">
        <v>215.86</v>
      </c>
      <c r="E345" s="1">
        <f>Tabela1[[#This Row],[Força(N)]]/$I$5</f>
        <v>6880548.2508566426</v>
      </c>
      <c r="F345" s="1">
        <f>Tabela1[[#This Row],[Tensão(Pa)]]/1000000</f>
        <v>6.8805482508566422</v>
      </c>
    </row>
    <row r="346" spans="1:6" x14ac:dyDescent="0.3">
      <c r="A346" s="1">
        <v>38.732999999999997</v>
      </c>
      <c r="B346" s="1">
        <v>3.2208000000000001</v>
      </c>
      <c r="C346" s="1">
        <f>Tabela1[[#This Row],[Alongamento(mm/mm)]]/$I$2</f>
        <v>6.4416000000000001E-2</v>
      </c>
      <c r="D346" s="1">
        <v>217.22</v>
      </c>
      <c r="E346" s="1">
        <f>Tabela1[[#This Row],[Força(N)]]/$I$5</f>
        <v>6923898.3185911234</v>
      </c>
      <c r="F346" s="1">
        <f>Tabela1[[#This Row],[Tensão(Pa)]]/1000000</f>
        <v>6.9238983185911236</v>
      </c>
    </row>
    <row r="347" spans="1:6" x14ac:dyDescent="0.3">
      <c r="A347" s="1">
        <v>38.799999999999997</v>
      </c>
      <c r="B347" s="1">
        <v>3.2263999999999999</v>
      </c>
      <c r="C347" s="1">
        <f>Tabela1[[#This Row],[Alongamento(mm/mm)]]/$I$2</f>
        <v>6.4528000000000002E-2</v>
      </c>
      <c r="D347" s="1">
        <v>218.75</v>
      </c>
      <c r="E347" s="1">
        <f>Tabela1[[#This Row],[Força(N)]]/$I$5</f>
        <v>6972667.1447924143</v>
      </c>
      <c r="F347" s="1">
        <f>Tabela1[[#This Row],[Tensão(Pa)]]/1000000</f>
        <v>6.972667144792414</v>
      </c>
    </row>
    <row r="348" spans="1:6" x14ac:dyDescent="0.3">
      <c r="A348" s="1">
        <v>38.883000000000003</v>
      </c>
      <c r="B348" s="1">
        <v>3.2334000000000001</v>
      </c>
      <c r="C348" s="1">
        <f>Tabela1[[#This Row],[Alongamento(mm/mm)]]/$I$2</f>
        <v>6.4668000000000003E-2</v>
      </c>
      <c r="D348" s="1">
        <v>220.62</v>
      </c>
      <c r="E348" s="1">
        <f>Tabela1[[#This Row],[Força(N)]]/$I$5</f>
        <v>7032273.4879273251</v>
      </c>
      <c r="F348" s="1">
        <f>Tabela1[[#This Row],[Tensão(Pa)]]/1000000</f>
        <v>7.0322734879273252</v>
      </c>
    </row>
    <row r="349" spans="1:6" x14ac:dyDescent="0.3">
      <c r="A349" s="1">
        <v>38.966999999999999</v>
      </c>
      <c r="B349" s="1">
        <v>3.2404000000000002</v>
      </c>
      <c r="C349" s="1">
        <f>Tabela1[[#This Row],[Alongamento(mm/mm)]]/$I$2</f>
        <v>6.4808000000000004E-2</v>
      </c>
      <c r="D349" s="1">
        <v>222.66</v>
      </c>
      <c r="E349" s="1">
        <f>Tabela1[[#This Row],[Força(N)]]/$I$5</f>
        <v>7097298.5895290468</v>
      </c>
      <c r="F349" s="1">
        <f>Tabela1[[#This Row],[Tensão(Pa)]]/1000000</f>
        <v>7.0972985895290464</v>
      </c>
    </row>
    <row r="350" spans="1:6" x14ac:dyDescent="0.3">
      <c r="A350" s="1">
        <v>39.049999999999997</v>
      </c>
      <c r="B350" s="1">
        <v>3.2473000000000001</v>
      </c>
      <c r="C350" s="1">
        <f>Tabela1[[#This Row],[Alongamento(mm/mm)]]/$I$2</f>
        <v>6.4946000000000004E-2</v>
      </c>
      <c r="D350" s="1">
        <v>224.53</v>
      </c>
      <c r="E350" s="1">
        <f>Tabela1[[#This Row],[Força(N)]]/$I$5</f>
        <v>7156904.9326639576</v>
      </c>
      <c r="F350" s="1">
        <f>Tabela1[[#This Row],[Tensão(Pa)]]/1000000</f>
        <v>7.1569049326639576</v>
      </c>
    </row>
    <row r="351" spans="1:6" x14ac:dyDescent="0.3">
      <c r="A351" s="1">
        <v>39.133000000000003</v>
      </c>
      <c r="B351" s="1">
        <v>3.2542</v>
      </c>
      <c r="C351" s="1">
        <f>Tabela1[[#This Row],[Alongamento(mm/mm)]]/$I$2</f>
        <v>6.5084000000000003E-2</v>
      </c>
      <c r="D351" s="1">
        <v>226.4</v>
      </c>
      <c r="E351" s="1">
        <f>Tabela1[[#This Row],[Força(N)]]/$I$5</f>
        <v>7216511.2757988693</v>
      </c>
      <c r="F351" s="1">
        <f>Tabela1[[#This Row],[Tensão(Pa)]]/1000000</f>
        <v>7.2165112757988696</v>
      </c>
    </row>
    <row r="352" spans="1:6" x14ac:dyDescent="0.3">
      <c r="A352" s="1">
        <v>39.216999999999999</v>
      </c>
      <c r="B352" s="1">
        <v>3.2610999999999999</v>
      </c>
      <c r="C352" s="1">
        <f>Tabela1[[#This Row],[Alongamento(mm/mm)]]/$I$2</f>
        <v>6.5222000000000002E-2</v>
      </c>
      <c r="D352" s="1">
        <v>228.44</v>
      </c>
      <c r="E352" s="1">
        <f>Tabela1[[#This Row],[Força(N)]]/$I$5</f>
        <v>7281536.3774005901</v>
      </c>
      <c r="F352" s="1">
        <f>Tabela1[[#This Row],[Tensão(Pa)]]/1000000</f>
        <v>7.2815363774005899</v>
      </c>
    </row>
    <row r="353" spans="1:6" x14ac:dyDescent="0.3">
      <c r="A353" s="1">
        <v>39.299999999999997</v>
      </c>
      <c r="B353" s="1">
        <v>3.2679999999999998</v>
      </c>
      <c r="C353" s="1">
        <f>Tabela1[[#This Row],[Alongamento(mm/mm)]]/$I$2</f>
        <v>6.5360000000000001E-2</v>
      </c>
      <c r="D353" s="1">
        <v>230.31</v>
      </c>
      <c r="E353" s="1">
        <f>Tabela1[[#This Row],[Força(N)]]/$I$5</f>
        <v>7341142.7205355009</v>
      </c>
      <c r="F353" s="1">
        <f>Tabela1[[#This Row],[Tensão(Pa)]]/1000000</f>
        <v>7.3411427205355011</v>
      </c>
    </row>
    <row r="354" spans="1:6" x14ac:dyDescent="0.3">
      <c r="A354" s="1">
        <v>39.383000000000003</v>
      </c>
      <c r="B354" s="1">
        <v>3.2751000000000001</v>
      </c>
      <c r="C354" s="1">
        <f>Tabela1[[#This Row],[Alongamento(mm/mm)]]/$I$2</f>
        <v>6.5502000000000005E-2</v>
      </c>
      <c r="D354" s="1">
        <v>232.35</v>
      </c>
      <c r="E354" s="1">
        <f>Tabela1[[#This Row],[Força(N)]]/$I$5</f>
        <v>7406167.8221372226</v>
      </c>
      <c r="F354" s="1">
        <f>Tabela1[[#This Row],[Tensão(Pa)]]/1000000</f>
        <v>7.4061678221372222</v>
      </c>
    </row>
    <row r="355" spans="1:6" x14ac:dyDescent="0.3">
      <c r="A355" s="1">
        <v>39.466999999999999</v>
      </c>
      <c r="B355" s="1">
        <v>3.282</v>
      </c>
      <c r="C355" s="1">
        <f>Tabela1[[#This Row],[Alongamento(mm/mm)]]/$I$2</f>
        <v>6.5640000000000004E-2</v>
      </c>
      <c r="D355" s="1">
        <v>234.23</v>
      </c>
      <c r="E355" s="1">
        <f>Tabela1[[#This Row],[Força(N)]]/$I$5</f>
        <v>7466092.9157701815</v>
      </c>
      <c r="F355" s="1">
        <f>Tabela1[[#This Row],[Tensão(Pa)]]/1000000</f>
        <v>7.4660929157701812</v>
      </c>
    </row>
    <row r="356" spans="1:6" x14ac:dyDescent="0.3">
      <c r="A356" s="1">
        <v>39.549999999999997</v>
      </c>
      <c r="B356" s="1">
        <v>3.2888999999999999</v>
      </c>
      <c r="C356" s="1">
        <f>Tabela1[[#This Row],[Alongamento(mm/mm)]]/$I$2</f>
        <v>6.5778000000000003E-2</v>
      </c>
      <c r="D356" s="1">
        <v>236.1</v>
      </c>
      <c r="E356" s="1">
        <f>Tabela1[[#This Row],[Força(N)]]/$I$5</f>
        <v>7525699.2589050923</v>
      </c>
      <c r="F356" s="1">
        <f>Tabela1[[#This Row],[Tensão(Pa)]]/1000000</f>
        <v>7.5256992589050924</v>
      </c>
    </row>
    <row r="357" spans="1:6" x14ac:dyDescent="0.3">
      <c r="A357" s="1">
        <v>39.633000000000003</v>
      </c>
      <c r="B357" s="1">
        <v>3.2957999999999998</v>
      </c>
      <c r="C357" s="1">
        <f>Tabela1[[#This Row],[Alongamento(mm/mm)]]/$I$2</f>
        <v>6.5916000000000002E-2</v>
      </c>
      <c r="D357" s="1">
        <v>237.97</v>
      </c>
      <c r="E357" s="1">
        <f>Tabela1[[#This Row],[Força(N)]]/$I$5</f>
        <v>7585305.602040004</v>
      </c>
      <c r="F357" s="1">
        <f>Tabela1[[#This Row],[Tensão(Pa)]]/1000000</f>
        <v>7.5853056020400036</v>
      </c>
    </row>
    <row r="358" spans="1:6" x14ac:dyDescent="0.3">
      <c r="A358" s="1">
        <v>39.716999999999999</v>
      </c>
      <c r="B358" s="1">
        <v>3.3028</v>
      </c>
      <c r="C358" s="1">
        <f>Tabela1[[#This Row],[Alongamento(mm/mm)]]/$I$2</f>
        <v>6.6056000000000004E-2</v>
      </c>
      <c r="D358" s="1">
        <v>240.01</v>
      </c>
      <c r="E358" s="1">
        <f>Tabela1[[#This Row],[Força(N)]]/$I$5</f>
        <v>7650330.7036417248</v>
      </c>
      <c r="F358" s="1">
        <f>Tabela1[[#This Row],[Tensão(Pa)]]/1000000</f>
        <v>7.6503307036417247</v>
      </c>
    </row>
    <row r="359" spans="1:6" x14ac:dyDescent="0.3">
      <c r="A359" s="1">
        <v>39.799999999999997</v>
      </c>
      <c r="B359" s="1">
        <v>3.3096999999999999</v>
      </c>
      <c r="C359" s="1">
        <f>Tabela1[[#This Row],[Alongamento(mm/mm)]]/$I$2</f>
        <v>6.6194000000000003E-2</v>
      </c>
      <c r="D359" s="1">
        <v>242.05</v>
      </c>
      <c r="E359" s="1">
        <f>Tabela1[[#This Row],[Força(N)]]/$I$5</f>
        <v>7715355.8052434465</v>
      </c>
      <c r="F359" s="1">
        <f>Tabela1[[#This Row],[Tensão(Pa)]]/1000000</f>
        <v>7.7153558052434468</v>
      </c>
    </row>
    <row r="360" spans="1:6" x14ac:dyDescent="0.3">
      <c r="A360" s="1">
        <v>39.883000000000003</v>
      </c>
      <c r="B360" s="1">
        <v>3.3167</v>
      </c>
      <c r="C360" s="1">
        <f>Tabela1[[#This Row],[Alongamento(mm/mm)]]/$I$2</f>
        <v>6.6334000000000004E-2</v>
      </c>
      <c r="D360" s="1">
        <v>244.09</v>
      </c>
      <c r="E360" s="1">
        <f>Tabela1[[#This Row],[Força(N)]]/$I$5</f>
        <v>7780380.9068451673</v>
      </c>
      <c r="F360" s="1">
        <f>Tabela1[[#This Row],[Tensão(Pa)]]/1000000</f>
        <v>7.780380906845167</v>
      </c>
    </row>
    <row r="361" spans="1:6" x14ac:dyDescent="0.3">
      <c r="A361" s="1">
        <v>39.966999999999999</v>
      </c>
      <c r="B361" s="1">
        <v>3.3237000000000001</v>
      </c>
      <c r="C361" s="1">
        <f>Tabela1[[#This Row],[Alongamento(mm/mm)]]/$I$2</f>
        <v>6.6474000000000005E-2</v>
      </c>
      <c r="D361" s="1">
        <v>246.13</v>
      </c>
      <c r="E361" s="1">
        <f>Tabela1[[#This Row],[Força(N)]]/$I$5</f>
        <v>7845406.0084468881</v>
      </c>
      <c r="F361" s="1">
        <f>Tabela1[[#This Row],[Tensão(Pa)]]/1000000</f>
        <v>7.8454060084468882</v>
      </c>
    </row>
    <row r="362" spans="1:6" x14ac:dyDescent="0.3">
      <c r="A362" s="1">
        <v>40.033000000000001</v>
      </c>
      <c r="B362" s="1">
        <v>3.3290999999999999</v>
      </c>
      <c r="C362" s="1">
        <f>Tabela1[[#This Row],[Alongamento(mm/mm)]]/$I$2</f>
        <v>6.6582000000000002E-2</v>
      </c>
      <c r="D362" s="1">
        <v>247.83</v>
      </c>
      <c r="E362" s="1">
        <f>Tabela1[[#This Row],[Força(N)]]/$I$5</f>
        <v>7899593.5931149898</v>
      </c>
      <c r="F362" s="1">
        <f>Tabela1[[#This Row],[Tensão(Pa)]]/1000000</f>
        <v>7.8995935931149894</v>
      </c>
    </row>
    <row r="363" spans="1:6" x14ac:dyDescent="0.3">
      <c r="A363" s="1">
        <v>40.1</v>
      </c>
      <c r="B363" s="1">
        <v>3.3347000000000002</v>
      </c>
      <c r="C363" s="1">
        <f>Tabela1[[#This Row],[Alongamento(mm/mm)]]/$I$2</f>
        <v>6.6694000000000003E-2</v>
      </c>
      <c r="D363" s="1">
        <v>249.71</v>
      </c>
      <c r="E363" s="1">
        <f>Tabela1[[#This Row],[Força(N)]]/$I$5</f>
        <v>7959518.6867479486</v>
      </c>
      <c r="F363" s="1">
        <f>Tabela1[[#This Row],[Tensão(Pa)]]/1000000</f>
        <v>7.9595186867479484</v>
      </c>
    </row>
    <row r="364" spans="1:6" x14ac:dyDescent="0.3">
      <c r="A364" s="1">
        <v>40.167000000000002</v>
      </c>
      <c r="B364" s="1">
        <v>3.3403</v>
      </c>
      <c r="C364" s="1">
        <f>Tabela1[[#This Row],[Alongamento(mm/mm)]]/$I$2</f>
        <v>6.6806000000000004E-2</v>
      </c>
      <c r="D364" s="1">
        <v>251.41</v>
      </c>
      <c r="E364" s="1">
        <f>Tabela1[[#This Row],[Força(N)]]/$I$5</f>
        <v>8013706.2714160495</v>
      </c>
      <c r="F364" s="1">
        <f>Tabela1[[#This Row],[Tensão(Pa)]]/1000000</f>
        <v>8.0137062714160496</v>
      </c>
    </row>
    <row r="365" spans="1:6" x14ac:dyDescent="0.3">
      <c r="A365" s="1">
        <v>40.232999999999997</v>
      </c>
      <c r="B365" s="1">
        <v>3.3458000000000001</v>
      </c>
      <c r="C365" s="1">
        <f>Tabela1[[#This Row],[Alongamento(mm/mm)]]/$I$2</f>
        <v>6.6916000000000003E-2</v>
      </c>
      <c r="D365" s="1">
        <v>253.28</v>
      </c>
      <c r="E365" s="1">
        <f>Tabela1[[#This Row],[Força(N)]]/$I$5</f>
        <v>8073312.6145509612</v>
      </c>
      <c r="F365" s="1">
        <f>Tabela1[[#This Row],[Tensão(Pa)]]/1000000</f>
        <v>8.0733126145509608</v>
      </c>
    </row>
    <row r="366" spans="1:6" x14ac:dyDescent="0.3">
      <c r="A366" s="1">
        <v>40.299999999999997</v>
      </c>
      <c r="B366" s="1">
        <v>3.3513999999999999</v>
      </c>
      <c r="C366" s="1">
        <f>Tabela1[[#This Row],[Alongamento(mm/mm)]]/$I$2</f>
        <v>6.7028000000000004E-2</v>
      </c>
      <c r="D366" s="1">
        <v>254.98</v>
      </c>
      <c r="E366" s="1">
        <f>Tabela1[[#This Row],[Força(N)]]/$I$5</f>
        <v>8127500.1992190611</v>
      </c>
      <c r="F366" s="1">
        <f>Tabela1[[#This Row],[Tensão(Pa)]]/1000000</f>
        <v>8.1275001992190603</v>
      </c>
    </row>
    <row r="367" spans="1:6" x14ac:dyDescent="0.3">
      <c r="A367" s="1">
        <v>40.366999999999997</v>
      </c>
      <c r="B367" s="1">
        <v>3.3570000000000002</v>
      </c>
      <c r="C367" s="1">
        <f>Tabela1[[#This Row],[Alongamento(mm/mm)]]/$I$2</f>
        <v>6.7140000000000005E-2</v>
      </c>
      <c r="D367" s="1">
        <v>256.68</v>
      </c>
      <c r="E367" s="1">
        <f>Tabela1[[#This Row],[Força(N)]]/$I$5</f>
        <v>8181687.7838871628</v>
      </c>
      <c r="F367" s="1">
        <f>Tabela1[[#This Row],[Tensão(Pa)]]/1000000</f>
        <v>8.1816877838871633</v>
      </c>
    </row>
    <row r="368" spans="1:6" x14ac:dyDescent="0.3">
      <c r="A368" s="1">
        <v>40.433</v>
      </c>
      <c r="B368" s="1">
        <v>3.3626</v>
      </c>
      <c r="C368" s="1">
        <f>Tabela1[[#This Row],[Alongamento(mm/mm)]]/$I$2</f>
        <v>6.7252000000000006E-2</v>
      </c>
      <c r="D368" s="1">
        <v>258.38</v>
      </c>
      <c r="E368" s="1">
        <f>Tabela1[[#This Row],[Força(N)]]/$I$5</f>
        <v>8235875.3685552636</v>
      </c>
      <c r="F368" s="1">
        <f>Tabela1[[#This Row],[Tensão(Pa)]]/1000000</f>
        <v>8.2358753685552628</v>
      </c>
    </row>
    <row r="369" spans="1:6" x14ac:dyDescent="0.3">
      <c r="A369" s="1">
        <v>40.5</v>
      </c>
      <c r="B369" s="1">
        <v>3.3681000000000001</v>
      </c>
      <c r="C369" s="1">
        <f>Tabela1[[#This Row],[Alongamento(mm/mm)]]/$I$2</f>
        <v>6.7362000000000005E-2</v>
      </c>
      <c r="D369" s="1">
        <v>260.08</v>
      </c>
      <c r="E369" s="1">
        <f>Tabela1[[#This Row],[Força(N)]]/$I$5</f>
        <v>8290062.9532233644</v>
      </c>
      <c r="F369" s="1">
        <f>Tabela1[[#This Row],[Tensão(Pa)]]/1000000</f>
        <v>8.2900629532233641</v>
      </c>
    </row>
    <row r="370" spans="1:6" x14ac:dyDescent="0.3">
      <c r="A370" s="1">
        <v>40.567</v>
      </c>
      <c r="B370" s="1">
        <v>3.3736999999999999</v>
      </c>
      <c r="C370" s="1">
        <f>Tabela1[[#This Row],[Alongamento(mm/mm)]]/$I$2</f>
        <v>6.7473999999999992E-2</v>
      </c>
      <c r="D370" s="1">
        <v>261.95</v>
      </c>
      <c r="E370" s="1">
        <f>Tabela1[[#This Row],[Força(N)]]/$I$5</f>
        <v>8349669.2963582752</v>
      </c>
      <c r="F370" s="1">
        <f>Tabela1[[#This Row],[Tensão(Pa)]]/1000000</f>
        <v>8.3496692963582753</v>
      </c>
    </row>
    <row r="371" spans="1:6" x14ac:dyDescent="0.3">
      <c r="A371" s="1">
        <v>40.65</v>
      </c>
      <c r="B371" s="1">
        <v>3.3805999999999998</v>
      </c>
      <c r="C371" s="1">
        <f>Tabela1[[#This Row],[Alongamento(mm/mm)]]/$I$2</f>
        <v>6.7611999999999992E-2</v>
      </c>
      <c r="D371" s="1">
        <v>264.16000000000003</v>
      </c>
      <c r="E371" s="1">
        <f>Tabela1[[#This Row],[Força(N)]]/$I$5</f>
        <v>8420113.1564268079</v>
      </c>
      <c r="F371" s="1">
        <f>Tabela1[[#This Row],[Tensão(Pa)]]/1000000</f>
        <v>8.4201131564268081</v>
      </c>
    </row>
    <row r="372" spans="1:6" x14ac:dyDescent="0.3">
      <c r="A372" s="1">
        <v>40.732999999999997</v>
      </c>
      <c r="B372" s="1">
        <v>3.3875000000000002</v>
      </c>
      <c r="C372" s="1">
        <f>Tabela1[[#This Row],[Alongamento(mm/mm)]]/$I$2</f>
        <v>6.7750000000000005E-2</v>
      </c>
      <c r="D372" s="1">
        <v>266.37</v>
      </c>
      <c r="E372" s="1">
        <f>Tabela1[[#This Row],[Força(N)]]/$I$5</f>
        <v>8490557.0164953396</v>
      </c>
      <c r="F372" s="1">
        <f>Tabela1[[#This Row],[Tensão(Pa)]]/1000000</f>
        <v>8.4905570164953392</v>
      </c>
    </row>
    <row r="373" spans="1:6" x14ac:dyDescent="0.3">
      <c r="A373" s="1">
        <v>40.817</v>
      </c>
      <c r="B373" s="1">
        <v>3.3944999999999999</v>
      </c>
      <c r="C373" s="1">
        <f>Tabela1[[#This Row],[Alongamento(mm/mm)]]/$I$2</f>
        <v>6.7889999999999992E-2</v>
      </c>
      <c r="D373" s="1">
        <v>268.76</v>
      </c>
      <c r="E373" s="1">
        <f>Tabela1[[#This Row],[Força(N)]]/$I$5</f>
        <v>8566738.3855287284</v>
      </c>
      <c r="F373" s="1">
        <f>Tabela1[[#This Row],[Tensão(Pa)]]/1000000</f>
        <v>8.566738385528728</v>
      </c>
    </row>
    <row r="374" spans="1:6" x14ac:dyDescent="0.3">
      <c r="A374" s="1">
        <v>40.9</v>
      </c>
      <c r="B374" s="1">
        <v>3.4014000000000002</v>
      </c>
      <c r="C374" s="1">
        <f>Tabela1[[#This Row],[Alongamento(mm/mm)]]/$I$2</f>
        <v>6.8028000000000005E-2</v>
      </c>
      <c r="D374" s="1">
        <v>270.97000000000003</v>
      </c>
      <c r="E374" s="1">
        <f>Tabela1[[#This Row],[Força(N)]]/$I$5</f>
        <v>8637182.2455972601</v>
      </c>
      <c r="F374" s="1">
        <f>Tabela1[[#This Row],[Tensão(Pa)]]/1000000</f>
        <v>8.6371822455972609</v>
      </c>
    </row>
    <row r="375" spans="1:6" x14ac:dyDescent="0.3">
      <c r="A375" s="1">
        <v>40.982999999999997</v>
      </c>
      <c r="B375" s="1">
        <v>3.4083000000000001</v>
      </c>
      <c r="C375" s="1">
        <f>Tabela1[[#This Row],[Alongamento(mm/mm)]]/$I$2</f>
        <v>6.8166000000000004E-2</v>
      </c>
      <c r="D375" s="1">
        <v>273.18</v>
      </c>
      <c r="E375" s="1">
        <f>Tabela1[[#This Row],[Força(N)]]/$I$5</f>
        <v>8707626.1056657899</v>
      </c>
      <c r="F375" s="1">
        <f>Tabela1[[#This Row],[Tensão(Pa)]]/1000000</f>
        <v>8.7076261056657902</v>
      </c>
    </row>
    <row r="376" spans="1:6" x14ac:dyDescent="0.3">
      <c r="A376" s="1">
        <v>41.067</v>
      </c>
      <c r="B376" s="1">
        <v>3.4152999999999998</v>
      </c>
      <c r="C376" s="1">
        <f>Tabela1[[#This Row],[Alongamento(mm/mm)]]/$I$2</f>
        <v>6.8305999999999992E-2</v>
      </c>
      <c r="D376" s="1">
        <v>275.56</v>
      </c>
      <c r="E376" s="1">
        <f>Tabela1[[#This Row],[Força(N)]]/$I$5</f>
        <v>8783488.7242011316</v>
      </c>
      <c r="F376" s="1">
        <f>Tabela1[[#This Row],[Tensão(Pa)]]/1000000</f>
        <v>8.7834887242011312</v>
      </c>
    </row>
    <row r="377" spans="1:6" x14ac:dyDescent="0.3">
      <c r="A377" s="1">
        <v>41.15</v>
      </c>
      <c r="B377" s="1">
        <v>3.4222000000000001</v>
      </c>
      <c r="C377" s="1">
        <f>Tabela1[[#This Row],[Alongamento(mm/mm)]]/$I$2</f>
        <v>6.8444000000000005E-2</v>
      </c>
      <c r="D377" s="1">
        <v>277.77</v>
      </c>
      <c r="E377" s="1">
        <f>Tabela1[[#This Row],[Força(N)]]/$I$5</f>
        <v>8853932.5842696633</v>
      </c>
      <c r="F377" s="1">
        <f>Tabela1[[#This Row],[Tensão(Pa)]]/1000000</f>
        <v>8.8539325842696641</v>
      </c>
    </row>
    <row r="378" spans="1:6" x14ac:dyDescent="0.3">
      <c r="A378" s="1">
        <v>41.232999999999997</v>
      </c>
      <c r="B378" s="1">
        <v>3.4291999999999998</v>
      </c>
      <c r="C378" s="1">
        <f>Tabela1[[#This Row],[Alongamento(mm/mm)]]/$I$2</f>
        <v>6.8583999999999992E-2</v>
      </c>
      <c r="D378" s="1">
        <v>280.14999999999998</v>
      </c>
      <c r="E378" s="1">
        <f>Tabela1[[#This Row],[Força(N)]]/$I$5</f>
        <v>8929795.202805005</v>
      </c>
      <c r="F378" s="1">
        <f>Tabela1[[#This Row],[Tensão(Pa)]]/1000000</f>
        <v>8.9297952028050052</v>
      </c>
    </row>
    <row r="379" spans="1:6" x14ac:dyDescent="0.3">
      <c r="A379" s="1">
        <v>41.317</v>
      </c>
      <c r="B379" s="1">
        <v>3.4361999999999999</v>
      </c>
      <c r="C379" s="1">
        <f>Tabela1[[#This Row],[Alongamento(mm/mm)]]/$I$2</f>
        <v>6.8723999999999993E-2</v>
      </c>
      <c r="D379" s="1">
        <v>282.52999999999997</v>
      </c>
      <c r="E379" s="1">
        <f>Tabela1[[#This Row],[Força(N)]]/$I$5</f>
        <v>9005657.8213403448</v>
      </c>
      <c r="F379" s="1">
        <f>Tabela1[[#This Row],[Tensão(Pa)]]/1000000</f>
        <v>9.0056578213403444</v>
      </c>
    </row>
    <row r="380" spans="1:6" x14ac:dyDescent="0.3">
      <c r="A380" s="1">
        <v>41.4</v>
      </c>
      <c r="B380" s="1">
        <v>3.4430999999999998</v>
      </c>
      <c r="C380" s="1">
        <f>Tabela1[[#This Row],[Alongamento(mm/mm)]]/$I$2</f>
        <v>6.8861999999999993E-2</v>
      </c>
      <c r="D380" s="1">
        <v>284.75</v>
      </c>
      <c r="E380" s="1">
        <f>Tabela1[[#This Row],[Força(N)]]/$I$5</f>
        <v>9076420.4319069255</v>
      </c>
      <c r="F380" s="1">
        <f>Tabela1[[#This Row],[Tensão(Pa)]]/1000000</f>
        <v>9.076420431906925</v>
      </c>
    </row>
    <row r="381" spans="1:6" x14ac:dyDescent="0.3">
      <c r="A381" s="1">
        <v>41.482999999999997</v>
      </c>
      <c r="B381" s="1">
        <v>3.45</v>
      </c>
      <c r="C381" s="1">
        <f>Tabela1[[#This Row],[Alongamento(mm/mm)]]/$I$2</f>
        <v>6.9000000000000006E-2</v>
      </c>
      <c r="D381" s="1">
        <v>287.13</v>
      </c>
      <c r="E381" s="1">
        <f>Tabela1[[#This Row],[Força(N)]]/$I$5</f>
        <v>9152283.0504422672</v>
      </c>
      <c r="F381" s="1">
        <f>Tabela1[[#This Row],[Tensão(Pa)]]/1000000</f>
        <v>9.1522830504422679</v>
      </c>
    </row>
    <row r="382" spans="1:6" x14ac:dyDescent="0.3">
      <c r="A382" s="1">
        <v>41.567</v>
      </c>
      <c r="B382" s="1">
        <v>3.4569999999999999</v>
      </c>
      <c r="C382" s="1">
        <f>Tabela1[[#This Row],[Alongamento(mm/mm)]]/$I$2</f>
        <v>6.9139999999999993E-2</v>
      </c>
      <c r="D382" s="1">
        <v>289.51</v>
      </c>
      <c r="E382" s="1">
        <f>Tabela1[[#This Row],[Força(N)]]/$I$5</f>
        <v>9228145.6689776089</v>
      </c>
      <c r="F382" s="1">
        <f>Tabela1[[#This Row],[Tensão(Pa)]]/1000000</f>
        <v>9.2281456689776089</v>
      </c>
    </row>
    <row r="383" spans="1:6" x14ac:dyDescent="0.3">
      <c r="A383" s="1">
        <v>41.65</v>
      </c>
      <c r="B383" s="1">
        <v>3.464</v>
      </c>
      <c r="C383" s="1">
        <f>Tabela1[[#This Row],[Alongamento(mm/mm)]]/$I$2</f>
        <v>6.9279999999999994E-2</v>
      </c>
      <c r="D383" s="1">
        <v>291.72000000000003</v>
      </c>
      <c r="E383" s="1">
        <f>Tabela1[[#This Row],[Força(N)]]/$I$5</f>
        <v>9298589.5290461406</v>
      </c>
      <c r="F383" s="1">
        <f>Tabela1[[#This Row],[Tensão(Pa)]]/1000000</f>
        <v>9.29858952904614</v>
      </c>
    </row>
    <row r="384" spans="1:6" x14ac:dyDescent="0.3">
      <c r="A384" s="1">
        <v>41.732999999999997</v>
      </c>
      <c r="B384" s="1">
        <v>3.4708999999999999</v>
      </c>
      <c r="C384" s="1">
        <f>Tabela1[[#This Row],[Alongamento(mm/mm)]]/$I$2</f>
        <v>6.9417999999999994E-2</v>
      </c>
      <c r="D384" s="1">
        <v>294.10000000000002</v>
      </c>
      <c r="E384" s="1">
        <f>Tabela1[[#This Row],[Força(N)]]/$I$5</f>
        <v>9374452.1475814823</v>
      </c>
      <c r="F384" s="1">
        <f>Tabela1[[#This Row],[Tensão(Pa)]]/1000000</f>
        <v>9.3744521475814828</v>
      </c>
    </row>
    <row r="385" spans="1:6" x14ac:dyDescent="0.3">
      <c r="A385" s="1">
        <v>41.817</v>
      </c>
      <c r="B385" s="1">
        <v>3.4779</v>
      </c>
      <c r="C385" s="1">
        <f>Tabela1[[#This Row],[Alongamento(mm/mm)]]/$I$2</f>
        <v>6.9557999999999995E-2</v>
      </c>
      <c r="D385" s="1">
        <v>296.48</v>
      </c>
      <c r="E385" s="1">
        <f>Tabela1[[#This Row],[Força(N)]]/$I$5</f>
        <v>9450314.766116824</v>
      </c>
      <c r="F385" s="1">
        <f>Tabela1[[#This Row],[Tensão(Pa)]]/1000000</f>
        <v>9.4503147661168239</v>
      </c>
    </row>
    <row r="386" spans="1:6" x14ac:dyDescent="0.3">
      <c r="A386" s="1">
        <v>41.9</v>
      </c>
      <c r="B386" s="1">
        <v>3.4845999999999999</v>
      </c>
      <c r="C386" s="1">
        <f>Tabela1[[#This Row],[Alongamento(mm/mm)]]/$I$2</f>
        <v>6.9692000000000004E-2</v>
      </c>
      <c r="D386" s="1">
        <v>298.69</v>
      </c>
      <c r="E386" s="1">
        <f>Tabela1[[#This Row],[Força(N)]]/$I$5</f>
        <v>9520758.6261853538</v>
      </c>
      <c r="F386" s="1">
        <f>Tabela1[[#This Row],[Tensão(Pa)]]/1000000</f>
        <v>9.5207586261853532</v>
      </c>
    </row>
    <row r="387" spans="1:6" x14ac:dyDescent="0.3">
      <c r="A387" s="1">
        <v>41.966999999999999</v>
      </c>
      <c r="B387" s="1">
        <v>3.4902000000000002</v>
      </c>
      <c r="C387" s="1">
        <f>Tabela1[[#This Row],[Alongamento(mm/mm)]]/$I$2</f>
        <v>6.9804000000000005E-2</v>
      </c>
      <c r="D387" s="1">
        <v>300.73</v>
      </c>
      <c r="E387" s="1">
        <f>Tabela1[[#This Row],[Força(N)]]/$I$5</f>
        <v>9585783.7277870756</v>
      </c>
      <c r="F387" s="1">
        <f>Tabela1[[#This Row],[Tensão(Pa)]]/1000000</f>
        <v>9.5857837277870761</v>
      </c>
    </row>
    <row r="388" spans="1:6" x14ac:dyDescent="0.3">
      <c r="A388" s="1">
        <v>42.05</v>
      </c>
      <c r="B388" s="1">
        <v>3.4973000000000001</v>
      </c>
      <c r="C388" s="1">
        <f>Tabela1[[#This Row],[Alongamento(mm/mm)]]/$I$2</f>
        <v>6.9946000000000008E-2</v>
      </c>
      <c r="D388" s="1">
        <v>302.95</v>
      </c>
      <c r="E388" s="1">
        <f>Tabela1[[#This Row],[Força(N)]]/$I$5</f>
        <v>9656546.3383536544</v>
      </c>
      <c r="F388" s="1">
        <f>Tabela1[[#This Row],[Tensão(Pa)]]/1000000</f>
        <v>9.6565463383536549</v>
      </c>
    </row>
    <row r="389" spans="1:6" x14ac:dyDescent="0.3">
      <c r="A389" s="1">
        <v>42.116999999999997</v>
      </c>
      <c r="B389" s="1">
        <v>3.5028000000000001</v>
      </c>
      <c r="C389" s="1">
        <f>Tabela1[[#This Row],[Alongamento(mm/mm)]]/$I$2</f>
        <v>7.0056000000000007E-2</v>
      </c>
      <c r="D389" s="1">
        <v>304.99</v>
      </c>
      <c r="E389" s="1">
        <f>Tabela1[[#This Row],[Força(N)]]/$I$5</f>
        <v>9721571.4399553761</v>
      </c>
      <c r="F389" s="1">
        <f>Tabela1[[#This Row],[Tensão(Pa)]]/1000000</f>
        <v>9.7215714399553761</v>
      </c>
    </row>
    <row r="390" spans="1:6" x14ac:dyDescent="0.3">
      <c r="A390" s="1">
        <v>42.2</v>
      </c>
      <c r="B390" s="1">
        <v>3.5097999999999998</v>
      </c>
      <c r="C390" s="1">
        <f>Tabela1[[#This Row],[Alongamento(mm/mm)]]/$I$2</f>
        <v>7.0195999999999995E-2</v>
      </c>
      <c r="D390" s="1">
        <v>307.37</v>
      </c>
      <c r="E390" s="1">
        <f>Tabela1[[#This Row],[Força(N)]]/$I$5</f>
        <v>9797434.0584907178</v>
      </c>
      <c r="F390" s="1">
        <f>Tabela1[[#This Row],[Tensão(Pa)]]/1000000</f>
        <v>9.7974340584907171</v>
      </c>
    </row>
    <row r="391" spans="1:6" x14ac:dyDescent="0.3">
      <c r="A391" s="1">
        <v>42.283000000000001</v>
      </c>
      <c r="B391" s="1">
        <v>3.5167000000000002</v>
      </c>
      <c r="C391" s="1">
        <f>Tabela1[[#This Row],[Alongamento(mm/mm)]]/$I$2</f>
        <v>7.0334000000000008E-2</v>
      </c>
      <c r="D391" s="1">
        <v>309.75</v>
      </c>
      <c r="E391" s="1">
        <f>Tabela1[[#This Row],[Força(N)]]/$I$5</f>
        <v>9873296.6770260576</v>
      </c>
      <c r="F391" s="1">
        <f>Tabela1[[#This Row],[Tensão(Pa)]]/1000000</f>
        <v>9.8732966770260582</v>
      </c>
    </row>
    <row r="392" spans="1:6" x14ac:dyDescent="0.3">
      <c r="A392" s="1">
        <v>42.366999999999997</v>
      </c>
      <c r="B392" s="1">
        <v>3.5236000000000001</v>
      </c>
      <c r="C392" s="1">
        <f>Tabela1[[#This Row],[Alongamento(mm/mm)]]/$I$2</f>
        <v>7.0472000000000007E-2</v>
      </c>
      <c r="D392" s="1">
        <v>312.13</v>
      </c>
      <c r="E392" s="1">
        <f>Tabela1[[#This Row],[Força(N)]]/$I$5</f>
        <v>9949159.2955613993</v>
      </c>
      <c r="F392" s="1">
        <f>Tabela1[[#This Row],[Tensão(Pa)]]/1000000</f>
        <v>9.9491592955613992</v>
      </c>
    </row>
    <row r="393" spans="1:6" x14ac:dyDescent="0.3">
      <c r="A393" s="1">
        <v>42.45</v>
      </c>
      <c r="B393" s="1">
        <v>3.5305</v>
      </c>
      <c r="C393" s="1">
        <f>Tabela1[[#This Row],[Alongamento(mm/mm)]]/$I$2</f>
        <v>7.0610000000000006E-2</v>
      </c>
      <c r="D393" s="1">
        <v>314.68</v>
      </c>
      <c r="E393" s="1">
        <f>Tabela1[[#This Row],[Força(N)]]/$I$5</f>
        <v>10030440.672563551</v>
      </c>
      <c r="F393" s="1">
        <f>Tabela1[[#This Row],[Tensão(Pa)]]/1000000</f>
        <v>10.03044067256355</v>
      </c>
    </row>
    <row r="394" spans="1:6" x14ac:dyDescent="0.3">
      <c r="A394" s="1">
        <v>42.533000000000001</v>
      </c>
      <c r="B394" s="1">
        <v>3.5375000000000001</v>
      </c>
      <c r="C394" s="1">
        <f>Tabela1[[#This Row],[Alongamento(mm/mm)]]/$I$2</f>
        <v>7.0750000000000007E-2</v>
      </c>
      <c r="D394" s="1">
        <v>317.06</v>
      </c>
      <c r="E394" s="1">
        <f>Tabela1[[#This Row],[Força(N)]]/$I$5</f>
        <v>10106303.291098893</v>
      </c>
      <c r="F394" s="1">
        <f>Tabela1[[#This Row],[Tensão(Pa)]]/1000000</f>
        <v>10.106303291098893</v>
      </c>
    </row>
    <row r="395" spans="1:6" x14ac:dyDescent="0.3">
      <c r="A395" s="1">
        <v>42.616999999999997</v>
      </c>
      <c r="B395" s="1">
        <v>3.5445000000000002</v>
      </c>
      <c r="C395" s="1">
        <f>Tabela1[[#This Row],[Alongamento(mm/mm)]]/$I$2</f>
        <v>7.0890000000000009E-2</v>
      </c>
      <c r="D395" s="1">
        <v>319.45</v>
      </c>
      <c r="E395" s="1">
        <f>Tabela1[[#This Row],[Força(N)]]/$I$5</f>
        <v>10182484.660132281</v>
      </c>
      <c r="F395" s="1">
        <f>Tabela1[[#This Row],[Tensão(Pa)]]/1000000</f>
        <v>10.182484660132282</v>
      </c>
    </row>
    <row r="396" spans="1:6" x14ac:dyDescent="0.3">
      <c r="A396" s="1">
        <v>42.7</v>
      </c>
      <c r="B396" s="1">
        <v>3.5514000000000001</v>
      </c>
      <c r="C396" s="1">
        <f>Tabela1[[#This Row],[Alongamento(mm/mm)]]/$I$2</f>
        <v>7.1028000000000008E-2</v>
      </c>
      <c r="D396" s="1">
        <v>322</v>
      </c>
      <c r="E396" s="1">
        <f>Tabela1[[#This Row],[Força(N)]]/$I$5</f>
        <v>10263766.037134433</v>
      </c>
      <c r="F396" s="1">
        <f>Tabela1[[#This Row],[Tensão(Pa)]]/1000000</f>
        <v>10.263766037134433</v>
      </c>
    </row>
    <row r="397" spans="1:6" x14ac:dyDescent="0.3">
      <c r="A397" s="1">
        <v>42.783000000000001</v>
      </c>
      <c r="B397" s="1">
        <v>3.5583999999999998</v>
      </c>
      <c r="C397" s="1">
        <f>Tabela1[[#This Row],[Alongamento(mm/mm)]]/$I$2</f>
        <v>7.1167999999999995E-2</v>
      </c>
      <c r="D397" s="1">
        <v>324.38</v>
      </c>
      <c r="E397" s="1">
        <f>Tabela1[[#This Row],[Força(N)]]/$I$5</f>
        <v>10339628.655669775</v>
      </c>
      <c r="F397" s="1">
        <f>Tabela1[[#This Row],[Tensão(Pa)]]/1000000</f>
        <v>10.339628655669776</v>
      </c>
    </row>
    <row r="398" spans="1:6" x14ac:dyDescent="0.3">
      <c r="A398" s="1">
        <v>42.866999999999997</v>
      </c>
      <c r="B398" s="1">
        <v>3.5653000000000001</v>
      </c>
      <c r="C398" s="1">
        <f>Tabela1[[#This Row],[Alongamento(mm/mm)]]/$I$2</f>
        <v>7.1306000000000008E-2</v>
      </c>
      <c r="D398" s="1">
        <v>326.93</v>
      </c>
      <c r="E398" s="1">
        <f>Tabela1[[#This Row],[Força(N)]]/$I$5</f>
        <v>10420910.032671927</v>
      </c>
      <c r="F398" s="1">
        <f>Tabela1[[#This Row],[Tensão(Pa)]]/1000000</f>
        <v>10.420910032671927</v>
      </c>
    </row>
    <row r="399" spans="1:6" x14ac:dyDescent="0.3">
      <c r="A399" s="1">
        <v>42.95</v>
      </c>
      <c r="B399" s="1">
        <v>3.5722</v>
      </c>
      <c r="C399" s="1">
        <f>Tabela1[[#This Row],[Alongamento(mm/mm)]]/$I$2</f>
        <v>7.1444000000000007E-2</v>
      </c>
      <c r="D399" s="1">
        <v>329.31</v>
      </c>
      <c r="E399" s="1">
        <f>Tabela1[[#This Row],[Força(N)]]/$I$5</f>
        <v>10496772.651207268</v>
      </c>
      <c r="F399" s="1">
        <f>Tabela1[[#This Row],[Tensão(Pa)]]/1000000</f>
        <v>10.496772651207268</v>
      </c>
    </row>
    <row r="400" spans="1:6" x14ac:dyDescent="0.3">
      <c r="A400" s="1">
        <v>43.033000000000001</v>
      </c>
      <c r="B400" s="1">
        <v>3.5792000000000002</v>
      </c>
      <c r="C400" s="1">
        <f>Tabela1[[#This Row],[Alongamento(mm/mm)]]/$I$2</f>
        <v>7.1584000000000009E-2</v>
      </c>
      <c r="D400" s="1">
        <v>331.86</v>
      </c>
      <c r="E400" s="1">
        <f>Tabela1[[#This Row],[Força(N)]]/$I$5</f>
        <v>10578054.02820942</v>
      </c>
      <c r="F400" s="1">
        <f>Tabela1[[#This Row],[Tensão(Pa)]]/1000000</f>
        <v>10.57805402820942</v>
      </c>
    </row>
    <row r="401" spans="1:6" x14ac:dyDescent="0.3">
      <c r="A401" s="1">
        <v>43.116999999999997</v>
      </c>
      <c r="B401" s="1">
        <v>3.5861000000000001</v>
      </c>
      <c r="C401" s="1">
        <f>Tabela1[[#This Row],[Alongamento(mm/mm)]]/$I$2</f>
        <v>7.1722000000000008E-2</v>
      </c>
      <c r="D401" s="1">
        <v>334.41</v>
      </c>
      <c r="E401" s="1">
        <f>Tabela1[[#This Row],[Força(N)]]/$I$5</f>
        <v>10659335.405211572</v>
      </c>
      <c r="F401" s="1">
        <f>Tabela1[[#This Row],[Tensão(Pa)]]/1000000</f>
        <v>10.659335405211571</v>
      </c>
    </row>
    <row r="402" spans="1:6" x14ac:dyDescent="0.3">
      <c r="A402" s="1">
        <v>43.2</v>
      </c>
      <c r="B402" s="1">
        <v>3.5931000000000002</v>
      </c>
      <c r="C402" s="1">
        <f>Tabela1[[#This Row],[Alongamento(mm/mm)]]/$I$2</f>
        <v>7.1862000000000009E-2</v>
      </c>
      <c r="D402" s="1">
        <v>336.97</v>
      </c>
      <c r="E402" s="1">
        <f>Tabela1[[#This Row],[Força(N)]]/$I$5</f>
        <v>10740935.532711772</v>
      </c>
      <c r="F402" s="1">
        <f>Tabela1[[#This Row],[Tensão(Pa)]]/1000000</f>
        <v>10.740935532711772</v>
      </c>
    </row>
    <row r="403" spans="1:6" x14ac:dyDescent="0.3">
      <c r="A403" s="1">
        <v>43.283000000000001</v>
      </c>
      <c r="B403" s="1">
        <v>3.6</v>
      </c>
      <c r="C403" s="1">
        <f>Tabela1[[#This Row],[Alongamento(mm/mm)]]/$I$2</f>
        <v>7.2000000000000008E-2</v>
      </c>
      <c r="D403" s="1">
        <v>339.52</v>
      </c>
      <c r="E403" s="1">
        <f>Tabela1[[#This Row],[Força(N)]]/$I$5</f>
        <v>10822216.909713922</v>
      </c>
      <c r="F403" s="1">
        <f>Tabela1[[#This Row],[Tensão(Pa)]]/1000000</f>
        <v>10.822216909713923</v>
      </c>
    </row>
    <row r="404" spans="1:6" x14ac:dyDescent="0.3">
      <c r="A404" s="1">
        <v>43.366999999999997</v>
      </c>
      <c r="B404" s="1">
        <v>3.6070000000000002</v>
      </c>
      <c r="C404" s="1">
        <f>Tabela1[[#This Row],[Alongamento(mm/mm)]]/$I$2</f>
        <v>7.214000000000001E-2</v>
      </c>
      <c r="D404" s="1">
        <v>342.07</v>
      </c>
      <c r="E404" s="1">
        <f>Tabela1[[#This Row],[Força(N)]]/$I$5</f>
        <v>10903498.286716074</v>
      </c>
      <c r="F404" s="1">
        <f>Tabela1[[#This Row],[Tensão(Pa)]]/1000000</f>
        <v>10.903498286716074</v>
      </c>
    </row>
    <row r="405" spans="1:6" x14ac:dyDescent="0.3">
      <c r="A405" s="1">
        <v>43.45</v>
      </c>
      <c r="B405" s="1">
        <v>3.6139000000000001</v>
      </c>
      <c r="C405" s="1">
        <f>Tabela1[[#This Row],[Alongamento(mm/mm)]]/$I$2</f>
        <v>7.2278000000000009E-2</v>
      </c>
      <c r="D405" s="1">
        <v>344.62</v>
      </c>
      <c r="E405" s="1">
        <f>Tabela1[[#This Row],[Força(N)]]/$I$5</f>
        <v>10984779.663718225</v>
      </c>
      <c r="F405" s="1">
        <f>Tabela1[[#This Row],[Tensão(Pa)]]/1000000</f>
        <v>10.984779663718225</v>
      </c>
    </row>
    <row r="406" spans="1:6" x14ac:dyDescent="0.3">
      <c r="A406" s="1">
        <v>43.533000000000001</v>
      </c>
      <c r="B406" s="1">
        <v>3.6208999999999998</v>
      </c>
      <c r="C406" s="1">
        <f>Tabela1[[#This Row],[Alongamento(mm/mm)]]/$I$2</f>
        <v>7.2417999999999996E-2</v>
      </c>
      <c r="D406" s="1">
        <v>347.34</v>
      </c>
      <c r="E406" s="1">
        <f>Tabela1[[#This Row],[Força(N)]]/$I$5</f>
        <v>11071479.799187185</v>
      </c>
      <c r="F406" s="1">
        <f>Tabela1[[#This Row],[Tensão(Pa)]]/1000000</f>
        <v>11.071479799187186</v>
      </c>
    </row>
    <row r="407" spans="1:6" x14ac:dyDescent="0.3">
      <c r="A407" s="1">
        <v>43.616999999999997</v>
      </c>
      <c r="B407" s="1">
        <v>3.6278999999999999</v>
      </c>
      <c r="C407" s="1">
        <f>Tabela1[[#This Row],[Alongamento(mm/mm)]]/$I$2</f>
        <v>7.2557999999999997E-2</v>
      </c>
      <c r="D407" s="1">
        <v>349.89</v>
      </c>
      <c r="E407" s="1">
        <f>Tabela1[[#This Row],[Força(N)]]/$I$5</f>
        <v>11152761.176189339</v>
      </c>
      <c r="F407" s="1">
        <f>Tabela1[[#This Row],[Tensão(Pa)]]/1000000</f>
        <v>11.152761176189339</v>
      </c>
    </row>
    <row r="408" spans="1:6" x14ac:dyDescent="0.3">
      <c r="A408" s="1">
        <v>43.716999999999999</v>
      </c>
      <c r="B408" s="1">
        <v>3.6360999999999999</v>
      </c>
      <c r="C408" s="1">
        <f>Tabela1[[#This Row],[Alongamento(mm/mm)]]/$I$2</f>
        <v>7.2721999999999995E-2</v>
      </c>
      <c r="D408" s="1">
        <v>352.96</v>
      </c>
      <c r="E408" s="1">
        <f>Tabela1[[#This Row],[Força(N)]]/$I$5</f>
        <v>11250617.579089968</v>
      </c>
      <c r="F408" s="1">
        <f>Tabela1[[#This Row],[Tensão(Pa)]]/1000000</f>
        <v>11.250617579089967</v>
      </c>
    </row>
    <row r="409" spans="1:6" x14ac:dyDescent="0.3">
      <c r="A409" s="1">
        <v>43.817</v>
      </c>
      <c r="B409" s="1">
        <v>3.6444999999999999</v>
      </c>
      <c r="C409" s="1">
        <f>Tabela1[[#This Row],[Alongamento(mm/mm)]]/$I$2</f>
        <v>7.2889999999999996E-2</v>
      </c>
      <c r="D409" s="1">
        <v>356.02</v>
      </c>
      <c r="E409" s="1">
        <f>Tabela1[[#This Row],[Força(N)]]/$I$5</f>
        <v>11348155.231492549</v>
      </c>
      <c r="F409" s="1">
        <f>Tabela1[[#This Row],[Tensão(Pa)]]/1000000</f>
        <v>11.34815523149255</v>
      </c>
    </row>
    <row r="410" spans="1:6" x14ac:dyDescent="0.3">
      <c r="A410" s="1">
        <v>43.917000000000002</v>
      </c>
      <c r="B410" s="1">
        <v>3.6528999999999998</v>
      </c>
      <c r="C410" s="1">
        <f>Tabela1[[#This Row],[Alongamento(mm/mm)]]/$I$2</f>
        <v>7.3057999999999998E-2</v>
      </c>
      <c r="D410" s="1">
        <v>359.08</v>
      </c>
      <c r="E410" s="1">
        <f>Tabela1[[#This Row],[Força(N)]]/$I$5</f>
        <v>11445692.883895131</v>
      </c>
      <c r="F410" s="1">
        <f>Tabela1[[#This Row],[Tensão(Pa)]]/1000000</f>
        <v>11.445692883895131</v>
      </c>
    </row>
    <row r="411" spans="1:6" x14ac:dyDescent="0.3">
      <c r="A411" s="1">
        <v>44</v>
      </c>
      <c r="B411" s="1">
        <v>3.6598000000000002</v>
      </c>
      <c r="C411" s="1">
        <f>Tabela1[[#This Row],[Alongamento(mm/mm)]]/$I$2</f>
        <v>7.3195999999999997E-2</v>
      </c>
      <c r="D411" s="1">
        <v>361.8</v>
      </c>
      <c r="E411" s="1">
        <f>Tabela1[[#This Row],[Força(N)]]/$I$5</f>
        <v>11532393.019364094</v>
      </c>
      <c r="F411" s="1">
        <f>Tabela1[[#This Row],[Tensão(Pa)]]/1000000</f>
        <v>11.532393019364095</v>
      </c>
    </row>
    <row r="412" spans="1:6" x14ac:dyDescent="0.3">
      <c r="A412" s="1">
        <v>44.1</v>
      </c>
      <c r="B412" s="1">
        <v>3.6680999999999999</v>
      </c>
      <c r="C412" s="1">
        <f>Tabela1[[#This Row],[Alongamento(mm/mm)]]/$I$2</f>
        <v>7.3361999999999997E-2</v>
      </c>
      <c r="D412" s="1">
        <v>364.86</v>
      </c>
      <c r="E412" s="1">
        <f>Tabela1[[#This Row],[Força(N)]]/$I$5</f>
        <v>11629930.671766676</v>
      </c>
      <c r="F412" s="1">
        <f>Tabela1[[#This Row],[Tensão(Pa)]]/1000000</f>
        <v>11.629930671766676</v>
      </c>
    </row>
    <row r="413" spans="1:6" x14ac:dyDescent="0.3">
      <c r="A413" s="1">
        <v>44.2</v>
      </c>
      <c r="B413" s="1">
        <v>3.6762999999999999</v>
      </c>
      <c r="C413" s="1">
        <f>Tabela1[[#This Row],[Alongamento(mm/mm)]]/$I$2</f>
        <v>7.3525999999999994E-2</v>
      </c>
      <c r="D413" s="1">
        <v>367.92</v>
      </c>
      <c r="E413" s="1">
        <f>Tabela1[[#This Row],[Força(N)]]/$I$5</f>
        <v>11727468.324169258</v>
      </c>
      <c r="F413" s="1">
        <f>Tabela1[[#This Row],[Tensão(Pa)]]/1000000</f>
        <v>11.727468324169257</v>
      </c>
    </row>
    <row r="414" spans="1:6" x14ac:dyDescent="0.3">
      <c r="A414" s="1">
        <v>44.283000000000001</v>
      </c>
      <c r="B414" s="1">
        <v>3.6833999999999998</v>
      </c>
      <c r="C414" s="1">
        <f>Tabela1[[#This Row],[Alongamento(mm/mm)]]/$I$2</f>
        <v>7.3667999999999997E-2</v>
      </c>
      <c r="D414" s="1">
        <v>370.65</v>
      </c>
      <c r="E414" s="1">
        <f>Tabela1[[#This Row],[Força(N)]]/$I$5</f>
        <v>11814487.210136266</v>
      </c>
      <c r="F414" s="1">
        <f>Tabela1[[#This Row],[Tensão(Pa)]]/1000000</f>
        <v>11.814487210136267</v>
      </c>
    </row>
    <row r="415" spans="1:6" x14ac:dyDescent="0.3">
      <c r="A415" s="1">
        <v>44.383000000000003</v>
      </c>
      <c r="B415" s="1">
        <v>3.6916000000000002</v>
      </c>
      <c r="C415" s="1">
        <f>Tabela1[[#This Row],[Alongamento(mm/mm)]]/$I$2</f>
        <v>7.3832000000000009E-2</v>
      </c>
      <c r="D415" s="1">
        <v>373.88</v>
      </c>
      <c r="E415" s="1">
        <f>Tabela1[[#This Row],[Força(N)]]/$I$5</f>
        <v>11917443.621005658</v>
      </c>
      <c r="F415" s="1">
        <f>Tabela1[[#This Row],[Tensão(Pa)]]/1000000</f>
        <v>11.917443621005658</v>
      </c>
    </row>
    <row r="416" spans="1:6" x14ac:dyDescent="0.3">
      <c r="A416" s="1">
        <v>44.482999999999997</v>
      </c>
      <c r="B416" s="1">
        <v>3.7000999999999999</v>
      </c>
      <c r="C416" s="1">
        <f>Tabela1[[#This Row],[Alongamento(mm/mm)]]/$I$2</f>
        <v>7.4001999999999998E-2</v>
      </c>
      <c r="D416" s="1">
        <v>376.94</v>
      </c>
      <c r="E416" s="1">
        <f>Tabela1[[#This Row],[Força(N)]]/$I$5</f>
        <v>12014981.27340824</v>
      </c>
      <c r="F416" s="1">
        <f>Tabela1[[#This Row],[Tensão(Pa)]]/1000000</f>
        <v>12.014981273408239</v>
      </c>
    </row>
    <row r="417" spans="1:6" x14ac:dyDescent="0.3">
      <c r="A417" s="1">
        <v>44.567</v>
      </c>
      <c r="B417" s="1">
        <v>3.7069999999999999</v>
      </c>
      <c r="C417" s="1">
        <f>Tabela1[[#This Row],[Alongamento(mm/mm)]]/$I$2</f>
        <v>7.4139999999999998E-2</v>
      </c>
      <c r="D417" s="1">
        <v>379.66</v>
      </c>
      <c r="E417" s="1">
        <f>Tabela1[[#This Row],[Força(N)]]/$I$5</f>
        <v>12101681.408877203</v>
      </c>
      <c r="F417" s="1">
        <f>Tabela1[[#This Row],[Tensão(Pa)]]/1000000</f>
        <v>12.101681408877203</v>
      </c>
    </row>
    <row r="418" spans="1:6" x14ac:dyDescent="0.3">
      <c r="A418" s="1">
        <v>44.667000000000002</v>
      </c>
      <c r="B418" s="1">
        <v>3.7153</v>
      </c>
      <c r="C418" s="1">
        <f>Tabela1[[#This Row],[Alongamento(mm/mm)]]/$I$2</f>
        <v>7.4305999999999997E-2</v>
      </c>
      <c r="D418" s="1">
        <v>382.72</v>
      </c>
      <c r="E418" s="1">
        <f>Tabela1[[#This Row],[Força(N)]]/$I$5</f>
        <v>12199219.061279785</v>
      </c>
      <c r="F418" s="1">
        <f>Tabela1[[#This Row],[Tensão(Pa)]]/1000000</f>
        <v>12.199219061279784</v>
      </c>
    </row>
    <row r="419" spans="1:6" x14ac:dyDescent="0.3">
      <c r="A419" s="1">
        <v>44.75</v>
      </c>
      <c r="B419" s="1">
        <v>3.7222</v>
      </c>
      <c r="C419" s="1">
        <f>Tabela1[[#This Row],[Alongamento(mm/mm)]]/$I$2</f>
        <v>7.4443999999999996E-2</v>
      </c>
      <c r="D419" s="1">
        <v>385.44</v>
      </c>
      <c r="E419" s="1">
        <f>Tabela1[[#This Row],[Força(N)]]/$I$5</f>
        <v>12285919.196748745</v>
      </c>
      <c r="F419" s="1">
        <f>Tabela1[[#This Row],[Tensão(Pa)]]/1000000</f>
        <v>12.285919196748745</v>
      </c>
    </row>
    <row r="420" spans="1:6" x14ac:dyDescent="0.3">
      <c r="A420" s="1">
        <v>44.85</v>
      </c>
      <c r="B420" s="1">
        <v>3.7305999999999999</v>
      </c>
      <c r="C420" s="1">
        <f>Tabela1[[#This Row],[Alongamento(mm/mm)]]/$I$2</f>
        <v>7.4611999999999998E-2</v>
      </c>
      <c r="D420" s="1">
        <v>388.51</v>
      </c>
      <c r="E420" s="1">
        <f>Tabela1[[#This Row],[Força(N)]]/$I$5</f>
        <v>12383775.599649375</v>
      </c>
      <c r="F420" s="1">
        <f>Tabela1[[#This Row],[Tensão(Pa)]]/1000000</f>
        <v>12.383775599649375</v>
      </c>
    </row>
    <row r="421" spans="1:6" x14ac:dyDescent="0.3">
      <c r="A421" s="1">
        <v>44.933</v>
      </c>
      <c r="B421" s="1">
        <v>3.7374999999999998</v>
      </c>
      <c r="C421" s="1">
        <f>Tabela1[[#This Row],[Alongamento(mm/mm)]]/$I$2</f>
        <v>7.4749999999999997E-2</v>
      </c>
      <c r="D421" s="1">
        <v>391.23</v>
      </c>
      <c r="E421" s="1">
        <f>Tabela1[[#This Row],[Força(N)]]/$I$5</f>
        <v>12470475.735118337</v>
      </c>
      <c r="F421" s="1">
        <f>Tabela1[[#This Row],[Tensão(Pa)]]/1000000</f>
        <v>12.470475735118336</v>
      </c>
    </row>
    <row r="422" spans="1:6" x14ac:dyDescent="0.3">
      <c r="A422" s="1">
        <v>45.017000000000003</v>
      </c>
      <c r="B422" s="1">
        <v>3.7444999999999999</v>
      </c>
      <c r="C422" s="1">
        <f>Tabela1[[#This Row],[Alongamento(mm/mm)]]/$I$2</f>
        <v>7.4889999999999998E-2</v>
      </c>
      <c r="D422" s="1">
        <v>393.95</v>
      </c>
      <c r="E422" s="1">
        <f>Tabela1[[#This Row],[Força(N)]]/$I$5</f>
        <v>12557175.870587299</v>
      </c>
      <c r="F422" s="1">
        <f>Tabela1[[#This Row],[Tensão(Pa)]]/1000000</f>
        <v>12.557175870587299</v>
      </c>
    </row>
    <row r="423" spans="1:6" x14ac:dyDescent="0.3">
      <c r="A423" s="1">
        <v>45.116999999999997</v>
      </c>
      <c r="B423" s="1">
        <v>3.7528000000000001</v>
      </c>
      <c r="C423" s="1">
        <f>Tabela1[[#This Row],[Alongamento(mm/mm)]]/$I$2</f>
        <v>7.5055999999999998E-2</v>
      </c>
      <c r="D423" s="1">
        <v>397.18</v>
      </c>
      <c r="E423" s="1">
        <f>Tabela1[[#This Row],[Força(N)]]/$I$5</f>
        <v>12660132.28145669</v>
      </c>
      <c r="F423" s="1">
        <f>Tabela1[[#This Row],[Tensão(Pa)]]/1000000</f>
        <v>12.66013228145669</v>
      </c>
    </row>
    <row r="424" spans="1:6" x14ac:dyDescent="0.3">
      <c r="A424" s="1">
        <v>45.216999999999999</v>
      </c>
      <c r="B424" s="1">
        <v>3.7610999999999999</v>
      </c>
      <c r="C424" s="1">
        <f>Tabela1[[#This Row],[Alongamento(mm/mm)]]/$I$2</f>
        <v>7.5221999999999997E-2</v>
      </c>
      <c r="D424" s="1">
        <v>400.24</v>
      </c>
      <c r="E424" s="1">
        <f>Tabela1[[#This Row],[Força(N)]]/$I$5</f>
        <v>12757669.933859272</v>
      </c>
      <c r="F424" s="1">
        <f>Tabela1[[#This Row],[Tensão(Pa)]]/1000000</f>
        <v>12.757669933859273</v>
      </c>
    </row>
    <row r="425" spans="1:6" x14ac:dyDescent="0.3">
      <c r="A425" s="1">
        <v>45.317</v>
      </c>
      <c r="B425" s="1">
        <v>3.7694000000000001</v>
      </c>
      <c r="C425" s="1">
        <f>Tabela1[[#This Row],[Alongamento(mm/mm)]]/$I$2</f>
        <v>7.5387999999999997E-2</v>
      </c>
      <c r="D425" s="1">
        <v>403.47</v>
      </c>
      <c r="E425" s="1">
        <f>Tabela1[[#This Row],[Força(N)]]/$I$5</f>
        <v>12860626.344728665</v>
      </c>
      <c r="F425" s="1">
        <f>Tabela1[[#This Row],[Tensão(Pa)]]/1000000</f>
        <v>12.860626344728665</v>
      </c>
    </row>
    <row r="426" spans="1:6" x14ac:dyDescent="0.3">
      <c r="A426" s="1">
        <v>45.417000000000002</v>
      </c>
      <c r="B426" s="1">
        <v>3.7778</v>
      </c>
      <c r="C426" s="1">
        <f>Tabela1[[#This Row],[Alongamento(mm/mm)]]/$I$2</f>
        <v>7.5555999999999998E-2</v>
      </c>
      <c r="D426" s="1">
        <v>406.71</v>
      </c>
      <c r="E426" s="1">
        <f>Tabela1[[#This Row],[Força(N)]]/$I$5</f>
        <v>12963901.506096104</v>
      </c>
      <c r="F426" s="1">
        <f>Tabela1[[#This Row],[Tensão(Pa)]]/1000000</f>
        <v>12.963901506096104</v>
      </c>
    </row>
    <row r="427" spans="1:6" x14ac:dyDescent="0.3">
      <c r="A427" s="1">
        <v>45.517000000000003</v>
      </c>
      <c r="B427" s="1">
        <v>3.7862</v>
      </c>
      <c r="C427" s="1">
        <f>Tabela1[[#This Row],[Alongamento(mm/mm)]]/$I$2</f>
        <v>7.5724E-2</v>
      </c>
      <c r="D427" s="1">
        <v>410.11</v>
      </c>
      <c r="E427" s="1">
        <f>Tabela1[[#This Row],[Força(N)]]/$I$5</f>
        <v>13072276.675432306</v>
      </c>
      <c r="F427" s="1">
        <f>Tabela1[[#This Row],[Tensão(Pa)]]/1000000</f>
        <v>13.072276675432306</v>
      </c>
    </row>
    <row r="428" spans="1:6" x14ac:dyDescent="0.3">
      <c r="A428" s="1">
        <v>45.616999999999997</v>
      </c>
      <c r="B428" s="1">
        <v>3.7944</v>
      </c>
      <c r="C428" s="1">
        <f>Tabela1[[#This Row],[Alongamento(mm/mm)]]/$I$2</f>
        <v>7.5887999999999997E-2</v>
      </c>
      <c r="D428" s="1">
        <v>413.34</v>
      </c>
      <c r="E428" s="1">
        <f>Tabela1[[#This Row],[Força(N)]]/$I$5</f>
        <v>13175233.086301697</v>
      </c>
      <c r="F428" s="1">
        <f>Tabela1[[#This Row],[Tensão(Pa)]]/1000000</f>
        <v>13.175233086301697</v>
      </c>
    </row>
    <row r="429" spans="1:6" x14ac:dyDescent="0.3">
      <c r="A429" s="1">
        <v>45.716999999999999</v>
      </c>
      <c r="B429" s="1">
        <v>3.8028</v>
      </c>
      <c r="C429" s="1">
        <f>Tabela1[[#This Row],[Alongamento(mm/mm)]]/$I$2</f>
        <v>7.6055999999999999E-2</v>
      </c>
      <c r="D429" s="1">
        <v>416.74</v>
      </c>
      <c r="E429" s="1">
        <f>Tabela1[[#This Row],[Força(N)]]/$I$5</f>
        <v>13283608.255637901</v>
      </c>
      <c r="F429" s="1">
        <f>Tabela1[[#This Row],[Tensão(Pa)]]/1000000</f>
        <v>13.283608255637901</v>
      </c>
    </row>
    <row r="430" spans="1:6" x14ac:dyDescent="0.3">
      <c r="A430" s="1">
        <v>45.817</v>
      </c>
      <c r="B430" s="1">
        <v>3.8111000000000002</v>
      </c>
      <c r="C430" s="1">
        <f>Tabela1[[#This Row],[Alongamento(mm/mm)]]/$I$2</f>
        <v>7.6221999999999998E-2</v>
      </c>
      <c r="D430" s="1">
        <v>419.97</v>
      </c>
      <c r="E430" s="1">
        <f>Tabela1[[#This Row],[Força(N)]]/$I$5</f>
        <v>13386564.666507293</v>
      </c>
      <c r="F430" s="1">
        <f>Tabela1[[#This Row],[Tensão(Pa)]]/1000000</f>
        <v>13.386564666507292</v>
      </c>
    </row>
    <row r="431" spans="1:6" x14ac:dyDescent="0.3">
      <c r="A431" s="1">
        <v>45.917000000000002</v>
      </c>
      <c r="B431" s="1">
        <v>3.8195000000000001</v>
      </c>
      <c r="C431" s="1">
        <f>Tabela1[[#This Row],[Alongamento(mm/mm)]]/$I$2</f>
        <v>7.639E-2</v>
      </c>
      <c r="D431" s="1">
        <v>423.21</v>
      </c>
      <c r="E431" s="1">
        <f>Tabela1[[#This Row],[Força(N)]]/$I$5</f>
        <v>13489839.827874731</v>
      </c>
      <c r="F431" s="1">
        <f>Tabela1[[#This Row],[Tensão(Pa)]]/1000000</f>
        <v>13.48983982787473</v>
      </c>
    </row>
    <row r="432" spans="1:6" x14ac:dyDescent="0.3">
      <c r="A432" s="1">
        <v>46.017000000000003</v>
      </c>
      <c r="B432" s="1">
        <v>3.8277999999999999</v>
      </c>
      <c r="C432" s="1">
        <f>Tabela1[[#This Row],[Alongamento(mm/mm)]]/$I$2</f>
        <v>7.6555999999999999E-2</v>
      </c>
      <c r="D432" s="1">
        <v>426.61</v>
      </c>
      <c r="E432" s="1">
        <f>Tabela1[[#This Row],[Força(N)]]/$I$5</f>
        <v>13598214.997210935</v>
      </c>
      <c r="F432" s="1">
        <f>Tabela1[[#This Row],[Tensão(Pa)]]/1000000</f>
        <v>13.598214997210935</v>
      </c>
    </row>
    <row r="433" spans="1:6" x14ac:dyDescent="0.3">
      <c r="A433" s="1">
        <v>46.116999999999997</v>
      </c>
      <c r="B433" s="1">
        <v>3.8361000000000001</v>
      </c>
      <c r="C433" s="1">
        <f>Tabela1[[#This Row],[Alongamento(mm/mm)]]/$I$2</f>
        <v>7.6721999999999999E-2</v>
      </c>
      <c r="D433" s="1">
        <v>430.01</v>
      </c>
      <c r="E433" s="1">
        <f>Tabela1[[#This Row],[Força(N)]]/$I$5</f>
        <v>13706590.166547136</v>
      </c>
      <c r="F433" s="1">
        <f>Tabela1[[#This Row],[Tensão(Pa)]]/1000000</f>
        <v>13.706590166547137</v>
      </c>
    </row>
    <row r="434" spans="1:6" x14ac:dyDescent="0.3">
      <c r="A434" s="1">
        <v>46.216999999999999</v>
      </c>
      <c r="B434" s="1">
        <v>3.8445</v>
      </c>
      <c r="C434" s="1">
        <f>Tabela1[[#This Row],[Alongamento(mm/mm)]]/$I$2</f>
        <v>7.689E-2</v>
      </c>
      <c r="D434" s="1">
        <v>433.41</v>
      </c>
      <c r="E434" s="1">
        <f>Tabela1[[#This Row],[Força(N)]]/$I$5</f>
        <v>13814965.335883338</v>
      </c>
      <c r="F434" s="1">
        <f>Tabela1[[#This Row],[Tensão(Pa)]]/1000000</f>
        <v>13.814965335883338</v>
      </c>
    </row>
    <row r="435" spans="1:6" x14ac:dyDescent="0.3">
      <c r="A435" s="1">
        <v>46.317</v>
      </c>
      <c r="B435" s="1">
        <v>3.8527999999999998</v>
      </c>
      <c r="C435" s="1">
        <f>Tabela1[[#This Row],[Alongamento(mm/mm)]]/$I$2</f>
        <v>7.7055999999999999E-2</v>
      </c>
      <c r="D435" s="1">
        <v>436.81</v>
      </c>
      <c r="E435" s="1">
        <f>Tabela1[[#This Row],[Força(N)]]/$I$5</f>
        <v>13923340.50521954</v>
      </c>
      <c r="F435" s="1">
        <f>Tabela1[[#This Row],[Tensão(Pa)]]/1000000</f>
        <v>13.92334050521954</v>
      </c>
    </row>
    <row r="436" spans="1:6" x14ac:dyDescent="0.3">
      <c r="A436" s="1">
        <v>46.417000000000002</v>
      </c>
      <c r="B436" s="1">
        <v>3.8612000000000002</v>
      </c>
      <c r="C436" s="1">
        <f>Tabela1[[#This Row],[Alongamento(mm/mm)]]/$I$2</f>
        <v>7.7224000000000001E-2</v>
      </c>
      <c r="D436" s="1">
        <v>440.22</v>
      </c>
      <c r="E436" s="1">
        <f>Tabela1[[#This Row],[Força(N)]]/$I$5</f>
        <v>14032034.42505379</v>
      </c>
      <c r="F436" s="1">
        <f>Tabela1[[#This Row],[Tensão(Pa)]]/1000000</f>
        <v>14.032034425053791</v>
      </c>
    </row>
    <row r="437" spans="1:6" x14ac:dyDescent="0.3">
      <c r="A437" s="1">
        <v>46.517000000000003</v>
      </c>
      <c r="B437" s="1">
        <v>3.8694999999999999</v>
      </c>
      <c r="C437" s="1">
        <f>Tabela1[[#This Row],[Alongamento(mm/mm)]]/$I$2</f>
        <v>7.739E-2</v>
      </c>
      <c r="D437" s="1">
        <v>443.62</v>
      </c>
      <c r="E437" s="1">
        <f>Tabela1[[#This Row],[Força(N)]]/$I$5</f>
        <v>14140409.594389992</v>
      </c>
      <c r="F437" s="1">
        <f>Tabela1[[#This Row],[Tensão(Pa)]]/1000000</f>
        <v>14.140409594389991</v>
      </c>
    </row>
    <row r="438" spans="1:6" x14ac:dyDescent="0.3">
      <c r="A438" s="1">
        <v>46.616999999999997</v>
      </c>
      <c r="B438" s="1">
        <v>3.8776999999999999</v>
      </c>
      <c r="C438" s="1">
        <f>Tabela1[[#This Row],[Alongamento(mm/mm)]]/$I$2</f>
        <v>7.7553999999999998E-2</v>
      </c>
      <c r="D438" s="1">
        <v>447.02</v>
      </c>
      <c r="E438" s="1">
        <f>Tabela1[[#This Row],[Força(N)]]/$I$5</f>
        <v>14248784.763726193</v>
      </c>
      <c r="F438" s="1">
        <f>Tabela1[[#This Row],[Tensão(Pa)]]/1000000</f>
        <v>14.248784763726194</v>
      </c>
    </row>
    <row r="439" spans="1:6" x14ac:dyDescent="0.3">
      <c r="A439" s="1">
        <v>46.716999999999999</v>
      </c>
      <c r="B439" s="1">
        <v>3.8862000000000001</v>
      </c>
      <c r="C439" s="1">
        <f>Tabela1[[#This Row],[Alongamento(mm/mm)]]/$I$2</f>
        <v>7.7724000000000001E-2</v>
      </c>
      <c r="D439" s="1">
        <v>450.59</v>
      </c>
      <c r="E439" s="1">
        <f>Tabela1[[#This Row],[Força(N)]]/$I$5</f>
        <v>14362578.691529205</v>
      </c>
      <c r="F439" s="1">
        <f>Tabela1[[#This Row],[Tensão(Pa)]]/1000000</f>
        <v>14.362578691529205</v>
      </c>
    </row>
    <row r="440" spans="1:6" x14ac:dyDescent="0.3">
      <c r="A440" s="1">
        <v>46.817</v>
      </c>
      <c r="B440" s="1">
        <v>3.8944999999999999</v>
      </c>
      <c r="C440" s="1">
        <f>Tabela1[[#This Row],[Alongamento(mm/mm)]]/$I$2</f>
        <v>7.7890000000000001E-2</v>
      </c>
      <c r="D440" s="1">
        <v>453.99</v>
      </c>
      <c r="E440" s="1">
        <f>Tabela1[[#This Row],[Força(N)]]/$I$5</f>
        <v>14470953.860865409</v>
      </c>
      <c r="F440" s="1">
        <f>Tabela1[[#This Row],[Tensão(Pa)]]/1000000</f>
        <v>14.470953860865409</v>
      </c>
    </row>
    <row r="441" spans="1:6" x14ac:dyDescent="0.3">
      <c r="A441" s="1">
        <v>46.917000000000002</v>
      </c>
      <c r="B441" s="1">
        <v>3.9028</v>
      </c>
      <c r="C441" s="1">
        <f>Tabela1[[#This Row],[Alongamento(mm/mm)]]/$I$2</f>
        <v>7.8056E-2</v>
      </c>
      <c r="D441" s="1">
        <v>457.57</v>
      </c>
      <c r="E441" s="1">
        <f>Tabela1[[#This Row],[Força(N)]]/$I$5</f>
        <v>14585066.539166467</v>
      </c>
      <c r="F441" s="1">
        <f>Tabela1[[#This Row],[Tensão(Pa)]]/1000000</f>
        <v>14.585066539166467</v>
      </c>
    </row>
    <row r="442" spans="1:6" x14ac:dyDescent="0.3">
      <c r="A442" s="1">
        <v>47.017000000000003</v>
      </c>
      <c r="B442" s="1">
        <v>3.9110999999999998</v>
      </c>
      <c r="C442" s="1">
        <f>Tabela1[[#This Row],[Alongamento(mm/mm)]]/$I$2</f>
        <v>7.8222E-2</v>
      </c>
      <c r="D442" s="1">
        <v>461.14</v>
      </c>
      <c r="E442" s="1">
        <f>Tabela1[[#This Row],[Força(N)]]/$I$5</f>
        <v>14698860.466969481</v>
      </c>
      <c r="F442" s="1">
        <f>Tabela1[[#This Row],[Tensão(Pa)]]/1000000</f>
        <v>14.698860466969482</v>
      </c>
    </row>
    <row r="443" spans="1:6" x14ac:dyDescent="0.3">
      <c r="A443" s="1">
        <v>47.116999999999997</v>
      </c>
      <c r="B443" s="1">
        <v>3.9194</v>
      </c>
      <c r="C443" s="1">
        <f>Tabela1[[#This Row],[Alongamento(mm/mm)]]/$I$2</f>
        <v>7.8387999999999999E-2</v>
      </c>
      <c r="D443" s="1">
        <v>464.54</v>
      </c>
      <c r="E443" s="1">
        <f>Tabela1[[#This Row],[Força(N)]]/$I$5</f>
        <v>14807235.636305682</v>
      </c>
      <c r="F443" s="1">
        <f>Tabela1[[#This Row],[Tensão(Pa)]]/1000000</f>
        <v>14.807235636305682</v>
      </c>
    </row>
    <row r="444" spans="1:6" x14ac:dyDescent="0.3">
      <c r="A444" s="1">
        <v>47.216999999999999</v>
      </c>
      <c r="B444" s="1">
        <v>3.9278</v>
      </c>
      <c r="C444" s="1">
        <f>Tabela1[[#This Row],[Alongamento(mm/mm)]]/$I$2</f>
        <v>7.8556000000000001E-2</v>
      </c>
      <c r="D444" s="1">
        <v>468.11</v>
      </c>
      <c r="E444" s="1">
        <f>Tabela1[[#This Row],[Força(N)]]/$I$5</f>
        <v>14921029.564108696</v>
      </c>
      <c r="F444" s="1">
        <f>Tabela1[[#This Row],[Tensão(Pa)]]/1000000</f>
        <v>14.921029564108697</v>
      </c>
    </row>
    <row r="445" spans="1:6" x14ac:dyDescent="0.3">
      <c r="A445" s="1">
        <v>47.317</v>
      </c>
      <c r="B445" s="1">
        <v>3.9361999999999999</v>
      </c>
      <c r="C445" s="1">
        <f>Tabela1[[#This Row],[Alongamento(mm/mm)]]/$I$2</f>
        <v>7.8724000000000002E-2</v>
      </c>
      <c r="D445" s="1">
        <v>471.68</v>
      </c>
      <c r="E445" s="1">
        <f>Tabela1[[#This Row],[Força(N)]]/$I$5</f>
        <v>15034823.491911707</v>
      </c>
      <c r="F445" s="1">
        <f>Tabela1[[#This Row],[Tensão(Pa)]]/1000000</f>
        <v>15.034823491911707</v>
      </c>
    </row>
    <row r="446" spans="1:6" x14ac:dyDescent="0.3">
      <c r="A446" s="1">
        <v>47.417000000000002</v>
      </c>
      <c r="B446" s="1">
        <v>3.9443999999999999</v>
      </c>
      <c r="C446" s="1">
        <f>Tabela1[[#This Row],[Alongamento(mm/mm)]]/$I$2</f>
        <v>7.8888E-2</v>
      </c>
      <c r="D446" s="1">
        <v>475.09</v>
      </c>
      <c r="E446" s="1">
        <f>Tabela1[[#This Row],[Força(N)]]/$I$5</f>
        <v>15143517.411745956</v>
      </c>
      <c r="F446" s="1">
        <f>Tabela1[[#This Row],[Tensão(Pa)]]/1000000</f>
        <v>15.143517411745956</v>
      </c>
    </row>
    <row r="447" spans="1:6" x14ac:dyDescent="0.3">
      <c r="A447" s="1">
        <v>47.517000000000003</v>
      </c>
      <c r="B447" s="1">
        <v>3.9527999999999999</v>
      </c>
      <c r="C447" s="1">
        <f>Tabela1[[#This Row],[Alongamento(mm/mm)]]/$I$2</f>
        <v>7.9056000000000001E-2</v>
      </c>
      <c r="D447" s="1">
        <v>478.66</v>
      </c>
      <c r="E447" s="1">
        <f>Tabela1[[#This Row],[Força(N)]]/$I$5</f>
        <v>15257311.33954897</v>
      </c>
      <c r="F447" s="1">
        <f>Tabela1[[#This Row],[Tensão(Pa)]]/1000000</f>
        <v>15.25731133954897</v>
      </c>
    </row>
    <row r="448" spans="1:6" x14ac:dyDescent="0.3">
      <c r="A448" s="1">
        <v>47.616999999999997</v>
      </c>
      <c r="B448" s="1">
        <v>3.9611000000000001</v>
      </c>
      <c r="C448" s="1">
        <f>Tabela1[[#This Row],[Alongamento(mm/mm)]]/$I$2</f>
        <v>7.9222000000000001E-2</v>
      </c>
      <c r="D448" s="1">
        <v>482.23</v>
      </c>
      <c r="E448" s="1">
        <f>Tabela1[[#This Row],[Força(N)]]/$I$5</f>
        <v>15371105.267351981</v>
      </c>
      <c r="F448" s="1">
        <f>Tabela1[[#This Row],[Tensão(Pa)]]/1000000</f>
        <v>15.371105267351981</v>
      </c>
    </row>
    <row r="449" spans="1:6" x14ac:dyDescent="0.3">
      <c r="A449" s="1">
        <v>47.732999999999997</v>
      </c>
      <c r="B449" s="1">
        <v>3.9708000000000001</v>
      </c>
      <c r="C449" s="1">
        <f>Tabela1[[#This Row],[Alongamento(mm/mm)]]/$I$2</f>
        <v>7.9416E-2</v>
      </c>
      <c r="D449" s="1">
        <v>486.31</v>
      </c>
      <c r="E449" s="1">
        <f>Tabela1[[#This Row],[Força(N)]]/$I$5</f>
        <v>15501155.470555423</v>
      </c>
      <c r="F449" s="1">
        <f>Tabela1[[#This Row],[Tensão(Pa)]]/1000000</f>
        <v>15.501155470555423</v>
      </c>
    </row>
    <row r="450" spans="1:6" x14ac:dyDescent="0.3">
      <c r="A450" s="1">
        <v>47.85</v>
      </c>
      <c r="B450" s="1">
        <v>3.9805999999999999</v>
      </c>
      <c r="C450" s="1">
        <f>Tabela1[[#This Row],[Alongamento(mm/mm)]]/$I$2</f>
        <v>7.9612000000000002E-2</v>
      </c>
      <c r="D450" s="1">
        <v>490.56</v>
      </c>
      <c r="E450" s="1">
        <f>Tabela1[[#This Row],[Força(N)]]/$I$5</f>
        <v>15636624.432225676</v>
      </c>
      <c r="F450" s="1">
        <f>Tabela1[[#This Row],[Tensão(Pa)]]/1000000</f>
        <v>15.636624432225677</v>
      </c>
    </row>
    <row r="451" spans="1:6" x14ac:dyDescent="0.3">
      <c r="A451" s="1">
        <v>47.966999999999999</v>
      </c>
      <c r="B451" s="1">
        <v>3.9902000000000002</v>
      </c>
      <c r="C451" s="1">
        <f>Tabela1[[#This Row],[Alongamento(mm/mm)]]/$I$2</f>
        <v>7.9804E-2</v>
      </c>
      <c r="D451" s="1">
        <v>494.65</v>
      </c>
      <c r="E451" s="1">
        <f>Tabela1[[#This Row],[Força(N)]]/$I$5</f>
        <v>15766993.385927165</v>
      </c>
      <c r="F451" s="1">
        <f>Tabela1[[#This Row],[Tensão(Pa)]]/1000000</f>
        <v>15.766993385927165</v>
      </c>
    </row>
    <row r="452" spans="1:6" x14ac:dyDescent="0.3">
      <c r="A452" s="1">
        <v>48.082999999999998</v>
      </c>
      <c r="B452" s="1">
        <v>4.0000999999999998</v>
      </c>
      <c r="C452" s="1">
        <f>Tabela1[[#This Row],[Alongamento(mm/mm)]]/$I$2</f>
        <v>8.000199999999999E-2</v>
      </c>
      <c r="D452" s="1">
        <v>498.73</v>
      </c>
      <c r="E452" s="1">
        <f>Tabela1[[#This Row],[Força(N)]]/$I$5</f>
        <v>15897043.58913061</v>
      </c>
      <c r="F452" s="1">
        <f>Tabela1[[#This Row],[Tensão(Pa)]]/1000000</f>
        <v>15.897043589130611</v>
      </c>
    </row>
    <row r="453" spans="1:6" x14ac:dyDescent="0.3">
      <c r="A453" s="1">
        <v>48.2</v>
      </c>
      <c r="B453" s="1">
        <v>4.0098000000000003</v>
      </c>
      <c r="C453" s="1">
        <f>Tabela1[[#This Row],[Alongamento(mm/mm)]]/$I$2</f>
        <v>8.0196000000000003E-2</v>
      </c>
      <c r="D453" s="1">
        <v>502.81</v>
      </c>
      <c r="E453" s="1">
        <f>Tabela1[[#This Row],[Força(N)]]/$I$5</f>
        <v>16027093.792334052</v>
      </c>
      <c r="F453" s="1">
        <f>Tabela1[[#This Row],[Tensão(Pa)]]/1000000</f>
        <v>16.027093792334053</v>
      </c>
    </row>
    <row r="454" spans="1:6" x14ac:dyDescent="0.3">
      <c r="A454" s="1">
        <v>48.317</v>
      </c>
      <c r="B454" s="1">
        <v>4.0194999999999999</v>
      </c>
      <c r="C454" s="1">
        <f>Tabela1[[#This Row],[Alongamento(mm/mm)]]/$I$2</f>
        <v>8.0390000000000003E-2</v>
      </c>
      <c r="D454" s="1">
        <v>507.06</v>
      </c>
      <c r="E454" s="1">
        <f>Tabela1[[#This Row],[Força(N)]]/$I$5</f>
        <v>16162562.754004303</v>
      </c>
      <c r="F454" s="1">
        <f>Tabela1[[#This Row],[Tensão(Pa)]]/1000000</f>
        <v>16.162562754004302</v>
      </c>
    </row>
    <row r="455" spans="1:6" x14ac:dyDescent="0.3">
      <c r="A455" s="1">
        <v>48.433</v>
      </c>
      <c r="B455" s="1">
        <v>4.0292000000000003</v>
      </c>
      <c r="C455" s="1">
        <f>Tabela1[[#This Row],[Alongamento(mm/mm)]]/$I$2</f>
        <v>8.0584000000000003E-2</v>
      </c>
      <c r="D455" s="1">
        <v>511.15</v>
      </c>
      <c r="E455" s="1">
        <f>Tabela1[[#This Row],[Força(N)]]/$I$5</f>
        <v>16292931.707705794</v>
      </c>
      <c r="F455" s="1">
        <f>Tabela1[[#This Row],[Tensão(Pa)]]/1000000</f>
        <v>16.292931707705794</v>
      </c>
    </row>
    <row r="456" spans="1:6" x14ac:dyDescent="0.3">
      <c r="A456" s="1">
        <v>48.55</v>
      </c>
      <c r="B456" s="1">
        <v>4.0388999999999999</v>
      </c>
      <c r="C456" s="1">
        <f>Tabela1[[#This Row],[Alongamento(mm/mm)]]/$I$2</f>
        <v>8.0778000000000003E-2</v>
      </c>
      <c r="D456" s="1">
        <v>515.23</v>
      </c>
      <c r="E456" s="1">
        <f>Tabela1[[#This Row],[Força(N)]]/$I$5</f>
        <v>16422981.910909237</v>
      </c>
      <c r="F456" s="1">
        <f>Tabela1[[#This Row],[Tensão(Pa)]]/1000000</f>
        <v>16.422981910909236</v>
      </c>
    </row>
    <row r="457" spans="1:6" x14ac:dyDescent="0.3">
      <c r="A457" s="1">
        <v>48.667000000000002</v>
      </c>
      <c r="B457" s="1">
        <v>4.0486000000000004</v>
      </c>
      <c r="C457" s="1">
        <f>Tabela1[[#This Row],[Alongamento(mm/mm)]]/$I$2</f>
        <v>8.0972000000000002E-2</v>
      </c>
      <c r="D457" s="1">
        <v>519.30999999999995</v>
      </c>
      <c r="E457" s="1">
        <f>Tabela1[[#This Row],[Força(N)]]/$I$5</f>
        <v>16553032.114112677</v>
      </c>
      <c r="F457" s="1">
        <f>Tabela1[[#This Row],[Tensão(Pa)]]/1000000</f>
        <v>16.553032114112678</v>
      </c>
    </row>
    <row r="458" spans="1:6" x14ac:dyDescent="0.3">
      <c r="A458" s="1">
        <v>48.783000000000001</v>
      </c>
      <c r="B458" s="1">
        <v>4.0583</v>
      </c>
      <c r="C458" s="1">
        <f>Tabela1[[#This Row],[Alongamento(mm/mm)]]/$I$2</f>
        <v>8.1166000000000002E-2</v>
      </c>
      <c r="D458" s="1">
        <v>523.55999999999995</v>
      </c>
      <c r="E458" s="1">
        <f>Tabela1[[#This Row],[Força(N)]]/$I$5</f>
        <v>16688501.07578293</v>
      </c>
      <c r="F458" s="1">
        <f>Tabela1[[#This Row],[Tensão(Pa)]]/1000000</f>
        <v>16.688501075782931</v>
      </c>
    </row>
    <row r="459" spans="1:6" x14ac:dyDescent="0.3">
      <c r="A459" s="1">
        <v>48.9</v>
      </c>
      <c r="B459" s="1">
        <v>4.0679999999999996</v>
      </c>
      <c r="C459" s="1">
        <f>Tabela1[[#This Row],[Alongamento(mm/mm)]]/$I$2</f>
        <v>8.1359999999999988E-2</v>
      </c>
      <c r="D459" s="1">
        <v>527.82000000000005</v>
      </c>
      <c r="E459" s="1">
        <f>Tabela1[[#This Row],[Força(N)]]/$I$5</f>
        <v>16824288.787951235</v>
      </c>
      <c r="F459" s="1">
        <f>Tabela1[[#This Row],[Tensão(Pa)]]/1000000</f>
        <v>16.824288787951236</v>
      </c>
    </row>
    <row r="460" spans="1:6" x14ac:dyDescent="0.3">
      <c r="A460" s="1">
        <v>49.017000000000003</v>
      </c>
      <c r="B460" s="1">
        <v>4.0777999999999999</v>
      </c>
      <c r="C460" s="1">
        <f>Tabela1[[#This Row],[Alongamento(mm/mm)]]/$I$2</f>
        <v>8.1556000000000003E-2</v>
      </c>
      <c r="D460" s="1">
        <v>531.9</v>
      </c>
      <c r="E460" s="1">
        <f>Tabela1[[#This Row],[Força(N)]]/$I$5</f>
        <v>16954338.991154674</v>
      </c>
      <c r="F460" s="1">
        <f>Tabela1[[#This Row],[Tensão(Pa)]]/1000000</f>
        <v>16.954338991154675</v>
      </c>
    </row>
    <row r="461" spans="1:6" x14ac:dyDescent="0.3">
      <c r="A461" s="1">
        <v>49.133000000000003</v>
      </c>
      <c r="B461" s="1">
        <v>4.0875000000000004</v>
      </c>
      <c r="C461" s="1">
        <f>Tabela1[[#This Row],[Alongamento(mm/mm)]]/$I$2</f>
        <v>8.1750000000000003E-2</v>
      </c>
      <c r="D461" s="1">
        <v>536.15</v>
      </c>
      <c r="E461" s="1">
        <f>Tabela1[[#This Row],[Força(N)]]/$I$5</f>
        <v>17089807.952824928</v>
      </c>
      <c r="F461" s="1">
        <f>Tabela1[[#This Row],[Tensão(Pa)]]/1000000</f>
        <v>17.089807952824927</v>
      </c>
    </row>
    <row r="462" spans="1:6" x14ac:dyDescent="0.3">
      <c r="A462" s="1">
        <v>49.25</v>
      </c>
      <c r="B462" s="1">
        <v>4.0972999999999997</v>
      </c>
      <c r="C462" s="1">
        <f>Tabela1[[#This Row],[Alongamento(mm/mm)]]/$I$2</f>
        <v>8.1945999999999991E-2</v>
      </c>
      <c r="D462" s="1">
        <v>540.4</v>
      </c>
      <c r="E462" s="1">
        <f>Tabela1[[#This Row],[Força(N)]]/$I$5</f>
        <v>17225276.914495178</v>
      </c>
      <c r="F462" s="1">
        <f>Tabela1[[#This Row],[Tensão(Pa)]]/1000000</f>
        <v>17.225276914495179</v>
      </c>
    </row>
    <row r="463" spans="1:6" x14ac:dyDescent="0.3">
      <c r="A463" s="1">
        <v>49.366999999999997</v>
      </c>
      <c r="B463" s="1">
        <v>4.1069000000000004</v>
      </c>
      <c r="C463" s="1">
        <f>Tabela1[[#This Row],[Alongamento(mm/mm)]]/$I$2</f>
        <v>8.2138000000000003E-2</v>
      </c>
      <c r="D463" s="1">
        <v>544.66</v>
      </c>
      <c r="E463" s="1">
        <f>Tabela1[[#This Row],[Força(N)]]/$I$5</f>
        <v>17361064.62666348</v>
      </c>
      <c r="F463" s="1">
        <f>Tabela1[[#This Row],[Tensão(Pa)]]/1000000</f>
        <v>17.361064626663481</v>
      </c>
    </row>
    <row r="464" spans="1:6" x14ac:dyDescent="0.3">
      <c r="A464" s="1">
        <v>49.482999999999997</v>
      </c>
      <c r="B464" s="1">
        <v>4.1166999999999998</v>
      </c>
      <c r="C464" s="1">
        <f>Tabela1[[#This Row],[Alongamento(mm/mm)]]/$I$2</f>
        <v>8.2333999999999991E-2</v>
      </c>
      <c r="D464" s="1">
        <v>548.91</v>
      </c>
      <c r="E464" s="1">
        <f>Tabela1[[#This Row],[Força(N)]]/$I$5</f>
        <v>17496533.588333733</v>
      </c>
      <c r="F464" s="1">
        <f>Tabela1[[#This Row],[Tensão(Pa)]]/1000000</f>
        <v>17.496533588333733</v>
      </c>
    </row>
    <row r="465" spans="1:6" x14ac:dyDescent="0.3">
      <c r="A465" s="1">
        <v>49.6</v>
      </c>
      <c r="B465" s="1">
        <v>4.1264000000000003</v>
      </c>
      <c r="C465" s="1">
        <f>Tabela1[[#This Row],[Alongamento(mm/mm)]]/$I$2</f>
        <v>8.2528000000000004E-2</v>
      </c>
      <c r="D465" s="1">
        <v>553.16</v>
      </c>
      <c r="E465" s="1">
        <f>Tabela1[[#This Row],[Força(N)]]/$I$5</f>
        <v>17632002.550003983</v>
      </c>
      <c r="F465" s="1">
        <f>Tabela1[[#This Row],[Tensão(Pa)]]/1000000</f>
        <v>17.632002550003982</v>
      </c>
    </row>
    <row r="466" spans="1:6" x14ac:dyDescent="0.3">
      <c r="A466" s="1">
        <v>49.716999999999999</v>
      </c>
      <c r="B466" s="1">
        <v>4.1360999999999999</v>
      </c>
      <c r="C466" s="1">
        <f>Tabela1[[#This Row],[Alongamento(mm/mm)]]/$I$2</f>
        <v>8.2722000000000004E-2</v>
      </c>
      <c r="D466" s="1">
        <v>557.58000000000004</v>
      </c>
      <c r="E466" s="1">
        <f>Tabela1[[#This Row],[Força(N)]]/$I$5</f>
        <v>17772890.27014105</v>
      </c>
      <c r="F466" s="1">
        <f>Tabela1[[#This Row],[Tensão(Pa)]]/1000000</f>
        <v>17.772890270141051</v>
      </c>
    </row>
    <row r="467" spans="1:6" x14ac:dyDescent="0.3">
      <c r="A467" s="1">
        <v>49.832999999999998</v>
      </c>
      <c r="B467" s="1">
        <v>4.1458000000000004</v>
      </c>
      <c r="C467" s="1">
        <f>Tabela1[[#This Row],[Alongamento(mm/mm)]]/$I$2</f>
        <v>8.2916000000000004E-2</v>
      </c>
      <c r="D467" s="1">
        <v>561.84</v>
      </c>
      <c r="E467" s="1">
        <f>Tabela1[[#This Row],[Força(N)]]/$I$5</f>
        <v>17908677.982309349</v>
      </c>
      <c r="F467" s="1">
        <f>Tabela1[[#This Row],[Tensão(Pa)]]/1000000</f>
        <v>17.908677982309349</v>
      </c>
    </row>
    <row r="468" spans="1:6" x14ac:dyDescent="0.3">
      <c r="A468" s="1">
        <v>49.95</v>
      </c>
      <c r="B468" s="1">
        <v>4.1555999999999997</v>
      </c>
      <c r="C468" s="1">
        <f>Tabela1[[#This Row],[Alongamento(mm/mm)]]/$I$2</f>
        <v>8.3111999999999991E-2</v>
      </c>
      <c r="D468" s="1">
        <v>566.09</v>
      </c>
      <c r="E468" s="1">
        <f>Tabela1[[#This Row],[Força(N)]]/$I$5</f>
        <v>18044146.943979602</v>
      </c>
      <c r="F468" s="1">
        <f>Tabela1[[#This Row],[Tensão(Pa)]]/1000000</f>
        <v>18.044146943979602</v>
      </c>
    </row>
    <row r="469" spans="1:6" x14ac:dyDescent="0.3">
      <c r="A469" s="1">
        <v>50.067</v>
      </c>
      <c r="B469" s="1">
        <v>4.1654</v>
      </c>
      <c r="C469" s="1">
        <f>Tabela1[[#This Row],[Alongamento(mm/mm)]]/$I$2</f>
        <v>8.3307999999999993E-2</v>
      </c>
      <c r="D469" s="1">
        <v>570.51</v>
      </c>
      <c r="E469" s="1">
        <f>Tabela1[[#This Row],[Força(N)]]/$I$5</f>
        <v>18185034.664116662</v>
      </c>
      <c r="F469" s="1">
        <f>Tabela1[[#This Row],[Tensão(Pa)]]/1000000</f>
        <v>18.18503466411666</v>
      </c>
    </row>
    <row r="470" spans="1:6" x14ac:dyDescent="0.3">
      <c r="A470" s="1">
        <v>50.2</v>
      </c>
      <c r="B470" s="1">
        <v>4.1764000000000001</v>
      </c>
      <c r="C470" s="1">
        <f>Tabela1[[#This Row],[Alongamento(mm/mm)]]/$I$2</f>
        <v>8.3528000000000005E-2</v>
      </c>
      <c r="D470" s="1">
        <v>575.44000000000005</v>
      </c>
      <c r="E470" s="1">
        <f>Tabela1[[#This Row],[Força(N)]]/$I$5</f>
        <v>18342178.659654159</v>
      </c>
      <c r="F470" s="1">
        <f>Tabela1[[#This Row],[Tensão(Pa)]]/1000000</f>
        <v>18.342178659654159</v>
      </c>
    </row>
    <row r="471" spans="1:6" x14ac:dyDescent="0.3">
      <c r="A471" s="1">
        <v>50.332999999999998</v>
      </c>
      <c r="B471" s="1">
        <v>4.1875</v>
      </c>
      <c r="C471" s="1">
        <f>Tabela1[[#This Row],[Alongamento(mm/mm)]]/$I$2</f>
        <v>8.3750000000000005E-2</v>
      </c>
      <c r="D471" s="1">
        <v>580.38</v>
      </c>
      <c r="E471" s="1">
        <f>Tabela1[[#This Row],[Força(N)]]/$I$5</f>
        <v>18499641.405689698</v>
      </c>
      <c r="F471" s="1">
        <f>Tabela1[[#This Row],[Tensão(Pa)]]/1000000</f>
        <v>18.499641405689697</v>
      </c>
    </row>
    <row r="472" spans="1:6" x14ac:dyDescent="0.3">
      <c r="A472" s="1">
        <v>50.466999999999999</v>
      </c>
      <c r="B472" s="1">
        <v>4.1985999999999999</v>
      </c>
      <c r="C472" s="1">
        <f>Tabela1[[#This Row],[Alongamento(mm/mm)]]/$I$2</f>
        <v>8.3971999999999991E-2</v>
      </c>
      <c r="D472" s="1">
        <v>585.30999999999995</v>
      </c>
      <c r="E472" s="1">
        <f>Tabela1[[#This Row],[Força(N)]]/$I$5</f>
        <v>18656785.401227187</v>
      </c>
      <c r="F472" s="1">
        <f>Tabela1[[#This Row],[Tensão(Pa)]]/1000000</f>
        <v>18.656785401227186</v>
      </c>
    </row>
    <row r="473" spans="1:6" x14ac:dyDescent="0.3">
      <c r="A473" s="1">
        <v>50.6</v>
      </c>
      <c r="B473" s="1">
        <v>4.2099000000000002</v>
      </c>
      <c r="C473" s="1">
        <f>Tabela1[[#This Row],[Alongamento(mm/mm)]]/$I$2</f>
        <v>8.4198000000000009E-2</v>
      </c>
      <c r="D473" s="1">
        <v>590.07000000000005</v>
      </c>
      <c r="E473" s="1">
        <f>Tabela1[[#This Row],[Força(N)]]/$I$5</f>
        <v>18808510.638297874</v>
      </c>
      <c r="F473" s="1">
        <f>Tabela1[[#This Row],[Tensão(Pa)]]/1000000</f>
        <v>18.808510638297875</v>
      </c>
    </row>
    <row r="474" spans="1:6" x14ac:dyDescent="0.3">
      <c r="A474" s="1">
        <v>50.716999999999999</v>
      </c>
      <c r="B474" s="1">
        <v>4.2194000000000003</v>
      </c>
      <c r="C474" s="1">
        <f>Tabela1[[#This Row],[Alongamento(mm/mm)]]/$I$2</f>
        <v>8.4388000000000005E-2</v>
      </c>
      <c r="D474" s="1">
        <v>594.5</v>
      </c>
      <c r="E474" s="1">
        <f>Tabela1[[#This Row],[Força(N)]]/$I$5</f>
        <v>18949717.108932983</v>
      </c>
      <c r="F474" s="1">
        <f>Tabela1[[#This Row],[Tensão(Pa)]]/1000000</f>
        <v>18.949717108932983</v>
      </c>
    </row>
    <row r="475" spans="1:6" x14ac:dyDescent="0.3">
      <c r="A475" s="1">
        <v>50.85</v>
      </c>
      <c r="B475" s="1">
        <v>4.2305999999999999</v>
      </c>
      <c r="C475" s="1">
        <f>Tabela1[[#This Row],[Alongamento(mm/mm)]]/$I$2</f>
        <v>8.4611999999999993E-2</v>
      </c>
      <c r="D475" s="1">
        <v>599.26</v>
      </c>
      <c r="E475" s="1">
        <f>Tabela1[[#This Row],[Força(N)]]/$I$5</f>
        <v>19101442.346003667</v>
      </c>
      <c r="F475" s="1">
        <f>Tabela1[[#This Row],[Tensão(Pa)]]/1000000</f>
        <v>19.101442346003665</v>
      </c>
    </row>
    <row r="476" spans="1:6" x14ac:dyDescent="0.3">
      <c r="A476" s="1">
        <v>50.966999999999999</v>
      </c>
      <c r="B476" s="1">
        <v>4.2403000000000004</v>
      </c>
      <c r="C476" s="1">
        <f>Tabela1[[#This Row],[Alongamento(mm/mm)]]/$I$2</f>
        <v>8.4806000000000006E-2</v>
      </c>
      <c r="D476" s="1">
        <v>603.67999999999995</v>
      </c>
      <c r="E476" s="1">
        <f>Tabela1[[#This Row],[Força(N)]]/$I$5</f>
        <v>19242330.066140726</v>
      </c>
      <c r="F476" s="1">
        <f>Tabela1[[#This Row],[Tensão(Pa)]]/1000000</f>
        <v>19.242330066140727</v>
      </c>
    </row>
    <row r="477" spans="1:6" x14ac:dyDescent="0.3">
      <c r="A477" s="1">
        <v>51.082999999999998</v>
      </c>
      <c r="B477" s="1">
        <v>4.25</v>
      </c>
      <c r="C477" s="1">
        <f>Tabela1[[#This Row],[Alongamento(mm/mm)]]/$I$2</f>
        <v>8.5000000000000006E-2</v>
      </c>
      <c r="D477" s="1">
        <v>608.1</v>
      </c>
      <c r="E477" s="1">
        <f>Tabela1[[#This Row],[Força(N)]]/$I$5</f>
        <v>19383217.786277793</v>
      </c>
      <c r="F477" s="1">
        <f>Tabela1[[#This Row],[Tensão(Pa)]]/1000000</f>
        <v>19.383217786277793</v>
      </c>
    </row>
    <row r="478" spans="1:6" x14ac:dyDescent="0.3">
      <c r="A478" s="1">
        <v>51.2</v>
      </c>
      <c r="B478" s="1">
        <v>4.2596999999999996</v>
      </c>
      <c r="C478" s="1">
        <f>Tabela1[[#This Row],[Alongamento(mm/mm)]]/$I$2</f>
        <v>8.5193999999999992E-2</v>
      </c>
      <c r="D478" s="1">
        <v>612.53</v>
      </c>
      <c r="E478" s="1">
        <f>Tabela1[[#This Row],[Força(N)]]/$I$5</f>
        <v>19524424.256912902</v>
      </c>
      <c r="F478" s="1">
        <f>Tabela1[[#This Row],[Tensão(Pa)]]/1000000</f>
        <v>19.524424256912901</v>
      </c>
    </row>
    <row r="479" spans="1:6" x14ac:dyDescent="0.3">
      <c r="A479" s="1">
        <v>51.332999999999998</v>
      </c>
      <c r="B479" s="1">
        <v>4.2708000000000004</v>
      </c>
      <c r="C479" s="1">
        <f>Tabela1[[#This Row],[Alongamento(mm/mm)]]/$I$2</f>
        <v>8.5416000000000006E-2</v>
      </c>
      <c r="D479" s="1">
        <v>617.79999999999995</v>
      </c>
      <c r="E479" s="1">
        <f>Tabela1[[#This Row],[Força(N)]]/$I$5</f>
        <v>19692405.769384015</v>
      </c>
      <c r="F479" s="1">
        <f>Tabela1[[#This Row],[Tensão(Pa)]]/1000000</f>
        <v>19.692405769384017</v>
      </c>
    </row>
    <row r="480" spans="1:6" x14ac:dyDescent="0.3">
      <c r="A480" s="1">
        <v>51.466999999999999</v>
      </c>
      <c r="B480" s="1">
        <v>4.282</v>
      </c>
      <c r="C480" s="1">
        <f>Tabela1[[#This Row],[Alongamento(mm/mm)]]/$I$2</f>
        <v>8.5639999999999994E-2</v>
      </c>
      <c r="D480" s="1">
        <v>622.9</v>
      </c>
      <c r="E480" s="1">
        <f>Tabela1[[#This Row],[Força(N)]]/$I$5</f>
        <v>19854968.523388319</v>
      </c>
      <c r="F480" s="1">
        <f>Tabela1[[#This Row],[Tensão(Pa)]]/1000000</f>
        <v>19.854968523388319</v>
      </c>
    </row>
    <row r="481" spans="1:6" x14ac:dyDescent="0.3">
      <c r="A481" s="1">
        <v>51.6</v>
      </c>
      <c r="B481" s="1">
        <v>4.2930000000000001</v>
      </c>
      <c r="C481" s="1">
        <f>Tabela1[[#This Row],[Alongamento(mm/mm)]]/$I$2</f>
        <v>8.5860000000000006E-2</v>
      </c>
      <c r="D481" s="1">
        <v>627.83000000000004</v>
      </c>
      <c r="E481" s="1">
        <f>Tabela1[[#This Row],[Força(N)]]/$I$5</f>
        <v>20012112.518925812</v>
      </c>
      <c r="F481" s="1">
        <f>Tabela1[[#This Row],[Tensão(Pa)]]/1000000</f>
        <v>20.012112518925811</v>
      </c>
    </row>
    <row r="482" spans="1:6" x14ac:dyDescent="0.3">
      <c r="A482" s="1">
        <v>51.732999999999997</v>
      </c>
      <c r="B482" s="1">
        <v>4.3041999999999998</v>
      </c>
      <c r="C482" s="1">
        <f>Tabela1[[#This Row],[Alongamento(mm/mm)]]/$I$2</f>
        <v>8.6083999999999994E-2</v>
      </c>
      <c r="D482" s="1">
        <v>632.94000000000005</v>
      </c>
      <c r="E482" s="1">
        <f>Tabela1[[#This Row],[Força(N)]]/$I$5</f>
        <v>20174994.023428164</v>
      </c>
      <c r="F482" s="1">
        <f>Tabela1[[#This Row],[Tensão(Pa)]]/1000000</f>
        <v>20.174994023428166</v>
      </c>
    </row>
    <row r="483" spans="1:6" x14ac:dyDescent="0.3">
      <c r="A483" s="1">
        <v>51.866999999999997</v>
      </c>
      <c r="B483" s="1">
        <v>4.3152999999999997</v>
      </c>
      <c r="C483" s="1">
        <f>Tabela1[[#This Row],[Alongamento(mm/mm)]]/$I$2</f>
        <v>8.6305999999999994E-2</v>
      </c>
      <c r="D483" s="1">
        <v>638.04</v>
      </c>
      <c r="E483" s="1">
        <f>Tabela1[[#This Row],[Força(N)]]/$I$5</f>
        <v>20337556.777432464</v>
      </c>
      <c r="F483" s="1">
        <f>Tabela1[[#This Row],[Tensão(Pa)]]/1000000</f>
        <v>20.337556777432464</v>
      </c>
    </row>
    <row r="484" spans="1:6" x14ac:dyDescent="0.3">
      <c r="A484" s="1">
        <v>52</v>
      </c>
      <c r="B484" s="1">
        <v>4.3265000000000002</v>
      </c>
      <c r="C484" s="1">
        <f>Tabela1[[#This Row],[Alongamento(mm/mm)]]/$I$2</f>
        <v>8.653000000000001E-2</v>
      </c>
      <c r="D484" s="1">
        <v>643.14</v>
      </c>
      <c r="E484" s="1">
        <f>Tabela1[[#This Row],[Força(N)]]/$I$5</f>
        <v>20500119.531436767</v>
      </c>
      <c r="F484" s="1">
        <f>Tabela1[[#This Row],[Tensão(Pa)]]/1000000</f>
        <v>20.500119531436766</v>
      </c>
    </row>
    <row r="485" spans="1:6" x14ac:dyDescent="0.3">
      <c r="A485" s="1">
        <v>52.133000000000003</v>
      </c>
      <c r="B485" s="1">
        <v>4.3373999999999997</v>
      </c>
      <c r="C485" s="1">
        <f>Tabela1[[#This Row],[Alongamento(mm/mm)]]/$I$2</f>
        <v>8.6747999999999992E-2</v>
      </c>
      <c r="D485" s="1">
        <v>648.41999999999996</v>
      </c>
      <c r="E485" s="1">
        <f>Tabela1[[#This Row],[Força(N)]]/$I$5</f>
        <v>20668419.79440593</v>
      </c>
      <c r="F485" s="1">
        <f>Tabela1[[#This Row],[Tensão(Pa)]]/1000000</f>
        <v>20.668419794405931</v>
      </c>
    </row>
    <row r="486" spans="1:6" x14ac:dyDescent="0.3">
      <c r="A486" s="1">
        <v>52.267000000000003</v>
      </c>
      <c r="B486" s="1">
        <v>4.3486000000000002</v>
      </c>
      <c r="C486" s="1">
        <f>Tabela1[[#This Row],[Alongamento(mm/mm)]]/$I$2</f>
        <v>8.6972000000000008E-2</v>
      </c>
      <c r="D486" s="1">
        <v>653.52</v>
      </c>
      <c r="E486" s="1">
        <f>Tabela1[[#This Row],[Força(N)]]/$I$5</f>
        <v>20830982.548410233</v>
      </c>
      <c r="F486" s="1">
        <f>Tabela1[[#This Row],[Tensão(Pa)]]/1000000</f>
        <v>20.830982548410233</v>
      </c>
    </row>
    <row r="487" spans="1:6" x14ac:dyDescent="0.3">
      <c r="A487" s="1">
        <v>52.4</v>
      </c>
      <c r="B487" s="1">
        <v>4.3597999999999999</v>
      </c>
      <c r="C487" s="1">
        <f>Tabela1[[#This Row],[Alongamento(mm/mm)]]/$I$2</f>
        <v>8.7195999999999996E-2</v>
      </c>
      <c r="D487" s="1">
        <v>658.62</v>
      </c>
      <c r="E487" s="1">
        <f>Tabela1[[#This Row],[Força(N)]]/$I$5</f>
        <v>20993545.302414536</v>
      </c>
      <c r="F487" s="1">
        <f>Tabela1[[#This Row],[Tensão(Pa)]]/1000000</f>
        <v>20.993545302414535</v>
      </c>
    </row>
    <row r="488" spans="1:6" x14ac:dyDescent="0.3">
      <c r="A488" s="1">
        <v>52.533000000000001</v>
      </c>
      <c r="B488" s="1">
        <v>4.3708</v>
      </c>
      <c r="C488" s="1">
        <f>Tabela1[[#This Row],[Alongamento(mm/mm)]]/$I$2</f>
        <v>8.7415999999999994E-2</v>
      </c>
      <c r="D488" s="1">
        <v>663.9</v>
      </c>
      <c r="E488" s="1">
        <f>Tabela1[[#This Row],[Força(N)]]/$I$5</f>
        <v>21161845.565383695</v>
      </c>
      <c r="F488" s="1">
        <f>Tabela1[[#This Row],[Tensão(Pa)]]/1000000</f>
        <v>21.161845565383697</v>
      </c>
    </row>
    <row r="489" spans="1:6" x14ac:dyDescent="0.3">
      <c r="A489" s="1">
        <v>52.667000000000002</v>
      </c>
      <c r="B489" s="1">
        <v>4.3819999999999997</v>
      </c>
      <c r="C489" s="1">
        <f>Tabela1[[#This Row],[Alongamento(mm/mm)]]/$I$2</f>
        <v>8.7639999999999996E-2</v>
      </c>
      <c r="D489" s="1">
        <v>669.17</v>
      </c>
      <c r="E489" s="1">
        <f>Tabela1[[#This Row],[Força(N)]]/$I$5</f>
        <v>21329827.077854808</v>
      </c>
      <c r="F489" s="1">
        <f>Tabela1[[#This Row],[Tensão(Pa)]]/1000000</f>
        <v>21.329827077854809</v>
      </c>
    </row>
    <row r="490" spans="1:6" x14ac:dyDescent="0.3">
      <c r="A490" s="1">
        <v>52.8</v>
      </c>
      <c r="B490" s="1">
        <v>4.3932000000000002</v>
      </c>
      <c r="C490" s="1">
        <f>Tabela1[[#This Row],[Alongamento(mm/mm)]]/$I$2</f>
        <v>8.7863999999999998E-2</v>
      </c>
      <c r="D490" s="1">
        <v>674.44</v>
      </c>
      <c r="E490" s="1">
        <f>Tabela1[[#This Row],[Força(N)]]/$I$5</f>
        <v>21497808.590325925</v>
      </c>
      <c r="F490" s="1">
        <f>Tabela1[[#This Row],[Tensão(Pa)]]/1000000</f>
        <v>21.497808590325924</v>
      </c>
    </row>
    <row r="491" spans="1:6" x14ac:dyDescent="0.3">
      <c r="A491" s="1">
        <v>52.933</v>
      </c>
      <c r="B491" s="1">
        <v>4.4042000000000003</v>
      </c>
      <c r="C491" s="1">
        <f>Tabela1[[#This Row],[Alongamento(mm/mm)]]/$I$2</f>
        <v>8.808400000000001E-2</v>
      </c>
      <c r="D491" s="1">
        <v>679.71</v>
      </c>
      <c r="E491" s="1">
        <f>Tabela1[[#This Row],[Força(N)]]/$I$5</f>
        <v>21665790.102797039</v>
      </c>
      <c r="F491" s="1">
        <f>Tabela1[[#This Row],[Tensão(Pa)]]/1000000</f>
        <v>21.66579010279704</v>
      </c>
    </row>
    <row r="492" spans="1:6" x14ac:dyDescent="0.3">
      <c r="A492" s="1">
        <v>53.067</v>
      </c>
      <c r="B492" s="1">
        <v>4.4151999999999996</v>
      </c>
      <c r="C492" s="1">
        <f>Tabela1[[#This Row],[Alongamento(mm/mm)]]/$I$2</f>
        <v>8.8303999999999994E-2</v>
      </c>
      <c r="D492" s="1">
        <v>684.82</v>
      </c>
      <c r="E492" s="1">
        <f>Tabela1[[#This Row],[Força(N)]]/$I$5</f>
        <v>21828671.607299387</v>
      </c>
      <c r="F492" s="1">
        <f>Tabela1[[#This Row],[Tensão(Pa)]]/1000000</f>
        <v>21.828671607299388</v>
      </c>
    </row>
    <row r="493" spans="1:6" x14ac:dyDescent="0.3">
      <c r="A493" s="1">
        <v>53.2</v>
      </c>
      <c r="B493" s="1">
        <v>4.4264000000000001</v>
      </c>
      <c r="C493" s="1">
        <f>Tabela1[[#This Row],[Alongamento(mm/mm)]]/$I$2</f>
        <v>8.8527999999999996E-2</v>
      </c>
      <c r="D493" s="1">
        <v>690.09</v>
      </c>
      <c r="E493" s="1">
        <f>Tabela1[[#This Row],[Força(N)]]/$I$5</f>
        <v>21996653.119770501</v>
      </c>
      <c r="F493" s="1">
        <f>Tabela1[[#This Row],[Tensão(Pa)]]/1000000</f>
        <v>21.9966531197705</v>
      </c>
    </row>
    <row r="494" spans="1:6" x14ac:dyDescent="0.3">
      <c r="A494" s="1">
        <v>53.332999999999998</v>
      </c>
      <c r="B494" s="1">
        <v>4.4375999999999998</v>
      </c>
      <c r="C494" s="1">
        <f>Tabela1[[#This Row],[Alongamento(mm/mm)]]/$I$2</f>
        <v>8.8751999999999998E-2</v>
      </c>
      <c r="D494" s="1">
        <v>695.19</v>
      </c>
      <c r="E494" s="1">
        <f>Tabela1[[#This Row],[Força(N)]]/$I$5</f>
        <v>22159215.873774804</v>
      </c>
      <c r="F494" s="1">
        <f>Tabela1[[#This Row],[Tensão(Pa)]]/1000000</f>
        <v>22.159215873774805</v>
      </c>
    </row>
    <row r="495" spans="1:6" x14ac:dyDescent="0.3">
      <c r="A495" s="1">
        <v>53.466999999999999</v>
      </c>
      <c r="B495" s="1">
        <v>4.4485999999999999</v>
      </c>
      <c r="C495" s="1">
        <f>Tabela1[[#This Row],[Alongamento(mm/mm)]]/$I$2</f>
        <v>8.8971999999999996E-2</v>
      </c>
      <c r="D495" s="1">
        <v>700.47</v>
      </c>
      <c r="E495" s="1">
        <f>Tabela1[[#This Row],[Força(N)]]/$I$5</f>
        <v>22327516.136743966</v>
      </c>
      <c r="F495" s="1">
        <f>Tabela1[[#This Row],[Tensão(Pa)]]/1000000</f>
        <v>22.327516136743967</v>
      </c>
    </row>
    <row r="496" spans="1:6" x14ac:dyDescent="0.3">
      <c r="A496" s="1">
        <v>53.616999999999997</v>
      </c>
      <c r="B496" s="1">
        <v>4.4611000000000001</v>
      </c>
      <c r="C496" s="1">
        <f>Tabela1[[#This Row],[Alongamento(mm/mm)]]/$I$2</f>
        <v>8.9221999999999996E-2</v>
      </c>
      <c r="D496" s="1">
        <v>706.25</v>
      </c>
      <c r="E496" s="1">
        <f>Tabela1[[#This Row],[Força(N)]]/$I$5</f>
        <v>22511753.92461551</v>
      </c>
      <c r="F496" s="1">
        <f>Tabela1[[#This Row],[Tensão(Pa)]]/1000000</f>
        <v>22.511753924615508</v>
      </c>
    </row>
    <row r="497" spans="1:6" x14ac:dyDescent="0.3">
      <c r="A497" s="1">
        <v>53.767000000000003</v>
      </c>
      <c r="B497" s="1">
        <v>4.4737</v>
      </c>
      <c r="C497" s="1">
        <f>Tabela1[[#This Row],[Alongamento(mm/mm)]]/$I$2</f>
        <v>8.9473999999999998E-2</v>
      </c>
      <c r="D497" s="1">
        <v>712.2</v>
      </c>
      <c r="E497" s="1">
        <f>Tabela1[[#This Row],[Força(N)]]/$I$5</f>
        <v>22701410.470953863</v>
      </c>
      <c r="F497" s="1">
        <f>Tabela1[[#This Row],[Tensão(Pa)]]/1000000</f>
        <v>22.701410470953864</v>
      </c>
    </row>
    <row r="498" spans="1:6" x14ac:dyDescent="0.3">
      <c r="A498" s="1">
        <v>53.917000000000002</v>
      </c>
      <c r="B498" s="1">
        <v>4.4861000000000004</v>
      </c>
      <c r="C498" s="1">
        <f>Tabela1[[#This Row],[Alongamento(mm/mm)]]/$I$2</f>
        <v>8.972200000000001E-2</v>
      </c>
      <c r="D498" s="1">
        <v>717.99</v>
      </c>
      <c r="E498" s="1">
        <f>Tabela1[[#This Row],[Força(N)]]/$I$5</f>
        <v>22885967.009323455</v>
      </c>
      <c r="F498" s="1">
        <f>Tabela1[[#This Row],[Tensão(Pa)]]/1000000</f>
        <v>22.885967009323455</v>
      </c>
    </row>
    <row r="499" spans="1:6" x14ac:dyDescent="0.3">
      <c r="A499" s="1">
        <v>54.067</v>
      </c>
      <c r="B499" s="1">
        <v>4.4985999999999997</v>
      </c>
      <c r="C499" s="1">
        <f>Tabela1[[#This Row],[Alongamento(mm/mm)]]/$I$2</f>
        <v>8.9971999999999996E-2</v>
      </c>
      <c r="D499" s="1">
        <v>723.94</v>
      </c>
      <c r="E499" s="1">
        <f>Tabela1[[#This Row],[Força(N)]]/$I$5</f>
        <v>23075623.555661809</v>
      </c>
      <c r="F499" s="1">
        <f>Tabela1[[#This Row],[Tensão(Pa)]]/1000000</f>
        <v>23.07562355566181</v>
      </c>
    </row>
    <row r="500" spans="1:6" x14ac:dyDescent="0.3">
      <c r="A500" s="1">
        <v>54.216999999999999</v>
      </c>
      <c r="B500" s="1">
        <v>4.5111999999999997</v>
      </c>
      <c r="C500" s="1">
        <f>Tabela1[[#This Row],[Alongamento(mm/mm)]]/$I$2</f>
        <v>9.0223999999999999E-2</v>
      </c>
      <c r="D500" s="1">
        <v>729.72</v>
      </c>
      <c r="E500" s="1">
        <f>Tabela1[[#This Row],[Força(N)]]/$I$5</f>
        <v>23259861.343533352</v>
      </c>
      <c r="F500" s="1">
        <f>Tabela1[[#This Row],[Tensão(Pa)]]/1000000</f>
        <v>23.259861343533352</v>
      </c>
    </row>
    <row r="501" spans="1:6" x14ac:dyDescent="0.3">
      <c r="A501" s="1">
        <v>54.366999999999997</v>
      </c>
      <c r="B501" s="1">
        <v>4.5235000000000003</v>
      </c>
      <c r="C501" s="1">
        <f>Tabela1[[#This Row],[Alongamento(mm/mm)]]/$I$2</f>
        <v>9.0470000000000009E-2</v>
      </c>
      <c r="D501" s="1">
        <v>735.68</v>
      </c>
      <c r="E501" s="1">
        <f>Tabela1[[#This Row],[Força(N)]]/$I$5</f>
        <v>23449836.640369751</v>
      </c>
      <c r="F501" s="1">
        <f>Tabela1[[#This Row],[Tensão(Pa)]]/1000000</f>
        <v>23.44983664036975</v>
      </c>
    </row>
    <row r="502" spans="1:6" x14ac:dyDescent="0.3">
      <c r="A502" s="1">
        <v>54.517000000000003</v>
      </c>
      <c r="B502" s="1">
        <v>4.5362</v>
      </c>
      <c r="C502" s="1">
        <f>Tabela1[[#This Row],[Alongamento(mm/mm)]]/$I$2</f>
        <v>9.0723999999999999E-2</v>
      </c>
      <c r="D502" s="1">
        <v>741.46</v>
      </c>
      <c r="E502" s="1">
        <f>Tabela1[[#This Row],[Força(N)]]/$I$5</f>
        <v>23634074.428241298</v>
      </c>
      <c r="F502" s="1">
        <f>Tabela1[[#This Row],[Tensão(Pa)]]/1000000</f>
        <v>23.634074428241298</v>
      </c>
    </row>
    <row r="503" spans="1:6" x14ac:dyDescent="0.3">
      <c r="A503" s="1">
        <v>54.667000000000002</v>
      </c>
      <c r="B503" s="1">
        <v>4.5487000000000002</v>
      </c>
      <c r="C503" s="1">
        <f>Tabela1[[#This Row],[Alongamento(mm/mm)]]/$I$2</f>
        <v>9.0973999999999999E-2</v>
      </c>
      <c r="D503" s="1">
        <v>747.41</v>
      </c>
      <c r="E503" s="1">
        <f>Tabela1[[#This Row],[Força(N)]]/$I$5</f>
        <v>23823730.974579647</v>
      </c>
      <c r="F503" s="1">
        <f>Tabela1[[#This Row],[Tensão(Pa)]]/1000000</f>
        <v>23.823730974579647</v>
      </c>
    </row>
    <row r="504" spans="1:6" x14ac:dyDescent="0.3">
      <c r="A504" s="1">
        <v>54.817</v>
      </c>
      <c r="B504" s="1">
        <v>4.5610999999999997</v>
      </c>
      <c r="C504" s="1">
        <f>Tabela1[[#This Row],[Alongamento(mm/mm)]]/$I$2</f>
        <v>9.1221999999999998E-2</v>
      </c>
      <c r="D504" s="1">
        <v>753.37</v>
      </c>
      <c r="E504" s="1">
        <f>Tabela1[[#This Row],[Força(N)]]/$I$5</f>
        <v>24013706.271416049</v>
      </c>
      <c r="F504" s="1">
        <f>Tabela1[[#This Row],[Tensão(Pa)]]/1000000</f>
        <v>24.013706271416048</v>
      </c>
    </row>
    <row r="505" spans="1:6" x14ac:dyDescent="0.3">
      <c r="A505" s="1">
        <v>54.966999999999999</v>
      </c>
      <c r="B505" s="1">
        <v>4.5736999999999997</v>
      </c>
      <c r="C505" s="1">
        <f>Tabela1[[#This Row],[Alongamento(mm/mm)]]/$I$2</f>
        <v>9.1474E-2</v>
      </c>
      <c r="D505" s="1">
        <v>759.32</v>
      </c>
      <c r="E505" s="1">
        <f>Tabela1[[#This Row],[Força(N)]]/$I$5</f>
        <v>24203362.817754406</v>
      </c>
      <c r="F505" s="1">
        <f>Tabela1[[#This Row],[Tensão(Pa)]]/1000000</f>
        <v>24.203362817754407</v>
      </c>
    </row>
    <row r="506" spans="1:6" x14ac:dyDescent="0.3">
      <c r="A506" s="1">
        <v>55.116999999999997</v>
      </c>
      <c r="B506" s="1">
        <v>4.5861000000000001</v>
      </c>
      <c r="C506" s="1">
        <f>Tabela1[[#This Row],[Alongamento(mm/mm)]]/$I$2</f>
        <v>9.1721999999999998E-2</v>
      </c>
      <c r="D506" s="1">
        <v>765.27</v>
      </c>
      <c r="E506" s="1">
        <f>Tabela1[[#This Row],[Força(N)]]/$I$5</f>
        <v>24393019.364092756</v>
      </c>
      <c r="F506" s="1">
        <f>Tabela1[[#This Row],[Tensão(Pa)]]/1000000</f>
        <v>24.393019364092755</v>
      </c>
    </row>
    <row r="507" spans="1:6" x14ac:dyDescent="0.3">
      <c r="A507" s="1">
        <v>55.267000000000003</v>
      </c>
      <c r="B507" s="1">
        <v>4.5986000000000002</v>
      </c>
      <c r="C507" s="1">
        <f>Tabela1[[#This Row],[Alongamento(mm/mm)]]/$I$2</f>
        <v>9.1971999999999998E-2</v>
      </c>
      <c r="D507" s="1">
        <v>771.23</v>
      </c>
      <c r="E507" s="1">
        <f>Tabela1[[#This Row],[Força(N)]]/$I$5</f>
        <v>24582994.660929158</v>
      </c>
      <c r="F507" s="1">
        <f>Tabela1[[#This Row],[Tensão(Pa)]]/1000000</f>
        <v>24.58299466092916</v>
      </c>
    </row>
    <row r="508" spans="1:6" x14ac:dyDescent="0.3">
      <c r="A508" s="1">
        <v>55.417000000000002</v>
      </c>
      <c r="B508" s="1">
        <v>4.6111000000000004</v>
      </c>
      <c r="C508" s="1">
        <f>Tabela1[[#This Row],[Alongamento(mm/mm)]]/$I$2</f>
        <v>9.2222000000000012E-2</v>
      </c>
      <c r="D508" s="1">
        <v>777.18</v>
      </c>
      <c r="E508" s="1">
        <f>Tabela1[[#This Row],[Força(N)]]/$I$5</f>
        <v>24772651.207267512</v>
      </c>
      <c r="F508" s="1">
        <f>Tabela1[[#This Row],[Tensão(Pa)]]/1000000</f>
        <v>24.772651207267511</v>
      </c>
    </row>
    <row r="509" spans="1:6" x14ac:dyDescent="0.3">
      <c r="A509" s="1">
        <v>55.567</v>
      </c>
      <c r="B509" s="1">
        <v>4.6235999999999997</v>
      </c>
      <c r="C509" s="1">
        <f>Tabela1[[#This Row],[Alongamento(mm/mm)]]/$I$2</f>
        <v>9.2471999999999999E-2</v>
      </c>
      <c r="D509" s="1">
        <v>783.13</v>
      </c>
      <c r="E509" s="1">
        <f>Tabela1[[#This Row],[Força(N)]]/$I$5</f>
        <v>24962307.753605865</v>
      </c>
      <c r="F509" s="1">
        <f>Tabela1[[#This Row],[Tensão(Pa)]]/1000000</f>
        <v>24.962307753605867</v>
      </c>
    </row>
    <row r="510" spans="1:6" x14ac:dyDescent="0.3">
      <c r="A510" s="1">
        <v>55.716999999999999</v>
      </c>
      <c r="B510" s="1">
        <v>4.6360999999999999</v>
      </c>
      <c r="C510" s="1">
        <f>Tabela1[[#This Row],[Alongamento(mm/mm)]]/$I$2</f>
        <v>9.2721999999999999E-2</v>
      </c>
      <c r="D510" s="1">
        <v>789.09</v>
      </c>
      <c r="E510" s="1">
        <f>Tabela1[[#This Row],[Força(N)]]/$I$5</f>
        <v>25152283.050442267</v>
      </c>
      <c r="F510" s="1">
        <f>Tabela1[[#This Row],[Tensão(Pa)]]/1000000</f>
        <v>25.152283050442268</v>
      </c>
    </row>
    <row r="511" spans="1:6" x14ac:dyDescent="0.3">
      <c r="A511" s="1">
        <v>55.866999999999997</v>
      </c>
      <c r="B511" s="1">
        <v>4.6486000000000001</v>
      </c>
      <c r="C511" s="1">
        <f>Tabela1[[#This Row],[Alongamento(mm/mm)]]/$I$2</f>
        <v>9.2971999999999999E-2</v>
      </c>
      <c r="D511" s="1">
        <v>795.21</v>
      </c>
      <c r="E511" s="1">
        <f>Tabela1[[#This Row],[Força(N)]]/$I$5</f>
        <v>25347358.355247434</v>
      </c>
      <c r="F511" s="1">
        <f>Tabela1[[#This Row],[Tensão(Pa)]]/1000000</f>
        <v>25.347358355247433</v>
      </c>
    </row>
    <row r="512" spans="1:6" x14ac:dyDescent="0.3">
      <c r="A512" s="1">
        <v>56.033000000000001</v>
      </c>
      <c r="B512" s="1">
        <v>4.6624999999999996</v>
      </c>
      <c r="C512" s="1">
        <f>Tabela1[[#This Row],[Alongamento(mm/mm)]]/$I$2</f>
        <v>9.325E-2</v>
      </c>
      <c r="D512" s="1">
        <v>801.85</v>
      </c>
      <c r="E512" s="1">
        <f>Tabela1[[#This Row],[Força(N)]]/$I$5</f>
        <v>25559008.685951073</v>
      </c>
      <c r="F512" s="1">
        <f>Tabela1[[#This Row],[Tensão(Pa)]]/1000000</f>
        <v>25.559008685951074</v>
      </c>
    </row>
    <row r="513" spans="1:6" x14ac:dyDescent="0.3">
      <c r="A513" s="1">
        <v>56.2</v>
      </c>
      <c r="B513" s="1">
        <v>4.6764000000000001</v>
      </c>
      <c r="C513" s="1">
        <f>Tabela1[[#This Row],[Alongamento(mm/mm)]]/$I$2</f>
        <v>9.3528E-2</v>
      </c>
      <c r="D513" s="1">
        <v>808.48</v>
      </c>
      <c r="E513" s="1">
        <f>Tabela1[[#This Row],[Força(N)]]/$I$5</f>
        <v>25770340.26615667</v>
      </c>
      <c r="F513" s="1">
        <f>Tabela1[[#This Row],[Tensão(Pa)]]/1000000</f>
        <v>25.770340266156669</v>
      </c>
    </row>
    <row r="514" spans="1:6" x14ac:dyDescent="0.3">
      <c r="A514" s="1">
        <v>56.366999999999997</v>
      </c>
      <c r="B514" s="1">
        <v>4.6902999999999997</v>
      </c>
      <c r="C514" s="1">
        <f>Tabela1[[#This Row],[Alongamento(mm/mm)]]/$I$2</f>
        <v>9.3806E-2</v>
      </c>
      <c r="D514" s="1">
        <v>815.11</v>
      </c>
      <c r="E514" s="1">
        <f>Tabela1[[#This Row],[Força(N)]]/$I$5</f>
        <v>25981671.846362263</v>
      </c>
      <c r="F514" s="1">
        <f>Tabela1[[#This Row],[Tensão(Pa)]]/1000000</f>
        <v>25.981671846362264</v>
      </c>
    </row>
    <row r="515" spans="1:6" x14ac:dyDescent="0.3">
      <c r="A515" s="1">
        <v>56.533000000000001</v>
      </c>
      <c r="B515" s="1">
        <v>4.7042000000000002</v>
      </c>
      <c r="C515" s="1">
        <f>Tabela1[[#This Row],[Alongamento(mm/mm)]]/$I$2</f>
        <v>9.4084000000000001E-2</v>
      </c>
      <c r="D515" s="1">
        <v>821.75</v>
      </c>
      <c r="E515" s="1">
        <f>Tabela1[[#This Row],[Força(N)]]/$I$5</f>
        <v>26193322.177065901</v>
      </c>
      <c r="F515" s="1">
        <f>Tabela1[[#This Row],[Tensão(Pa)]]/1000000</f>
        <v>26.193322177065902</v>
      </c>
    </row>
    <row r="516" spans="1:6" x14ac:dyDescent="0.3">
      <c r="A516" s="1">
        <v>56.7</v>
      </c>
      <c r="B516" s="1">
        <v>4.7180999999999997</v>
      </c>
      <c r="C516" s="1">
        <f>Tabela1[[#This Row],[Alongamento(mm/mm)]]/$I$2</f>
        <v>9.4362000000000001E-2</v>
      </c>
      <c r="D516" s="1">
        <v>828.38</v>
      </c>
      <c r="E516" s="1">
        <f>Tabela1[[#This Row],[Força(N)]]/$I$5</f>
        <v>26404653.757271498</v>
      </c>
      <c r="F516" s="1">
        <f>Tabela1[[#This Row],[Tensão(Pa)]]/1000000</f>
        <v>26.404653757271497</v>
      </c>
    </row>
    <row r="517" spans="1:6" x14ac:dyDescent="0.3">
      <c r="A517" s="1">
        <v>56.866999999999997</v>
      </c>
      <c r="B517" s="1">
        <v>4.7319000000000004</v>
      </c>
      <c r="C517" s="1">
        <f>Tabela1[[#This Row],[Alongamento(mm/mm)]]/$I$2</f>
        <v>9.4638000000000014E-2</v>
      </c>
      <c r="D517" s="1">
        <v>835.19</v>
      </c>
      <c r="E517" s="1">
        <f>Tabela1[[#This Row],[Força(N)]]/$I$5</f>
        <v>26621722.846441951</v>
      </c>
      <c r="F517" s="1">
        <f>Tabela1[[#This Row],[Tensão(Pa)]]/1000000</f>
        <v>26.621722846441951</v>
      </c>
    </row>
    <row r="518" spans="1:6" x14ac:dyDescent="0.3">
      <c r="A518" s="1">
        <v>57.033000000000001</v>
      </c>
      <c r="B518" s="1">
        <v>4.7458999999999998</v>
      </c>
      <c r="C518" s="1">
        <f>Tabela1[[#This Row],[Alongamento(mm/mm)]]/$I$2</f>
        <v>9.4918000000000002E-2</v>
      </c>
      <c r="D518" s="1">
        <v>841.99</v>
      </c>
      <c r="E518" s="1">
        <f>Tabela1[[#This Row],[Força(N)]]/$I$5</f>
        <v>26838473.185114354</v>
      </c>
      <c r="F518" s="1">
        <f>Tabela1[[#This Row],[Tensão(Pa)]]/1000000</f>
        <v>26.838473185114353</v>
      </c>
    </row>
    <row r="519" spans="1:6" x14ac:dyDescent="0.3">
      <c r="A519" s="1">
        <v>57.2</v>
      </c>
      <c r="B519" s="1">
        <v>4.7598000000000003</v>
      </c>
      <c r="C519" s="1">
        <f>Tabela1[[#This Row],[Alongamento(mm/mm)]]/$I$2</f>
        <v>9.5196000000000003E-2</v>
      </c>
      <c r="D519" s="1">
        <v>848.79</v>
      </c>
      <c r="E519" s="1">
        <f>Tabela1[[#This Row],[Força(N)]]/$I$5</f>
        <v>27055223.523786757</v>
      </c>
      <c r="F519" s="1">
        <f>Tabela1[[#This Row],[Tensão(Pa)]]/1000000</f>
        <v>27.055223523786758</v>
      </c>
    </row>
    <row r="520" spans="1:6" x14ac:dyDescent="0.3">
      <c r="A520" s="1">
        <v>57.366999999999997</v>
      </c>
      <c r="B520" s="1">
        <v>4.7736999999999998</v>
      </c>
      <c r="C520" s="1">
        <f>Tabela1[[#This Row],[Alongamento(mm/mm)]]/$I$2</f>
        <v>9.5474000000000003E-2</v>
      </c>
      <c r="D520" s="1">
        <v>855.6</v>
      </c>
      <c r="E520" s="1">
        <f>Tabela1[[#This Row],[Força(N)]]/$I$5</f>
        <v>27272292.612957209</v>
      </c>
      <c r="F520" s="1">
        <f>Tabela1[[#This Row],[Tensão(Pa)]]/1000000</f>
        <v>27.272292612957209</v>
      </c>
    </row>
    <row r="521" spans="1:6" x14ac:dyDescent="0.3">
      <c r="A521" s="1">
        <v>57.533000000000001</v>
      </c>
      <c r="B521" s="1">
        <v>4.7874999999999996</v>
      </c>
      <c r="C521" s="1">
        <f>Tabela1[[#This Row],[Alongamento(mm/mm)]]/$I$2</f>
        <v>9.5749999999999988E-2</v>
      </c>
      <c r="D521" s="1">
        <v>862.57</v>
      </c>
      <c r="E521" s="1">
        <f>Tabela1[[#This Row],[Força(N)]]/$I$5</f>
        <v>27494461.710096426</v>
      </c>
      <c r="F521" s="1">
        <f>Tabela1[[#This Row],[Tensão(Pa)]]/1000000</f>
        <v>27.494461710096427</v>
      </c>
    </row>
    <row r="522" spans="1:6" x14ac:dyDescent="0.3">
      <c r="A522" s="1">
        <v>57.7</v>
      </c>
      <c r="B522" s="1">
        <v>4.8014000000000001</v>
      </c>
      <c r="C522" s="1">
        <f>Tabela1[[#This Row],[Alongamento(mm/mm)]]/$I$2</f>
        <v>9.6028000000000002E-2</v>
      </c>
      <c r="D522" s="1">
        <v>869.55</v>
      </c>
      <c r="E522" s="1">
        <f>Tabela1[[#This Row],[Força(N)]]/$I$5</f>
        <v>27716949.557733685</v>
      </c>
      <c r="F522" s="1">
        <f>Tabela1[[#This Row],[Tensão(Pa)]]/1000000</f>
        <v>27.716949557733685</v>
      </c>
    </row>
    <row r="523" spans="1:6" x14ac:dyDescent="0.3">
      <c r="A523" s="1">
        <v>57.866999999999997</v>
      </c>
      <c r="B523" s="1">
        <v>4.8152999999999997</v>
      </c>
      <c r="C523" s="1">
        <f>Tabela1[[#This Row],[Alongamento(mm/mm)]]/$I$2</f>
        <v>9.6305999999999989E-2</v>
      </c>
      <c r="D523" s="1">
        <v>876.52</v>
      </c>
      <c r="E523" s="1">
        <f>Tabela1[[#This Row],[Força(N)]]/$I$5</f>
        <v>27939118.654872898</v>
      </c>
      <c r="F523" s="1">
        <f>Tabela1[[#This Row],[Tensão(Pa)]]/1000000</f>
        <v>27.9391186548729</v>
      </c>
    </row>
    <row r="524" spans="1:6" x14ac:dyDescent="0.3">
      <c r="A524" s="1">
        <v>58.033000000000001</v>
      </c>
      <c r="B524" s="1">
        <v>4.8292000000000002</v>
      </c>
      <c r="C524" s="1">
        <f>Tabela1[[#This Row],[Alongamento(mm/mm)]]/$I$2</f>
        <v>9.6584000000000003E-2</v>
      </c>
      <c r="D524" s="1">
        <v>883.49</v>
      </c>
      <c r="E524" s="1">
        <f>Tabela1[[#This Row],[Força(N)]]/$I$5</f>
        <v>28161287.752012115</v>
      </c>
      <c r="F524" s="1">
        <f>Tabela1[[#This Row],[Tensão(Pa)]]/1000000</f>
        <v>28.161287752012115</v>
      </c>
    </row>
    <row r="525" spans="1:6" x14ac:dyDescent="0.3">
      <c r="A525" s="1">
        <v>58.2</v>
      </c>
      <c r="B525" s="1">
        <v>4.8430999999999997</v>
      </c>
      <c r="C525" s="1">
        <f>Tabela1[[#This Row],[Alongamento(mm/mm)]]/$I$2</f>
        <v>9.686199999999999E-2</v>
      </c>
      <c r="D525" s="1">
        <v>890.64</v>
      </c>
      <c r="E525" s="1">
        <f>Tabela1[[#This Row],[Força(N)]]/$I$5</f>
        <v>28389194.358116187</v>
      </c>
      <c r="F525" s="1">
        <f>Tabela1[[#This Row],[Tensão(Pa)]]/1000000</f>
        <v>28.389194358116185</v>
      </c>
    </row>
    <row r="526" spans="1:6" x14ac:dyDescent="0.3">
      <c r="A526" s="1">
        <v>58.366999999999997</v>
      </c>
      <c r="B526" s="1">
        <v>4.8570000000000002</v>
      </c>
      <c r="C526" s="1">
        <f>Tabela1[[#This Row],[Alongamento(mm/mm)]]/$I$2</f>
        <v>9.7140000000000004E-2</v>
      </c>
      <c r="D526" s="1">
        <v>897.61</v>
      </c>
      <c r="E526" s="1">
        <f>Tabela1[[#This Row],[Força(N)]]/$I$5</f>
        <v>28611363.4552554</v>
      </c>
      <c r="F526" s="1">
        <f>Tabela1[[#This Row],[Tensão(Pa)]]/1000000</f>
        <v>28.6113634552554</v>
      </c>
    </row>
    <row r="527" spans="1:6" x14ac:dyDescent="0.3">
      <c r="A527" s="1">
        <v>58.533000000000001</v>
      </c>
      <c r="B527" s="1">
        <v>4.8708</v>
      </c>
      <c r="C527" s="1">
        <f>Tabela1[[#This Row],[Alongamento(mm/mm)]]/$I$2</f>
        <v>9.7416000000000003E-2</v>
      </c>
      <c r="D527" s="1">
        <v>904.76</v>
      </c>
      <c r="E527" s="1">
        <f>Tabela1[[#This Row],[Força(N)]]/$I$5</f>
        <v>28839270.061359473</v>
      </c>
      <c r="F527" s="1">
        <f>Tabela1[[#This Row],[Tensão(Pa)]]/1000000</f>
        <v>28.839270061359471</v>
      </c>
    </row>
    <row r="528" spans="1:6" x14ac:dyDescent="0.3">
      <c r="A528" s="1">
        <v>58.7</v>
      </c>
      <c r="B528" s="1">
        <v>4.8848000000000003</v>
      </c>
      <c r="C528" s="1">
        <f>Tabela1[[#This Row],[Alongamento(mm/mm)]]/$I$2</f>
        <v>9.7696000000000005E-2</v>
      </c>
      <c r="D528" s="1">
        <v>911.9</v>
      </c>
      <c r="E528" s="1">
        <f>Tabela1[[#This Row],[Força(N)]]/$I$5</f>
        <v>29066857.916965496</v>
      </c>
      <c r="F528" s="1">
        <f>Tabela1[[#This Row],[Tensão(Pa)]]/1000000</f>
        <v>29.066857916965496</v>
      </c>
    </row>
    <row r="529" spans="1:6" x14ac:dyDescent="0.3">
      <c r="A529" s="1">
        <v>58.866999999999997</v>
      </c>
      <c r="B529" s="1">
        <v>4.8986999999999998</v>
      </c>
      <c r="C529" s="1">
        <f>Tabela1[[#This Row],[Alongamento(mm/mm)]]/$I$2</f>
        <v>9.7973999999999992E-2</v>
      </c>
      <c r="D529" s="1">
        <v>919.04</v>
      </c>
      <c r="E529" s="1">
        <f>Tabela1[[#This Row],[Força(N)]]/$I$5</f>
        <v>29294445.772571519</v>
      </c>
      <c r="F529" s="1">
        <f>Tabela1[[#This Row],[Tensão(Pa)]]/1000000</f>
        <v>29.294445772571517</v>
      </c>
    </row>
    <row r="530" spans="1:6" x14ac:dyDescent="0.3">
      <c r="A530" s="1">
        <v>59.033000000000001</v>
      </c>
      <c r="B530" s="1">
        <v>4.9124999999999996</v>
      </c>
      <c r="C530" s="1">
        <f>Tabela1[[#This Row],[Alongamento(mm/mm)]]/$I$2</f>
        <v>9.824999999999999E-2</v>
      </c>
      <c r="D530" s="1">
        <v>926.19</v>
      </c>
      <c r="E530" s="1">
        <f>Tabela1[[#This Row],[Força(N)]]/$I$5</f>
        <v>29522352.378675595</v>
      </c>
      <c r="F530" s="1">
        <f>Tabela1[[#This Row],[Tensão(Pa)]]/1000000</f>
        <v>29.522352378675595</v>
      </c>
    </row>
    <row r="531" spans="1:6" x14ac:dyDescent="0.3">
      <c r="A531" s="1">
        <v>59.2</v>
      </c>
      <c r="B531" s="1">
        <v>4.9264000000000001</v>
      </c>
      <c r="C531" s="1">
        <f>Tabela1[[#This Row],[Alongamento(mm/mm)]]/$I$2</f>
        <v>9.8528000000000004E-2</v>
      </c>
      <c r="D531" s="1">
        <v>933.33</v>
      </c>
      <c r="E531" s="1">
        <f>Tabela1[[#This Row],[Força(N)]]/$I$5</f>
        <v>29749940.234281618</v>
      </c>
      <c r="F531" s="1">
        <f>Tabela1[[#This Row],[Tensão(Pa)]]/1000000</f>
        <v>29.749940234281617</v>
      </c>
    </row>
    <row r="532" spans="1:6" x14ac:dyDescent="0.3">
      <c r="A532" s="1">
        <v>59.366999999999997</v>
      </c>
      <c r="B532" s="1">
        <v>4.9404000000000003</v>
      </c>
      <c r="C532" s="1">
        <f>Tabela1[[#This Row],[Alongamento(mm/mm)]]/$I$2</f>
        <v>9.8808000000000007E-2</v>
      </c>
      <c r="D532" s="1">
        <v>940.48</v>
      </c>
      <c r="E532" s="1">
        <f>Tabela1[[#This Row],[Força(N)]]/$I$5</f>
        <v>29977846.84038569</v>
      </c>
      <c r="F532" s="1">
        <f>Tabela1[[#This Row],[Tensão(Pa)]]/1000000</f>
        <v>29.977846840385691</v>
      </c>
    </row>
    <row r="533" spans="1:6" x14ac:dyDescent="0.3">
      <c r="A533" s="1">
        <v>59.55</v>
      </c>
      <c r="B533" s="1">
        <v>4.9555999999999996</v>
      </c>
      <c r="C533" s="1">
        <f>Tabela1[[#This Row],[Alongamento(mm/mm)]]/$I$2</f>
        <v>9.9111999999999992E-2</v>
      </c>
      <c r="D533" s="1">
        <v>948.13</v>
      </c>
      <c r="E533" s="1">
        <f>Tabela1[[#This Row],[Força(N)]]/$I$5</f>
        <v>30221690.971392144</v>
      </c>
      <c r="F533" s="1">
        <f>Tabela1[[#This Row],[Tensão(Pa)]]/1000000</f>
        <v>30.221690971392142</v>
      </c>
    </row>
    <row r="534" spans="1:6" x14ac:dyDescent="0.3">
      <c r="A534" s="1">
        <v>59.716999999999999</v>
      </c>
      <c r="B534" s="1">
        <v>4.9695</v>
      </c>
      <c r="C534" s="1">
        <f>Tabela1[[#This Row],[Alongamento(mm/mm)]]/$I$2</f>
        <v>9.9390000000000006E-2</v>
      </c>
      <c r="D534" s="1">
        <v>955.27</v>
      </c>
      <c r="E534" s="1">
        <f>Tabela1[[#This Row],[Força(N)]]/$I$5</f>
        <v>30449278.826998167</v>
      </c>
      <c r="F534" s="1">
        <f>Tabela1[[#This Row],[Tensão(Pa)]]/1000000</f>
        <v>30.449278826998167</v>
      </c>
    </row>
    <row r="535" spans="1:6" x14ac:dyDescent="0.3">
      <c r="A535" s="1">
        <v>59.883000000000003</v>
      </c>
      <c r="B535" s="1">
        <v>4.9832999999999998</v>
      </c>
      <c r="C535" s="1">
        <f>Tabela1[[#This Row],[Alongamento(mm/mm)]]/$I$2</f>
        <v>9.9665999999999991E-2</v>
      </c>
      <c r="D535" s="1">
        <v>962.42</v>
      </c>
      <c r="E535" s="1">
        <f>Tabela1[[#This Row],[Força(N)]]/$I$5</f>
        <v>30677185.433102239</v>
      </c>
      <c r="F535" s="1">
        <f>Tabela1[[#This Row],[Tensão(Pa)]]/1000000</f>
        <v>30.677185433102238</v>
      </c>
    </row>
    <row r="536" spans="1:6" x14ac:dyDescent="0.3">
      <c r="A536" s="1">
        <v>60.067</v>
      </c>
      <c r="B536" s="1">
        <v>4.9987000000000004</v>
      </c>
      <c r="C536" s="1">
        <f>Tabela1[[#This Row],[Alongamento(mm/mm)]]/$I$2</f>
        <v>9.9974000000000007E-2</v>
      </c>
      <c r="D536" s="1">
        <v>970.41</v>
      </c>
      <c r="E536" s="1">
        <f>Tabela1[[#This Row],[Força(N)]]/$I$5</f>
        <v>30931867.081042316</v>
      </c>
      <c r="F536" s="1">
        <f>Tabela1[[#This Row],[Tensão(Pa)]]/1000000</f>
        <v>30.931867081042316</v>
      </c>
    </row>
    <row r="537" spans="1:6" x14ac:dyDescent="0.3">
      <c r="A537" s="1">
        <v>60.25</v>
      </c>
      <c r="B537" s="1">
        <v>5.0138999999999996</v>
      </c>
      <c r="C537" s="1">
        <f>Tabela1[[#This Row],[Alongamento(mm/mm)]]/$I$2</f>
        <v>0.10027799999999999</v>
      </c>
      <c r="D537" s="1">
        <v>978.24</v>
      </c>
      <c r="E537" s="1">
        <f>Tabela1[[#This Row],[Força(N)]]/$I$5</f>
        <v>31181448.721013628</v>
      </c>
      <c r="F537" s="1">
        <f>Tabela1[[#This Row],[Tensão(Pa)]]/1000000</f>
        <v>31.181448721013627</v>
      </c>
    </row>
    <row r="538" spans="1:6" x14ac:dyDescent="0.3">
      <c r="A538" s="1">
        <v>60.433</v>
      </c>
      <c r="B538" s="1">
        <v>5.0292000000000003</v>
      </c>
      <c r="C538" s="1">
        <f>Tabela1[[#This Row],[Alongamento(mm/mm)]]/$I$2</f>
        <v>0.10058400000000001</v>
      </c>
      <c r="D538" s="1">
        <v>986.23</v>
      </c>
      <c r="E538" s="1">
        <f>Tabela1[[#This Row],[Força(N)]]/$I$5</f>
        <v>31436130.368953705</v>
      </c>
      <c r="F538" s="1">
        <f>Tabela1[[#This Row],[Tensão(Pa)]]/1000000</f>
        <v>31.436130368953705</v>
      </c>
    </row>
    <row r="539" spans="1:6" x14ac:dyDescent="0.3">
      <c r="A539" s="1">
        <v>60.616999999999997</v>
      </c>
      <c r="B539" s="1">
        <v>5.0445000000000002</v>
      </c>
      <c r="C539" s="1">
        <f>Tabela1[[#This Row],[Alongamento(mm/mm)]]/$I$2</f>
        <v>0.10089000000000001</v>
      </c>
      <c r="D539" s="1">
        <v>994.06</v>
      </c>
      <c r="E539" s="1">
        <f>Tabela1[[#This Row],[Força(N)]]/$I$5</f>
        <v>31685712.008925013</v>
      </c>
      <c r="F539" s="1">
        <f>Tabela1[[#This Row],[Tensão(Pa)]]/1000000</f>
        <v>31.685712008925012</v>
      </c>
    </row>
    <row r="540" spans="1:6" x14ac:dyDescent="0.3">
      <c r="A540" s="1">
        <v>60.8</v>
      </c>
      <c r="B540" s="1">
        <v>5.0597000000000003</v>
      </c>
      <c r="C540" s="1">
        <f>Tabela1[[#This Row],[Alongamento(mm/mm)]]/$I$2</f>
        <v>0.10119400000000001</v>
      </c>
      <c r="D540" s="1">
        <v>1001.9</v>
      </c>
      <c r="E540" s="1">
        <f>Tabela1[[#This Row],[Força(N)]]/$I$5</f>
        <v>31935612.399394374</v>
      </c>
      <c r="F540" s="1">
        <f>Tabela1[[#This Row],[Tensão(Pa)]]/1000000</f>
        <v>31.935612399394373</v>
      </c>
    </row>
    <row r="541" spans="1:6" x14ac:dyDescent="0.3">
      <c r="A541" s="1">
        <v>61</v>
      </c>
      <c r="B541" s="1">
        <v>5.0763999999999996</v>
      </c>
      <c r="C541" s="1">
        <f>Tabela1[[#This Row],[Alongamento(mm/mm)]]/$I$2</f>
        <v>0.10152799999999999</v>
      </c>
      <c r="D541" s="1">
        <v>1010.2</v>
      </c>
      <c r="E541" s="1">
        <f>Tabela1[[#This Row],[Força(N)]]/$I$5</f>
        <v>32200175.312773928</v>
      </c>
      <c r="F541" s="1">
        <f>Tabela1[[#This Row],[Tensão(Pa)]]/1000000</f>
        <v>32.200175312773929</v>
      </c>
    </row>
    <row r="542" spans="1:6" x14ac:dyDescent="0.3">
      <c r="A542" s="1">
        <v>61.2</v>
      </c>
      <c r="B542" s="1">
        <v>5.0930999999999997</v>
      </c>
      <c r="C542" s="1">
        <f>Tabela1[[#This Row],[Alongamento(mm/mm)]]/$I$2</f>
        <v>0.10186199999999999</v>
      </c>
      <c r="D542" s="1">
        <v>1018.4</v>
      </c>
      <c r="E542" s="1">
        <f>Tabela1[[#This Row],[Força(N)]]/$I$5</f>
        <v>32461550.721173003</v>
      </c>
      <c r="F542" s="1">
        <f>Tabela1[[#This Row],[Tensão(Pa)]]/1000000</f>
        <v>32.461550721173005</v>
      </c>
    </row>
    <row r="543" spans="1:6" x14ac:dyDescent="0.3">
      <c r="A543" s="1">
        <v>61.383000000000003</v>
      </c>
      <c r="B543" s="1">
        <v>5.1082999999999998</v>
      </c>
      <c r="C543" s="1">
        <f>Tabela1[[#This Row],[Alongamento(mm/mm)]]/$I$2</f>
        <v>0.10216599999999999</v>
      </c>
      <c r="D543" s="1">
        <v>1026.2</v>
      </c>
      <c r="E543" s="1">
        <f>Tabela1[[#This Row],[Força(N)]]/$I$5</f>
        <v>32710176.109650176</v>
      </c>
      <c r="F543" s="1">
        <f>Tabela1[[#This Row],[Tensão(Pa)]]/1000000</f>
        <v>32.710176109650178</v>
      </c>
    </row>
    <row r="544" spans="1:6" x14ac:dyDescent="0.3">
      <c r="A544" s="1">
        <v>61.567</v>
      </c>
      <c r="B544" s="1">
        <v>5.1235999999999997</v>
      </c>
      <c r="C544" s="1">
        <f>Tabela1[[#This Row],[Alongamento(mm/mm)]]/$I$2</f>
        <v>0.10247199999999999</v>
      </c>
      <c r="D544" s="1">
        <v>1034</v>
      </c>
      <c r="E544" s="1">
        <f>Tabela1[[#This Row],[Força(N)]]/$I$5</f>
        <v>32958801.498127341</v>
      </c>
      <c r="F544" s="1">
        <f>Tabela1[[#This Row],[Tensão(Pa)]]/1000000</f>
        <v>32.958801498127343</v>
      </c>
    </row>
    <row r="545" spans="1:6" x14ac:dyDescent="0.3">
      <c r="A545" s="1">
        <v>61.767000000000003</v>
      </c>
      <c r="B545" s="1">
        <v>5.1402999999999999</v>
      </c>
      <c r="C545" s="1">
        <f>Tabela1[[#This Row],[Alongamento(mm/mm)]]/$I$2</f>
        <v>0.10280599999999999</v>
      </c>
      <c r="D545" s="1">
        <v>1042.4000000000001</v>
      </c>
      <c r="E545" s="1">
        <f>Tabela1[[#This Row],[Força(N)]]/$I$5</f>
        <v>33226551.916487373</v>
      </c>
      <c r="F545" s="1">
        <f>Tabela1[[#This Row],[Tensão(Pa)]]/1000000</f>
        <v>33.226551916487374</v>
      </c>
    </row>
    <row r="546" spans="1:6" x14ac:dyDescent="0.3">
      <c r="A546" s="1">
        <v>61.95</v>
      </c>
      <c r="B546" s="1">
        <v>5.1555999999999997</v>
      </c>
      <c r="C546" s="1">
        <f>Tabela1[[#This Row],[Alongamento(mm/mm)]]/$I$2</f>
        <v>0.103112</v>
      </c>
      <c r="D546" s="1">
        <v>1050.2</v>
      </c>
      <c r="E546" s="1">
        <f>Tabela1[[#This Row],[Força(N)]]/$I$5</f>
        <v>33475177.304964542</v>
      </c>
      <c r="F546" s="1">
        <f>Tabela1[[#This Row],[Tensão(Pa)]]/1000000</f>
        <v>33.475177304964539</v>
      </c>
    </row>
    <row r="547" spans="1:6" x14ac:dyDescent="0.3">
      <c r="A547" s="1">
        <v>62.15</v>
      </c>
      <c r="B547" s="1">
        <v>5.1722999999999999</v>
      </c>
      <c r="C547" s="1">
        <f>Tabela1[[#This Row],[Alongamento(mm/mm)]]/$I$2</f>
        <v>0.103446</v>
      </c>
      <c r="D547" s="1">
        <v>1058.5</v>
      </c>
      <c r="E547" s="1">
        <f>Tabela1[[#This Row],[Força(N)]]/$I$5</f>
        <v>33739740.218344092</v>
      </c>
      <c r="F547" s="1">
        <f>Tabela1[[#This Row],[Tensão(Pa)]]/1000000</f>
        <v>33.739740218344089</v>
      </c>
    </row>
    <row r="548" spans="1:6" x14ac:dyDescent="0.3">
      <c r="A548" s="1">
        <v>62.35</v>
      </c>
      <c r="B548" s="1">
        <v>5.1889000000000003</v>
      </c>
      <c r="C548" s="1">
        <f>Tabela1[[#This Row],[Alongamento(mm/mm)]]/$I$2</f>
        <v>0.10377800000000001</v>
      </c>
      <c r="D548" s="1">
        <v>1067.2</v>
      </c>
      <c r="E548" s="1">
        <f>Tabela1[[#This Row],[Força(N)]]/$I$5</f>
        <v>34017053.151645556</v>
      </c>
      <c r="F548" s="1">
        <f>Tabela1[[#This Row],[Tensão(Pa)]]/1000000</f>
        <v>34.017053151645555</v>
      </c>
    </row>
    <row r="549" spans="1:6" x14ac:dyDescent="0.3">
      <c r="A549" s="1">
        <v>62.55</v>
      </c>
      <c r="B549" s="1">
        <v>5.2055999999999996</v>
      </c>
      <c r="C549" s="1">
        <f>Tabela1[[#This Row],[Alongamento(mm/mm)]]/$I$2</f>
        <v>0.104112</v>
      </c>
      <c r="D549" s="1">
        <v>1075.7</v>
      </c>
      <c r="E549" s="1">
        <f>Tabela1[[#This Row],[Força(N)]]/$I$5</f>
        <v>34287991.074986055</v>
      </c>
      <c r="F549" s="1">
        <f>Tabela1[[#This Row],[Tensão(Pa)]]/1000000</f>
        <v>34.287991074986053</v>
      </c>
    </row>
    <row r="550" spans="1:6" x14ac:dyDescent="0.3">
      <c r="A550" s="1">
        <v>62.75</v>
      </c>
      <c r="B550" s="1">
        <v>5.2222</v>
      </c>
      <c r="C550" s="1">
        <f>Tabela1[[#This Row],[Alongamento(mm/mm)]]/$I$2</f>
        <v>0.104444</v>
      </c>
      <c r="D550" s="1">
        <v>1084</v>
      </c>
      <c r="E550" s="1">
        <f>Tabela1[[#This Row],[Força(N)]]/$I$5</f>
        <v>34552553.988365605</v>
      </c>
      <c r="F550" s="1">
        <f>Tabela1[[#This Row],[Tensão(Pa)]]/1000000</f>
        <v>34.552553988365602</v>
      </c>
    </row>
    <row r="551" spans="1:6" x14ac:dyDescent="0.3">
      <c r="A551" s="1">
        <v>62.95</v>
      </c>
      <c r="B551" s="1">
        <v>5.2389999999999999</v>
      </c>
      <c r="C551" s="1">
        <f>Tabela1[[#This Row],[Alongamento(mm/mm)]]/$I$2</f>
        <v>0.10478</v>
      </c>
      <c r="D551" s="1">
        <v>1092.5</v>
      </c>
      <c r="E551" s="1">
        <f>Tabela1[[#This Row],[Força(N)]]/$I$5</f>
        <v>34823491.911706112</v>
      </c>
      <c r="F551" s="1">
        <f>Tabela1[[#This Row],[Tensão(Pa)]]/1000000</f>
        <v>34.823491911706114</v>
      </c>
    </row>
    <row r="552" spans="1:6" x14ac:dyDescent="0.3">
      <c r="A552" s="1">
        <v>63.15</v>
      </c>
      <c r="B552" s="1">
        <v>5.2556000000000003</v>
      </c>
      <c r="C552" s="1">
        <f>Tabela1[[#This Row],[Alongamento(mm/mm)]]/$I$2</f>
        <v>0.10511200000000001</v>
      </c>
      <c r="D552" s="1">
        <v>1101</v>
      </c>
      <c r="E552" s="1">
        <f>Tabela1[[#This Row],[Força(N)]]/$I$5</f>
        <v>35094429.835046619</v>
      </c>
      <c r="F552" s="1">
        <f>Tabela1[[#This Row],[Tensão(Pa)]]/1000000</f>
        <v>35.094429835046618</v>
      </c>
    </row>
    <row r="553" spans="1:6" x14ac:dyDescent="0.3">
      <c r="A553" s="1">
        <v>63.35</v>
      </c>
      <c r="B553" s="1">
        <v>5.2723000000000004</v>
      </c>
      <c r="C553" s="1">
        <f>Tabela1[[#This Row],[Alongamento(mm/mm)]]/$I$2</f>
        <v>0.10544600000000001</v>
      </c>
      <c r="D553" s="1">
        <v>1109.7</v>
      </c>
      <c r="E553" s="1">
        <f>Tabela1[[#This Row],[Força(N)]]/$I$5</f>
        <v>35371742.768348075</v>
      </c>
      <c r="F553" s="1">
        <f>Tabela1[[#This Row],[Tensão(Pa)]]/1000000</f>
        <v>35.371742768348078</v>
      </c>
    </row>
    <row r="554" spans="1:6" x14ac:dyDescent="0.3">
      <c r="A554" s="1">
        <v>63.55</v>
      </c>
      <c r="B554" s="1">
        <v>5.2888999999999999</v>
      </c>
      <c r="C554" s="1">
        <f>Tabela1[[#This Row],[Alongamento(mm/mm)]]/$I$2</f>
        <v>0.105778</v>
      </c>
      <c r="D554" s="1">
        <v>1118.5999999999999</v>
      </c>
      <c r="E554" s="1">
        <f>Tabela1[[#This Row],[Força(N)]]/$I$5</f>
        <v>35655430.711610489</v>
      </c>
      <c r="F554" s="1">
        <f>Tabela1[[#This Row],[Tensão(Pa)]]/1000000</f>
        <v>35.655430711610485</v>
      </c>
    </row>
    <row r="555" spans="1:6" x14ac:dyDescent="0.3">
      <c r="A555" s="1">
        <v>63.75</v>
      </c>
      <c r="B555" s="1">
        <v>5.3056000000000001</v>
      </c>
      <c r="C555" s="1">
        <f>Tabela1[[#This Row],[Alongamento(mm/mm)]]/$I$2</f>
        <v>0.106112</v>
      </c>
      <c r="D555" s="1">
        <v>1127.2</v>
      </c>
      <c r="E555" s="1">
        <f>Tabela1[[#This Row],[Força(N)]]/$I$5</f>
        <v>35929556.13993147</v>
      </c>
      <c r="F555" s="1">
        <f>Tabela1[[#This Row],[Tensão(Pa)]]/1000000</f>
        <v>35.929556139931471</v>
      </c>
    </row>
    <row r="556" spans="1:6" x14ac:dyDescent="0.3">
      <c r="A556" s="1">
        <v>63.95</v>
      </c>
      <c r="B556" s="1">
        <v>5.3223000000000003</v>
      </c>
      <c r="C556" s="1">
        <f>Tabela1[[#This Row],[Alongamento(mm/mm)]]/$I$2</f>
        <v>0.106446</v>
      </c>
      <c r="D556" s="1">
        <v>1135.7</v>
      </c>
      <c r="E556" s="1">
        <f>Tabela1[[#This Row],[Força(N)]]/$I$5</f>
        <v>36200494.063271977</v>
      </c>
      <c r="F556" s="1">
        <f>Tabela1[[#This Row],[Tensão(Pa)]]/1000000</f>
        <v>36.200494063271975</v>
      </c>
    </row>
    <row r="557" spans="1:6" x14ac:dyDescent="0.3">
      <c r="A557" s="1">
        <v>64.150000000000006</v>
      </c>
      <c r="B557" s="1">
        <v>5.3388999999999998</v>
      </c>
      <c r="C557" s="1">
        <f>Tabela1[[#This Row],[Alongamento(mm/mm)]]/$I$2</f>
        <v>0.106778</v>
      </c>
      <c r="D557" s="1">
        <v>1144.5999999999999</v>
      </c>
      <c r="E557" s="1">
        <f>Tabela1[[#This Row],[Força(N)]]/$I$5</f>
        <v>36484182.006534383</v>
      </c>
      <c r="F557" s="1">
        <f>Tabela1[[#This Row],[Tensão(Pa)]]/1000000</f>
        <v>36.484182006534382</v>
      </c>
    </row>
    <row r="558" spans="1:6" x14ac:dyDescent="0.3">
      <c r="A558" s="1">
        <v>64.349999999999994</v>
      </c>
      <c r="B558" s="1">
        <v>5.3555999999999999</v>
      </c>
      <c r="C558" s="1">
        <f>Tabela1[[#This Row],[Alongamento(mm/mm)]]/$I$2</f>
        <v>0.107112</v>
      </c>
      <c r="D558" s="1">
        <v>1153.5999999999999</v>
      </c>
      <c r="E558" s="1">
        <f>Tabela1[[#This Row],[Força(N)]]/$I$5</f>
        <v>36771057.454777271</v>
      </c>
      <c r="F558" s="1">
        <f>Tabela1[[#This Row],[Tensão(Pa)]]/1000000</f>
        <v>36.771057454777271</v>
      </c>
    </row>
    <row r="559" spans="1:6" x14ac:dyDescent="0.3">
      <c r="A559" s="1">
        <v>64.55</v>
      </c>
      <c r="B559" s="1">
        <v>5.3722000000000003</v>
      </c>
      <c r="C559" s="1">
        <f>Tabela1[[#This Row],[Alongamento(mm/mm)]]/$I$2</f>
        <v>0.10744400000000001</v>
      </c>
      <c r="D559" s="1">
        <v>1162.5999999999999</v>
      </c>
      <c r="E559" s="1">
        <f>Tabela1[[#This Row],[Força(N)]]/$I$5</f>
        <v>37057932.903020158</v>
      </c>
      <c r="F559" s="1">
        <f>Tabela1[[#This Row],[Tensão(Pa)]]/1000000</f>
        <v>37.057932903020159</v>
      </c>
    </row>
    <row r="560" spans="1:6" x14ac:dyDescent="0.3">
      <c r="A560" s="1">
        <v>64.75</v>
      </c>
      <c r="B560" s="1">
        <v>5.3888999999999996</v>
      </c>
      <c r="C560" s="1">
        <f>Tabela1[[#This Row],[Alongamento(mm/mm)]]/$I$2</f>
        <v>0.10777799999999998</v>
      </c>
      <c r="D560" s="1">
        <v>1171.5</v>
      </c>
      <c r="E560" s="1">
        <f>Tabela1[[#This Row],[Força(N)]]/$I$5</f>
        <v>37341620.846282572</v>
      </c>
      <c r="F560" s="1">
        <f>Tabela1[[#This Row],[Tensão(Pa)]]/1000000</f>
        <v>37.341620846282574</v>
      </c>
    </row>
    <row r="561" spans="1:6" x14ac:dyDescent="0.3">
      <c r="A561" s="1">
        <v>64.95</v>
      </c>
      <c r="B561" s="1">
        <v>5.4055999999999997</v>
      </c>
      <c r="C561" s="1">
        <f>Tabela1[[#This Row],[Alongamento(mm/mm)]]/$I$2</f>
        <v>0.108112</v>
      </c>
      <c r="D561" s="1">
        <v>1180.5</v>
      </c>
      <c r="E561" s="1">
        <f>Tabela1[[#This Row],[Força(N)]]/$I$5</f>
        <v>37628496.294525459</v>
      </c>
      <c r="F561" s="1">
        <f>Tabela1[[#This Row],[Tensão(Pa)]]/1000000</f>
        <v>37.628496294525462</v>
      </c>
    </row>
    <row r="562" spans="1:6" x14ac:dyDescent="0.3">
      <c r="A562" s="1">
        <v>65.167000000000002</v>
      </c>
      <c r="B562" s="1">
        <v>5.4236000000000004</v>
      </c>
      <c r="C562" s="1">
        <f>Tabela1[[#This Row],[Alongamento(mm/mm)]]/$I$2</f>
        <v>0.10847200000000001</v>
      </c>
      <c r="D562" s="1">
        <v>1190</v>
      </c>
      <c r="E562" s="1">
        <f>Tabela1[[#This Row],[Força(N)]]/$I$5</f>
        <v>37931309.267670736</v>
      </c>
      <c r="F562" s="1">
        <f>Tabela1[[#This Row],[Tensão(Pa)]]/1000000</f>
        <v>37.931309267670734</v>
      </c>
    </row>
    <row r="563" spans="1:6" x14ac:dyDescent="0.3">
      <c r="A563" s="1">
        <v>65.382999999999996</v>
      </c>
      <c r="B563" s="1">
        <v>5.4417999999999997</v>
      </c>
      <c r="C563" s="1">
        <f>Tabela1[[#This Row],[Alongamento(mm/mm)]]/$I$2</f>
        <v>0.10883599999999999</v>
      </c>
      <c r="D563" s="1">
        <v>1199.5</v>
      </c>
      <c r="E563" s="1">
        <f>Tabela1[[#This Row],[Força(N)]]/$I$5</f>
        <v>38234122.240816005</v>
      </c>
      <c r="F563" s="1">
        <f>Tabela1[[#This Row],[Tensão(Pa)]]/1000000</f>
        <v>38.234122240816006</v>
      </c>
    </row>
    <row r="564" spans="1:6" x14ac:dyDescent="0.3">
      <c r="A564" s="1">
        <v>65.599999999999994</v>
      </c>
      <c r="B564" s="1">
        <v>5.4596999999999998</v>
      </c>
      <c r="C564" s="1">
        <f>Tabela1[[#This Row],[Alongamento(mm/mm)]]/$I$2</f>
        <v>0.109194</v>
      </c>
      <c r="D564" s="1">
        <v>1209.2</v>
      </c>
      <c r="E564" s="1">
        <f>Tabela1[[#This Row],[Força(N)]]/$I$5</f>
        <v>38543310.22392223</v>
      </c>
      <c r="F564" s="1">
        <f>Tabela1[[#This Row],[Tensão(Pa)]]/1000000</f>
        <v>38.543310223922234</v>
      </c>
    </row>
    <row r="565" spans="1:6" x14ac:dyDescent="0.3">
      <c r="A565" s="1">
        <v>65.816999999999993</v>
      </c>
      <c r="B565" s="1">
        <v>5.4778000000000002</v>
      </c>
      <c r="C565" s="1">
        <f>Tabela1[[#This Row],[Alongamento(mm/mm)]]/$I$2</f>
        <v>0.109556</v>
      </c>
      <c r="D565" s="1">
        <v>1218.8</v>
      </c>
      <c r="E565" s="1">
        <f>Tabela1[[#This Row],[Força(N)]]/$I$5</f>
        <v>38849310.702047974</v>
      </c>
      <c r="F565" s="1">
        <f>Tabela1[[#This Row],[Tensão(Pa)]]/1000000</f>
        <v>38.849310702047973</v>
      </c>
    </row>
    <row r="566" spans="1:6" x14ac:dyDescent="0.3">
      <c r="A566" s="1">
        <v>66.033000000000001</v>
      </c>
      <c r="B566" s="1">
        <v>5.4958</v>
      </c>
      <c r="C566" s="1">
        <f>Tabela1[[#This Row],[Alongamento(mm/mm)]]/$I$2</f>
        <v>0.109916</v>
      </c>
      <c r="D566" s="1">
        <v>1228.5</v>
      </c>
      <c r="E566" s="1">
        <f>Tabela1[[#This Row],[Força(N)]]/$I$5</f>
        <v>39158498.6851542</v>
      </c>
      <c r="F566" s="1">
        <f>Tabela1[[#This Row],[Tensão(Pa)]]/1000000</f>
        <v>39.1584986851542</v>
      </c>
    </row>
    <row r="567" spans="1:6" x14ac:dyDescent="0.3">
      <c r="A567" s="1">
        <v>66.266999999999996</v>
      </c>
      <c r="B567" s="1">
        <v>5.5153999999999996</v>
      </c>
      <c r="C567" s="1">
        <f>Tabela1[[#This Row],[Alongamento(mm/mm)]]/$I$2</f>
        <v>0.11030799999999999</v>
      </c>
      <c r="D567" s="1">
        <v>1238.7</v>
      </c>
      <c r="E567" s="1">
        <f>Tabela1[[#This Row],[Força(N)]]/$I$5</f>
        <v>39483624.193162806</v>
      </c>
      <c r="F567" s="1">
        <f>Tabela1[[#This Row],[Tensão(Pa)]]/1000000</f>
        <v>39.483624193162804</v>
      </c>
    </row>
    <row r="568" spans="1:6" x14ac:dyDescent="0.3">
      <c r="A568" s="1">
        <v>66.5</v>
      </c>
      <c r="B568" s="1">
        <v>5.5347999999999997</v>
      </c>
      <c r="C568" s="1">
        <f>Tabela1[[#This Row],[Alongamento(mm/mm)]]/$I$2</f>
        <v>0.11069599999999999</v>
      </c>
      <c r="D568" s="1">
        <v>1248.7</v>
      </c>
      <c r="E568" s="1">
        <f>Tabela1[[#This Row],[Força(N)]]/$I$5</f>
        <v>39802374.691210456</v>
      </c>
      <c r="F568" s="1">
        <f>Tabela1[[#This Row],[Tensão(Pa)]]/1000000</f>
        <v>39.802374691210453</v>
      </c>
    </row>
    <row r="569" spans="1:6" x14ac:dyDescent="0.3">
      <c r="A569" s="1">
        <v>66.716999999999999</v>
      </c>
      <c r="B569" s="1">
        <v>5.5528000000000004</v>
      </c>
      <c r="C569" s="1">
        <f>Tabela1[[#This Row],[Alongamento(mm/mm)]]/$I$2</f>
        <v>0.111056</v>
      </c>
      <c r="D569" s="1">
        <v>1258.2</v>
      </c>
      <c r="E569" s="1">
        <f>Tabela1[[#This Row],[Força(N)]]/$I$5</f>
        <v>40105187.664355733</v>
      </c>
      <c r="F569" s="1">
        <f>Tabela1[[#This Row],[Tensão(Pa)]]/1000000</f>
        <v>40.105187664355732</v>
      </c>
    </row>
    <row r="570" spans="1:6" x14ac:dyDescent="0.3">
      <c r="A570" s="1">
        <v>66.933000000000007</v>
      </c>
      <c r="B570" s="1">
        <v>5.5708000000000002</v>
      </c>
      <c r="C570" s="1">
        <f>Tabela1[[#This Row],[Alongamento(mm/mm)]]/$I$2</f>
        <v>0.111416</v>
      </c>
      <c r="D570" s="1">
        <v>1267.9000000000001</v>
      </c>
      <c r="E570" s="1">
        <f>Tabela1[[#This Row],[Força(N)]]/$I$5</f>
        <v>40414375.647461951</v>
      </c>
      <c r="F570" s="1">
        <f>Tabela1[[#This Row],[Tensão(Pa)]]/1000000</f>
        <v>40.414375647461952</v>
      </c>
    </row>
    <row r="571" spans="1:6" x14ac:dyDescent="0.3">
      <c r="A571" s="1">
        <v>67.167000000000002</v>
      </c>
      <c r="B571" s="1">
        <v>5.5903999999999998</v>
      </c>
      <c r="C571" s="1">
        <f>Tabela1[[#This Row],[Alongamento(mm/mm)]]/$I$2</f>
        <v>0.11180799999999999</v>
      </c>
      <c r="D571" s="1">
        <v>1278.0999999999999</v>
      </c>
      <c r="E571" s="1">
        <f>Tabela1[[#This Row],[Força(N)]]/$I$5</f>
        <v>40739501.155470558</v>
      </c>
      <c r="F571" s="1">
        <f>Tabela1[[#This Row],[Tensão(Pa)]]/1000000</f>
        <v>40.739501155470556</v>
      </c>
    </row>
    <row r="572" spans="1:6" x14ac:dyDescent="0.3">
      <c r="A572" s="1">
        <v>67.400000000000006</v>
      </c>
      <c r="B572" s="1">
        <v>5.6097000000000001</v>
      </c>
      <c r="C572" s="1">
        <f>Tabela1[[#This Row],[Alongamento(mm/mm)]]/$I$2</f>
        <v>0.112194</v>
      </c>
      <c r="D572" s="1">
        <v>1288.3</v>
      </c>
      <c r="E572" s="1">
        <f>Tabela1[[#This Row],[Força(N)]]/$I$5</f>
        <v>41064626.663479164</v>
      </c>
      <c r="F572" s="1">
        <f>Tabela1[[#This Row],[Tensão(Pa)]]/1000000</f>
        <v>41.064626663479167</v>
      </c>
    </row>
    <row r="573" spans="1:6" x14ac:dyDescent="0.3">
      <c r="A573" s="1">
        <v>67.632999999999996</v>
      </c>
      <c r="B573" s="1">
        <v>5.6292999999999997</v>
      </c>
      <c r="C573" s="1">
        <f>Tabela1[[#This Row],[Alongamento(mm/mm)]]/$I$2</f>
        <v>0.11258599999999999</v>
      </c>
      <c r="D573" s="1">
        <v>1298.5</v>
      </c>
      <c r="E573" s="1">
        <f>Tabela1[[#This Row],[Força(N)]]/$I$5</f>
        <v>41389752.171487771</v>
      </c>
      <c r="F573" s="1">
        <f>Tabela1[[#This Row],[Tensão(Pa)]]/1000000</f>
        <v>41.389752171487771</v>
      </c>
    </row>
    <row r="574" spans="1:6" x14ac:dyDescent="0.3">
      <c r="A574" s="1">
        <v>67.867000000000004</v>
      </c>
      <c r="B574" s="1">
        <v>5.6486000000000001</v>
      </c>
      <c r="C574" s="1">
        <f>Tabela1[[#This Row],[Alongamento(mm/mm)]]/$I$2</f>
        <v>0.112972</v>
      </c>
      <c r="D574" s="1">
        <v>1308.5999999999999</v>
      </c>
      <c r="E574" s="1">
        <f>Tabela1[[#This Row],[Força(N)]]/$I$5</f>
        <v>41711690.174515896</v>
      </c>
      <c r="F574" s="1">
        <f>Tabela1[[#This Row],[Tensão(Pa)]]/1000000</f>
        <v>41.711690174515894</v>
      </c>
    </row>
    <row r="575" spans="1:6" x14ac:dyDescent="0.3">
      <c r="A575" s="1">
        <v>68.099999999999994</v>
      </c>
      <c r="B575" s="1">
        <v>5.6680999999999999</v>
      </c>
      <c r="C575" s="1">
        <f>Tabela1[[#This Row],[Alongamento(mm/mm)]]/$I$2</f>
        <v>0.113362</v>
      </c>
      <c r="D575" s="1">
        <v>1318.8</v>
      </c>
      <c r="E575" s="1">
        <f>Tabela1[[#This Row],[Força(N)]]/$I$5</f>
        <v>42036815.682524502</v>
      </c>
      <c r="F575" s="1">
        <f>Tabela1[[#This Row],[Tensão(Pa)]]/1000000</f>
        <v>42.036815682524505</v>
      </c>
    </row>
    <row r="576" spans="1:6" x14ac:dyDescent="0.3">
      <c r="A576" s="1">
        <v>68.332999999999998</v>
      </c>
      <c r="B576" s="1">
        <v>5.6875</v>
      </c>
      <c r="C576" s="1">
        <f>Tabela1[[#This Row],[Alongamento(mm/mm)]]/$I$2</f>
        <v>0.11375</v>
      </c>
      <c r="D576" s="1">
        <v>1329</v>
      </c>
      <c r="E576" s="1">
        <f>Tabela1[[#This Row],[Força(N)]]/$I$5</f>
        <v>42361941.190533109</v>
      </c>
      <c r="F576" s="1">
        <f>Tabela1[[#This Row],[Tensão(Pa)]]/1000000</f>
        <v>42.361941190533109</v>
      </c>
    </row>
    <row r="577" spans="1:6" x14ac:dyDescent="0.3">
      <c r="A577" s="1">
        <v>68.582999999999998</v>
      </c>
      <c r="B577" s="1">
        <v>5.7084000000000001</v>
      </c>
      <c r="C577" s="1">
        <f>Tabela1[[#This Row],[Alongamento(mm/mm)]]/$I$2</f>
        <v>0.11416800000000001</v>
      </c>
      <c r="D577" s="1">
        <v>1339.9</v>
      </c>
      <c r="E577" s="1">
        <f>Tabela1[[#This Row],[Força(N)]]/$I$5</f>
        <v>42709379.233405061</v>
      </c>
      <c r="F577" s="1">
        <f>Tabela1[[#This Row],[Tensão(Pa)]]/1000000</f>
        <v>42.709379233405059</v>
      </c>
    </row>
    <row r="578" spans="1:6" x14ac:dyDescent="0.3">
      <c r="A578" s="1">
        <v>68.832999999999998</v>
      </c>
      <c r="B578" s="1">
        <v>5.7291999999999996</v>
      </c>
      <c r="C578" s="1">
        <f>Tabela1[[#This Row],[Alongamento(mm/mm)]]/$I$2</f>
        <v>0.11458399999999999</v>
      </c>
      <c r="D578" s="1">
        <v>1350.6</v>
      </c>
      <c r="E578" s="1">
        <f>Tabela1[[#This Row],[Força(N)]]/$I$5</f>
        <v>43050442.266316041</v>
      </c>
      <c r="F578" s="1">
        <f>Tabela1[[#This Row],[Tensão(Pa)]]/1000000</f>
        <v>43.05044226631604</v>
      </c>
    </row>
    <row r="579" spans="1:6" x14ac:dyDescent="0.3">
      <c r="A579" s="1">
        <v>69.082999999999998</v>
      </c>
      <c r="B579" s="1">
        <v>5.7500999999999998</v>
      </c>
      <c r="C579" s="1">
        <f>Tabela1[[#This Row],[Alongamento(mm/mm)]]/$I$2</f>
        <v>0.11500199999999999</v>
      </c>
      <c r="D579" s="1">
        <v>1361.3</v>
      </c>
      <c r="E579" s="1">
        <f>Tabela1[[#This Row],[Força(N)]]/$I$5</f>
        <v>43391505.299227029</v>
      </c>
      <c r="F579" s="1">
        <f>Tabela1[[#This Row],[Tensão(Pa)]]/1000000</f>
        <v>43.391505299227028</v>
      </c>
    </row>
    <row r="580" spans="1:6" x14ac:dyDescent="0.3">
      <c r="A580" s="1">
        <v>69.332999999999998</v>
      </c>
      <c r="B580" s="1">
        <v>5.7708000000000004</v>
      </c>
      <c r="C580" s="1">
        <f>Tabela1[[#This Row],[Alongamento(mm/mm)]]/$I$2</f>
        <v>0.115416</v>
      </c>
      <c r="D580" s="1">
        <v>1372</v>
      </c>
      <c r="E580" s="1">
        <f>Tabela1[[#This Row],[Força(N)]]/$I$5</f>
        <v>43732568.332138024</v>
      </c>
      <c r="F580" s="1">
        <f>Tabela1[[#This Row],[Tensão(Pa)]]/1000000</f>
        <v>43.732568332138023</v>
      </c>
    </row>
    <row r="581" spans="1:6" x14ac:dyDescent="0.3">
      <c r="A581" s="1">
        <v>69.582999999999998</v>
      </c>
      <c r="B581" s="1">
        <v>5.7916999999999996</v>
      </c>
      <c r="C581" s="1">
        <f>Tabela1[[#This Row],[Alongamento(mm/mm)]]/$I$2</f>
        <v>0.11583399999999999</v>
      </c>
      <c r="D581" s="1">
        <v>1383.1</v>
      </c>
      <c r="E581" s="1">
        <f>Tabela1[[#This Row],[Força(N)]]/$I$5</f>
        <v>44086381.384970911</v>
      </c>
      <c r="F581" s="1">
        <f>Tabela1[[#This Row],[Tensão(Pa)]]/1000000</f>
        <v>44.086381384970913</v>
      </c>
    </row>
    <row r="582" spans="1:6" x14ac:dyDescent="0.3">
      <c r="A582" s="1">
        <v>69.832999999999998</v>
      </c>
      <c r="B582" s="1">
        <v>5.8125</v>
      </c>
      <c r="C582" s="1">
        <f>Tabela1[[#This Row],[Alongamento(mm/mm)]]/$I$2</f>
        <v>0.11625000000000001</v>
      </c>
      <c r="D582" s="1">
        <v>1394</v>
      </c>
      <c r="E582" s="1">
        <f>Tabela1[[#This Row],[Força(N)]]/$I$5</f>
        <v>44433819.427842855</v>
      </c>
      <c r="F582" s="1">
        <f>Tabela1[[#This Row],[Tensão(Pa)]]/1000000</f>
        <v>44.433819427842856</v>
      </c>
    </row>
    <row r="583" spans="1:6" x14ac:dyDescent="0.3">
      <c r="A583" s="1">
        <v>70.082999999999998</v>
      </c>
      <c r="B583" s="1">
        <v>5.8333000000000004</v>
      </c>
      <c r="C583" s="1">
        <f>Tabela1[[#This Row],[Alongamento(mm/mm)]]/$I$2</f>
        <v>0.11666600000000001</v>
      </c>
      <c r="D583" s="1">
        <v>1405</v>
      </c>
      <c r="E583" s="1">
        <f>Tabela1[[#This Row],[Força(N)]]/$I$5</f>
        <v>44784444.975695275</v>
      </c>
      <c r="F583" s="1">
        <f>Tabela1[[#This Row],[Tensão(Pa)]]/1000000</f>
        <v>44.784444975695273</v>
      </c>
    </row>
    <row r="584" spans="1:6" x14ac:dyDescent="0.3">
      <c r="A584" s="1">
        <v>70.332999999999998</v>
      </c>
      <c r="B584" s="1">
        <v>5.8541999999999996</v>
      </c>
      <c r="C584" s="1">
        <f>Tabela1[[#This Row],[Alongamento(mm/mm)]]/$I$2</f>
        <v>0.11708399999999999</v>
      </c>
      <c r="D584" s="1">
        <v>1416.1</v>
      </c>
      <c r="E584" s="1">
        <f>Tabela1[[#This Row],[Força(N)]]/$I$5</f>
        <v>45138258.028528169</v>
      </c>
      <c r="F584" s="1">
        <f>Tabela1[[#This Row],[Tensão(Pa)]]/1000000</f>
        <v>45.13825802852817</v>
      </c>
    </row>
    <row r="585" spans="1:6" x14ac:dyDescent="0.3">
      <c r="A585" s="1">
        <v>70.582999999999998</v>
      </c>
      <c r="B585" s="1">
        <v>5.875</v>
      </c>
      <c r="C585" s="1">
        <f>Tabela1[[#This Row],[Alongamento(mm/mm)]]/$I$2</f>
        <v>0.11749999999999999</v>
      </c>
      <c r="D585" s="1">
        <v>1427.3</v>
      </c>
      <c r="E585" s="1">
        <f>Tabela1[[#This Row],[Força(N)]]/$I$5</f>
        <v>45495258.586341545</v>
      </c>
      <c r="F585" s="1">
        <f>Tabela1[[#This Row],[Tensão(Pa)]]/1000000</f>
        <v>45.495258586341542</v>
      </c>
    </row>
    <row r="586" spans="1:6" x14ac:dyDescent="0.3">
      <c r="A586" s="1">
        <v>70.832999999999998</v>
      </c>
      <c r="B586" s="1">
        <v>5.8959000000000001</v>
      </c>
      <c r="C586" s="1">
        <f>Tabela1[[#This Row],[Alongamento(mm/mm)]]/$I$2</f>
        <v>0.11791800000000001</v>
      </c>
      <c r="D586" s="1">
        <v>1438.5</v>
      </c>
      <c r="E586" s="1">
        <f>Tabela1[[#This Row],[Força(N)]]/$I$5</f>
        <v>45852259.144154914</v>
      </c>
      <c r="F586" s="1">
        <f>Tabela1[[#This Row],[Tensão(Pa)]]/1000000</f>
        <v>45.852259144154914</v>
      </c>
    </row>
    <row r="587" spans="1:6" x14ac:dyDescent="0.3">
      <c r="A587" s="1">
        <v>71.099999999999994</v>
      </c>
      <c r="B587" s="1">
        <v>5.9180999999999999</v>
      </c>
      <c r="C587" s="1">
        <f>Tabela1[[#This Row],[Alongamento(mm/mm)]]/$I$2</f>
        <v>0.11836199999999999</v>
      </c>
      <c r="D587" s="1">
        <v>1450.4</v>
      </c>
      <c r="E587" s="1">
        <f>Tabela1[[#This Row],[Força(N)]]/$I$5</f>
        <v>46231572.236831628</v>
      </c>
      <c r="F587" s="1">
        <f>Tabela1[[#This Row],[Tensão(Pa)]]/1000000</f>
        <v>46.231572236831624</v>
      </c>
    </row>
    <row r="588" spans="1:6" x14ac:dyDescent="0.3">
      <c r="A588" s="1">
        <v>71.349999999999994</v>
      </c>
      <c r="B588" s="1">
        <v>5.9390000000000001</v>
      </c>
      <c r="C588" s="1">
        <f>Tabela1[[#This Row],[Alongamento(mm/mm)]]/$I$2</f>
        <v>0.11878</v>
      </c>
      <c r="D588" s="1">
        <v>1461.7</v>
      </c>
      <c r="E588" s="1">
        <f>Tabela1[[#This Row],[Força(N)]]/$I$5</f>
        <v>46591760.299625471</v>
      </c>
      <c r="F588" s="1">
        <f>Tabela1[[#This Row],[Tensão(Pa)]]/1000000</f>
        <v>46.59176029962547</v>
      </c>
    </row>
    <row r="589" spans="1:6" x14ac:dyDescent="0.3">
      <c r="A589" s="1">
        <v>71.599999999999994</v>
      </c>
      <c r="B589" s="1">
        <v>5.9598000000000004</v>
      </c>
      <c r="C589" s="1">
        <f>Tabela1[[#This Row],[Alongamento(mm/mm)]]/$I$2</f>
        <v>0.11919600000000001</v>
      </c>
      <c r="D589" s="1">
        <v>1472.9</v>
      </c>
      <c r="E589" s="1">
        <f>Tabela1[[#This Row],[Força(N)]]/$I$5</f>
        <v>46948760.857438847</v>
      </c>
      <c r="F589" s="1">
        <f>Tabela1[[#This Row],[Tensão(Pa)]]/1000000</f>
        <v>46.948760857438849</v>
      </c>
    </row>
    <row r="590" spans="1:6" x14ac:dyDescent="0.3">
      <c r="A590" s="1">
        <v>71.867000000000004</v>
      </c>
      <c r="B590" s="1">
        <v>5.9820000000000002</v>
      </c>
      <c r="C590" s="1">
        <f>Tabela1[[#This Row],[Alongamento(mm/mm)]]/$I$2</f>
        <v>0.11964000000000001</v>
      </c>
      <c r="D590" s="1">
        <v>1484.6</v>
      </c>
      <c r="E590" s="1">
        <f>Tabela1[[#This Row],[Força(N)]]/$I$5</f>
        <v>47321698.940154597</v>
      </c>
      <c r="F590" s="1">
        <f>Tabela1[[#This Row],[Tensão(Pa)]]/1000000</f>
        <v>47.321698940154597</v>
      </c>
    </row>
    <row r="591" spans="1:6" x14ac:dyDescent="0.3">
      <c r="A591" s="1">
        <v>72.132999999999996</v>
      </c>
      <c r="B591" s="1">
        <v>6.0042</v>
      </c>
      <c r="C591" s="1">
        <f>Tabela1[[#This Row],[Alongamento(mm/mm)]]/$I$2</f>
        <v>0.120084</v>
      </c>
      <c r="D591" s="1">
        <v>1496.2</v>
      </c>
      <c r="E591" s="1">
        <f>Tabela1[[#This Row],[Força(N)]]/$I$5</f>
        <v>47691449.517889872</v>
      </c>
      <c r="F591" s="1">
        <f>Tabela1[[#This Row],[Tensão(Pa)]]/1000000</f>
        <v>47.691449517889872</v>
      </c>
    </row>
    <row r="592" spans="1:6" x14ac:dyDescent="0.3">
      <c r="A592" s="1">
        <v>72.417000000000002</v>
      </c>
      <c r="B592" s="1">
        <v>6.0278</v>
      </c>
      <c r="C592" s="1">
        <f>Tabela1[[#This Row],[Alongamento(mm/mm)]]/$I$2</f>
        <v>0.120556</v>
      </c>
      <c r="D592" s="1">
        <v>1508.3</v>
      </c>
      <c r="E592" s="1">
        <f>Tabela1[[#This Row],[Força(N)]]/$I$5</f>
        <v>48077137.620527536</v>
      </c>
      <c r="F592" s="1">
        <f>Tabela1[[#This Row],[Tensão(Pa)]]/1000000</f>
        <v>48.077137620527537</v>
      </c>
    </row>
    <row r="593" spans="1:6" x14ac:dyDescent="0.3">
      <c r="A593" s="1">
        <v>72.7</v>
      </c>
      <c r="B593" s="1">
        <v>6.0514999999999999</v>
      </c>
      <c r="C593" s="1">
        <f>Tabela1[[#This Row],[Alongamento(mm/mm)]]/$I$2</f>
        <v>0.12103</v>
      </c>
      <c r="D593" s="1">
        <v>1520.2</v>
      </c>
      <c r="E593" s="1">
        <f>Tabela1[[#This Row],[Força(N)]]/$I$5</f>
        <v>48456450.713204242</v>
      </c>
      <c r="F593" s="1">
        <f>Tabela1[[#This Row],[Tensão(Pa)]]/1000000</f>
        <v>48.456450713204241</v>
      </c>
    </row>
    <row r="594" spans="1:6" x14ac:dyDescent="0.3">
      <c r="A594" s="1">
        <v>72.966999999999999</v>
      </c>
      <c r="B594" s="1">
        <v>6.0736999999999997</v>
      </c>
      <c r="C594" s="1">
        <f>Tabela1[[#This Row],[Alongamento(mm/mm)]]/$I$2</f>
        <v>0.121474</v>
      </c>
      <c r="D594" s="1">
        <v>1531.7</v>
      </c>
      <c r="E594" s="1">
        <f>Tabela1[[#This Row],[Força(N)]]/$I$5</f>
        <v>48823013.785959043</v>
      </c>
      <c r="F594" s="1">
        <f>Tabela1[[#This Row],[Tensão(Pa)]]/1000000</f>
        <v>48.823013785959041</v>
      </c>
    </row>
    <row r="595" spans="1:6" x14ac:dyDescent="0.3">
      <c r="A595" s="1">
        <v>73.25</v>
      </c>
      <c r="B595" s="1">
        <v>6.0972999999999997</v>
      </c>
      <c r="C595" s="1">
        <f>Tabela1[[#This Row],[Alongamento(mm/mm)]]/$I$2</f>
        <v>0.121946</v>
      </c>
      <c r="D595" s="1">
        <v>1543.8</v>
      </c>
      <c r="E595" s="1">
        <f>Tabela1[[#This Row],[Força(N)]]/$I$5</f>
        <v>49208701.888596699</v>
      </c>
      <c r="F595" s="1">
        <f>Tabela1[[#This Row],[Tensão(Pa)]]/1000000</f>
        <v>49.2087018885967</v>
      </c>
    </row>
    <row r="596" spans="1:6" x14ac:dyDescent="0.3">
      <c r="A596" s="1">
        <v>73.533000000000001</v>
      </c>
      <c r="B596" s="1">
        <v>6.1208</v>
      </c>
      <c r="C596" s="1">
        <f>Tabela1[[#This Row],[Alongamento(mm/mm)]]/$I$2</f>
        <v>0.122416</v>
      </c>
      <c r="D596" s="1">
        <v>1556.1</v>
      </c>
      <c r="E596" s="1">
        <f>Tabela1[[#This Row],[Força(N)]]/$I$5</f>
        <v>49600765.001195312</v>
      </c>
      <c r="F596" s="1">
        <f>Tabela1[[#This Row],[Tensão(Pa)]]/1000000</f>
        <v>49.600765001195313</v>
      </c>
    </row>
    <row r="597" spans="1:6" x14ac:dyDescent="0.3">
      <c r="A597" s="1">
        <v>73.816999999999993</v>
      </c>
      <c r="B597" s="1">
        <v>6.1444000000000001</v>
      </c>
      <c r="C597" s="1">
        <f>Tabela1[[#This Row],[Alongamento(mm/mm)]]/$I$2</f>
        <v>0.122888</v>
      </c>
      <c r="D597" s="1">
        <v>1568.3</v>
      </c>
      <c r="E597" s="1">
        <f>Tabela1[[#This Row],[Força(N)]]/$I$5</f>
        <v>49989640.60881345</v>
      </c>
      <c r="F597" s="1">
        <f>Tabela1[[#This Row],[Tensão(Pa)]]/1000000</f>
        <v>49.989640608813453</v>
      </c>
    </row>
    <row r="598" spans="1:6" x14ac:dyDescent="0.3">
      <c r="A598" s="1">
        <v>74.099999999999994</v>
      </c>
      <c r="B598" s="1">
        <v>6.1680999999999999</v>
      </c>
      <c r="C598" s="1">
        <f>Tabela1[[#This Row],[Alongamento(mm/mm)]]/$I$2</f>
        <v>0.123362</v>
      </c>
      <c r="D598" s="1">
        <v>1580.6</v>
      </c>
      <c r="E598" s="1">
        <f>Tabela1[[#This Row],[Força(N)]]/$I$5</f>
        <v>50381703.721412063</v>
      </c>
      <c r="F598" s="1">
        <f>Tabela1[[#This Row],[Tensão(Pa)]]/1000000</f>
        <v>50.381703721412066</v>
      </c>
    </row>
    <row r="599" spans="1:6" x14ac:dyDescent="0.3">
      <c r="A599" s="1">
        <v>74.400000000000006</v>
      </c>
      <c r="B599" s="1">
        <v>6.1931000000000003</v>
      </c>
      <c r="C599" s="1">
        <f>Tabela1[[#This Row],[Alongamento(mm/mm)]]/$I$2</f>
        <v>0.123862</v>
      </c>
      <c r="D599" s="1">
        <v>1593.5</v>
      </c>
      <c r="E599" s="1">
        <f>Tabela1[[#This Row],[Força(N)]]/$I$5</f>
        <v>50792891.863893539</v>
      </c>
      <c r="F599" s="1">
        <f>Tabela1[[#This Row],[Tensão(Pa)]]/1000000</f>
        <v>50.792891863893537</v>
      </c>
    </row>
    <row r="600" spans="1:6" x14ac:dyDescent="0.3">
      <c r="A600" s="1">
        <v>74.7</v>
      </c>
      <c r="B600" s="1">
        <v>6.2180999999999997</v>
      </c>
      <c r="C600" s="1">
        <f>Tabela1[[#This Row],[Alongamento(mm/mm)]]/$I$2</f>
        <v>0.124362</v>
      </c>
      <c r="D600" s="1">
        <v>1606.2</v>
      </c>
      <c r="E600" s="1">
        <f>Tabela1[[#This Row],[Força(N)]]/$I$5</f>
        <v>51197704.996414058</v>
      </c>
      <c r="F600" s="1">
        <f>Tabela1[[#This Row],[Tensão(Pa)]]/1000000</f>
        <v>51.19770499641406</v>
      </c>
    </row>
    <row r="601" spans="1:6" x14ac:dyDescent="0.3">
      <c r="A601" s="1">
        <v>74.983000000000004</v>
      </c>
      <c r="B601" s="1">
        <v>6.2416999999999998</v>
      </c>
      <c r="C601" s="1">
        <f>Tabela1[[#This Row],[Alongamento(mm/mm)]]/$I$2</f>
        <v>0.124834</v>
      </c>
      <c r="D601" s="1">
        <v>1618.5</v>
      </c>
      <c r="E601" s="1">
        <f>Tabela1[[#This Row],[Força(N)]]/$I$5</f>
        <v>51589768.109012671</v>
      </c>
      <c r="F601" s="1">
        <f>Tabela1[[#This Row],[Tensão(Pa)]]/1000000</f>
        <v>51.589768109012674</v>
      </c>
    </row>
    <row r="602" spans="1:6" x14ac:dyDescent="0.3">
      <c r="A602" s="1">
        <v>75.283000000000001</v>
      </c>
      <c r="B602" s="1">
        <v>6.2666000000000004</v>
      </c>
      <c r="C602" s="1">
        <f>Tabela1[[#This Row],[Alongamento(mm/mm)]]/$I$2</f>
        <v>0.125332</v>
      </c>
      <c r="D602" s="1">
        <v>1631.4</v>
      </c>
      <c r="E602" s="1">
        <f>Tabela1[[#This Row],[Força(N)]]/$I$5</f>
        <v>52000956.251494147</v>
      </c>
      <c r="F602" s="1">
        <f>Tabela1[[#This Row],[Tensão(Pa)]]/1000000</f>
        <v>52.000956251494145</v>
      </c>
    </row>
    <row r="603" spans="1:6" x14ac:dyDescent="0.3">
      <c r="A603" s="1">
        <v>75.582999999999998</v>
      </c>
      <c r="B603" s="1">
        <v>6.2916999999999996</v>
      </c>
      <c r="C603" s="1">
        <f>Tabela1[[#This Row],[Alongamento(mm/mm)]]/$I$2</f>
        <v>0.125834</v>
      </c>
      <c r="D603" s="1">
        <v>1644.2</v>
      </c>
      <c r="E603" s="1">
        <f>Tabela1[[#This Row],[Força(N)]]/$I$5</f>
        <v>52408956.888995141</v>
      </c>
      <c r="F603" s="1">
        <f>Tabela1[[#This Row],[Tensão(Pa)]]/1000000</f>
        <v>52.408956888995142</v>
      </c>
    </row>
    <row r="604" spans="1:6" x14ac:dyDescent="0.3">
      <c r="A604" s="1">
        <v>75.882999999999996</v>
      </c>
      <c r="B604" s="1">
        <v>6.3167</v>
      </c>
      <c r="C604" s="1">
        <f>Tabela1[[#This Row],[Alongamento(mm/mm)]]/$I$2</f>
        <v>0.126334</v>
      </c>
      <c r="D604" s="1">
        <v>1657.3</v>
      </c>
      <c r="E604" s="1">
        <f>Tabela1[[#This Row],[Força(N)]]/$I$5</f>
        <v>52826520.041437566</v>
      </c>
      <c r="F604" s="1">
        <f>Tabela1[[#This Row],[Tensão(Pa)]]/1000000</f>
        <v>52.826520041437568</v>
      </c>
    </row>
    <row r="605" spans="1:6" x14ac:dyDescent="0.3">
      <c r="A605" s="1">
        <v>76.183000000000007</v>
      </c>
      <c r="B605" s="1">
        <v>6.3417000000000003</v>
      </c>
      <c r="C605" s="1">
        <f>Tabela1[[#This Row],[Alongamento(mm/mm)]]/$I$2</f>
        <v>0.126834</v>
      </c>
      <c r="D605" s="1">
        <v>1670.4</v>
      </c>
      <c r="E605" s="1">
        <f>Tabela1[[#This Row],[Força(N)]]/$I$5</f>
        <v>53244083.193879999</v>
      </c>
      <c r="F605" s="1">
        <f>Tabela1[[#This Row],[Tensão(Pa)]]/1000000</f>
        <v>53.244083193880002</v>
      </c>
    </row>
    <row r="606" spans="1:6" x14ac:dyDescent="0.3">
      <c r="A606" s="1">
        <v>76.483000000000004</v>
      </c>
      <c r="B606" s="1">
        <v>6.3666999999999998</v>
      </c>
      <c r="C606" s="1">
        <f>Tabela1[[#This Row],[Alongamento(mm/mm)]]/$I$2</f>
        <v>0.127334</v>
      </c>
      <c r="D606" s="1">
        <v>1683.5</v>
      </c>
      <c r="E606" s="1">
        <f>Tabela1[[#This Row],[Força(N)]]/$I$5</f>
        <v>53661646.346322417</v>
      </c>
      <c r="F606" s="1">
        <f>Tabela1[[#This Row],[Tensão(Pa)]]/1000000</f>
        <v>53.661646346322421</v>
      </c>
    </row>
    <row r="607" spans="1:6" x14ac:dyDescent="0.3">
      <c r="A607" s="1">
        <v>76.783000000000001</v>
      </c>
      <c r="B607" s="1">
        <v>6.3917000000000002</v>
      </c>
      <c r="C607" s="1">
        <f>Tabela1[[#This Row],[Alongamento(mm/mm)]]/$I$2</f>
        <v>0.127834</v>
      </c>
      <c r="D607" s="1">
        <v>1696.4</v>
      </c>
      <c r="E607" s="1">
        <f>Tabela1[[#This Row],[Força(N)]]/$I$5</f>
        <v>54072834.488803893</v>
      </c>
      <c r="F607" s="1">
        <f>Tabela1[[#This Row],[Tensão(Pa)]]/1000000</f>
        <v>54.072834488803892</v>
      </c>
    </row>
    <row r="608" spans="1:6" x14ac:dyDescent="0.3">
      <c r="A608" s="1">
        <v>77.082999999999998</v>
      </c>
      <c r="B608" s="1">
        <v>6.4165999999999999</v>
      </c>
      <c r="C608" s="1">
        <f>Tabela1[[#This Row],[Alongamento(mm/mm)]]/$I$2</f>
        <v>0.128332</v>
      </c>
      <c r="D608" s="1">
        <v>1709.5</v>
      </c>
      <c r="E608" s="1">
        <f>Tabela1[[#This Row],[Força(N)]]/$I$5</f>
        <v>54490397.641246319</v>
      </c>
      <c r="F608" s="1">
        <f>Tabela1[[#This Row],[Tensão(Pa)]]/1000000</f>
        <v>54.490397641246318</v>
      </c>
    </row>
    <row r="609" spans="1:6" x14ac:dyDescent="0.3">
      <c r="A609" s="1">
        <v>77.400000000000006</v>
      </c>
      <c r="B609" s="1">
        <v>6.4431000000000003</v>
      </c>
      <c r="C609" s="1">
        <f>Tabela1[[#This Row],[Alongamento(mm/mm)]]/$I$2</f>
        <v>0.128862</v>
      </c>
      <c r="D609" s="1">
        <v>1723.1</v>
      </c>
      <c r="E609" s="1">
        <f>Tabela1[[#This Row],[Força(N)]]/$I$5</f>
        <v>54923898.318591125</v>
      </c>
      <c r="F609" s="1">
        <f>Tabela1[[#This Row],[Tensão(Pa)]]/1000000</f>
        <v>54.923898318591128</v>
      </c>
    </row>
    <row r="610" spans="1:6" x14ac:dyDescent="0.3">
      <c r="A610" s="1">
        <v>77.716999999999999</v>
      </c>
      <c r="B610" s="1">
        <v>6.4695</v>
      </c>
      <c r="C610" s="1">
        <f>Tabela1[[#This Row],[Alongamento(mm/mm)]]/$I$2</f>
        <v>0.12939000000000001</v>
      </c>
      <c r="D610" s="1">
        <v>1736.4</v>
      </c>
      <c r="E610" s="1">
        <f>Tabela1[[#This Row],[Força(N)]]/$I$5</f>
        <v>55347836.480994508</v>
      </c>
      <c r="F610" s="1">
        <f>Tabela1[[#This Row],[Tensão(Pa)]]/1000000</f>
        <v>55.347836480994509</v>
      </c>
    </row>
    <row r="611" spans="1:6" x14ac:dyDescent="0.3">
      <c r="A611" s="1">
        <v>78.033000000000001</v>
      </c>
      <c r="B611" s="1">
        <v>6.4958999999999998</v>
      </c>
      <c r="C611" s="1">
        <f>Tabela1[[#This Row],[Alongamento(mm/mm)]]/$I$2</f>
        <v>0.12991800000000001</v>
      </c>
      <c r="D611" s="1">
        <v>1749.8</v>
      </c>
      <c r="E611" s="1">
        <f>Tabela1[[#This Row],[Força(N)]]/$I$5</f>
        <v>55774962.148378357</v>
      </c>
      <c r="F611" s="1">
        <f>Tabela1[[#This Row],[Tensão(Pa)]]/1000000</f>
        <v>55.774962148378357</v>
      </c>
    </row>
    <row r="612" spans="1:6" x14ac:dyDescent="0.3">
      <c r="A612" s="1">
        <v>78.367000000000004</v>
      </c>
      <c r="B612" s="1">
        <v>6.5236000000000001</v>
      </c>
      <c r="C612" s="1">
        <f>Tabela1[[#This Row],[Alongamento(mm/mm)]]/$I$2</f>
        <v>0.130472</v>
      </c>
      <c r="D612" s="1">
        <v>1763.9</v>
      </c>
      <c r="E612" s="1">
        <f>Tabela1[[#This Row],[Força(N)]]/$I$5</f>
        <v>56224400.350625552</v>
      </c>
      <c r="F612" s="1">
        <f>Tabela1[[#This Row],[Tensão(Pa)]]/1000000</f>
        <v>56.224400350625551</v>
      </c>
    </row>
    <row r="613" spans="1:6" x14ac:dyDescent="0.3">
      <c r="A613" s="1">
        <v>78.7</v>
      </c>
      <c r="B613" s="1">
        <v>6.5514000000000001</v>
      </c>
      <c r="C613" s="1">
        <f>Tabela1[[#This Row],[Alongamento(mm/mm)]]/$I$2</f>
        <v>0.13102800000000001</v>
      </c>
      <c r="D613" s="1">
        <v>1777.5</v>
      </c>
      <c r="E613" s="1">
        <f>Tabela1[[#This Row],[Força(N)]]/$I$5</f>
        <v>56657901.027970359</v>
      </c>
      <c r="F613" s="1">
        <f>Tabela1[[#This Row],[Tensão(Pa)]]/1000000</f>
        <v>56.657901027970361</v>
      </c>
    </row>
    <row r="614" spans="1:6" x14ac:dyDescent="0.3">
      <c r="A614" s="1">
        <v>79.05</v>
      </c>
      <c r="B614" s="1">
        <v>6.5805999999999996</v>
      </c>
      <c r="C614" s="1">
        <f>Tabela1[[#This Row],[Alongamento(mm/mm)]]/$I$2</f>
        <v>0.13161199999999998</v>
      </c>
      <c r="D614" s="1">
        <v>1791.7</v>
      </c>
      <c r="E614" s="1">
        <f>Tabela1[[#This Row],[Força(N)]]/$I$5</f>
        <v>57110526.735198028</v>
      </c>
      <c r="F614" s="1">
        <f>Tabela1[[#This Row],[Tensão(Pa)]]/1000000</f>
        <v>57.110526735198029</v>
      </c>
    </row>
    <row r="615" spans="1:6" x14ac:dyDescent="0.3">
      <c r="A615" s="1">
        <v>79.400000000000006</v>
      </c>
      <c r="B615" s="1">
        <v>6.6097000000000001</v>
      </c>
      <c r="C615" s="1">
        <f>Tabela1[[#This Row],[Alongamento(mm/mm)]]/$I$2</f>
        <v>0.13219400000000001</v>
      </c>
      <c r="D615" s="1">
        <v>1805.8</v>
      </c>
      <c r="E615" s="1">
        <f>Tabela1[[#This Row],[Força(N)]]/$I$5</f>
        <v>57559964.937445216</v>
      </c>
      <c r="F615" s="1">
        <f>Tabela1[[#This Row],[Tensão(Pa)]]/1000000</f>
        <v>57.559964937445216</v>
      </c>
    </row>
    <row r="616" spans="1:6" x14ac:dyDescent="0.3">
      <c r="A616" s="1">
        <v>79.766999999999996</v>
      </c>
      <c r="B616" s="1">
        <v>6.6402000000000001</v>
      </c>
      <c r="C616" s="1">
        <f>Tabela1[[#This Row],[Alongamento(mm/mm)]]/$I$2</f>
        <v>0.13280400000000001</v>
      </c>
      <c r="D616" s="1">
        <v>1820.2</v>
      </c>
      <c r="E616" s="1">
        <f>Tabela1[[#This Row],[Força(N)]]/$I$5</f>
        <v>58018965.654633842</v>
      </c>
      <c r="F616" s="1">
        <f>Tabela1[[#This Row],[Tensão(Pa)]]/1000000</f>
        <v>58.018965654633845</v>
      </c>
    </row>
    <row r="617" spans="1:6" x14ac:dyDescent="0.3">
      <c r="A617" s="1">
        <v>80.132999999999996</v>
      </c>
      <c r="B617" s="1">
        <v>6.6708999999999996</v>
      </c>
      <c r="C617" s="1">
        <f>Tabela1[[#This Row],[Alongamento(mm/mm)]]/$I$2</f>
        <v>0.13341799999999998</v>
      </c>
      <c r="D617" s="1">
        <v>1834.7</v>
      </c>
      <c r="E617" s="1">
        <f>Tabela1[[#This Row],[Força(N)]]/$I$5</f>
        <v>58481153.876802936</v>
      </c>
      <c r="F617" s="1">
        <f>Tabela1[[#This Row],[Tensão(Pa)]]/1000000</f>
        <v>58.481153876802935</v>
      </c>
    </row>
    <row r="618" spans="1:6" x14ac:dyDescent="0.3">
      <c r="A618" s="1">
        <v>80.516999999999996</v>
      </c>
      <c r="B618" s="1">
        <v>6.7027999999999999</v>
      </c>
      <c r="C618" s="1">
        <f>Tabela1[[#This Row],[Alongamento(mm/mm)]]/$I$2</f>
        <v>0.13405600000000001</v>
      </c>
      <c r="D618" s="1">
        <v>1849.3</v>
      </c>
      <c r="E618" s="1">
        <f>Tabela1[[#This Row],[Força(N)]]/$I$5</f>
        <v>58946529.603952505</v>
      </c>
      <c r="F618" s="1">
        <f>Tabela1[[#This Row],[Tensão(Pa)]]/1000000</f>
        <v>58.946529603952506</v>
      </c>
    </row>
    <row r="619" spans="1:6" x14ac:dyDescent="0.3">
      <c r="A619" s="1">
        <v>80.900000000000006</v>
      </c>
      <c r="B619" s="1">
        <v>6.7347000000000001</v>
      </c>
      <c r="C619" s="1">
        <f>Tabela1[[#This Row],[Alongamento(mm/mm)]]/$I$2</f>
        <v>0.13469400000000001</v>
      </c>
      <c r="D619" s="1">
        <v>1863.8</v>
      </c>
      <c r="E619" s="1">
        <f>Tabela1[[#This Row],[Força(N)]]/$I$5</f>
        <v>59408717.826121606</v>
      </c>
      <c r="F619" s="1">
        <f>Tabela1[[#This Row],[Tensão(Pa)]]/1000000</f>
        <v>59.408717826121602</v>
      </c>
    </row>
    <row r="620" spans="1:6" x14ac:dyDescent="0.3">
      <c r="A620" s="1">
        <v>81.283000000000001</v>
      </c>
      <c r="B620" s="1">
        <v>6.7667000000000002</v>
      </c>
      <c r="C620" s="1">
        <f>Tabela1[[#This Row],[Alongamento(mm/mm)]]/$I$2</f>
        <v>0.13533400000000001</v>
      </c>
      <c r="D620" s="1">
        <v>1878.1</v>
      </c>
      <c r="E620" s="1">
        <f>Tabela1[[#This Row],[Força(N)]]/$I$5</f>
        <v>59864531.03832975</v>
      </c>
      <c r="F620" s="1">
        <f>Tabela1[[#This Row],[Tensão(Pa)]]/1000000</f>
        <v>59.864531038329751</v>
      </c>
    </row>
    <row r="621" spans="1:6" x14ac:dyDescent="0.3">
      <c r="A621" s="1">
        <v>81.683000000000007</v>
      </c>
      <c r="B621" s="1">
        <v>6.8</v>
      </c>
      <c r="C621" s="1">
        <f>Tabela1[[#This Row],[Alongamento(mm/mm)]]/$I$2</f>
        <v>0.13600000000000001</v>
      </c>
      <c r="D621" s="1">
        <v>1893</v>
      </c>
      <c r="E621" s="1">
        <f>Tabela1[[#This Row],[Força(N)]]/$I$5</f>
        <v>60339469.28042075</v>
      </c>
      <c r="F621" s="1">
        <f>Tabela1[[#This Row],[Tensão(Pa)]]/1000000</f>
        <v>60.339469280420751</v>
      </c>
    </row>
    <row r="622" spans="1:6" x14ac:dyDescent="0.3">
      <c r="A622" s="1">
        <v>82.082999999999998</v>
      </c>
      <c r="B622" s="1">
        <v>6.8333000000000004</v>
      </c>
      <c r="C622" s="1">
        <f>Tabela1[[#This Row],[Alongamento(mm/mm)]]/$I$2</f>
        <v>0.13666600000000001</v>
      </c>
      <c r="D622" s="1">
        <v>1907.7</v>
      </c>
      <c r="E622" s="1">
        <f>Tabela1[[#This Row],[Força(N)]]/$I$5</f>
        <v>60808032.512550808</v>
      </c>
      <c r="F622" s="1">
        <f>Tabela1[[#This Row],[Tensão(Pa)]]/1000000</f>
        <v>60.80803251255081</v>
      </c>
    </row>
    <row r="623" spans="1:6" x14ac:dyDescent="0.3">
      <c r="A623" s="1">
        <v>82.483000000000004</v>
      </c>
      <c r="B623" s="1">
        <v>6.8666999999999998</v>
      </c>
      <c r="C623" s="1">
        <f>Tabela1[[#This Row],[Alongamento(mm/mm)]]/$I$2</f>
        <v>0.13733399999999998</v>
      </c>
      <c r="D623" s="1">
        <v>1922.5</v>
      </c>
      <c r="E623" s="1">
        <f>Tabela1[[#This Row],[Força(N)]]/$I$5</f>
        <v>61279783.249661334</v>
      </c>
      <c r="F623" s="1">
        <f>Tabela1[[#This Row],[Tensão(Pa)]]/1000000</f>
        <v>61.279783249661335</v>
      </c>
    </row>
    <row r="624" spans="1:6" x14ac:dyDescent="0.3">
      <c r="A624" s="1">
        <v>82.917000000000002</v>
      </c>
      <c r="B624" s="1">
        <v>6.9028</v>
      </c>
      <c r="C624" s="1">
        <f>Tabela1[[#This Row],[Alongamento(mm/mm)]]/$I$2</f>
        <v>0.13805600000000001</v>
      </c>
      <c r="D624" s="1">
        <v>1937.9</v>
      </c>
      <c r="E624" s="1">
        <f>Tabela1[[#This Row],[Força(N)]]/$I$5</f>
        <v>61770659.016654722</v>
      </c>
      <c r="F624" s="1">
        <f>Tabela1[[#This Row],[Tensão(Pa)]]/1000000</f>
        <v>61.770659016654726</v>
      </c>
    </row>
    <row r="625" spans="1:6" x14ac:dyDescent="0.3">
      <c r="A625" s="1">
        <v>83.367000000000004</v>
      </c>
      <c r="B625" s="1">
        <v>6.9402999999999997</v>
      </c>
      <c r="C625" s="1">
        <f>Tabela1[[#This Row],[Alongamento(mm/mm)]]/$I$2</f>
        <v>0.13880599999999998</v>
      </c>
      <c r="D625" s="1">
        <v>1953.4</v>
      </c>
      <c r="E625" s="1">
        <f>Tabela1[[#This Row],[Força(N)]]/$I$5</f>
        <v>62264722.288628586</v>
      </c>
      <c r="F625" s="1">
        <f>Tabela1[[#This Row],[Tensão(Pa)]]/1000000</f>
        <v>62.264722288628583</v>
      </c>
    </row>
    <row r="626" spans="1:6" x14ac:dyDescent="0.3">
      <c r="A626" s="1">
        <v>83.85</v>
      </c>
      <c r="B626" s="1">
        <v>6.9805999999999999</v>
      </c>
      <c r="C626" s="1">
        <f>Tabela1[[#This Row],[Alongamento(mm/mm)]]/$I$2</f>
        <v>0.13961199999999999</v>
      </c>
      <c r="D626" s="1">
        <v>1968.7</v>
      </c>
      <c r="E626" s="1">
        <f>Tabela1[[#This Row],[Força(N)]]/$I$5</f>
        <v>62752410.550641492</v>
      </c>
      <c r="F626" s="1">
        <f>Tabela1[[#This Row],[Tensão(Pa)]]/1000000</f>
        <v>62.752410550641493</v>
      </c>
    </row>
    <row r="627" spans="1:6" x14ac:dyDescent="0.3">
      <c r="A627" s="1">
        <v>84.35</v>
      </c>
      <c r="B627" s="1">
        <v>7.0221999999999998</v>
      </c>
      <c r="C627" s="1">
        <f>Tabela1[[#This Row],[Alongamento(mm/mm)]]/$I$2</f>
        <v>0.14044399999999999</v>
      </c>
      <c r="D627" s="1">
        <v>1980</v>
      </c>
      <c r="E627" s="1">
        <f>Tabela1[[#This Row],[Força(N)]]/$I$5</f>
        <v>63112598.613435335</v>
      </c>
      <c r="F627" s="1">
        <f>Tabela1[[#This Row],[Tensão(Pa)]]/1000000</f>
        <v>63.112598613435338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AFA-6333-4FBA-80C2-8CA1010312C7}">
  <dimension ref="E22:G23"/>
  <sheetViews>
    <sheetView workbookViewId="0">
      <selection activeCell="R16" sqref="R16"/>
    </sheetView>
  </sheetViews>
  <sheetFormatPr defaultRowHeight="14.4" x14ac:dyDescent="0.3"/>
  <cols>
    <col min="5" max="5" width="16.33203125" bestFit="1" customWidth="1"/>
  </cols>
  <sheetData>
    <row r="22" spans="5:7" x14ac:dyDescent="0.3">
      <c r="E22" t="s">
        <v>14</v>
      </c>
      <c r="F22" t="s">
        <v>15</v>
      </c>
      <c r="G22" t="s">
        <v>16</v>
      </c>
    </row>
    <row r="23" spans="5:7" x14ac:dyDescent="0.3">
      <c r="E23">
        <f>STDEV('A12-1'!F649,'A12-2'!F596,'A12-3'!F587,'A12-4'!F619,'A12-5'!F627)</f>
        <v>1.836323251457969</v>
      </c>
      <c r="F23" s="1">
        <f>AVERAGE('A12-1'!F649,'A12-2'!F596,'A12-3'!F587,'A12-4'!F619,'A12-5'!F627)</f>
        <v>62.069009482827326</v>
      </c>
      <c r="G23" s="1">
        <f>AVERAGE('A12-1'!D649,'A12-2'!D596,'A12-3'!D587,'A12-4'!D619,'A12-5'!D627)</f>
        <v>1947.2599999999998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A12-1</vt:lpstr>
      <vt:lpstr>A12-2</vt:lpstr>
      <vt:lpstr>A12-3</vt:lpstr>
      <vt:lpstr>A12-4</vt:lpstr>
      <vt:lpstr>A12-5</vt:lpstr>
      <vt:lpstr>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 Silva</dc:creator>
  <cp:keywords/>
  <dc:description/>
  <cp:lastModifiedBy>Davi Silva</cp:lastModifiedBy>
  <cp:revision/>
  <dcterms:created xsi:type="dcterms:W3CDTF">2015-06-05T18:19:34Z</dcterms:created>
  <dcterms:modified xsi:type="dcterms:W3CDTF">2024-10-25T23:23:01Z</dcterms:modified>
  <cp:category/>
  <cp:contentStatus/>
</cp:coreProperties>
</file>